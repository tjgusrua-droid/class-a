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정혜란\Desktop\"/>
    </mc:Choice>
  </mc:AlternateContent>
  <bookViews>
    <workbookView xWindow="0" yWindow="0" windowWidth="13275" windowHeight="10380" tabRatio="963" firstSheet="1" activeTab="4"/>
  </bookViews>
  <sheets>
    <sheet name="2022년 전국극장현황" sheetId="21" r:id="rId1"/>
    <sheet name="2022년 행정구역(시군구)별 극장현황" sheetId="24" r:id="rId2"/>
    <sheet name="2022년 전국멀티플렉스현황" sheetId="22" r:id="rId3"/>
    <sheet name="2022년 전국 4대 멀티플렉스체인현황" sheetId="23" r:id="rId4"/>
    <sheet name="특별관 유형 분류 및 통계" sheetId="12" r:id="rId5"/>
    <sheet name="2022년 전국 극장 리스트" sheetId="25" r:id="rId6"/>
    <sheet name="2022년 전국 스크린별 상세 리스트" sheetId="26" r:id="rId7"/>
    <sheet name="2022년 신규개관 극장 리스트" sheetId="27" r:id="rId8"/>
    <sheet name="2022년 휴폐관리스트" sheetId="28" r:id="rId9"/>
  </sheets>
  <definedNames>
    <definedName name="_xlnm._FilterDatabase" localSheetId="7" hidden="1">'2022년 신규개관 극장 리스트'!$A$1:$R$29</definedName>
    <definedName name="_xlnm._FilterDatabase" localSheetId="5" hidden="1">'2022년 전국 극장 리스트'!$A$1:$R$1</definedName>
    <definedName name="_xlnm._FilterDatabase" localSheetId="6" hidden="1">'2022년 전국 스크린별 상세 리스트'!$A$1:$O$3324</definedName>
    <definedName name="_xlnm._FilterDatabase" localSheetId="1" hidden="1">'2022년 행정구역(시군구)별 극장현황'!$A$2:$R$248</definedName>
    <definedName name="_xlnm._FilterDatabase" localSheetId="8" hidden="1">'2022년 휴폐관리스트'!$A$1:$S$23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1" l="1"/>
  <c r="H3" i="21"/>
  <c r="M3" i="21"/>
  <c r="L3" i="21"/>
  <c r="J3324" i="26" l="1"/>
  <c r="R3" i="24"/>
  <c r="C3" i="24" l="1"/>
  <c r="E4" i="24"/>
  <c r="N29" i="27" l="1"/>
  <c r="L29" i="27"/>
  <c r="J29" i="27"/>
  <c r="I29" i="27"/>
  <c r="H29" i="27"/>
  <c r="K3324" i="26" l="1"/>
  <c r="M3324" i="26"/>
  <c r="I3324" i="26" l="1"/>
  <c r="L563" i="25"/>
  <c r="J563" i="25"/>
  <c r="I563" i="25"/>
  <c r="H563" i="25"/>
  <c r="P135" i="25"/>
  <c r="O135" i="25"/>
  <c r="N135" i="25"/>
  <c r="N563" i="25" s="1"/>
  <c r="M246" i="24" l="1"/>
  <c r="M227" i="24"/>
  <c r="M203" i="24"/>
  <c r="M180" i="24"/>
  <c r="M165" i="24"/>
  <c r="M149" i="24"/>
  <c r="M137" i="24"/>
  <c r="M118" i="24"/>
  <c r="M86" i="24"/>
  <c r="M79" i="24"/>
  <c r="M73" i="24"/>
  <c r="M67" i="24"/>
  <c r="M56" i="24"/>
  <c r="M47" i="24"/>
  <c r="M30" i="24"/>
  <c r="M4" i="24"/>
  <c r="I246" i="24"/>
  <c r="I227" i="24"/>
  <c r="I203" i="24"/>
  <c r="I180" i="24"/>
  <c r="I165" i="24"/>
  <c r="I149" i="24"/>
  <c r="I137" i="24"/>
  <c r="I118" i="24"/>
  <c r="I86" i="24"/>
  <c r="I79" i="24"/>
  <c r="I73" i="24"/>
  <c r="I67" i="24"/>
  <c r="I56" i="24"/>
  <c r="I47" i="24"/>
  <c r="I30" i="24"/>
  <c r="I4" i="24"/>
  <c r="E246" i="24"/>
  <c r="E227" i="24"/>
  <c r="E203" i="24"/>
  <c r="E180" i="24"/>
  <c r="E165" i="24"/>
  <c r="E149" i="24"/>
  <c r="E137" i="24"/>
  <c r="E118" i="24"/>
  <c r="E86" i="24"/>
  <c r="E79" i="24"/>
  <c r="E73" i="24"/>
  <c r="E67" i="24"/>
  <c r="E56" i="24"/>
  <c r="E47" i="24"/>
  <c r="E30" i="24"/>
  <c r="J20" i="21"/>
  <c r="F20" i="21"/>
  <c r="B20" i="21"/>
  <c r="E3" i="24" l="1"/>
  <c r="I3" i="24"/>
  <c r="M3" i="24"/>
  <c r="B20" i="22" l="1"/>
  <c r="P248" i="24"/>
  <c r="R248" i="24" s="1"/>
  <c r="N248" i="24"/>
  <c r="O248" i="24" s="1"/>
  <c r="J248" i="24"/>
  <c r="K248" i="24" s="1"/>
  <c r="F248" i="24"/>
  <c r="G248" i="24" s="1"/>
  <c r="P247" i="24"/>
  <c r="N247" i="24"/>
  <c r="O247" i="24" s="1"/>
  <c r="J247" i="24"/>
  <c r="K247" i="24" s="1"/>
  <c r="F247" i="24"/>
  <c r="G247" i="24" s="1"/>
  <c r="L246" i="24"/>
  <c r="H246" i="24"/>
  <c r="P246" i="24" s="1"/>
  <c r="D246" i="24"/>
  <c r="F246" i="24" s="1"/>
  <c r="G246" i="24" s="1"/>
  <c r="P245" i="24"/>
  <c r="N245" i="24"/>
  <c r="O245" i="24" s="1"/>
  <c r="J245" i="24"/>
  <c r="K245" i="24" s="1"/>
  <c r="F245" i="24"/>
  <c r="G245" i="24" s="1"/>
  <c r="P244" i="24"/>
  <c r="R244" i="24" s="1"/>
  <c r="N244" i="24"/>
  <c r="O244" i="24" s="1"/>
  <c r="J244" i="24"/>
  <c r="K244" i="24" s="1"/>
  <c r="F244" i="24"/>
  <c r="G244" i="24" s="1"/>
  <c r="P243" i="24"/>
  <c r="N243" i="24"/>
  <c r="J243" i="24"/>
  <c r="F243" i="24"/>
  <c r="P242" i="24"/>
  <c r="N242" i="24"/>
  <c r="O242" i="24" s="1"/>
  <c r="J242" i="24"/>
  <c r="K242" i="24" s="1"/>
  <c r="F242" i="24"/>
  <c r="G242" i="24" s="1"/>
  <c r="P241" i="24"/>
  <c r="N241" i="24"/>
  <c r="O241" i="24" s="1"/>
  <c r="J241" i="24"/>
  <c r="K241" i="24" s="1"/>
  <c r="F241" i="24"/>
  <c r="G241" i="24" s="1"/>
  <c r="P240" i="24"/>
  <c r="N240" i="24"/>
  <c r="O240" i="24" s="1"/>
  <c r="J240" i="24"/>
  <c r="K240" i="24" s="1"/>
  <c r="F240" i="24"/>
  <c r="G240" i="24" s="1"/>
  <c r="P239" i="24"/>
  <c r="R239" i="24" s="1"/>
  <c r="N239" i="24"/>
  <c r="O239" i="24" s="1"/>
  <c r="J239" i="24"/>
  <c r="K239" i="24" s="1"/>
  <c r="F239" i="24"/>
  <c r="G239" i="24" s="1"/>
  <c r="P238" i="24"/>
  <c r="N238" i="24"/>
  <c r="J238" i="24"/>
  <c r="F238" i="24"/>
  <c r="P237" i="24"/>
  <c r="N237" i="24"/>
  <c r="O237" i="24" s="1"/>
  <c r="J237" i="24"/>
  <c r="F237" i="24"/>
  <c r="G237" i="24" s="1"/>
  <c r="P236" i="24"/>
  <c r="N236" i="24"/>
  <c r="J236" i="24"/>
  <c r="F236" i="24"/>
  <c r="P235" i="24"/>
  <c r="N235" i="24"/>
  <c r="O235" i="24" s="1"/>
  <c r="J235" i="24"/>
  <c r="K235" i="24" s="1"/>
  <c r="F235" i="24"/>
  <c r="G235" i="24" s="1"/>
  <c r="P234" i="24"/>
  <c r="N234" i="24"/>
  <c r="O234" i="24" s="1"/>
  <c r="J234" i="24"/>
  <c r="K234" i="24" s="1"/>
  <c r="F234" i="24"/>
  <c r="G234" i="24" s="1"/>
  <c r="P233" i="24"/>
  <c r="R233" i="24" s="1"/>
  <c r="N233" i="24"/>
  <c r="O233" i="24" s="1"/>
  <c r="J233" i="24"/>
  <c r="K233" i="24" s="1"/>
  <c r="F233" i="24"/>
  <c r="G233" i="24" s="1"/>
  <c r="P232" i="24"/>
  <c r="N232" i="24"/>
  <c r="O232" i="24" s="1"/>
  <c r="J232" i="24"/>
  <c r="K232" i="24" s="1"/>
  <c r="F232" i="24"/>
  <c r="G232" i="24" s="1"/>
  <c r="P231" i="24"/>
  <c r="R231" i="24" s="1"/>
  <c r="N231" i="24"/>
  <c r="O231" i="24" s="1"/>
  <c r="J231" i="24"/>
  <c r="K231" i="24" s="1"/>
  <c r="F231" i="24"/>
  <c r="G231" i="24" s="1"/>
  <c r="P230" i="24"/>
  <c r="R230" i="24" s="1"/>
  <c r="N230" i="24"/>
  <c r="O230" i="24" s="1"/>
  <c r="J230" i="24"/>
  <c r="K230" i="24" s="1"/>
  <c r="F230" i="24"/>
  <c r="G230" i="24" s="1"/>
  <c r="P229" i="24"/>
  <c r="N229" i="24"/>
  <c r="O229" i="24" s="1"/>
  <c r="J229" i="24"/>
  <c r="K229" i="24" s="1"/>
  <c r="F229" i="24"/>
  <c r="G229" i="24" s="1"/>
  <c r="P228" i="24"/>
  <c r="N228" i="24"/>
  <c r="O228" i="24" s="1"/>
  <c r="J228" i="24"/>
  <c r="K228" i="24" s="1"/>
  <c r="F228" i="24"/>
  <c r="G228" i="24" s="1"/>
  <c r="L227" i="24"/>
  <c r="N227" i="24" s="1"/>
  <c r="O227" i="24" s="1"/>
  <c r="H227" i="24"/>
  <c r="P227" i="24" s="1"/>
  <c r="D227" i="24"/>
  <c r="F227" i="24" s="1"/>
  <c r="G227" i="24" s="1"/>
  <c r="P226" i="24"/>
  <c r="N226" i="24"/>
  <c r="J226" i="24"/>
  <c r="F226" i="24"/>
  <c r="P225" i="24"/>
  <c r="N225" i="24"/>
  <c r="O225" i="24" s="1"/>
  <c r="J225" i="24"/>
  <c r="K225" i="24" s="1"/>
  <c r="F225" i="24"/>
  <c r="G225" i="24" s="1"/>
  <c r="P224" i="24"/>
  <c r="N224" i="24"/>
  <c r="J224" i="24"/>
  <c r="F224" i="24"/>
  <c r="P223" i="24"/>
  <c r="N223" i="24"/>
  <c r="O223" i="24" s="1"/>
  <c r="J223" i="24"/>
  <c r="K223" i="24" s="1"/>
  <c r="F223" i="24"/>
  <c r="G223" i="24" s="1"/>
  <c r="P222" i="24"/>
  <c r="R222" i="24" s="1"/>
  <c r="N222" i="24"/>
  <c r="O222" i="24" s="1"/>
  <c r="J222" i="24"/>
  <c r="K222" i="24" s="1"/>
  <c r="F222" i="24"/>
  <c r="G222" i="24" s="1"/>
  <c r="P221" i="24"/>
  <c r="N221" i="24"/>
  <c r="J221" i="24"/>
  <c r="F221" i="24"/>
  <c r="P220" i="24"/>
  <c r="R220" i="24" s="1"/>
  <c r="N220" i="24"/>
  <c r="O220" i="24" s="1"/>
  <c r="J220" i="24"/>
  <c r="K220" i="24" s="1"/>
  <c r="F220" i="24"/>
  <c r="G220" i="24" s="1"/>
  <c r="P219" i="24"/>
  <c r="R219" i="24" s="1"/>
  <c r="N219" i="24"/>
  <c r="J219" i="24"/>
  <c r="F219" i="24"/>
  <c r="P218" i="24"/>
  <c r="N218" i="24"/>
  <c r="J218" i="24"/>
  <c r="F218" i="24"/>
  <c r="P217" i="24"/>
  <c r="N217" i="24"/>
  <c r="O217" i="24" s="1"/>
  <c r="J217" i="24"/>
  <c r="K217" i="24" s="1"/>
  <c r="F217" i="24"/>
  <c r="G217" i="24" s="1"/>
  <c r="P216" i="24"/>
  <c r="R216" i="24" s="1"/>
  <c r="N216" i="24"/>
  <c r="J216" i="24"/>
  <c r="F216" i="24"/>
  <c r="P215" i="24"/>
  <c r="N215" i="24"/>
  <c r="O215" i="24" s="1"/>
  <c r="J215" i="24"/>
  <c r="K215" i="24" s="1"/>
  <c r="F215" i="24"/>
  <c r="G215" i="24" s="1"/>
  <c r="P214" i="24"/>
  <c r="N214" i="24"/>
  <c r="J214" i="24"/>
  <c r="F214" i="24"/>
  <c r="P213" i="24"/>
  <c r="N213" i="24"/>
  <c r="O213" i="24" s="1"/>
  <c r="J213" i="24"/>
  <c r="K213" i="24" s="1"/>
  <c r="F213" i="24"/>
  <c r="G213" i="24" s="1"/>
  <c r="P212" i="24"/>
  <c r="R212" i="24" s="1"/>
  <c r="N212" i="24"/>
  <c r="O212" i="24" s="1"/>
  <c r="J212" i="24"/>
  <c r="K212" i="24" s="1"/>
  <c r="F212" i="24"/>
  <c r="G212" i="24" s="1"/>
  <c r="P211" i="24"/>
  <c r="N211" i="24"/>
  <c r="O211" i="24" s="1"/>
  <c r="J211" i="24"/>
  <c r="K211" i="24" s="1"/>
  <c r="F211" i="24"/>
  <c r="G211" i="24" s="1"/>
  <c r="P210" i="24"/>
  <c r="R210" i="24" s="1"/>
  <c r="N210" i="24"/>
  <c r="O210" i="24" s="1"/>
  <c r="J210" i="24"/>
  <c r="K210" i="24" s="1"/>
  <c r="F210" i="24"/>
  <c r="G210" i="24" s="1"/>
  <c r="P209" i="24"/>
  <c r="N209" i="24"/>
  <c r="O209" i="24" s="1"/>
  <c r="J209" i="24"/>
  <c r="K209" i="24" s="1"/>
  <c r="F209" i="24"/>
  <c r="G209" i="24" s="1"/>
  <c r="P208" i="24"/>
  <c r="R208" i="24" s="1"/>
  <c r="N208" i="24"/>
  <c r="O208" i="24" s="1"/>
  <c r="J208" i="24"/>
  <c r="K208" i="24" s="1"/>
  <c r="F208" i="24"/>
  <c r="G208" i="24" s="1"/>
  <c r="P207" i="24"/>
  <c r="N207" i="24"/>
  <c r="O207" i="24" s="1"/>
  <c r="J207" i="24"/>
  <c r="K207" i="24" s="1"/>
  <c r="F207" i="24"/>
  <c r="G207" i="24" s="1"/>
  <c r="P206" i="24"/>
  <c r="N206" i="24"/>
  <c r="O206" i="24" s="1"/>
  <c r="J206" i="24"/>
  <c r="K206" i="24" s="1"/>
  <c r="F206" i="24"/>
  <c r="G206" i="24" s="1"/>
  <c r="P205" i="24"/>
  <c r="N205" i="24"/>
  <c r="O205" i="24" s="1"/>
  <c r="J205" i="24"/>
  <c r="K205" i="24" s="1"/>
  <c r="F205" i="24"/>
  <c r="G205" i="24" s="1"/>
  <c r="P204" i="24"/>
  <c r="N204" i="24"/>
  <c r="O204" i="24" s="1"/>
  <c r="J204" i="24"/>
  <c r="K204" i="24" s="1"/>
  <c r="F204" i="24"/>
  <c r="G204" i="24" s="1"/>
  <c r="L203" i="24"/>
  <c r="H203" i="24"/>
  <c r="J203" i="24" s="1"/>
  <c r="K203" i="24" s="1"/>
  <c r="D203" i="24"/>
  <c r="P202" i="24"/>
  <c r="R202" i="24" s="1"/>
  <c r="N202" i="24"/>
  <c r="J202" i="24"/>
  <c r="F202" i="24"/>
  <c r="P201" i="24"/>
  <c r="N201" i="24"/>
  <c r="O201" i="24" s="1"/>
  <c r="J201" i="24"/>
  <c r="K201" i="24" s="1"/>
  <c r="F201" i="24"/>
  <c r="G201" i="24" s="1"/>
  <c r="P200" i="24"/>
  <c r="N200" i="24"/>
  <c r="O200" i="24" s="1"/>
  <c r="J200" i="24"/>
  <c r="K200" i="24" s="1"/>
  <c r="F200" i="24"/>
  <c r="G200" i="24" s="1"/>
  <c r="P199" i="24"/>
  <c r="N199" i="24"/>
  <c r="J199" i="24"/>
  <c r="F199" i="24"/>
  <c r="P198" i="24"/>
  <c r="R198" i="24" s="1"/>
  <c r="N198" i="24"/>
  <c r="O198" i="24" s="1"/>
  <c r="J198" i="24"/>
  <c r="K198" i="24" s="1"/>
  <c r="F198" i="24"/>
  <c r="G198" i="24" s="1"/>
  <c r="P197" i="24"/>
  <c r="N197" i="24"/>
  <c r="J197" i="24"/>
  <c r="F197" i="24"/>
  <c r="P196" i="24"/>
  <c r="N196" i="24"/>
  <c r="J196" i="24"/>
  <c r="F196" i="24"/>
  <c r="P195" i="24"/>
  <c r="R195" i="24" s="1"/>
  <c r="N195" i="24"/>
  <c r="J195" i="24"/>
  <c r="F195" i="24"/>
  <c r="P194" i="24"/>
  <c r="R194" i="24" s="1"/>
  <c r="N194" i="24"/>
  <c r="O194" i="24" s="1"/>
  <c r="J194" i="24"/>
  <c r="K194" i="24" s="1"/>
  <c r="F194" i="24"/>
  <c r="G194" i="24" s="1"/>
  <c r="P193" i="24"/>
  <c r="N193" i="24"/>
  <c r="J193" i="24"/>
  <c r="F193" i="24"/>
  <c r="P192" i="24"/>
  <c r="N192" i="24"/>
  <c r="O192" i="24" s="1"/>
  <c r="J192" i="24"/>
  <c r="K192" i="24" s="1"/>
  <c r="F192" i="24"/>
  <c r="G192" i="24" s="1"/>
  <c r="P191" i="24"/>
  <c r="N191" i="24"/>
  <c r="O191" i="24" s="1"/>
  <c r="J191" i="24"/>
  <c r="K191" i="24" s="1"/>
  <c r="F191" i="24"/>
  <c r="G191" i="24" s="1"/>
  <c r="P190" i="24"/>
  <c r="N190" i="24"/>
  <c r="O190" i="24" s="1"/>
  <c r="J190" i="24"/>
  <c r="K190" i="24" s="1"/>
  <c r="F190" i="24"/>
  <c r="G190" i="24" s="1"/>
  <c r="P189" i="24"/>
  <c r="N189" i="24"/>
  <c r="O189" i="24" s="1"/>
  <c r="J189" i="24"/>
  <c r="K189" i="24" s="1"/>
  <c r="F189" i="24"/>
  <c r="G189" i="24" s="1"/>
  <c r="P188" i="24"/>
  <c r="R188" i="24" s="1"/>
  <c r="N188" i="24"/>
  <c r="O188" i="24" s="1"/>
  <c r="J188" i="24"/>
  <c r="K188" i="24" s="1"/>
  <c r="F188" i="24"/>
  <c r="G188" i="24" s="1"/>
  <c r="P187" i="24"/>
  <c r="R187" i="24" s="1"/>
  <c r="N187" i="24"/>
  <c r="O187" i="24" s="1"/>
  <c r="J187" i="24"/>
  <c r="K187" i="24" s="1"/>
  <c r="F187" i="24"/>
  <c r="G187" i="24" s="1"/>
  <c r="P186" i="24"/>
  <c r="R186" i="24" s="1"/>
  <c r="N186" i="24"/>
  <c r="O186" i="24" s="1"/>
  <c r="J186" i="24"/>
  <c r="K186" i="24" s="1"/>
  <c r="F186" i="24"/>
  <c r="G186" i="24" s="1"/>
  <c r="P185" i="24"/>
  <c r="N185" i="24"/>
  <c r="O185" i="24" s="1"/>
  <c r="J185" i="24"/>
  <c r="K185" i="24" s="1"/>
  <c r="F185" i="24"/>
  <c r="G185" i="24" s="1"/>
  <c r="P184" i="24"/>
  <c r="N184" i="24"/>
  <c r="O184" i="24" s="1"/>
  <c r="J184" i="24"/>
  <c r="K184" i="24" s="1"/>
  <c r="F184" i="24"/>
  <c r="G184" i="24" s="1"/>
  <c r="P183" i="24"/>
  <c r="N183" i="24"/>
  <c r="O183" i="24" s="1"/>
  <c r="J183" i="24"/>
  <c r="K183" i="24" s="1"/>
  <c r="F183" i="24"/>
  <c r="G183" i="24" s="1"/>
  <c r="P182" i="24"/>
  <c r="R182" i="24" s="1"/>
  <c r="O182" i="24"/>
  <c r="N182" i="24"/>
  <c r="J182" i="24"/>
  <c r="K182" i="24" s="1"/>
  <c r="F182" i="24"/>
  <c r="G182" i="24" s="1"/>
  <c r="P181" i="24"/>
  <c r="R181" i="24" s="1"/>
  <c r="N181" i="24"/>
  <c r="O181" i="24" s="1"/>
  <c r="J181" i="24"/>
  <c r="K181" i="24" s="1"/>
  <c r="F181" i="24"/>
  <c r="G181" i="24" s="1"/>
  <c r="L180" i="24"/>
  <c r="N180" i="24" s="1"/>
  <c r="O180" i="24" s="1"/>
  <c r="H180" i="24"/>
  <c r="P180" i="24" s="1"/>
  <c r="D180" i="24"/>
  <c r="P179" i="24"/>
  <c r="N179" i="24"/>
  <c r="O179" i="24" s="1"/>
  <c r="J179" i="24"/>
  <c r="K179" i="24" s="1"/>
  <c r="F179" i="24"/>
  <c r="G179" i="24" s="1"/>
  <c r="P178" i="24"/>
  <c r="N178" i="24"/>
  <c r="O178" i="24" s="1"/>
  <c r="J178" i="24"/>
  <c r="K178" i="24" s="1"/>
  <c r="F178" i="24"/>
  <c r="G178" i="24" s="1"/>
  <c r="P177" i="24"/>
  <c r="N177" i="24"/>
  <c r="O177" i="24" s="1"/>
  <c r="J177" i="24"/>
  <c r="K177" i="24" s="1"/>
  <c r="F177" i="24"/>
  <c r="G177" i="24" s="1"/>
  <c r="P176" i="24"/>
  <c r="N176" i="24"/>
  <c r="J176" i="24"/>
  <c r="F176" i="24"/>
  <c r="P175" i="24"/>
  <c r="N175" i="24"/>
  <c r="O175" i="24" s="1"/>
  <c r="J175" i="24"/>
  <c r="K175" i="24" s="1"/>
  <c r="F175" i="24"/>
  <c r="G175" i="24" s="1"/>
  <c r="P174" i="24"/>
  <c r="O174" i="24"/>
  <c r="N174" i="24"/>
  <c r="J174" i="24"/>
  <c r="K174" i="24" s="1"/>
  <c r="F174" i="24"/>
  <c r="G174" i="24" s="1"/>
  <c r="P173" i="24"/>
  <c r="N173" i="24"/>
  <c r="O173" i="24" s="1"/>
  <c r="J173" i="24"/>
  <c r="K173" i="24" s="1"/>
  <c r="F173" i="24"/>
  <c r="G173" i="24" s="1"/>
  <c r="P172" i="24"/>
  <c r="N172" i="24"/>
  <c r="O172" i="24" s="1"/>
  <c r="J172" i="24"/>
  <c r="K172" i="24" s="1"/>
  <c r="F172" i="24"/>
  <c r="G172" i="24" s="1"/>
  <c r="P171" i="24"/>
  <c r="R171" i="24" s="1"/>
  <c r="N171" i="24"/>
  <c r="O171" i="24" s="1"/>
  <c r="J171" i="24"/>
  <c r="K171" i="24" s="1"/>
  <c r="F171" i="24"/>
  <c r="G171" i="24" s="1"/>
  <c r="P170" i="24"/>
  <c r="N170" i="24"/>
  <c r="O170" i="24" s="1"/>
  <c r="J170" i="24"/>
  <c r="K170" i="24" s="1"/>
  <c r="F170" i="24"/>
  <c r="G170" i="24" s="1"/>
  <c r="P169" i="24"/>
  <c r="N169" i="24"/>
  <c r="O169" i="24" s="1"/>
  <c r="J169" i="24"/>
  <c r="K169" i="24" s="1"/>
  <c r="F169" i="24"/>
  <c r="G169" i="24" s="1"/>
  <c r="P168" i="24"/>
  <c r="R168" i="24" s="1"/>
  <c r="N168" i="24"/>
  <c r="O168" i="24" s="1"/>
  <c r="J168" i="24"/>
  <c r="K168" i="24" s="1"/>
  <c r="F168" i="24"/>
  <c r="G168" i="24" s="1"/>
  <c r="P167" i="24"/>
  <c r="N167" i="24"/>
  <c r="O167" i="24" s="1"/>
  <c r="J167" i="24"/>
  <c r="K167" i="24" s="1"/>
  <c r="F167" i="24"/>
  <c r="G167" i="24" s="1"/>
  <c r="P166" i="24"/>
  <c r="R166" i="24" s="1"/>
  <c r="N166" i="24"/>
  <c r="O166" i="24" s="1"/>
  <c r="J166" i="24"/>
  <c r="K166" i="24" s="1"/>
  <c r="F166" i="24"/>
  <c r="G166" i="24" s="1"/>
  <c r="L165" i="24"/>
  <c r="N165" i="24" s="1"/>
  <c r="O165" i="24" s="1"/>
  <c r="H165" i="24"/>
  <c r="J165" i="24" s="1"/>
  <c r="K165" i="24" s="1"/>
  <c r="D165" i="24"/>
  <c r="F165" i="24" s="1"/>
  <c r="G165" i="24" s="1"/>
  <c r="P164" i="24"/>
  <c r="R164" i="24" s="1"/>
  <c r="N164" i="24"/>
  <c r="O164" i="24" s="1"/>
  <c r="J164" i="24"/>
  <c r="K164" i="24" s="1"/>
  <c r="F164" i="24"/>
  <c r="G164" i="24" s="1"/>
  <c r="P163" i="24"/>
  <c r="N163" i="24"/>
  <c r="O163" i="24" s="1"/>
  <c r="J163" i="24"/>
  <c r="K163" i="24" s="1"/>
  <c r="F163" i="24"/>
  <c r="G163" i="24" s="1"/>
  <c r="P162" i="24"/>
  <c r="N162" i="24"/>
  <c r="O162" i="24" s="1"/>
  <c r="J162" i="24"/>
  <c r="K162" i="24" s="1"/>
  <c r="F162" i="24"/>
  <c r="G162" i="24" s="1"/>
  <c r="P161" i="24"/>
  <c r="R161" i="24" s="1"/>
  <c r="N161" i="24"/>
  <c r="O161" i="24" s="1"/>
  <c r="J161" i="24"/>
  <c r="K161" i="24" s="1"/>
  <c r="F161" i="24"/>
  <c r="G161" i="24" s="1"/>
  <c r="P160" i="24"/>
  <c r="N160" i="24"/>
  <c r="O160" i="24" s="1"/>
  <c r="J160" i="24"/>
  <c r="K160" i="24" s="1"/>
  <c r="F160" i="24"/>
  <c r="G160" i="24" s="1"/>
  <c r="P159" i="24"/>
  <c r="R159" i="24" s="1"/>
  <c r="N159" i="24"/>
  <c r="O159" i="24" s="1"/>
  <c r="J159" i="24"/>
  <c r="K159" i="24" s="1"/>
  <c r="F159" i="24"/>
  <c r="G159" i="24" s="1"/>
  <c r="P158" i="24"/>
  <c r="N158" i="24"/>
  <c r="J158" i="24"/>
  <c r="F158" i="24"/>
  <c r="P157" i="24"/>
  <c r="N157" i="24"/>
  <c r="O157" i="24" s="1"/>
  <c r="J157" i="24"/>
  <c r="K157" i="24" s="1"/>
  <c r="F157" i="24"/>
  <c r="G157" i="24" s="1"/>
  <c r="P156" i="24"/>
  <c r="N156" i="24"/>
  <c r="J156" i="24"/>
  <c r="F156" i="24"/>
  <c r="P155" i="24"/>
  <c r="N155" i="24"/>
  <c r="O155" i="24" s="1"/>
  <c r="J155" i="24"/>
  <c r="K155" i="24" s="1"/>
  <c r="F155" i="24"/>
  <c r="G155" i="24" s="1"/>
  <c r="P154" i="24"/>
  <c r="N154" i="24"/>
  <c r="O154" i="24" s="1"/>
  <c r="J154" i="24"/>
  <c r="K154" i="24" s="1"/>
  <c r="F154" i="24"/>
  <c r="G154" i="24" s="1"/>
  <c r="P153" i="24"/>
  <c r="N153" i="24"/>
  <c r="O153" i="24" s="1"/>
  <c r="J153" i="24"/>
  <c r="K153" i="24" s="1"/>
  <c r="F153" i="24"/>
  <c r="G153" i="24" s="1"/>
  <c r="P152" i="24"/>
  <c r="R152" i="24" s="1"/>
  <c r="N152" i="24"/>
  <c r="O152" i="24" s="1"/>
  <c r="J152" i="24"/>
  <c r="K152" i="24" s="1"/>
  <c r="F152" i="24"/>
  <c r="G152" i="24" s="1"/>
  <c r="P151" i="24"/>
  <c r="R151" i="24" s="1"/>
  <c r="N151" i="24"/>
  <c r="O151" i="24" s="1"/>
  <c r="J151" i="24"/>
  <c r="K151" i="24" s="1"/>
  <c r="F151" i="24"/>
  <c r="G151" i="24" s="1"/>
  <c r="P150" i="24"/>
  <c r="R150" i="24" s="1"/>
  <c r="N150" i="24"/>
  <c r="O150" i="24" s="1"/>
  <c r="J150" i="24"/>
  <c r="K150" i="24" s="1"/>
  <c r="F150" i="24"/>
  <c r="G150" i="24" s="1"/>
  <c r="L149" i="24"/>
  <c r="N149" i="24" s="1"/>
  <c r="O149" i="24" s="1"/>
  <c r="H149" i="24"/>
  <c r="D149" i="24"/>
  <c r="F149" i="24" s="1"/>
  <c r="G149" i="24" s="1"/>
  <c r="P148" i="24"/>
  <c r="N148" i="24"/>
  <c r="J148" i="24"/>
  <c r="F148" i="24"/>
  <c r="P147" i="24"/>
  <c r="R147" i="24" s="1"/>
  <c r="N147" i="24"/>
  <c r="O147" i="24" s="1"/>
  <c r="J147" i="24"/>
  <c r="K147" i="24" s="1"/>
  <c r="F147" i="24"/>
  <c r="G147" i="24" s="1"/>
  <c r="P146" i="24"/>
  <c r="R146" i="24" s="1"/>
  <c r="N146" i="24"/>
  <c r="O146" i="24" s="1"/>
  <c r="J146" i="24"/>
  <c r="K146" i="24" s="1"/>
  <c r="F146" i="24"/>
  <c r="G146" i="24" s="1"/>
  <c r="P145" i="24"/>
  <c r="R145" i="24" s="1"/>
  <c r="N145" i="24"/>
  <c r="O145" i="24" s="1"/>
  <c r="J145" i="24"/>
  <c r="K145" i="24" s="1"/>
  <c r="F145" i="24"/>
  <c r="G145" i="24" s="1"/>
  <c r="P144" i="24"/>
  <c r="N144" i="24"/>
  <c r="J144" i="24"/>
  <c r="F144" i="24"/>
  <c r="P143" i="24"/>
  <c r="R143" i="24" s="1"/>
  <c r="N143" i="24"/>
  <c r="O143" i="24" s="1"/>
  <c r="J143" i="24"/>
  <c r="K143" i="24" s="1"/>
  <c r="F143" i="24"/>
  <c r="G143" i="24" s="1"/>
  <c r="P142" i="24"/>
  <c r="N142" i="24"/>
  <c r="O142" i="24" s="1"/>
  <c r="J142" i="24"/>
  <c r="K142" i="24" s="1"/>
  <c r="F142" i="24"/>
  <c r="G142" i="24" s="1"/>
  <c r="P141" i="24"/>
  <c r="N141" i="24"/>
  <c r="O141" i="24" s="1"/>
  <c r="J141" i="24"/>
  <c r="K141" i="24" s="1"/>
  <c r="F141" i="24"/>
  <c r="G141" i="24" s="1"/>
  <c r="P140" i="24"/>
  <c r="R140" i="24" s="1"/>
  <c r="N140" i="24"/>
  <c r="O140" i="24" s="1"/>
  <c r="J140" i="24"/>
  <c r="K140" i="24" s="1"/>
  <c r="F140" i="24"/>
  <c r="G140" i="24" s="1"/>
  <c r="P139" i="24"/>
  <c r="R139" i="24" s="1"/>
  <c r="N139" i="24"/>
  <c r="O139" i="24" s="1"/>
  <c r="J139" i="24"/>
  <c r="K139" i="24" s="1"/>
  <c r="F139" i="24"/>
  <c r="G139" i="24" s="1"/>
  <c r="P138" i="24"/>
  <c r="N138" i="24"/>
  <c r="O138" i="24" s="1"/>
  <c r="J138" i="24"/>
  <c r="K138" i="24" s="1"/>
  <c r="F138" i="24"/>
  <c r="G138" i="24" s="1"/>
  <c r="L137" i="24"/>
  <c r="N137" i="24" s="1"/>
  <c r="O137" i="24" s="1"/>
  <c r="H137" i="24"/>
  <c r="P137" i="24" s="1"/>
  <c r="D137" i="24"/>
  <c r="F137" i="24" s="1"/>
  <c r="G137" i="24" s="1"/>
  <c r="P136" i="24"/>
  <c r="N136" i="24"/>
  <c r="O136" i="24" s="1"/>
  <c r="J136" i="24"/>
  <c r="K136" i="24" s="1"/>
  <c r="F136" i="24"/>
  <c r="G136" i="24" s="1"/>
  <c r="P135" i="24"/>
  <c r="N135" i="24"/>
  <c r="J135" i="24"/>
  <c r="F135" i="24"/>
  <c r="P134" i="24"/>
  <c r="N134" i="24"/>
  <c r="O134" i="24" s="1"/>
  <c r="J134" i="24"/>
  <c r="K134" i="24" s="1"/>
  <c r="F134" i="24"/>
  <c r="G134" i="24" s="1"/>
  <c r="P133" i="24"/>
  <c r="R133" i="24" s="1"/>
  <c r="N133" i="24"/>
  <c r="J133" i="24"/>
  <c r="F133" i="24"/>
  <c r="P132" i="24"/>
  <c r="N132" i="24"/>
  <c r="O132" i="24" s="1"/>
  <c r="J132" i="24"/>
  <c r="K132" i="24" s="1"/>
  <c r="F132" i="24"/>
  <c r="G132" i="24" s="1"/>
  <c r="P131" i="24"/>
  <c r="N131" i="24"/>
  <c r="O131" i="24" s="1"/>
  <c r="J131" i="24"/>
  <c r="K131" i="24" s="1"/>
  <c r="F131" i="24"/>
  <c r="G131" i="24" s="1"/>
  <c r="P130" i="24"/>
  <c r="N130" i="24"/>
  <c r="O130" i="24" s="1"/>
  <c r="J130" i="24"/>
  <c r="K130" i="24" s="1"/>
  <c r="F130" i="24"/>
  <c r="G130" i="24" s="1"/>
  <c r="P129" i="24"/>
  <c r="N129" i="24"/>
  <c r="O129" i="24" s="1"/>
  <c r="J129" i="24"/>
  <c r="K129" i="24" s="1"/>
  <c r="F129" i="24"/>
  <c r="G129" i="24" s="1"/>
  <c r="P128" i="24"/>
  <c r="N128" i="24"/>
  <c r="O128" i="24" s="1"/>
  <c r="J128" i="24"/>
  <c r="K128" i="24" s="1"/>
  <c r="F128" i="24"/>
  <c r="G128" i="24" s="1"/>
  <c r="P127" i="24"/>
  <c r="N127" i="24"/>
  <c r="O127" i="24" s="1"/>
  <c r="J127" i="24"/>
  <c r="K127" i="24" s="1"/>
  <c r="F127" i="24"/>
  <c r="G127" i="24" s="1"/>
  <c r="P126" i="24"/>
  <c r="N126" i="24"/>
  <c r="O126" i="24" s="1"/>
  <c r="J126" i="24"/>
  <c r="K126" i="24" s="1"/>
  <c r="F126" i="24"/>
  <c r="G126" i="24" s="1"/>
  <c r="P125" i="24"/>
  <c r="N125" i="24"/>
  <c r="O125" i="24" s="1"/>
  <c r="J125" i="24"/>
  <c r="K125" i="24" s="1"/>
  <c r="F125" i="24"/>
  <c r="G125" i="24" s="1"/>
  <c r="P124" i="24"/>
  <c r="R124" i="24" s="1"/>
  <c r="N124" i="24"/>
  <c r="O124" i="24" s="1"/>
  <c r="J124" i="24"/>
  <c r="K124" i="24" s="1"/>
  <c r="F124" i="24"/>
  <c r="G124" i="24" s="1"/>
  <c r="P123" i="24"/>
  <c r="N123" i="24"/>
  <c r="J123" i="24"/>
  <c r="F123" i="24"/>
  <c r="P122" i="24"/>
  <c r="N122" i="24"/>
  <c r="O122" i="24" s="1"/>
  <c r="J122" i="24"/>
  <c r="K122" i="24" s="1"/>
  <c r="F122" i="24"/>
  <c r="G122" i="24" s="1"/>
  <c r="P121" i="24"/>
  <c r="N121" i="24"/>
  <c r="O121" i="24" s="1"/>
  <c r="J121" i="24"/>
  <c r="K121" i="24" s="1"/>
  <c r="F121" i="24"/>
  <c r="G121" i="24" s="1"/>
  <c r="P120" i="24"/>
  <c r="N120" i="24"/>
  <c r="O120" i="24" s="1"/>
  <c r="J120" i="24"/>
  <c r="K120" i="24" s="1"/>
  <c r="F120" i="24"/>
  <c r="G120" i="24" s="1"/>
  <c r="P119" i="24"/>
  <c r="N119" i="24"/>
  <c r="O119" i="24" s="1"/>
  <c r="J119" i="24"/>
  <c r="K119" i="24" s="1"/>
  <c r="F119" i="24"/>
  <c r="G119" i="24" s="1"/>
  <c r="L118" i="24"/>
  <c r="N118" i="24" s="1"/>
  <c r="O118" i="24" s="1"/>
  <c r="H118" i="24"/>
  <c r="P118" i="24" s="1"/>
  <c r="D118" i="24"/>
  <c r="F118" i="24" s="1"/>
  <c r="G118" i="24" s="1"/>
  <c r="P117" i="24"/>
  <c r="N117" i="24"/>
  <c r="O117" i="24" s="1"/>
  <c r="J117" i="24"/>
  <c r="K117" i="24" s="1"/>
  <c r="F117" i="24"/>
  <c r="G117" i="24" s="1"/>
  <c r="P116" i="24"/>
  <c r="N116" i="24"/>
  <c r="O116" i="24" s="1"/>
  <c r="J116" i="24"/>
  <c r="K116" i="24" s="1"/>
  <c r="F116" i="24"/>
  <c r="G116" i="24" s="1"/>
  <c r="P115" i="24"/>
  <c r="N115" i="24"/>
  <c r="J115" i="24"/>
  <c r="F115" i="24"/>
  <c r="P114" i="24"/>
  <c r="N114" i="24"/>
  <c r="J114" i="24"/>
  <c r="F114" i="24"/>
  <c r="P113" i="24"/>
  <c r="N113" i="24"/>
  <c r="O113" i="24" s="1"/>
  <c r="J113" i="24"/>
  <c r="K113" i="24" s="1"/>
  <c r="F113" i="24"/>
  <c r="G113" i="24" s="1"/>
  <c r="P112" i="24"/>
  <c r="N112" i="24"/>
  <c r="O112" i="24" s="1"/>
  <c r="J112" i="24"/>
  <c r="K112" i="24" s="1"/>
  <c r="F112" i="24"/>
  <c r="G112" i="24" s="1"/>
  <c r="P111" i="24"/>
  <c r="N111" i="24"/>
  <c r="O111" i="24" s="1"/>
  <c r="J111" i="24"/>
  <c r="K111" i="24" s="1"/>
  <c r="F111" i="24"/>
  <c r="G111" i="24" s="1"/>
  <c r="P110" i="24"/>
  <c r="R110" i="24" s="1"/>
  <c r="N110" i="24"/>
  <c r="O110" i="24" s="1"/>
  <c r="J110" i="24"/>
  <c r="K110" i="24" s="1"/>
  <c r="F110" i="24"/>
  <c r="G110" i="24" s="1"/>
  <c r="P109" i="24"/>
  <c r="N109" i="24"/>
  <c r="O109" i="24" s="1"/>
  <c r="J109" i="24"/>
  <c r="K109" i="24" s="1"/>
  <c r="F109" i="24"/>
  <c r="G109" i="24" s="1"/>
  <c r="P108" i="24"/>
  <c r="N108" i="24"/>
  <c r="O108" i="24" s="1"/>
  <c r="J108" i="24"/>
  <c r="K108" i="24" s="1"/>
  <c r="F108" i="24"/>
  <c r="G108" i="24" s="1"/>
  <c r="P107" i="24"/>
  <c r="R107" i="24" s="1"/>
  <c r="N107" i="24"/>
  <c r="O107" i="24" s="1"/>
  <c r="J107" i="24"/>
  <c r="K107" i="24" s="1"/>
  <c r="F107" i="24"/>
  <c r="G107" i="24" s="1"/>
  <c r="P106" i="24"/>
  <c r="N106" i="24"/>
  <c r="O106" i="24" s="1"/>
  <c r="J106" i="24"/>
  <c r="K106" i="24" s="1"/>
  <c r="F106" i="24"/>
  <c r="G106" i="24" s="1"/>
  <c r="P105" i="24"/>
  <c r="N105" i="24"/>
  <c r="O105" i="24" s="1"/>
  <c r="J105" i="24"/>
  <c r="K105" i="24" s="1"/>
  <c r="F105" i="24"/>
  <c r="G105" i="24" s="1"/>
  <c r="P104" i="24"/>
  <c r="N104" i="24"/>
  <c r="O104" i="24" s="1"/>
  <c r="J104" i="24"/>
  <c r="K104" i="24" s="1"/>
  <c r="F104" i="24"/>
  <c r="G104" i="24" s="1"/>
  <c r="P103" i="24"/>
  <c r="R103" i="24" s="1"/>
  <c r="N103" i="24"/>
  <c r="J103" i="24"/>
  <c r="F103" i="24"/>
  <c r="P102" i="24"/>
  <c r="R102" i="24" s="1"/>
  <c r="N102" i="24"/>
  <c r="O102" i="24" s="1"/>
  <c r="J102" i="24"/>
  <c r="K102" i="24" s="1"/>
  <c r="F102" i="24"/>
  <c r="G102" i="24" s="1"/>
  <c r="P101" i="24"/>
  <c r="N101" i="24"/>
  <c r="O101" i="24" s="1"/>
  <c r="J101" i="24"/>
  <c r="K101" i="24" s="1"/>
  <c r="F101" i="24"/>
  <c r="G101" i="24" s="1"/>
  <c r="P100" i="24"/>
  <c r="R100" i="24" s="1"/>
  <c r="N100" i="24"/>
  <c r="O100" i="24" s="1"/>
  <c r="J100" i="24"/>
  <c r="K100" i="24" s="1"/>
  <c r="F100" i="24"/>
  <c r="G100" i="24" s="1"/>
  <c r="P99" i="24"/>
  <c r="N99" i="24"/>
  <c r="O99" i="24" s="1"/>
  <c r="J99" i="24"/>
  <c r="K99" i="24" s="1"/>
  <c r="F99" i="24"/>
  <c r="G99" i="24" s="1"/>
  <c r="P98" i="24"/>
  <c r="N98" i="24"/>
  <c r="O98" i="24" s="1"/>
  <c r="J98" i="24"/>
  <c r="K98" i="24" s="1"/>
  <c r="F98" i="24"/>
  <c r="G98" i="24" s="1"/>
  <c r="P97" i="24"/>
  <c r="R97" i="24" s="1"/>
  <c r="N97" i="24"/>
  <c r="J97" i="24"/>
  <c r="F97" i="24"/>
  <c r="P96" i="24"/>
  <c r="N96" i="24"/>
  <c r="O96" i="24" s="1"/>
  <c r="J96" i="24"/>
  <c r="K96" i="24" s="1"/>
  <c r="F96" i="24"/>
  <c r="G96" i="24" s="1"/>
  <c r="P95" i="24"/>
  <c r="N95" i="24"/>
  <c r="O95" i="24" s="1"/>
  <c r="J95" i="24"/>
  <c r="K95" i="24" s="1"/>
  <c r="F95" i="24"/>
  <c r="G95" i="24" s="1"/>
  <c r="P94" i="24"/>
  <c r="R94" i="24" s="1"/>
  <c r="N94" i="24"/>
  <c r="O94" i="24" s="1"/>
  <c r="J94" i="24"/>
  <c r="K94" i="24" s="1"/>
  <c r="F94" i="24"/>
  <c r="G94" i="24" s="1"/>
  <c r="P93" i="24"/>
  <c r="N93" i="24"/>
  <c r="O93" i="24" s="1"/>
  <c r="J93" i="24"/>
  <c r="K93" i="24" s="1"/>
  <c r="F93" i="24"/>
  <c r="G93" i="24" s="1"/>
  <c r="P92" i="24"/>
  <c r="R92" i="24" s="1"/>
  <c r="N92" i="24"/>
  <c r="O92" i="24" s="1"/>
  <c r="J92" i="24"/>
  <c r="K92" i="24" s="1"/>
  <c r="F92" i="24"/>
  <c r="G92" i="24" s="1"/>
  <c r="P91" i="24"/>
  <c r="R91" i="24" s="1"/>
  <c r="N91" i="24"/>
  <c r="O91" i="24" s="1"/>
  <c r="J91" i="24"/>
  <c r="K91" i="24" s="1"/>
  <c r="F91" i="24"/>
  <c r="G91" i="24" s="1"/>
  <c r="P90" i="24"/>
  <c r="N90" i="24"/>
  <c r="O90" i="24" s="1"/>
  <c r="J90" i="24"/>
  <c r="K90" i="24" s="1"/>
  <c r="F90" i="24"/>
  <c r="G90" i="24" s="1"/>
  <c r="P89" i="24"/>
  <c r="R89" i="24" s="1"/>
  <c r="N89" i="24"/>
  <c r="O89" i="24" s="1"/>
  <c r="J89" i="24"/>
  <c r="K89" i="24" s="1"/>
  <c r="F89" i="24"/>
  <c r="G89" i="24" s="1"/>
  <c r="P88" i="24"/>
  <c r="R88" i="24" s="1"/>
  <c r="N88" i="24"/>
  <c r="O88" i="24" s="1"/>
  <c r="J88" i="24"/>
  <c r="K88" i="24" s="1"/>
  <c r="F88" i="24"/>
  <c r="G88" i="24" s="1"/>
  <c r="P87" i="24"/>
  <c r="N87" i="24"/>
  <c r="O87" i="24" s="1"/>
  <c r="J87" i="24"/>
  <c r="K87" i="24" s="1"/>
  <c r="F87" i="24"/>
  <c r="G87" i="24" s="1"/>
  <c r="L86" i="24"/>
  <c r="N86" i="24" s="1"/>
  <c r="O86" i="24" s="1"/>
  <c r="H86" i="24"/>
  <c r="P86" i="24" s="1"/>
  <c r="D86" i="24"/>
  <c r="F86" i="24" s="1"/>
  <c r="G86" i="24" s="1"/>
  <c r="P85" i="24"/>
  <c r="R85" i="24" s="1"/>
  <c r="N85" i="24"/>
  <c r="O85" i="24" s="1"/>
  <c r="J85" i="24"/>
  <c r="K85" i="24" s="1"/>
  <c r="F85" i="24"/>
  <c r="G85" i="24" s="1"/>
  <c r="P84" i="24"/>
  <c r="N84" i="24"/>
  <c r="O84" i="24" s="1"/>
  <c r="J84" i="24"/>
  <c r="K84" i="24" s="1"/>
  <c r="F84" i="24"/>
  <c r="G84" i="24" s="1"/>
  <c r="P83" i="24"/>
  <c r="R83" i="24" s="1"/>
  <c r="N83" i="24"/>
  <c r="O83" i="24" s="1"/>
  <c r="J83" i="24"/>
  <c r="K83" i="24" s="1"/>
  <c r="F83" i="24"/>
  <c r="G83" i="24" s="1"/>
  <c r="P82" i="24"/>
  <c r="N82" i="24"/>
  <c r="O82" i="24" s="1"/>
  <c r="J82" i="24"/>
  <c r="K82" i="24" s="1"/>
  <c r="F82" i="24"/>
  <c r="G82" i="24" s="1"/>
  <c r="P81" i="24"/>
  <c r="N81" i="24"/>
  <c r="O81" i="24" s="1"/>
  <c r="J81" i="24"/>
  <c r="K81" i="24" s="1"/>
  <c r="F81" i="24"/>
  <c r="G81" i="24" s="1"/>
  <c r="P80" i="24"/>
  <c r="N80" i="24"/>
  <c r="O80" i="24" s="1"/>
  <c r="J80" i="24"/>
  <c r="K80" i="24" s="1"/>
  <c r="F80" i="24"/>
  <c r="G80" i="24" s="1"/>
  <c r="L79" i="24"/>
  <c r="N79" i="24" s="1"/>
  <c r="O79" i="24" s="1"/>
  <c r="H79" i="24"/>
  <c r="P79" i="24" s="1"/>
  <c r="D79" i="24"/>
  <c r="F79" i="24" s="1"/>
  <c r="G79" i="24" s="1"/>
  <c r="P78" i="24"/>
  <c r="N78" i="24"/>
  <c r="J78" i="24"/>
  <c r="F78" i="24"/>
  <c r="P77" i="24"/>
  <c r="N77" i="24"/>
  <c r="O77" i="24" s="1"/>
  <c r="J77" i="24"/>
  <c r="K77" i="24" s="1"/>
  <c r="F77" i="24"/>
  <c r="G77" i="24" s="1"/>
  <c r="P76" i="24"/>
  <c r="R76" i="24" s="1"/>
  <c r="N76" i="24"/>
  <c r="O76" i="24" s="1"/>
  <c r="J76" i="24"/>
  <c r="K76" i="24" s="1"/>
  <c r="F76" i="24"/>
  <c r="G76" i="24" s="1"/>
  <c r="P75" i="24"/>
  <c r="N75" i="24"/>
  <c r="O75" i="24" s="1"/>
  <c r="J75" i="24"/>
  <c r="K75" i="24" s="1"/>
  <c r="F75" i="24"/>
  <c r="G75" i="24" s="1"/>
  <c r="P74" i="24"/>
  <c r="R74" i="24" s="1"/>
  <c r="N74" i="24"/>
  <c r="O74" i="24" s="1"/>
  <c r="J74" i="24"/>
  <c r="K74" i="24" s="1"/>
  <c r="F74" i="24"/>
  <c r="G74" i="24" s="1"/>
  <c r="L73" i="24"/>
  <c r="N73" i="24" s="1"/>
  <c r="O73" i="24" s="1"/>
  <c r="H73" i="24"/>
  <c r="P73" i="24" s="1"/>
  <c r="D73" i="24"/>
  <c r="F73" i="24" s="1"/>
  <c r="G73" i="24" s="1"/>
  <c r="P72" i="24"/>
  <c r="N72" i="24"/>
  <c r="O72" i="24" s="1"/>
  <c r="J72" i="24"/>
  <c r="K72" i="24" s="1"/>
  <c r="F72" i="24"/>
  <c r="G72" i="24" s="1"/>
  <c r="P71" i="24"/>
  <c r="N71" i="24"/>
  <c r="O71" i="24" s="1"/>
  <c r="J71" i="24"/>
  <c r="K71" i="24" s="1"/>
  <c r="F71" i="24"/>
  <c r="G71" i="24" s="1"/>
  <c r="P70" i="24"/>
  <c r="N70" i="24"/>
  <c r="J70" i="24"/>
  <c r="F70" i="24"/>
  <c r="P69" i="24"/>
  <c r="R69" i="24" s="1"/>
  <c r="N69" i="24"/>
  <c r="O69" i="24" s="1"/>
  <c r="J69" i="24"/>
  <c r="K69" i="24" s="1"/>
  <c r="F69" i="24"/>
  <c r="G69" i="24" s="1"/>
  <c r="P68" i="24"/>
  <c r="N68" i="24"/>
  <c r="O68" i="24" s="1"/>
  <c r="J68" i="24"/>
  <c r="K68" i="24" s="1"/>
  <c r="F68" i="24"/>
  <c r="G68" i="24" s="1"/>
  <c r="L67" i="24"/>
  <c r="N67" i="24" s="1"/>
  <c r="O67" i="24" s="1"/>
  <c r="H67" i="24"/>
  <c r="J67" i="24" s="1"/>
  <c r="K67" i="24" s="1"/>
  <c r="D67" i="24"/>
  <c r="F67" i="24" s="1"/>
  <c r="G67" i="24" s="1"/>
  <c r="P66" i="24"/>
  <c r="N66" i="24"/>
  <c r="J66" i="24"/>
  <c r="F66" i="24"/>
  <c r="P65" i="24"/>
  <c r="N65" i="24"/>
  <c r="J65" i="24"/>
  <c r="F65" i="24"/>
  <c r="P64" i="24"/>
  <c r="N64" i="24"/>
  <c r="O64" i="24" s="1"/>
  <c r="J64" i="24"/>
  <c r="K64" i="24" s="1"/>
  <c r="F64" i="24"/>
  <c r="G64" i="24" s="1"/>
  <c r="P63" i="24"/>
  <c r="N63" i="24"/>
  <c r="O63" i="24" s="1"/>
  <c r="J63" i="24"/>
  <c r="K63" i="24" s="1"/>
  <c r="F63" i="24"/>
  <c r="G63" i="24" s="1"/>
  <c r="P62" i="24"/>
  <c r="N62" i="24"/>
  <c r="O62" i="24" s="1"/>
  <c r="J62" i="24"/>
  <c r="K62" i="24" s="1"/>
  <c r="F62" i="24"/>
  <c r="G62" i="24" s="1"/>
  <c r="P61" i="24"/>
  <c r="N61" i="24"/>
  <c r="O61" i="24" s="1"/>
  <c r="J61" i="24"/>
  <c r="K61" i="24" s="1"/>
  <c r="F61" i="24"/>
  <c r="G61" i="24" s="1"/>
  <c r="P60" i="24"/>
  <c r="R60" i="24" s="1"/>
  <c r="N60" i="24"/>
  <c r="O60" i="24" s="1"/>
  <c r="J60" i="24"/>
  <c r="K60" i="24" s="1"/>
  <c r="F60" i="24"/>
  <c r="G60" i="24" s="1"/>
  <c r="P59" i="24"/>
  <c r="N59" i="24"/>
  <c r="O59" i="24" s="1"/>
  <c r="J59" i="24"/>
  <c r="K59" i="24" s="1"/>
  <c r="F59" i="24"/>
  <c r="G59" i="24" s="1"/>
  <c r="P58" i="24"/>
  <c r="N58" i="24"/>
  <c r="O58" i="24" s="1"/>
  <c r="J58" i="24"/>
  <c r="K58" i="24" s="1"/>
  <c r="F58" i="24"/>
  <c r="G58" i="24" s="1"/>
  <c r="P57" i="24"/>
  <c r="N57" i="24"/>
  <c r="O57" i="24" s="1"/>
  <c r="J57" i="24"/>
  <c r="K57" i="24" s="1"/>
  <c r="F57" i="24"/>
  <c r="G57" i="24" s="1"/>
  <c r="L56" i="24"/>
  <c r="H56" i="24"/>
  <c r="P56" i="24" s="1"/>
  <c r="R56" i="24" s="1"/>
  <c r="D56" i="24"/>
  <c r="F56" i="24" s="1"/>
  <c r="G56" i="24" s="1"/>
  <c r="P55" i="24"/>
  <c r="N55" i="24"/>
  <c r="O55" i="24" s="1"/>
  <c r="J55" i="24"/>
  <c r="K55" i="24" s="1"/>
  <c r="F55" i="24"/>
  <c r="G55" i="24" s="1"/>
  <c r="P54" i="24"/>
  <c r="N54" i="24"/>
  <c r="O54" i="24" s="1"/>
  <c r="J54" i="24"/>
  <c r="K54" i="24" s="1"/>
  <c r="F54" i="24"/>
  <c r="G54" i="24" s="1"/>
  <c r="P53" i="24"/>
  <c r="N53" i="24"/>
  <c r="O53" i="24" s="1"/>
  <c r="J53" i="24"/>
  <c r="K53" i="24" s="1"/>
  <c r="F53" i="24"/>
  <c r="G53" i="24" s="1"/>
  <c r="P52" i="24"/>
  <c r="N52" i="24"/>
  <c r="O52" i="24" s="1"/>
  <c r="J52" i="24"/>
  <c r="K52" i="24" s="1"/>
  <c r="F52" i="24"/>
  <c r="G52" i="24" s="1"/>
  <c r="P51" i="24"/>
  <c r="N51" i="24"/>
  <c r="J51" i="24"/>
  <c r="F51" i="24"/>
  <c r="P50" i="24"/>
  <c r="N50" i="24"/>
  <c r="O50" i="24" s="1"/>
  <c r="J50" i="24"/>
  <c r="K50" i="24" s="1"/>
  <c r="F50" i="24"/>
  <c r="G50" i="24" s="1"/>
  <c r="P49" i="24"/>
  <c r="N49" i="24"/>
  <c r="O49" i="24" s="1"/>
  <c r="J49" i="24"/>
  <c r="K49" i="24" s="1"/>
  <c r="F49" i="24"/>
  <c r="G49" i="24" s="1"/>
  <c r="P48" i="24"/>
  <c r="N48" i="24"/>
  <c r="O48" i="24" s="1"/>
  <c r="J48" i="24"/>
  <c r="K48" i="24" s="1"/>
  <c r="F48" i="24"/>
  <c r="G48" i="24" s="1"/>
  <c r="L47" i="24"/>
  <c r="N47" i="24" s="1"/>
  <c r="O47" i="24" s="1"/>
  <c r="H47" i="24"/>
  <c r="P47" i="24" s="1"/>
  <c r="D47" i="24"/>
  <c r="F47" i="24" s="1"/>
  <c r="G47" i="24" s="1"/>
  <c r="P46" i="24"/>
  <c r="N46" i="24"/>
  <c r="O46" i="24" s="1"/>
  <c r="J46" i="24"/>
  <c r="K46" i="24" s="1"/>
  <c r="F46" i="24"/>
  <c r="G46" i="24" s="1"/>
  <c r="P45" i="24"/>
  <c r="N45" i="24"/>
  <c r="O45" i="24" s="1"/>
  <c r="J45" i="24"/>
  <c r="K45" i="24" s="1"/>
  <c r="F45" i="24"/>
  <c r="G45" i="24" s="1"/>
  <c r="P44" i="24"/>
  <c r="N44" i="24"/>
  <c r="J44" i="24"/>
  <c r="F44" i="24"/>
  <c r="P43" i="24"/>
  <c r="N43" i="24"/>
  <c r="O43" i="24" s="1"/>
  <c r="J43" i="24"/>
  <c r="K43" i="24" s="1"/>
  <c r="F43" i="24"/>
  <c r="G43" i="24" s="1"/>
  <c r="P42" i="24"/>
  <c r="N42" i="24"/>
  <c r="O42" i="24" s="1"/>
  <c r="J42" i="24"/>
  <c r="K42" i="24" s="1"/>
  <c r="F42" i="24"/>
  <c r="G42" i="24" s="1"/>
  <c r="P41" i="24"/>
  <c r="N41" i="24"/>
  <c r="O41" i="24" s="1"/>
  <c r="J41" i="24"/>
  <c r="K41" i="24" s="1"/>
  <c r="F41" i="24"/>
  <c r="G41" i="24" s="1"/>
  <c r="P40" i="24"/>
  <c r="N40" i="24"/>
  <c r="O40" i="24" s="1"/>
  <c r="J40" i="24"/>
  <c r="K40" i="24" s="1"/>
  <c r="F40" i="24"/>
  <c r="G40" i="24" s="1"/>
  <c r="P39" i="24"/>
  <c r="N39" i="24"/>
  <c r="O39" i="24" s="1"/>
  <c r="J39" i="24"/>
  <c r="K39" i="24" s="1"/>
  <c r="F39" i="24"/>
  <c r="G39" i="24" s="1"/>
  <c r="P38" i="24"/>
  <c r="N38" i="24"/>
  <c r="O38" i="24" s="1"/>
  <c r="J38" i="24"/>
  <c r="K38" i="24" s="1"/>
  <c r="F38" i="24"/>
  <c r="G38" i="24" s="1"/>
  <c r="P37" i="24"/>
  <c r="N37" i="24"/>
  <c r="O37" i="24" s="1"/>
  <c r="J37" i="24"/>
  <c r="K37" i="24" s="1"/>
  <c r="F37" i="24"/>
  <c r="G37" i="24" s="1"/>
  <c r="P36" i="24"/>
  <c r="R36" i="24" s="1"/>
  <c r="N36" i="24"/>
  <c r="O36" i="24" s="1"/>
  <c r="J36" i="24"/>
  <c r="K36" i="24" s="1"/>
  <c r="F36" i="24"/>
  <c r="G36" i="24" s="1"/>
  <c r="P35" i="24"/>
  <c r="R35" i="24" s="1"/>
  <c r="N35" i="24"/>
  <c r="O35" i="24" s="1"/>
  <c r="J35" i="24"/>
  <c r="K35" i="24" s="1"/>
  <c r="F35" i="24"/>
  <c r="G35" i="24" s="1"/>
  <c r="P34" i="24"/>
  <c r="N34" i="24"/>
  <c r="J34" i="24"/>
  <c r="F34" i="24"/>
  <c r="P33" i="24"/>
  <c r="N33" i="24"/>
  <c r="J33" i="24"/>
  <c r="F33" i="24"/>
  <c r="P32" i="24"/>
  <c r="N32" i="24"/>
  <c r="J32" i="24"/>
  <c r="F32" i="24"/>
  <c r="P31" i="24"/>
  <c r="R31" i="24" s="1"/>
  <c r="N31" i="24"/>
  <c r="O31" i="24" s="1"/>
  <c r="J31" i="24"/>
  <c r="K31" i="24" s="1"/>
  <c r="F31" i="24"/>
  <c r="G31" i="24" s="1"/>
  <c r="L30" i="24"/>
  <c r="N30" i="24" s="1"/>
  <c r="O30" i="24" s="1"/>
  <c r="H30" i="24"/>
  <c r="P30" i="24" s="1"/>
  <c r="D30" i="24"/>
  <c r="F30" i="24" s="1"/>
  <c r="G30" i="24" s="1"/>
  <c r="P29" i="24"/>
  <c r="N29" i="24"/>
  <c r="O29" i="24" s="1"/>
  <c r="J29" i="24"/>
  <c r="K29" i="24" s="1"/>
  <c r="F29" i="24"/>
  <c r="G29" i="24" s="1"/>
  <c r="P28" i="24"/>
  <c r="N28" i="24"/>
  <c r="O28" i="24" s="1"/>
  <c r="J28" i="24"/>
  <c r="K28" i="24" s="1"/>
  <c r="F28" i="24"/>
  <c r="G28" i="24" s="1"/>
  <c r="P27" i="24"/>
  <c r="N27" i="24"/>
  <c r="O27" i="24" s="1"/>
  <c r="J27" i="24"/>
  <c r="K27" i="24" s="1"/>
  <c r="F27" i="24"/>
  <c r="G27" i="24" s="1"/>
  <c r="P26" i="24"/>
  <c r="N26" i="24"/>
  <c r="O26" i="24" s="1"/>
  <c r="J26" i="24"/>
  <c r="K26" i="24" s="1"/>
  <c r="F26" i="24"/>
  <c r="G26" i="24" s="1"/>
  <c r="P25" i="24"/>
  <c r="R25" i="24" s="1"/>
  <c r="N25" i="24"/>
  <c r="O25" i="24" s="1"/>
  <c r="J25" i="24"/>
  <c r="K25" i="24" s="1"/>
  <c r="F25" i="24"/>
  <c r="G25" i="24" s="1"/>
  <c r="P24" i="24"/>
  <c r="R24" i="24" s="1"/>
  <c r="N24" i="24"/>
  <c r="O24" i="24" s="1"/>
  <c r="J24" i="24"/>
  <c r="K24" i="24" s="1"/>
  <c r="F24" i="24"/>
  <c r="G24" i="24" s="1"/>
  <c r="P23" i="24"/>
  <c r="N23" i="24"/>
  <c r="O23" i="24" s="1"/>
  <c r="J23" i="24"/>
  <c r="K23" i="24" s="1"/>
  <c r="F23" i="24"/>
  <c r="G23" i="24" s="1"/>
  <c r="P22" i="24"/>
  <c r="N22" i="24"/>
  <c r="O22" i="24" s="1"/>
  <c r="J22" i="24"/>
  <c r="K22" i="24" s="1"/>
  <c r="F22" i="24"/>
  <c r="G22" i="24" s="1"/>
  <c r="P21" i="24"/>
  <c r="N21" i="24"/>
  <c r="O21" i="24" s="1"/>
  <c r="J21" i="24"/>
  <c r="K21" i="24" s="1"/>
  <c r="F21" i="24"/>
  <c r="G21" i="24" s="1"/>
  <c r="P20" i="24"/>
  <c r="R20" i="24" s="1"/>
  <c r="N20" i="24"/>
  <c r="O20" i="24" s="1"/>
  <c r="J20" i="24"/>
  <c r="K20" i="24" s="1"/>
  <c r="F20" i="24"/>
  <c r="G20" i="24" s="1"/>
  <c r="P19" i="24"/>
  <c r="N19" i="24"/>
  <c r="O19" i="24" s="1"/>
  <c r="J19" i="24"/>
  <c r="K19" i="24" s="1"/>
  <c r="F19" i="24"/>
  <c r="G19" i="24" s="1"/>
  <c r="P18" i="24"/>
  <c r="N18" i="24"/>
  <c r="O18" i="24" s="1"/>
  <c r="J18" i="24"/>
  <c r="K18" i="24" s="1"/>
  <c r="F18" i="24"/>
  <c r="G18" i="24" s="1"/>
  <c r="P17" i="24"/>
  <c r="N17" i="24"/>
  <c r="O17" i="24" s="1"/>
  <c r="J17" i="24"/>
  <c r="K17" i="24" s="1"/>
  <c r="F17" i="24"/>
  <c r="G17" i="24" s="1"/>
  <c r="P16" i="24"/>
  <c r="R16" i="24" s="1"/>
  <c r="N16" i="24"/>
  <c r="O16" i="24" s="1"/>
  <c r="J16" i="24"/>
  <c r="K16" i="24" s="1"/>
  <c r="F16" i="24"/>
  <c r="G16" i="24" s="1"/>
  <c r="P15" i="24"/>
  <c r="R15" i="24" s="1"/>
  <c r="N15" i="24"/>
  <c r="O15" i="24" s="1"/>
  <c r="J15" i="24"/>
  <c r="K15" i="24" s="1"/>
  <c r="F15" i="24"/>
  <c r="G15" i="24" s="1"/>
  <c r="P14" i="24"/>
  <c r="N14" i="24"/>
  <c r="O14" i="24" s="1"/>
  <c r="J14" i="24"/>
  <c r="K14" i="24" s="1"/>
  <c r="F14" i="24"/>
  <c r="G14" i="24" s="1"/>
  <c r="P13" i="24"/>
  <c r="N13" i="24"/>
  <c r="O13" i="24" s="1"/>
  <c r="J13" i="24"/>
  <c r="K13" i="24" s="1"/>
  <c r="F13" i="24"/>
  <c r="G13" i="24" s="1"/>
  <c r="P12" i="24"/>
  <c r="R12" i="24" s="1"/>
  <c r="N12" i="24"/>
  <c r="O12" i="24" s="1"/>
  <c r="J12" i="24"/>
  <c r="K12" i="24" s="1"/>
  <c r="F12" i="24"/>
  <c r="G12" i="24" s="1"/>
  <c r="P11" i="24"/>
  <c r="N11" i="24"/>
  <c r="O11" i="24" s="1"/>
  <c r="J11" i="24"/>
  <c r="K11" i="24" s="1"/>
  <c r="F11" i="24"/>
  <c r="G11" i="24" s="1"/>
  <c r="P10" i="24"/>
  <c r="N10" i="24"/>
  <c r="O10" i="24" s="1"/>
  <c r="J10" i="24"/>
  <c r="K10" i="24" s="1"/>
  <c r="F10" i="24"/>
  <c r="G10" i="24" s="1"/>
  <c r="P9" i="24"/>
  <c r="N9" i="24"/>
  <c r="O9" i="24" s="1"/>
  <c r="J9" i="24"/>
  <c r="K9" i="24" s="1"/>
  <c r="F9" i="24"/>
  <c r="G9" i="24" s="1"/>
  <c r="P8" i="24"/>
  <c r="N8" i="24"/>
  <c r="O8" i="24" s="1"/>
  <c r="J8" i="24"/>
  <c r="K8" i="24" s="1"/>
  <c r="F8" i="24"/>
  <c r="G8" i="24" s="1"/>
  <c r="P7" i="24"/>
  <c r="N7" i="24"/>
  <c r="O7" i="24" s="1"/>
  <c r="J7" i="24"/>
  <c r="K7" i="24" s="1"/>
  <c r="F7" i="24"/>
  <c r="G7" i="24" s="1"/>
  <c r="P6" i="24"/>
  <c r="N6" i="24"/>
  <c r="O6" i="24" s="1"/>
  <c r="J6" i="24"/>
  <c r="K6" i="24" s="1"/>
  <c r="F6" i="24"/>
  <c r="G6" i="24" s="1"/>
  <c r="P5" i="24"/>
  <c r="N5" i="24"/>
  <c r="O5" i="24" s="1"/>
  <c r="J5" i="24"/>
  <c r="K5" i="24" s="1"/>
  <c r="F5" i="24"/>
  <c r="G5" i="24" s="1"/>
  <c r="L4" i="24"/>
  <c r="N4" i="24" s="1"/>
  <c r="O4" i="24" s="1"/>
  <c r="H4" i="24"/>
  <c r="P4" i="24" s="1"/>
  <c r="D4" i="24"/>
  <c r="Q9" i="23"/>
  <c r="P9" i="23"/>
  <c r="O9" i="23"/>
  <c r="M9" i="23"/>
  <c r="K9" i="23"/>
  <c r="H9" i="23"/>
  <c r="E9" i="23"/>
  <c r="B9" i="23"/>
  <c r="N8" i="23"/>
  <c r="L8" i="23"/>
  <c r="J8" i="23"/>
  <c r="I8" i="23"/>
  <c r="G8" i="23"/>
  <c r="F8" i="23"/>
  <c r="D8" i="23"/>
  <c r="C8" i="23"/>
  <c r="N7" i="23"/>
  <c r="L7" i="23"/>
  <c r="J7" i="23"/>
  <c r="I7" i="23"/>
  <c r="G7" i="23"/>
  <c r="F7" i="23"/>
  <c r="D7" i="23"/>
  <c r="C7" i="23"/>
  <c r="N6" i="23"/>
  <c r="L6" i="23"/>
  <c r="J6" i="23"/>
  <c r="I6" i="23"/>
  <c r="G6" i="23"/>
  <c r="F6" i="23"/>
  <c r="D6" i="23"/>
  <c r="C6" i="23"/>
  <c r="N5" i="23"/>
  <c r="L5" i="23"/>
  <c r="J5" i="23"/>
  <c r="G5" i="23"/>
  <c r="F5" i="23"/>
  <c r="D5" i="23"/>
  <c r="C5" i="23"/>
  <c r="K20" i="22"/>
  <c r="K21" i="22" s="1"/>
  <c r="J20" i="22"/>
  <c r="G20" i="22"/>
  <c r="G21" i="22" s="1"/>
  <c r="F20" i="22"/>
  <c r="C20" i="22"/>
  <c r="C21" i="22" s="1"/>
  <c r="M19" i="22"/>
  <c r="L19" i="22"/>
  <c r="I19" i="22"/>
  <c r="H19" i="22"/>
  <c r="E19" i="22"/>
  <c r="D19" i="22"/>
  <c r="M18" i="22"/>
  <c r="L18" i="22"/>
  <c r="I18" i="22"/>
  <c r="H18" i="22"/>
  <c r="E18" i="22"/>
  <c r="D18" i="22"/>
  <c r="M17" i="22"/>
  <c r="L17" i="22"/>
  <c r="I17" i="22"/>
  <c r="H17" i="22"/>
  <c r="E17" i="22"/>
  <c r="D17" i="22"/>
  <c r="M16" i="22"/>
  <c r="L16" i="22"/>
  <c r="I16" i="22"/>
  <c r="H16" i="22"/>
  <c r="E16" i="22"/>
  <c r="D16" i="22"/>
  <c r="M15" i="22"/>
  <c r="L15" i="22"/>
  <c r="I15" i="22"/>
  <c r="H15" i="22"/>
  <c r="E15" i="22"/>
  <c r="D15" i="22"/>
  <c r="M14" i="22"/>
  <c r="L14" i="22"/>
  <c r="I14" i="22"/>
  <c r="H14" i="22"/>
  <c r="E14" i="22"/>
  <c r="D14" i="22"/>
  <c r="M13" i="22"/>
  <c r="L13" i="22"/>
  <c r="I13" i="22"/>
  <c r="H13" i="22"/>
  <c r="E13" i="22"/>
  <c r="D13" i="22"/>
  <c r="M12" i="22"/>
  <c r="L12" i="22"/>
  <c r="I12" i="22"/>
  <c r="H12" i="22"/>
  <c r="E12" i="22"/>
  <c r="D12" i="22"/>
  <c r="M11" i="22"/>
  <c r="L11" i="22"/>
  <c r="I11" i="22"/>
  <c r="H11" i="22"/>
  <c r="E11" i="22"/>
  <c r="D11" i="22"/>
  <c r="M10" i="22"/>
  <c r="L10" i="22"/>
  <c r="I10" i="22"/>
  <c r="H10" i="22"/>
  <c r="E10" i="22"/>
  <c r="D10" i="22"/>
  <c r="M9" i="22"/>
  <c r="L9" i="22"/>
  <c r="I9" i="22"/>
  <c r="H9" i="22"/>
  <c r="E9" i="22"/>
  <c r="D9" i="22"/>
  <c r="M8" i="22"/>
  <c r="L8" i="22"/>
  <c r="I8" i="22"/>
  <c r="H8" i="22"/>
  <c r="E8" i="22"/>
  <c r="D8" i="22"/>
  <c r="M7" i="22"/>
  <c r="L7" i="22"/>
  <c r="I7" i="22"/>
  <c r="H7" i="22"/>
  <c r="E7" i="22"/>
  <c r="D7" i="22"/>
  <c r="M6" i="22"/>
  <c r="L6" i="22"/>
  <c r="I6" i="22"/>
  <c r="H6" i="22"/>
  <c r="E6" i="22"/>
  <c r="D6" i="22"/>
  <c r="M5" i="22"/>
  <c r="L5" i="22"/>
  <c r="I5" i="22"/>
  <c r="H5" i="22"/>
  <c r="E5" i="22"/>
  <c r="D5" i="22"/>
  <c r="M4" i="22"/>
  <c r="L4" i="22"/>
  <c r="I4" i="22"/>
  <c r="H4" i="22"/>
  <c r="E4" i="22"/>
  <c r="D4" i="22"/>
  <c r="M3" i="22"/>
  <c r="L3" i="22"/>
  <c r="I3" i="22"/>
  <c r="H3" i="22"/>
  <c r="E3" i="22"/>
  <c r="D3" i="22"/>
  <c r="G21" i="21"/>
  <c r="C21" i="21"/>
  <c r="V20" i="21"/>
  <c r="V21" i="21" s="1"/>
  <c r="U20" i="21"/>
  <c r="U21" i="21" s="1"/>
  <c r="T20" i="21"/>
  <c r="T21" i="21" s="1"/>
  <c r="S20" i="21"/>
  <c r="S21" i="21" s="1"/>
  <c r="R20" i="21"/>
  <c r="R21" i="21" s="1"/>
  <c r="Q20" i="21"/>
  <c r="Q21" i="21" s="1"/>
  <c r="P20" i="21"/>
  <c r="P21" i="21" s="1"/>
  <c r="O20" i="21"/>
  <c r="O21" i="21" s="1"/>
  <c r="N20" i="21"/>
  <c r="N21" i="21" s="1"/>
  <c r="K20" i="21"/>
  <c r="J21" i="21"/>
  <c r="F21" i="21"/>
  <c r="B21" i="21"/>
  <c r="M19" i="21"/>
  <c r="L19" i="21"/>
  <c r="I19" i="21"/>
  <c r="H19" i="21"/>
  <c r="E19" i="21"/>
  <c r="D19" i="21"/>
  <c r="M18" i="21"/>
  <c r="L18" i="21"/>
  <c r="I18" i="21"/>
  <c r="H18" i="21"/>
  <c r="E18" i="21"/>
  <c r="D18" i="21"/>
  <c r="M17" i="21"/>
  <c r="L17" i="21"/>
  <c r="I17" i="21"/>
  <c r="H17" i="21"/>
  <c r="E17" i="21"/>
  <c r="D17" i="21"/>
  <c r="M16" i="21"/>
  <c r="L16" i="21"/>
  <c r="I16" i="21"/>
  <c r="H16" i="21"/>
  <c r="E16" i="21"/>
  <c r="D16" i="21"/>
  <c r="M15" i="21"/>
  <c r="L15" i="21"/>
  <c r="I15" i="21"/>
  <c r="H15" i="21"/>
  <c r="E15" i="21"/>
  <c r="D15" i="21"/>
  <c r="M14" i="21"/>
  <c r="L14" i="21"/>
  <c r="I14" i="21"/>
  <c r="H14" i="21"/>
  <c r="E14" i="21"/>
  <c r="D14" i="21"/>
  <c r="M13" i="21"/>
  <c r="L13" i="21"/>
  <c r="I13" i="21"/>
  <c r="H13" i="21"/>
  <c r="E13" i="21"/>
  <c r="D13" i="21"/>
  <c r="M12" i="21"/>
  <c r="L12" i="21"/>
  <c r="I12" i="21"/>
  <c r="H12" i="21"/>
  <c r="E12" i="21"/>
  <c r="D12" i="21"/>
  <c r="M11" i="21"/>
  <c r="L11" i="21"/>
  <c r="I11" i="21"/>
  <c r="H11" i="21"/>
  <c r="E11" i="21"/>
  <c r="D11" i="21"/>
  <c r="M10" i="21"/>
  <c r="L10" i="21"/>
  <c r="I10" i="21"/>
  <c r="H10" i="21"/>
  <c r="E10" i="21"/>
  <c r="D10" i="21"/>
  <c r="M9" i="21"/>
  <c r="L9" i="21"/>
  <c r="I9" i="21"/>
  <c r="H9" i="21"/>
  <c r="E9" i="21"/>
  <c r="D9" i="21"/>
  <c r="M8" i="21"/>
  <c r="L8" i="21"/>
  <c r="I8" i="21"/>
  <c r="H8" i="21"/>
  <c r="E8" i="21"/>
  <c r="D8" i="21"/>
  <c r="M7" i="21"/>
  <c r="L7" i="21"/>
  <c r="I7" i="21"/>
  <c r="H7" i="21"/>
  <c r="E7" i="21"/>
  <c r="D7" i="21"/>
  <c r="M6" i="21"/>
  <c r="L6" i="21"/>
  <c r="I6" i="21"/>
  <c r="H6" i="21"/>
  <c r="E6" i="21"/>
  <c r="D6" i="21"/>
  <c r="M5" i="21"/>
  <c r="L5" i="21"/>
  <c r="I5" i="21"/>
  <c r="H5" i="21"/>
  <c r="E5" i="21"/>
  <c r="D5" i="21"/>
  <c r="M4" i="21"/>
  <c r="L4" i="21"/>
  <c r="I4" i="21"/>
  <c r="H4" i="21"/>
  <c r="E4" i="21"/>
  <c r="D4" i="21"/>
  <c r="E3" i="21"/>
  <c r="D3" i="21"/>
  <c r="I9" i="23" l="1"/>
  <c r="J246" i="24"/>
  <c r="K246" i="24" s="1"/>
  <c r="J137" i="24"/>
  <c r="K137" i="24" s="1"/>
  <c r="J118" i="24"/>
  <c r="K118" i="24" s="1"/>
  <c r="J79" i="24"/>
  <c r="K79" i="24" s="1"/>
  <c r="J73" i="24"/>
  <c r="K73" i="24" s="1"/>
  <c r="J4" i="24"/>
  <c r="K4" i="24" s="1"/>
  <c r="R8" i="24"/>
  <c r="R23" i="24"/>
  <c r="R34" i="24"/>
  <c r="R39" i="24"/>
  <c r="R45" i="24"/>
  <c r="R53" i="24"/>
  <c r="R79" i="24"/>
  <c r="R80" i="24"/>
  <c r="R6" i="24"/>
  <c r="R11" i="24"/>
  <c r="R26" i="24"/>
  <c r="R65" i="24"/>
  <c r="R73" i="24"/>
  <c r="R82" i="24"/>
  <c r="R111" i="24"/>
  <c r="R138" i="24"/>
  <c r="R148" i="24"/>
  <c r="R154" i="24"/>
  <c r="R172" i="24"/>
  <c r="R175" i="24"/>
  <c r="R179" i="24"/>
  <c r="R205" i="24"/>
  <c r="R218" i="24"/>
  <c r="R224" i="24"/>
  <c r="R229" i="24"/>
  <c r="R236" i="24"/>
  <c r="R247" i="24"/>
  <c r="R234" i="24"/>
  <c r="R243" i="24"/>
  <c r="R207" i="24"/>
  <c r="R209" i="24"/>
  <c r="R213" i="24"/>
  <c r="R223" i="24"/>
  <c r="R225" i="24"/>
  <c r="R217" i="24"/>
  <c r="R185" i="24"/>
  <c r="R190" i="24"/>
  <c r="R183" i="24"/>
  <c r="R191" i="24"/>
  <c r="R199" i="24"/>
  <c r="R184" i="24"/>
  <c r="R192" i="24"/>
  <c r="R200" i="24"/>
  <c r="R173" i="24"/>
  <c r="R176" i="24"/>
  <c r="R174" i="24"/>
  <c r="R177" i="24"/>
  <c r="R178" i="24"/>
  <c r="R167" i="24"/>
  <c r="R160" i="24"/>
  <c r="R157" i="24"/>
  <c r="R156" i="24"/>
  <c r="R153" i="24"/>
  <c r="R144" i="24"/>
  <c r="R121" i="24"/>
  <c r="R125" i="24"/>
  <c r="R126" i="24"/>
  <c r="R135" i="24"/>
  <c r="R119" i="24"/>
  <c r="R127" i="24"/>
  <c r="R132" i="24"/>
  <c r="R120" i="24"/>
  <c r="R128" i="24"/>
  <c r="R134" i="24"/>
  <c r="R109" i="24"/>
  <c r="R108" i="24"/>
  <c r="R104" i="24"/>
  <c r="R72" i="24"/>
  <c r="R70" i="24"/>
  <c r="R71" i="24"/>
  <c r="R59" i="24"/>
  <c r="R57" i="24"/>
  <c r="R61" i="24"/>
  <c r="R66" i="24"/>
  <c r="R48" i="24"/>
  <c r="R49" i="24"/>
  <c r="R33" i="24"/>
  <c r="R43" i="24"/>
  <c r="R44" i="24"/>
  <c r="R32" i="24"/>
  <c r="R37" i="24"/>
  <c r="R42" i="24"/>
  <c r="R28" i="24"/>
  <c r="R17" i="24"/>
  <c r="R9" i="24"/>
  <c r="R18" i="24"/>
  <c r="D3" i="24"/>
  <c r="F3" i="24" s="1"/>
  <c r="G3" i="24" s="1"/>
  <c r="L3" i="24"/>
  <c r="N3" i="24" s="1"/>
  <c r="O3" i="24" s="1"/>
  <c r="F4" i="24"/>
  <c r="G4" i="24" s="1"/>
  <c r="R5" i="24"/>
  <c r="R7" i="24"/>
  <c r="R14" i="24"/>
  <c r="R21" i="24"/>
  <c r="R27" i="24"/>
  <c r="J30" i="24"/>
  <c r="K30" i="24" s="1"/>
  <c r="R40" i="24"/>
  <c r="R46" i="24"/>
  <c r="R47" i="24"/>
  <c r="R50" i="24"/>
  <c r="R52" i="24"/>
  <c r="N56" i="24"/>
  <c r="O56" i="24" s="1"/>
  <c r="R58" i="24"/>
  <c r="R62" i="24"/>
  <c r="R64" i="24"/>
  <c r="R77" i="24"/>
  <c r="J56" i="24"/>
  <c r="K56" i="24" s="1"/>
  <c r="H3" i="24"/>
  <c r="P3" i="24" s="1"/>
  <c r="R10" i="24"/>
  <c r="R13" i="24"/>
  <c r="R19" i="24"/>
  <c r="R22" i="24"/>
  <c r="R29" i="24"/>
  <c r="R38" i="24"/>
  <c r="R41" i="24"/>
  <c r="J47" i="24"/>
  <c r="K47" i="24" s="1"/>
  <c r="R51" i="24"/>
  <c r="R54" i="24"/>
  <c r="R55" i="24"/>
  <c r="R93" i="24"/>
  <c r="R215" i="24"/>
  <c r="R237" i="24"/>
  <c r="R68" i="24"/>
  <c r="R75" i="24"/>
  <c r="R78" i="24"/>
  <c r="R81" i="24"/>
  <c r="R84" i="24"/>
  <c r="R90" i="24"/>
  <c r="R95" i="24"/>
  <c r="R96" i="24"/>
  <c r="R101" i="24"/>
  <c r="R105" i="24"/>
  <c r="R106" i="24"/>
  <c r="R114" i="24"/>
  <c r="R115" i="24"/>
  <c r="R122" i="24"/>
  <c r="R123" i="24"/>
  <c r="R136" i="24"/>
  <c r="R155" i="24"/>
  <c r="R158" i="24"/>
  <c r="R162" i="24"/>
  <c r="R163" i="24"/>
  <c r="R201" i="24"/>
  <c r="R235" i="24"/>
  <c r="R238" i="24"/>
  <c r="R240" i="24"/>
  <c r="J180" i="24"/>
  <c r="K180" i="24" s="1"/>
  <c r="R193" i="24"/>
  <c r="R196" i="24"/>
  <c r="R197" i="24"/>
  <c r="R204" i="24"/>
  <c r="R206" i="24"/>
  <c r="R214" i="24"/>
  <c r="R226" i="24"/>
  <c r="R241" i="24"/>
  <c r="N246" i="24"/>
  <c r="O246" i="24" s="1"/>
  <c r="R63" i="24"/>
  <c r="R87" i="24"/>
  <c r="R98" i="24"/>
  <c r="R99" i="24"/>
  <c r="R112" i="24"/>
  <c r="R113" i="24"/>
  <c r="R116" i="24"/>
  <c r="R117" i="24"/>
  <c r="R129" i="24"/>
  <c r="R130" i="24"/>
  <c r="R131" i="24"/>
  <c r="R141" i="24"/>
  <c r="R142" i="24"/>
  <c r="J149" i="24"/>
  <c r="K149" i="24" s="1"/>
  <c r="R169" i="24"/>
  <c r="R170" i="24"/>
  <c r="F180" i="24"/>
  <c r="G180" i="24" s="1"/>
  <c r="R189" i="24"/>
  <c r="F203" i="24"/>
  <c r="G203" i="24" s="1"/>
  <c r="N203" i="24"/>
  <c r="O203" i="24" s="1"/>
  <c r="R211" i="24"/>
  <c r="R221" i="24"/>
  <c r="R228" i="24"/>
  <c r="R232" i="24"/>
  <c r="R242" i="24"/>
  <c r="R245" i="24"/>
  <c r="H20" i="21"/>
  <c r="I20" i="21"/>
  <c r="L20" i="21"/>
  <c r="K21" i="21"/>
  <c r="M21" i="21" s="1"/>
  <c r="M20" i="22"/>
  <c r="I20" i="22"/>
  <c r="E20" i="22"/>
  <c r="N9" i="23"/>
  <c r="J9" i="23"/>
  <c r="L9" i="23"/>
  <c r="G9" i="23"/>
  <c r="D9" i="23"/>
  <c r="R4" i="24"/>
  <c r="R30" i="24"/>
  <c r="R86" i="24"/>
  <c r="P67" i="24"/>
  <c r="R67" i="24" s="1"/>
  <c r="R118" i="24"/>
  <c r="R137" i="24"/>
  <c r="J86" i="24"/>
  <c r="K86" i="24" s="1"/>
  <c r="P149" i="24"/>
  <c r="R149" i="24" s="1"/>
  <c r="R227" i="24"/>
  <c r="P165" i="24"/>
  <c r="R165" i="24" s="1"/>
  <c r="P203" i="24"/>
  <c r="R203" i="24" s="1"/>
  <c r="R246" i="24"/>
  <c r="J227" i="24"/>
  <c r="K227" i="24" s="1"/>
  <c r="R180" i="24"/>
  <c r="F9" i="23"/>
  <c r="C9" i="23"/>
  <c r="B21" i="22"/>
  <c r="F21" i="22"/>
  <c r="D20" i="22"/>
  <c r="H20" i="22"/>
  <c r="L20" i="22"/>
  <c r="J21" i="22"/>
  <c r="E21" i="21"/>
  <c r="D21" i="21"/>
  <c r="I21" i="21"/>
  <c r="H21" i="21"/>
  <c r="D20" i="21"/>
  <c r="M20" i="21"/>
  <c r="E20" i="21"/>
  <c r="J3" i="24" l="1"/>
  <c r="K3" i="24" s="1"/>
  <c r="L21" i="21"/>
  <c r="M21" i="22"/>
  <c r="L21" i="22"/>
  <c r="I21" i="22"/>
  <c r="H21" i="22"/>
  <c r="E21" i="22"/>
  <c r="D21" i="22"/>
  <c r="M8" i="12" l="1"/>
  <c r="K8" i="12"/>
  <c r="J8" i="12"/>
  <c r="I8" i="12"/>
  <c r="N7" i="12"/>
  <c r="L7" i="12"/>
  <c r="N6" i="12"/>
  <c r="L6" i="12"/>
  <c r="N5" i="12"/>
  <c r="L5" i="12"/>
  <c r="N4" i="12"/>
  <c r="L4" i="12"/>
  <c r="F30" i="12"/>
  <c r="E30" i="12"/>
  <c r="D30" i="12"/>
  <c r="C30" i="12"/>
  <c r="L8" i="12" l="1"/>
  <c r="N8" i="12"/>
  <c r="V10" i="12"/>
  <c r="W10" i="12" s="1"/>
  <c r="V11" i="12"/>
  <c r="W11" i="12" s="1"/>
  <c r="V12" i="12"/>
  <c r="W12" i="12" s="1"/>
  <c r="V13" i="12"/>
  <c r="V14" i="12"/>
  <c r="W14" i="12" s="1"/>
  <c r="V15" i="12"/>
  <c r="W15" i="12" s="1"/>
  <c r="V16" i="12"/>
  <c r="V17" i="12"/>
  <c r="W17" i="12" s="1"/>
  <c r="V18" i="12"/>
  <c r="W18" i="12" s="1"/>
  <c r="V19" i="12"/>
  <c r="W19" i="12" s="1"/>
  <c r="V20" i="12"/>
  <c r="W20" i="12" s="1"/>
  <c r="V9" i="12"/>
  <c r="W9" i="12" s="1"/>
  <c r="V8" i="12"/>
  <c r="V7" i="12"/>
  <c r="W7" i="12" s="1"/>
  <c r="V6" i="12"/>
  <c r="V5" i="12"/>
  <c r="V4" i="12"/>
  <c r="W4" i="12" s="1"/>
  <c r="U21" i="12"/>
  <c r="U22" i="12" s="1"/>
  <c r="T21" i="12"/>
  <c r="T22" i="12" s="1"/>
  <c r="S21" i="12"/>
  <c r="S22" i="12" s="1"/>
  <c r="R21" i="12"/>
  <c r="Q21" i="12"/>
  <c r="Q22" i="12" s="1"/>
  <c r="V21" i="12" l="1"/>
  <c r="W21" i="12" s="1"/>
  <c r="W16" i="12"/>
  <c r="W8" i="12"/>
  <c r="R22" i="12"/>
  <c r="V22" i="12" s="1"/>
  <c r="W6" i="12"/>
  <c r="W13" i="12"/>
  <c r="W5" i="12"/>
  <c r="X21" i="12" l="1"/>
  <c r="W22" i="12"/>
  <c r="X22" i="12"/>
  <c r="X16" i="12"/>
  <c r="X6" i="12"/>
  <c r="X11" i="12"/>
  <c r="X19" i="12"/>
  <c r="X15" i="12"/>
  <c r="X7" i="12"/>
  <c r="X10" i="12"/>
  <c r="X20" i="12"/>
  <c r="X18" i="12"/>
  <c r="X14" i="12"/>
  <c r="X12" i="12"/>
  <c r="X13" i="12"/>
  <c r="X17" i="12"/>
  <c r="X4" i="12"/>
  <c r="X5" i="12"/>
  <c r="X9" i="12"/>
  <c r="X8" i="12"/>
</calcChain>
</file>

<file path=xl/comments1.xml><?xml version="1.0" encoding="utf-8"?>
<comments xmlns="http://schemas.openxmlformats.org/spreadsheetml/2006/main">
  <authors>
    <author>이은경</author>
  </authors>
  <commentList>
    <comment ref="Q3" authorId="0" shapeId="0">
      <text>
        <r>
          <rPr>
            <b/>
            <sz val="9"/>
            <color indexed="81"/>
            <rFont val="돋움"/>
            <family val="3"/>
            <charset val="129"/>
          </rPr>
          <t>롯데시네마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건대입구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아르떼</t>
        </r>
        <r>
          <rPr>
            <b/>
            <sz val="9"/>
            <color indexed="81"/>
            <rFont val="Tahoma"/>
            <family val="2"/>
          </rPr>
          <t>)/ CGV</t>
        </r>
        <r>
          <rPr>
            <b/>
            <sz val="9"/>
            <color indexed="81"/>
            <rFont val="돋움"/>
            <family val="3"/>
            <charset val="129"/>
          </rPr>
          <t>등촌</t>
        </r>
        <r>
          <rPr>
            <b/>
            <sz val="9"/>
            <color indexed="81"/>
            <rFont val="Tahoma"/>
            <family val="2"/>
          </rPr>
          <t xml:space="preserve"> 7,8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1" authorId="0" shapeId="0">
      <text>
        <r>
          <rPr>
            <b/>
            <sz val="9"/>
            <color indexed="81"/>
            <rFont val="Tahoma"/>
            <family val="2"/>
          </rPr>
          <t>OLC</t>
        </r>
        <r>
          <rPr>
            <b/>
            <sz val="9"/>
            <color indexed="81"/>
            <rFont val="돋움"/>
            <family val="3"/>
            <charset val="129"/>
          </rPr>
          <t>광명철산극장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부분휴관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OLC</t>
        </r>
        <r>
          <rPr>
            <b/>
            <sz val="9"/>
            <color indexed="81"/>
            <rFont val="돋움"/>
            <family val="3"/>
            <charset val="129"/>
          </rPr>
          <t>광명철산극장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개관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이은경</author>
  </authors>
  <commentList>
    <comment ref="C7" authorId="0" shapeId="0">
      <text>
        <r>
          <rPr>
            <sz val="9"/>
            <color indexed="81"/>
            <rFont val="Tahoma"/>
            <family val="2"/>
          </rPr>
          <t>ScreenX 43
SphereX 3</t>
        </r>
      </text>
    </comment>
    <comment ref="F23" authorId="0" shapeId="0">
      <text>
        <r>
          <rPr>
            <sz val="9"/>
            <color indexed="81"/>
            <rFont val="Tahoma"/>
            <family val="2"/>
          </rPr>
          <t xml:space="preserve">Recliner 8
</t>
        </r>
        <r>
          <rPr>
            <sz val="9"/>
            <color indexed="81"/>
            <rFont val="돋움"/>
            <family val="3"/>
            <charset val="129"/>
          </rPr>
          <t>밥</t>
        </r>
        <r>
          <rPr>
            <sz val="9"/>
            <color indexed="81"/>
            <rFont val="Tahoma"/>
            <family val="2"/>
          </rPr>
          <t>.CINE 1</t>
        </r>
      </text>
    </comment>
  </commentList>
</comments>
</file>

<file path=xl/comments3.xml><?xml version="1.0" encoding="utf-8"?>
<comments xmlns="http://schemas.openxmlformats.org/spreadsheetml/2006/main">
  <authors>
    <author>이은경</author>
  </authors>
  <commentList>
    <comment ref="J87" authorId="0" shapeId="0">
      <text>
        <r>
          <rPr>
            <b/>
            <sz val="9"/>
            <color indexed="81"/>
            <rFont val="돋움"/>
            <family val="3"/>
            <charset val="129"/>
          </rPr>
          <t>씨네비즈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특수관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M121" authorId="0" shapeId="0">
      <text>
        <r>
          <rPr>
            <b/>
            <sz val="9"/>
            <color indexed="81"/>
            <rFont val="돋움"/>
            <family val="3"/>
            <charset val="129"/>
          </rPr>
          <t>독립영화전용관</t>
        </r>
      </text>
    </comment>
    <comment ref="M249" authorId="0" shapeId="0">
      <text>
        <r>
          <rPr>
            <b/>
            <sz val="9"/>
            <color indexed="81"/>
            <rFont val="돋움"/>
            <family val="3"/>
            <charset val="129"/>
          </rPr>
          <t>독립영화전용관</t>
        </r>
      </text>
    </comment>
    <comment ref="M487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독립영화전용관
</t>
        </r>
      </text>
    </comment>
    <comment ref="Q492" authorId="0" shapeId="0">
      <text>
        <r>
          <rPr>
            <b/>
            <sz val="9"/>
            <color indexed="81"/>
            <rFont val="돋움"/>
            <family val="3"/>
            <charset val="129"/>
          </rPr>
          <t>발권데이터 기준</t>
        </r>
      </text>
    </comment>
  </commentList>
</comments>
</file>

<file path=xl/comments4.xml><?xml version="1.0" encoding="utf-8"?>
<comments xmlns="http://schemas.openxmlformats.org/spreadsheetml/2006/main">
  <authors>
    <author>press@kobaff.org</author>
    <author>이은경</author>
  </authors>
  <commentList>
    <comment ref="I82" authorId="0" shapeId="0">
      <text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154+ </t>
        </r>
        <r>
          <rPr>
            <sz val="9"/>
            <color indexed="81"/>
            <rFont val="돋움"/>
            <family val="3"/>
            <charset val="129"/>
          </rPr>
          <t>프리미엄</t>
        </r>
        <r>
          <rPr>
            <sz val="9"/>
            <color indexed="81"/>
            <rFont val="Tahoma"/>
            <family val="2"/>
          </rPr>
          <t xml:space="preserve"> 12
</t>
        </r>
      </text>
    </comment>
    <comment ref="I1289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859" authorId="1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장애인석 2석 포함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I2299" authorId="1" shapeId="0">
      <text>
        <r>
          <rPr>
            <sz val="9"/>
            <color indexed="81"/>
            <rFont val="돋움"/>
            <family val="3"/>
            <charset val="129"/>
          </rPr>
          <t>장애인석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관포함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I2300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379" authorId="1" shapeId="0">
      <text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408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409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414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석포함</t>
        </r>
      </text>
    </comment>
    <comment ref="I2415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682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가족실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683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917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918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3079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5.xml><?xml version="1.0" encoding="utf-8"?>
<comments xmlns="http://schemas.openxmlformats.org/spreadsheetml/2006/main">
  <authors>
    <author>이은경</author>
  </authors>
  <commentList>
    <comment ref="Q25" authorId="0" shapeId="0">
      <text>
        <r>
          <rPr>
            <b/>
            <sz val="9"/>
            <color indexed="81"/>
            <rFont val="Tahoma"/>
            <family val="2"/>
          </rPr>
          <t xml:space="preserve">KOBIS </t>
        </r>
        <r>
          <rPr>
            <b/>
            <sz val="9"/>
            <color indexed="81"/>
            <rFont val="돋움"/>
            <family val="3"/>
            <charset val="129"/>
          </rPr>
          <t>발권데이터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>
  <authors>
    <author>이은경</author>
  </authors>
  <commentList>
    <comment ref="N5" authorId="0" shapeId="0">
      <text>
        <r>
          <rPr>
            <b/>
            <sz val="9"/>
            <color indexed="81"/>
            <rFont val="돋움"/>
            <family val="3"/>
            <charset val="129"/>
          </rPr>
          <t>예술영화전용관</t>
        </r>
      </text>
    </comment>
    <comment ref="I21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부분폐관 스크린 수</t>
        </r>
      </text>
    </comment>
    <comment ref="J21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좌석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7,8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>(22.11.28)</t>
        </r>
      </text>
    </comment>
    <comment ref="I22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스크린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J22" authorId="0" shapeId="0">
      <text>
        <r>
          <rPr>
            <b/>
            <sz val="9"/>
            <color indexed="81"/>
            <rFont val="돋움"/>
            <family val="3"/>
            <charset val="129"/>
          </rPr>
          <t>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좌석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F23" authorId="0" shape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76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폐관</t>
        </r>
        <r>
          <rPr>
            <b/>
            <sz val="9"/>
            <color indexed="81"/>
            <rFont val="Tahoma"/>
            <family val="2"/>
          </rPr>
          <t>/ GS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62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>, 5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51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>, 6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48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휴관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개관</t>
        </r>
        <r>
          <rPr>
            <b/>
            <sz val="9"/>
            <color indexed="81"/>
            <rFont val="Tahoma"/>
            <family val="2"/>
          </rPr>
          <t xml:space="preserve"> 237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23" authorId="0" shapeId="0">
      <text>
        <r>
          <rPr>
            <b/>
            <sz val="9"/>
            <color indexed="81"/>
            <rFont val="돋움"/>
            <family val="3"/>
            <charset val="129"/>
          </rPr>
          <t>휴관 3/ 폐관 1</t>
        </r>
      </text>
    </comment>
    <comment ref="J23" authorId="0" shapeId="0">
      <text>
        <r>
          <rPr>
            <b/>
            <sz val="9"/>
            <color indexed="81"/>
            <rFont val="돋움"/>
            <family val="3"/>
            <charset val="129"/>
          </rPr>
          <t>휴관 161석 / 폐관 76석</t>
        </r>
      </text>
    </comment>
  </commentList>
</comments>
</file>

<file path=xl/sharedStrings.xml><?xml version="1.0" encoding="utf-8"?>
<sst xmlns="http://schemas.openxmlformats.org/spreadsheetml/2006/main" count="43963" uniqueCount="3468">
  <si>
    <t>소재지</t>
  </si>
  <si>
    <t>영화관명</t>
  </si>
  <si>
    <t>홈페이지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</si>
  <si>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</si>
  <si>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</si>
  <si>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</si>
  <si>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</si>
  <si>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</si>
  <si>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</si>
  <si>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</si>
  <si>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</si>
  <si>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</si>
  <si>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</si>
  <si>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</si>
  <si>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</si>
  <si>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</si>
  <si>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</si>
  <si>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</si>
  <si>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</si>
  <si>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</si>
  <si>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</si>
  <si>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</si>
  <si>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</si>
  <si>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</si>
  <si>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</si>
  <si>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</si>
  <si>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</si>
  <si>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</si>
  <si>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</si>
  <si>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</si>
  <si>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</si>
  <si>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</si>
  <si>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</si>
  <si>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</si>
  <si>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</si>
  <si>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</si>
  <si>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</si>
  <si>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</si>
  <si>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</si>
  <si>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사상구</t>
  </si>
  <si>
    <t>기장군</t>
  </si>
  <si>
    <t>수성구</t>
  </si>
  <si>
    <t>달서구</t>
  </si>
  <si>
    <t>달성군</t>
  </si>
  <si>
    <t>연수구</t>
  </si>
  <si>
    <t>남동구</t>
  </si>
  <si>
    <t>부평구</t>
  </si>
  <si>
    <t>계양구</t>
  </si>
  <si>
    <t>광산구</t>
  </si>
  <si>
    <t>유성구</t>
  </si>
  <si>
    <t>울주군</t>
  </si>
  <si>
    <t>세종시</t>
  </si>
  <si>
    <t>경기도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</si>
  <si>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</si>
  <si>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</si>
  <si>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</si>
  <si>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</si>
  <si>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</si>
  <si>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</si>
  <si>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</si>
  <si>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</si>
  <si>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</si>
  <si>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</si>
  <si>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구리시</t>
  </si>
  <si>
    <t>남양주시</t>
  </si>
  <si>
    <t>오산시</t>
  </si>
  <si>
    <t>시흥시</t>
  </si>
  <si>
    <t>군포시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</si>
  <si>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</si>
  <si>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</si>
  <si>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</si>
  <si>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</si>
  <si>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</si>
  <si>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</si>
  <si>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</si>
  <si>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</si>
  <si>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</si>
  <si>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양평군</t>
  </si>
  <si>
    <t>강원도</t>
  </si>
  <si>
    <t>춘천시</t>
  </si>
  <si>
    <t>원주시</t>
  </si>
  <si>
    <t>강릉시</t>
  </si>
  <si>
    <t>동해시</t>
  </si>
  <si>
    <t>속초시</t>
  </si>
  <si>
    <t>홍천군</t>
  </si>
  <si>
    <t>횡성군</t>
  </si>
  <si>
    <t>평창군</t>
  </si>
  <si>
    <t>인제군</t>
  </si>
  <si>
    <t>양양군</t>
  </si>
  <si>
    <t>충청북도</t>
  </si>
  <si>
    <t>청주시</t>
  </si>
  <si>
    <t>충주시</t>
  </si>
  <si>
    <t>제천시</t>
  </si>
  <si>
    <t>진천군</t>
  </si>
  <si>
    <t>괴산군</t>
  </si>
  <si>
    <t>음성군</t>
  </si>
  <si>
    <t>충청남도</t>
  </si>
  <si>
    <t>천안시</t>
  </si>
  <si>
    <t>공주시</t>
  </si>
  <si>
    <t>보령시</t>
  </si>
  <si>
    <t>아산시</t>
  </si>
  <si>
    <t>서산시</t>
  </si>
  <si>
    <t>논산시</t>
  </si>
  <si>
    <t>당진시</t>
  </si>
  <si>
    <t>부여군</t>
  </si>
  <si>
    <t>홍성군</t>
  </si>
  <si>
    <t>예산군</t>
  </si>
  <si>
    <t>태안군</t>
  </si>
  <si>
    <t>전라북도</t>
  </si>
  <si>
    <t>전주시</t>
  </si>
  <si>
    <t>군산시</t>
  </si>
  <si>
    <t>익산시</t>
  </si>
  <si>
    <t>정읍시</t>
  </si>
  <si>
    <t>남원시</t>
  </si>
  <si>
    <t>진안군</t>
  </si>
  <si>
    <t>무주군</t>
  </si>
  <si>
    <t>장수군</t>
  </si>
  <si>
    <t>순창군</t>
  </si>
  <si>
    <t>고창군</t>
  </si>
  <si>
    <t>전라남도</t>
  </si>
  <si>
    <t>목포시</t>
  </si>
  <si>
    <t>여수시</t>
  </si>
  <si>
    <t>순천시</t>
  </si>
  <si>
    <t>나주시</t>
  </si>
  <si>
    <t>광양시</t>
  </si>
  <si>
    <t>구례군</t>
  </si>
  <si>
    <t>진도군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</si>
  <si>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</si>
  <si>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</si>
  <si>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</si>
  <si>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</si>
  <si>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</si>
  <si>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</si>
  <si>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</si>
  <si>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문경시</t>
  </si>
  <si>
    <t>경산시</t>
  </si>
  <si>
    <t>영양군</t>
  </si>
  <si>
    <t>고령군</t>
  </si>
  <si>
    <t>예천군</t>
  </si>
  <si>
    <t>경상남도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</si>
  <si>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</si>
  <si>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</si>
  <si>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</si>
  <si>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</si>
  <si>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</si>
  <si>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</si>
  <si>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</si>
  <si>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</si>
  <si>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남해군</t>
  </si>
  <si>
    <t>거창군</t>
  </si>
  <si>
    <t>합천군</t>
  </si>
  <si>
    <t>제주시</t>
  </si>
  <si>
    <t>서귀포시</t>
  </si>
  <si>
    <t>서울아트시네마</t>
  </si>
  <si>
    <t>직영</t>
  </si>
  <si>
    <t>1544-1122</t>
  </si>
  <si>
    <t>www.cgv.co.kr</t>
  </si>
  <si>
    <t>롯데시네마 에비뉴엘(명동)</t>
  </si>
  <si>
    <t>메가박스 동대문</t>
  </si>
  <si>
    <t>1544-8855</t>
  </si>
  <si>
    <t>www.lottecinema.co.kr</t>
  </si>
  <si>
    <t>1544-0070</t>
  </si>
  <si>
    <t>www.megabox.co.kr</t>
  </si>
  <si>
    <t>롯데시네마 건대입구</t>
  </si>
  <si>
    <t>위탁</t>
  </si>
  <si>
    <t>롯데시네마 청량리</t>
  </si>
  <si>
    <t>메가박스 상봉</t>
  </si>
  <si>
    <t>롯데시네마 수유</t>
  </si>
  <si>
    <t>롯데시네마 노원</t>
  </si>
  <si>
    <t>메가박스 신촌</t>
  </si>
  <si>
    <t>아트하우스모모</t>
  </si>
  <si>
    <t>필름포럼</t>
  </si>
  <si>
    <t>롯데시네마 합정</t>
  </si>
  <si>
    <t>롯데시네마 홍대입구</t>
  </si>
  <si>
    <t>메가박스 상암월드컵경기장</t>
  </si>
  <si>
    <t>메가박스 목동</t>
  </si>
  <si>
    <t>롯데시네마 가양</t>
  </si>
  <si>
    <t>롯데시네마 김포공항</t>
  </si>
  <si>
    <t>메가박스 마곡</t>
  </si>
  <si>
    <t>롯데시네마 신도림</t>
  </si>
  <si>
    <t>롯데시네마 독산</t>
  </si>
  <si>
    <t>롯데시네마 영등포</t>
  </si>
  <si>
    <t>메가박스 이수</t>
  </si>
  <si>
    <t>롯데시네마 서울대입구</t>
  </si>
  <si>
    <t>롯데시네마 신림</t>
  </si>
  <si>
    <t>메가박스 강남</t>
  </si>
  <si>
    <t>메가박스 센트럴</t>
  </si>
  <si>
    <t>메가박스 코엑스</t>
  </si>
  <si>
    <t>롯데시네마 강동</t>
  </si>
  <si>
    <t>1544-1533</t>
  </si>
  <si>
    <t>www.cineq.co.kr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</si>
  <si>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</si>
  <si>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</si>
  <si>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</si>
  <si>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</si>
  <si>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</si>
  <si>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</si>
  <si>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</si>
  <si>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</si>
  <si>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</si>
  <si>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</si>
  <si>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</si>
  <si>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</si>
  <si>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경북</t>
  </si>
  <si>
    <t>제주</t>
  </si>
  <si>
    <t>롯데시네마</t>
  </si>
  <si>
    <t>메가박스</t>
  </si>
  <si>
    <t>IMAX</t>
  </si>
  <si>
    <t>4DX</t>
  </si>
  <si>
    <t>분류</t>
    <phoneticPr fontId="2" type="noConversion"/>
  </si>
  <si>
    <t>광역단체</t>
  </si>
  <si>
    <t>기초단체</t>
  </si>
  <si>
    <t>개관일</t>
  </si>
  <si>
    <t>비고</t>
  </si>
  <si>
    <t>서울시</t>
  </si>
  <si>
    <t>인천시</t>
  </si>
  <si>
    <t>ScreenX</t>
  </si>
  <si>
    <t>부산시</t>
  </si>
  <si>
    <t>대구시</t>
  </si>
  <si>
    <t>대전시</t>
  </si>
  <si>
    <t>울산시</t>
  </si>
  <si>
    <t>제주도</t>
  </si>
  <si>
    <t>광주극장</t>
  </si>
  <si>
    <t>금성시네마</t>
  </si>
  <si>
    <t>02-3672-4232</t>
  </si>
  <si>
    <t>053-425-3553</t>
  </si>
  <si>
    <t>동성아트홀</t>
  </si>
  <si>
    <t>롯데시네마 경산</t>
  </si>
  <si>
    <t>롯데시네마 경주</t>
  </si>
  <si>
    <t>롯데시네마 광주광산</t>
  </si>
  <si>
    <t>롯데시네마 광주터미널</t>
  </si>
  <si>
    <t>롯데시네마 구리아울렛</t>
  </si>
  <si>
    <t>롯데시네마 구미공단</t>
  </si>
  <si>
    <t>롯데시네마 군산나운</t>
  </si>
  <si>
    <t>롯데시네마 군산몰</t>
  </si>
  <si>
    <t>롯데시네마 김해부원</t>
  </si>
  <si>
    <t>롯데시네마 남원주</t>
  </si>
  <si>
    <t>롯데시네마 대구광장</t>
  </si>
  <si>
    <t>롯데시네마 대영</t>
  </si>
  <si>
    <t>롯데시네마 대전센트럴</t>
  </si>
  <si>
    <t>롯데시네마 동래</t>
  </si>
  <si>
    <t>롯데시네마 동성로</t>
  </si>
  <si>
    <t>롯데시네마 동해</t>
  </si>
  <si>
    <t>롯데시네마 라페스타(일산)</t>
  </si>
  <si>
    <t>롯데시네마 병점</t>
  </si>
  <si>
    <t>롯데시네마 부천(신중동역)</t>
  </si>
  <si>
    <t>롯데시네마 부평</t>
  </si>
  <si>
    <t>롯데시네마 부평역사</t>
  </si>
  <si>
    <t>롯데시네마 산본피트인</t>
  </si>
  <si>
    <t>롯데시네마 서귀포</t>
  </si>
  <si>
    <t>롯데시네마 서산</t>
  </si>
  <si>
    <t>롯데시네마 성남중앙</t>
  </si>
  <si>
    <t>롯데시네마 성서</t>
  </si>
  <si>
    <t>롯데시네마 센텀시티(백화점)</t>
  </si>
  <si>
    <t>롯데시네마 송탄</t>
  </si>
  <si>
    <t>롯데시네마 수완</t>
  </si>
  <si>
    <t xml:space="preserve">롯데시네마 수원 </t>
  </si>
  <si>
    <t>롯데시네마 시화</t>
  </si>
  <si>
    <t>롯데시네마 안성</t>
  </si>
  <si>
    <t>롯데시네마 안양(안양역)</t>
  </si>
  <si>
    <t>롯데시네마 안양일번가</t>
  </si>
  <si>
    <t>롯데시네마 양주고읍</t>
  </si>
  <si>
    <t>롯데시네마 영주</t>
  </si>
  <si>
    <t>롯데시네마 용인기흥</t>
  </si>
  <si>
    <t>롯데시네마 원주무실</t>
  </si>
  <si>
    <t>롯데시네마 위례</t>
  </si>
  <si>
    <t>롯데시네마 의정부민락</t>
  </si>
  <si>
    <t>롯데시네마 인천아시아드</t>
  </si>
  <si>
    <t>롯데시네마 인천터미널</t>
  </si>
  <si>
    <t>롯데시네마 전주평화</t>
  </si>
  <si>
    <t>롯데시네마 진접</t>
  </si>
  <si>
    <t>롯데시네마 창원</t>
  </si>
  <si>
    <t>롯데시네마 청주용암</t>
  </si>
  <si>
    <t>롯데시네마 파주운정</t>
  </si>
  <si>
    <t>롯데시네마 포항</t>
  </si>
  <si>
    <t>롯데시네마 향남</t>
  </si>
  <si>
    <t>메가박스 고양스타필드</t>
  </si>
  <si>
    <t>메가박스 공주</t>
  </si>
  <si>
    <t>메가박스 구미강동</t>
  </si>
  <si>
    <t>메가박스 김포한강신도시</t>
  </si>
  <si>
    <t>메가박스 남양주</t>
  </si>
  <si>
    <t>메가박스 남포항</t>
  </si>
  <si>
    <t>메가박스 대구신세계</t>
  </si>
  <si>
    <t>메가박스 대구이시아</t>
  </si>
  <si>
    <t>메가박스 대전</t>
  </si>
  <si>
    <t>메가박스 목포하당</t>
  </si>
  <si>
    <t>메가박스 백석</t>
  </si>
  <si>
    <t>메가박스 부산극장</t>
  </si>
  <si>
    <t>메가박스 부산대</t>
  </si>
  <si>
    <t>메가박스 북대구(칠곡)</t>
  </si>
  <si>
    <t>메가박스 분당</t>
  </si>
  <si>
    <t>The Boutique Suite</t>
  </si>
  <si>
    <t>메가박스 삼천포</t>
  </si>
  <si>
    <t>메가박스 속초</t>
  </si>
  <si>
    <t>메가박스 수원</t>
  </si>
  <si>
    <t>메가박스 순천</t>
  </si>
  <si>
    <t>메가박스 안산중앙</t>
  </si>
  <si>
    <t>메가박스 양주</t>
  </si>
  <si>
    <t>메가박스 여수웅천</t>
  </si>
  <si>
    <t>메가박스 영종</t>
  </si>
  <si>
    <t>메가박스 영통</t>
  </si>
  <si>
    <t>메가박스 울산</t>
  </si>
  <si>
    <t>메가박스 원주</t>
  </si>
  <si>
    <t>메가박스 원주센트럴</t>
  </si>
  <si>
    <t>메가박스 일산</t>
  </si>
  <si>
    <t>메가박스 전대(광주)</t>
  </si>
  <si>
    <t>메가박스 정관</t>
  </si>
  <si>
    <t>메가박스 제천</t>
  </si>
  <si>
    <t>메가박스 창원</t>
  </si>
  <si>
    <t>메가박스 천안</t>
  </si>
  <si>
    <t>메가박스 첨단</t>
  </si>
  <si>
    <t>메가박스 청라지젤</t>
  </si>
  <si>
    <t>메가박스 킨텍스</t>
  </si>
  <si>
    <t>메가박스 파주출판도시</t>
  </si>
  <si>
    <t>메가박스 하남스타필드</t>
  </si>
  <si>
    <t>메가박스 해운대(장산)</t>
  </si>
  <si>
    <t>문화극장</t>
  </si>
  <si>
    <t>밀양시네마</t>
  </si>
  <si>
    <t>061-852-7050</t>
  </si>
  <si>
    <t>boseong.scinema.org</t>
  </si>
  <si>
    <t>comulju.oneh.co.kr</t>
  </si>
  <si>
    <t>032-761-7177</t>
  </si>
  <si>
    <t>033-673-7050</t>
  </si>
  <si>
    <t>032-867-9168</t>
  </si>
  <si>
    <t>전주시네마타운</t>
  </si>
  <si>
    <t>www.hcine.kr</t>
  </si>
  <si>
    <t>현대예술관</t>
  </si>
  <si>
    <t>번호</t>
  </si>
  <si>
    <t>총 좌석수</t>
  </si>
  <si>
    <t>전화번호</t>
    <phoneticPr fontId="3" type="noConversion"/>
  </si>
  <si>
    <t xml:space="preserve">강남구 강남대로 438 (역삼동 814-6 스타플렉스) </t>
  </si>
  <si>
    <t>강남구 압구정로 30길 45 (신사동 603-2)</t>
  </si>
  <si>
    <t>강남구 도산대로 323 (신사동 651-21)</t>
  </si>
  <si>
    <t xml:space="preserve">서울시 </t>
  </si>
  <si>
    <t>메가박스 강남대로(씨티)</t>
  </si>
  <si>
    <t>강남구 강남대로 422 (역삼동 816-7)</t>
  </si>
  <si>
    <t>~</t>
  </si>
  <si>
    <t>(구)롯데시네마 씨티(강남)</t>
  </si>
  <si>
    <t>강남구 봉은사로 524 코엑스몰 B1 (삼성동 159)</t>
  </si>
  <si>
    <t xml:space="preserve">강남구 </t>
  </si>
  <si>
    <t xml:space="preserve">롯데시네마 브로드웨이(신사) </t>
  </si>
  <si>
    <t xml:space="preserve">강남구 도산대로 8길 8 (논현동 3-5) </t>
  </si>
  <si>
    <t>(구)브로드웨이 극장</t>
  </si>
  <si>
    <t xml:space="preserve">서울시 </t>
    <phoneticPr fontId="3" type="noConversion"/>
  </si>
  <si>
    <t>~</t>
    <phoneticPr fontId="3" type="noConversion"/>
  </si>
  <si>
    <t xml:space="preserve">직영 </t>
  </si>
  <si>
    <t xml:space="preserve">강동구 양재대로 1571 홈플러스 4층 </t>
  </si>
  <si>
    <t>IMAX, ScreenX, SphereX</t>
  </si>
  <si>
    <t>강동구 천호옛길 85 (성내동 44-1)</t>
  </si>
  <si>
    <t>메가박스 강동</t>
  </si>
  <si>
    <t>강동구 성내로 48</t>
  </si>
  <si>
    <t>(구)CGV 강동</t>
  </si>
  <si>
    <t>강북구 도봉로 34, 9층 (미아동 35-4 트레지오 쇼핑몰 9층)</t>
  </si>
  <si>
    <t>강북구 도봉로 399 (수유동 168-12)</t>
  </si>
  <si>
    <t>(구)메가박스 수유</t>
  </si>
  <si>
    <t>강북구 도봉로 308, 10~14층</t>
  </si>
  <si>
    <t>강서구 양천로 476 (등촌동)</t>
  </si>
  <si>
    <t>강서구 하늘길 77 롯데몰 (방화동 하늘길 38)</t>
  </si>
  <si>
    <t>강서구 공항대로 247 퀸즈파크나인 B동 4층</t>
  </si>
  <si>
    <t xml:space="preserve">메가박스 화곡 </t>
  </si>
  <si>
    <t>강서구 화곡로 142 메가스퀘어 4층</t>
  </si>
  <si>
    <t>관악구 남부순환로 1820 (봉천동 862-1 에그옐로우 10층)</t>
  </si>
  <si>
    <t>(구)메가박스 서울대</t>
  </si>
  <si>
    <t>광진구 광나루로 56길 85 (구의동 546-4 테크노마트 10층)</t>
  </si>
  <si>
    <t>광진구 아차산로 30길 26</t>
  </si>
  <si>
    <t>광진구 아차산로 272 (자양동 227-7번지 스타시티 2층)</t>
  </si>
  <si>
    <t xml:space="preserve">메가박스 군자 </t>
  </si>
  <si>
    <t>광진구 능동로 289 (군자동)</t>
  </si>
  <si>
    <t>(구)CGV 군자</t>
  </si>
  <si>
    <t>구로구 구로중앙로 152 (구로동 573 애경백화점 5층)</t>
  </si>
  <si>
    <t>씨네Q 신도림</t>
  </si>
  <si>
    <t>구로구 새말로 97 신도림테크노마트 12층</t>
  </si>
  <si>
    <t xml:space="preserve">구로구 </t>
  </si>
  <si>
    <t>구로구 경인로 662 디큐브시티 7층 (신도림동 692)</t>
  </si>
  <si>
    <t xml:space="preserve">금천구 </t>
  </si>
  <si>
    <t xml:space="preserve">롯데시네마 가산디지털 </t>
  </si>
  <si>
    <t>금천구 디지털로 10길 9 현대아울렛쇼핑몰 (가산동)</t>
  </si>
  <si>
    <t>(구)롯데시네마 가산하이힐</t>
  </si>
  <si>
    <t xml:space="preserve">금천구 시흥대로 399 시티렉스 6층 </t>
  </si>
  <si>
    <t>노원구 동일로 204가길 12, 8층 (중계동 509-2)</t>
  </si>
  <si>
    <t>서울시</t>
    <phoneticPr fontId="3" type="noConversion"/>
  </si>
  <si>
    <t>노원구 동일로 1414 롯데백화점 10층 (상계동 713)</t>
  </si>
  <si>
    <t xml:space="preserve">롯데시네마 수락산 </t>
  </si>
  <si>
    <t>노원구 동일로 1660</t>
  </si>
  <si>
    <t>메가박스 창동</t>
  </si>
  <si>
    <t>도봉구 도봉로 558(창동)</t>
  </si>
  <si>
    <t>동대문구 왕산로 214 (전농동)</t>
  </si>
  <si>
    <t>동작구 동작대로 89 골든시네마타워 7층 (사당1동 147-53)</t>
  </si>
  <si>
    <t xml:space="preserve">마포구 양화로 153 (동교동) 3층 </t>
  </si>
  <si>
    <t>마포구 양화로 45 메세나폴리스 2층 (합정동 481-1)</t>
  </si>
  <si>
    <t>마포구 양화로 176 와이즈파크 8층 (동교동166-6번지)</t>
  </si>
  <si>
    <t>2007-09-00</t>
  </si>
  <si>
    <t xml:space="preserve">마포구 </t>
  </si>
  <si>
    <t>마포구 월드컵로 240 월드컵몰 1층</t>
  </si>
  <si>
    <t>(구)CGV 상암</t>
  </si>
  <si>
    <t xml:space="preserve">서대문구 신촌로 129, 2층 (창천동 20-24, 20-25) </t>
  </si>
  <si>
    <t xml:space="preserve">(구)아트레온 </t>
  </si>
  <si>
    <t>서대문구 신촌역로 30 밀리오레 5층 (신촌동 74-12)</t>
  </si>
  <si>
    <t>Comfort</t>
  </si>
  <si>
    <t>www.cineart.co.kr</t>
  </si>
  <si>
    <t>cafe.naver.com/filmforum</t>
  </si>
  <si>
    <t>서초구 서초대로 77길 3 아라타워 8층 (서초동 1317-20)</t>
  </si>
  <si>
    <t>서초구 신반포로 176 센트럴시티빌딩 지하1층 (반포동 19-3)</t>
  </si>
  <si>
    <t>성동구 왕십리광장로 17, 5층 (행당동 왕십리 민자역사 4층~6층)</t>
  </si>
  <si>
    <t>cine.arirang.go.kr</t>
  </si>
  <si>
    <t>2004-05-01</t>
  </si>
  <si>
    <t xml:space="preserve">송파구 </t>
  </si>
  <si>
    <t xml:space="preserve">롯데시네마 월드타워 </t>
  </si>
  <si>
    <t>송파구 올림픽로 300 엔터동 5~11층</t>
  </si>
  <si>
    <t>메가박스 송파파크하비오</t>
  </si>
  <si>
    <t>송파구 송파대로 111, 204동 지하1층</t>
  </si>
  <si>
    <t>양천구 목동동로 309 행복한세상백화점 6층 (목동 917-6)</t>
  </si>
  <si>
    <t>MX, Comfort</t>
  </si>
  <si>
    <t>영등포구 국제금융로 10, 지하3층 (여의도동 국제금융로 10)</t>
  </si>
  <si>
    <t>영등포구 영산로 15, 4층 (영등포동 4가 441-10번지 경방 타임스퀘어 4~7층)</t>
  </si>
  <si>
    <t>영등포구 경인로 102길 13 (영등포동 618-496)</t>
  </si>
  <si>
    <t>용산구 한강대로 23길 55, 6층 (한강로 3가 40-1 용산민자역사 6층)</t>
  </si>
  <si>
    <t xml:space="preserve">용산구 </t>
  </si>
  <si>
    <t>롯데시네마 용산</t>
  </si>
  <si>
    <t>용산구 청파로 3가 74 용산전자랜드 4~5층 (한강로 3가 16-9)</t>
  </si>
  <si>
    <t>은평구 불광로 20, 11층 (대조동 14-24 팜스퀘어 11층)</t>
  </si>
  <si>
    <t>롯데시네마 은평(롯데몰)</t>
  </si>
  <si>
    <t>은평구 진관동 79-31, 롯데몰 5층</t>
  </si>
  <si>
    <t>종로구 대명길 (명륜동 2가 41-9)</t>
  </si>
  <si>
    <t>CGV 아트하우스</t>
  </si>
  <si>
    <t>종로구 돈화문로 5가길 1 (돈의동 137)</t>
  </si>
  <si>
    <t>www.cinematheque.seoul.kr</t>
  </si>
  <si>
    <t>씨네큐브광화문</t>
  </si>
  <si>
    <t>중구 장충단로 13길 현대시티아울렛 11층</t>
  </si>
  <si>
    <t>중구 명동길 14 (명동2가 83-5번지 눈스퀘어 8층)</t>
  </si>
  <si>
    <t xml:space="preserve">중구 퇴계로 123 (충무로2가65-9 하이해리엇 10, 11층) </t>
  </si>
  <si>
    <t>대한극장</t>
  </si>
  <si>
    <t>중구 퇴계로 212 (충무로 4가 125)</t>
  </si>
  <si>
    <t>www.daehancinema.com</t>
  </si>
  <si>
    <t xml:space="preserve">중구 남대문로 2가 130 (소공동 에비뉴엘 6층, 7층) </t>
  </si>
  <si>
    <t>중구 장충단로 247 굿모닝시티 9층 (을지로 6가 21번지)</t>
  </si>
  <si>
    <t>중구 마른내로 47 명보아트홀 6층</t>
    <phoneticPr fontId="3" type="noConversion"/>
  </si>
  <si>
    <t>중랑구 상봉로 131</t>
  </si>
  <si>
    <t>중랑구 망우로 30길 3 (상봉동 130-3번지)</t>
  </si>
  <si>
    <t>금정구 중앙대로 1607 (부곡동)</t>
  </si>
  <si>
    <t>(구)메가박스 오투</t>
  </si>
  <si>
    <t>금정구 장전로 12번길 55 (장전동 292-4)</t>
  </si>
  <si>
    <t>(구)CGV 부산대</t>
  </si>
  <si>
    <t>기장군 정관읍 정관중앙로 45, 9~11층</t>
  </si>
  <si>
    <t xml:space="preserve">위탁 </t>
  </si>
  <si>
    <t>기장군 정관읍 정관6로 39, 큐엠시네마타워 5층</t>
  </si>
  <si>
    <t xml:space="preserve">부산시 </t>
  </si>
  <si>
    <t xml:space="preserve">기장군 </t>
  </si>
  <si>
    <t>롯데시네마 동부산아울렛</t>
  </si>
  <si>
    <t>기장군 기장해안로 147 동부산롯데몰 3층</t>
  </si>
  <si>
    <t>남구 수영로 305, 5층 (대연동 73-15번지 스파크 5층)</t>
  </si>
  <si>
    <t>동래구 중앙대로 1523, 6층 (온천동 153-8 SK허브스카이 6층)</t>
  </si>
  <si>
    <t xml:space="preserve">동래구 중앙대로 1393 </t>
  </si>
  <si>
    <t>부산진구 동천로 4, 6층 (전포동 892-20 지오플레이스 6층)</t>
  </si>
  <si>
    <t>롯데시네마 부산본점</t>
  </si>
  <si>
    <t>부산진구 가야대로 772 롯데백화점 10층 (부전동 503-15)</t>
  </si>
  <si>
    <t>롯데시네마 서면(전포동)</t>
  </si>
  <si>
    <t>부산진구 동천로 92, 6층 (전포동 668-1번지)</t>
  </si>
  <si>
    <t xml:space="preserve">북구 </t>
  </si>
  <si>
    <t xml:space="preserve">북구 화명대로 16 (화명동 2275-1 센추리빌딩) </t>
  </si>
  <si>
    <t xml:space="preserve">(구)프리머스 화명 </t>
  </si>
  <si>
    <t xml:space="preserve">메가박스 덕천 </t>
  </si>
  <si>
    <t>북구 만덕대로 23 뉴코아아울렛 7~10층</t>
  </si>
  <si>
    <t xml:space="preserve">(구)프리머스 덕천 </t>
  </si>
  <si>
    <t>연제구 종합운동장로 7 (거제2동 1208번지 홈플러스)</t>
  </si>
  <si>
    <t>중구 비프광장로 37 (남포동 5가 12-1)</t>
  </si>
  <si>
    <t>(구)대영시네마</t>
  </si>
  <si>
    <t>중구 비프광장로 36 (남포동 5가 18)</t>
  </si>
  <si>
    <t>(구)부산극장</t>
  </si>
  <si>
    <t xml:space="preserve">중구 </t>
  </si>
  <si>
    <t xml:space="preserve">롯데시네마 광복 </t>
  </si>
  <si>
    <t xml:space="preserve">중구 중앙대로 2 마트/시네마동 9층 </t>
  </si>
  <si>
    <t>해운대구 센텀남대로 35, 7층 (우동 1495번지 신세계센텀시티 7층)</t>
  </si>
  <si>
    <t>해운대구 해운대로 620 (우동)</t>
  </si>
  <si>
    <t>해운대구 센텀남대로 50 롯데백화점 8층 (우동 센텀시티 1496)</t>
  </si>
  <si>
    <t xml:space="preserve">해운대구 해운대로 802, 7층 </t>
  </si>
  <si>
    <t xml:space="preserve">(구)프리머스 해운대 </t>
  </si>
  <si>
    <t>www.dureraum.org</t>
  </si>
  <si>
    <t>달서구 조암로 29, 4~7층</t>
  </si>
  <si>
    <t xml:space="preserve">롯데시네마 상인 </t>
  </si>
  <si>
    <t>달서구 월곡로 247 (상인동)</t>
  </si>
  <si>
    <t>달서구 성서로 414 (이곡동 1244-1)</t>
  </si>
  <si>
    <t>동구 팔공로 49길 16, 3층 (봉무동 1545 롯데몰13층)</t>
  </si>
  <si>
    <t>동구 안심로 80 (율하동 1117)</t>
  </si>
  <si>
    <t>(구)롯데시네마 율하</t>
  </si>
  <si>
    <t xml:space="preserve">동구 </t>
  </si>
  <si>
    <t>동구 동부로 149 신세계백화점</t>
  </si>
  <si>
    <t>(구)메가박스 동대구</t>
  </si>
  <si>
    <t xml:space="preserve">대구시 </t>
  </si>
  <si>
    <t>동구 팔공로 49길 51 메가백스타워 2층</t>
  </si>
  <si>
    <t>북구 동암로 90 (동천동 894-1번지 세븐밸리 5층)</t>
  </si>
  <si>
    <t>(구)CGV 칠곡</t>
  </si>
  <si>
    <t xml:space="preserve">북구 학정로 422 태을빌딩 5층 (구암동 769-1) </t>
  </si>
  <si>
    <t>(구)롯데시네마 칠곡</t>
  </si>
  <si>
    <t>북구 동암로 100 (동천동 895-2)</t>
  </si>
  <si>
    <t xml:space="preserve">서구 달구벌대로 1691 엠프라자 4층 (내당동) </t>
  </si>
  <si>
    <t xml:space="preserve">수성구 </t>
  </si>
  <si>
    <t>수성구 지범로 191, 8층 (범물동 1273)</t>
  </si>
  <si>
    <t xml:space="preserve">(구)프리머스 수성 </t>
  </si>
  <si>
    <t>수성구 유니버시아드로 140 (대흥동 504번지)</t>
  </si>
  <si>
    <t>중구 중앙대로 412 (남일동)</t>
  </si>
  <si>
    <t xml:space="preserve">중구 동성로 39, 7층 (동성로 2가 88-2 씨네시티한일 7층) </t>
  </si>
  <si>
    <t>중구 달구벌대로 2077, 지하2층 (계산동 2가 200번지 지하2층)</t>
  </si>
  <si>
    <t>중구 동성로 2길 95</t>
  </si>
  <si>
    <t>중구 국채보상로 547 (종로1가)</t>
  </si>
  <si>
    <t>55cine.com</t>
  </si>
  <si>
    <t>계양구 장제로 738, 8층 (작전동 899-1 8~11층)</t>
  </si>
  <si>
    <t>(구)CGV인천터미널</t>
  </si>
  <si>
    <t>영화공간 주안</t>
  </si>
  <si>
    <t>www.cinespacejuan.com</t>
  </si>
  <si>
    <t>남동구 예술로 198, 4층 (구월동 1130 씨엔씨빌딩 4층)</t>
  </si>
  <si>
    <t>남동구 논현로 26번길34, 4층 (논현동 646-2 시네마타워4층)</t>
  </si>
  <si>
    <t xml:space="preserve">남동구 </t>
  </si>
  <si>
    <t xml:space="preserve">메가박스 인천논현 </t>
  </si>
  <si>
    <t>남동구 논고개로 61, 6층 (논현동 라피에스타)</t>
  </si>
  <si>
    <t>부평구 마장로 489 (청천동 386)</t>
  </si>
  <si>
    <t xml:space="preserve">인천시 </t>
  </si>
  <si>
    <t>부평구 대정로 66 (부평동 152-1)</t>
  </si>
  <si>
    <t>부평구 광장로 16 (부평동 738-21)</t>
  </si>
  <si>
    <t>서구 청라루비로 76 (경서동 스퀘어세븐 3~4층)</t>
  </si>
  <si>
    <t>서구 청라에메랄드로 99, 지젤M청라 4층</t>
  </si>
  <si>
    <t xml:space="preserve">서구 </t>
  </si>
  <si>
    <t>서구 봉수대로 806</t>
  </si>
  <si>
    <t xml:space="preserve">메가박스 검단 </t>
  </si>
  <si>
    <t xml:space="preserve">서구 서곶로 788 (당하동) 홀리랜드 4층 </t>
  </si>
  <si>
    <t>연수구 벚꽃로 106, 8층 (청학동, 연수광장프라자)</t>
  </si>
  <si>
    <t>연수구 청능대로 210, 4층 (동춘동 926 스퀘어원쇼핑몰 4층)</t>
  </si>
  <si>
    <t>메가박스 송도</t>
  </si>
  <si>
    <t>연수구 송도 과학로 16번길 33-4 트리플 스트리트 D동 2층</t>
  </si>
  <si>
    <t>중구 공항로 272, 지하1층 (운서동 2850)</t>
  </si>
  <si>
    <t>중구 영종대로 184(운서동, 7층)</t>
  </si>
  <si>
    <t>애관극장</t>
  </si>
  <si>
    <t>www.aekwan.co.kr</t>
  </si>
  <si>
    <t>광산구 임방울대로 826번길, 2층 (쌍암동 667-9)</t>
  </si>
  <si>
    <t>광산구 용아로 400번길 30 테라스56 피크닉몰 2층</t>
  </si>
  <si>
    <t>광산구 무진대로 272-8</t>
  </si>
  <si>
    <t>광산구 장신로 98 롯데아울렛 (장신동)</t>
  </si>
  <si>
    <t>메가박스 광주하남</t>
  </si>
  <si>
    <t>광산구 풍영철길로 15 (우산동1587-1)</t>
  </si>
  <si>
    <t>(구)메가박스 콜럼버스 하남</t>
  </si>
  <si>
    <t>광산구 앰코로 35 (쌍암동 688-4)</t>
  </si>
  <si>
    <t xml:space="preserve">광주시 </t>
  </si>
  <si>
    <t>동구 중앙로 163 NC웨이브 11층</t>
  </si>
  <si>
    <t>cafe.naver.com/cinemagwangju/</t>
  </si>
  <si>
    <t>롯데시네마 광주(백화점)</t>
  </si>
  <si>
    <t>동구 독립로 268 롯데백화점 9층 (대인동 7-1)</t>
  </si>
  <si>
    <t xml:space="preserve">롯데시네마 충장로 </t>
  </si>
  <si>
    <t xml:space="preserve">동구 충장로안길 12 (황금동 12-2) </t>
  </si>
  <si>
    <t>북구 우치로 60 (중흥동 362-3)</t>
  </si>
  <si>
    <t xml:space="preserve">북구 문화소통로 170 (용봉동 17-1 굿모닝타운 4층) </t>
  </si>
  <si>
    <t>(구)롯데시네마 상무</t>
  </si>
  <si>
    <t>서구 무진대로 904, 2층~6층 (광천동 49-1 유스퀘어 2~6층)</t>
  </si>
  <si>
    <t>메가박스 광주상무</t>
  </si>
  <si>
    <t>서구 시청로 60번길 21-6 (치평동 1223-3)</t>
  </si>
  <si>
    <t>(구)메가박스 상무</t>
  </si>
  <si>
    <t>동구 동서대로 1689, 3층 (용전동 63-3, 68-2)</t>
  </si>
  <si>
    <t>www.cinei.org</t>
  </si>
  <si>
    <t xml:space="preserve">대전시 </t>
  </si>
  <si>
    <t xml:space="preserve">동구 은어송로 72, 4층 (가오동 72 홈플러스 4층) </t>
  </si>
  <si>
    <t>(구)롯데시네마 대전가오</t>
  </si>
  <si>
    <t>서구 문정로 85</t>
  </si>
  <si>
    <t>롯데시네마 대전(백화점)</t>
  </si>
  <si>
    <t>서구 계룡로 598 롯데백화점 10층 (괴정동 423-1)</t>
  </si>
  <si>
    <t>서구 대덕대로 216</t>
  </si>
  <si>
    <t>서구 문정로 77 로데오타운 5층 (탄방동 746)</t>
  </si>
  <si>
    <t>롯데시네마 대전둔산(월평동)</t>
  </si>
  <si>
    <t>서구 대덕대로 325 스타게이트 12층 (월평동)</t>
  </si>
  <si>
    <t>(구)CGV 대전둔산</t>
  </si>
  <si>
    <t xml:space="preserve">유성구 </t>
  </si>
  <si>
    <t xml:space="preserve">유성구 노은로 144 노은타운 7층 </t>
  </si>
  <si>
    <t xml:space="preserve">(구)씨네위 </t>
  </si>
  <si>
    <t xml:space="preserve">유성구 계룡로 132번길 10, 5층 </t>
  </si>
  <si>
    <t>중구 계백로 1700, 6층 (문화동 1-16 세이백화점 6층)</t>
  </si>
  <si>
    <t>남구 화합로 185, 5층 (삼산동 1569-1 업스퀘어 5층)</t>
  </si>
  <si>
    <t>롯데시네마 울산(백화점)</t>
  </si>
  <si>
    <t>남구 삼산로 288 (삼산동 1480-1)</t>
  </si>
  <si>
    <t>2008-06-13</t>
  </si>
  <si>
    <t>북구 진장유통로 51-10 (진장동)</t>
  </si>
  <si>
    <t>중구 젊음의 거리 73 (성남동 251-8)</t>
  </si>
  <si>
    <t xml:space="preserve">울산시 </t>
  </si>
  <si>
    <t xml:space="preserve">롯데시네마 울산성남 </t>
  </si>
  <si>
    <t>중구 젊음의 2거리 33 리버플레이스 10층 (성남동)</t>
  </si>
  <si>
    <t>(구)CGV 울산</t>
  </si>
  <si>
    <t xml:space="preserve">세종시 </t>
  </si>
  <si>
    <t xml:space="preserve">세종시 도움1로 108 몰리브 7층 </t>
  </si>
  <si>
    <t>세종시 조치원읍 새내로 122 (교리 24-1)</t>
  </si>
  <si>
    <t>(구)메가박스 조치원</t>
  </si>
  <si>
    <t xml:space="preserve">고양시 일산동구 정발산로 24 (장항동 867번지 웨스턴돔 3층) </t>
  </si>
  <si>
    <t>고양시 덕양구 화중로 104번길 28, 3층 (화정동 966-1 시네마플러스 401호)</t>
  </si>
  <si>
    <t>고양시 일산동구 무궁화로 32-34, 3층 (장항동 764, 765 라페스타 C,D동 3층)</t>
  </si>
  <si>
    <t>롯데시네마 주엽</t>
  </si>
  <si>
    <t>고양시 일산서구 중앙로 1436 그랜드백화점 9층 (주엽2동)</t>
  </si>
  <si>
    <t>고양시 덕양구 고양대로 1955 스타필드고양 4층</t>
  </si>
  <si>
    <t>고양시 일산동구 중앙로 1036 고양종합터미널 5층</t>
  </si>
  <si>
    <t>고양시 일산서구 덕이로 20 (덕이동 219-8)</t>
  </si>
  <si>
    <t>메가박스 일산벨라씨타</t>
  </si>
  <si>
    <t>고양시 일단동구 강송로 33, 벨라씨타 2층</t>
  </si>
  <si>
    <t>고양시 일산서구 호수로 817 레이킨스몰 3층 (대화동)</t>
  </si>
  <si>
    <t>광명시 철산로 30번길 14 (철산동 436 덕수빌딩 4층)</t>
  </si>
  <si>
    <t xml:space="preserve">광명시 </t>
  </si>
  <si>
    <t>롯데시네마 광명(광명사거리)</t>
  </si>
  <si>
    <t>광명시 오리로 970 (광명동)</t>
  </si>
  <si>
    <t xml:space="preserve">롯데시네마 광명아울렛 </t>
  </si>
  <si>
    <t>광명시 일직로 17 롯데프리미엄아울렛 광명점 5층</t>
  </si>
  <si>
    <t xml:space="preserve">광주시 중앙로 89-6, 2층 </t>
  </si>
  <si>
    <t>광주시 광주대로 30 2층 (경안동 25-3 광주버스터미널 2층)</t>
  </si>
  <si>
    <t>구리시 경춘로 243</t>
  </si>
  <si>
    <t>(구)롯데시네마 구리</t>
  </si>
  <si>
    <t xml:space="preserve">경기도 </t>
  </si>
  <si>
    <t xml:space="preserve">구리시 동구릉로 136번길 47 </t>
  </si>
  <si>
    <t>군포시 번영로 505</t>
  </si>
  <si>
    <t>(구)롯데시네마 산본</t>
  </si>
  <si>
    <t>군포시 산본동 번영로 485</t>
  </si>
  <si>
    <t xml:space="preserve">김포시 </t>
  </si>
  <si>
    <t xml:space="preserve">김포시 김포한강 11로 288-31 에이스프라자 7층 </t>
  </si>
  <si>
    <t>김포시 김포한강9로 75번길 180, 8층 (구래동 두원타워)</t>
  </si>
  <si>
    <t>남양주시 늘을2로 26 메인씨네마타워 8,9층 (호평동 640)</t>
  </si>
  <si>
    <t xml:space="preserve">메가박스 별내 </t>
  </si>
  <si>
    <t>남양주시 두물로 19 (별내동 황산빌딩)</t>
  </si>
  <si>
    <t xml:space="preserve">남양주시 </t>
  </si>
  <si>
    <t xml:space="preserve">롯데시네마 마석 </t>
  </si>
  <si>
    <t xml:space="preserve">남양주시 화도읍 경춘로 1992 (마석우리 255-24) </t>
  </si>
  <si>
    <t xml:space="preserve">롯데시네마 부천역 </t>
  </si>
  <si>
    <t xml:space="preserve">(구)더잼 </t>
  </si>
  <si>
    <t xml:space="preserve">부천시 </t>
  </si>
  <si>
    <t>성남시 분당구 성남대로 925번길 16, 지하2층 (야탑동 341 테마폴리스빌딩 지하2층)</t>
  </si>
  <si>
    <t>성남시 분당구 판교역로 146번길 20</t>
  </si>
  <si>
    <t>성남시 중원구 성남대로 1136 (성남동 3499)</t>
  </si>
  <si>
    <t>성남시 수정구 산성대로 267 (신흥동 4124)</t>
  </si>
  <si>
    <t>성남시 수정구 위례광장로 104 위례 한화오벨리</t>
  </si>
  <si>
    <t>성남시 분당구 황새울로 32 (서현동 262-2)</t>
  </si>
  <si>
    <t xml:space="preserve">성남시 </t>
  </si>
  <si>
    <t xml:space="preserve">성남시 분당구 서현로 180번길 19 비전월드빌딩 1층 </t>
  </si>
  <si>
    <t>수원시 팔달구 권광로 181, 7층 (인계동 113-11 12번지 7~10)</t>
  </si>
  <si>
    <t>수원시 장안구 경수대로 950, 4층 (조원동 893 아일렛타운 4층)</t>
  </si>
  <si>
    <t>수원시 팔달구 덕영대로 924, 6층 (매산로 1가)</t>
  </si>
  <si>
    <t>수원시 권선구 경수대로 270 (권선동 1189)</t>
  </si>
  <si>
    <t xml:space="preserve">메가박스 수원남문 </t>
  </si>
  <si>
    <t xml:space="preserve">수원시 팔달구 행궁로 71 </t>
  </si>
  <si>
    <t>수원시 영통구 봉영로 1579 롯데쇼핑플라자 5층 (영통동 960-1)</t>
  </si>
  <si>
    <t xml:space="preserve">수원시 </t>
  </si>
  <si>
    <t xml:space="preserve">롯데시네마 광교아울렛 </t>
  </si>
  <si>
    <t>수원시 영통구 도청로 10 (이의동)</t>
  </si>
  <si>
    <t>수원시 권선구 세화로 134 롯데몰수원 5층</t>
  </si>
  <si>
    <t>시흥시 서울대학로 278번길 61 베니스스퀘어 7층</t>
  </si>
  <si>
    <t>시흥시 복지로 90 (대야동 568-1 시네마타워 6층)</t>
  </si>
  <si>
    <t>시흥시 마유로 418번길 10 (정왕동 876-408)</t>
  </si>
  <si>
    <t>메가박스 시흥배곧</t>
  </si>
  <si>
    <t>시흥시 배곧3로 96, M플러스 7층</t>
  </si>
  <si>
    <t xml:space="preserve">안산시 단원구 광덕대로 194 (고잔동 725-1 스타맥스타워 5층) </t>
  </si>
  <si>
    <t>롯데시네마 센트럴락</t>
  </si>
  <si>
    <t xml:space="preserve">안산시 단원구 고잔로 108, 7층 (고잔2동) </t>
  </si>
  <si>
    <t>안산시 상록구 충장로 427 롯데마트 안산점 4층 (성포동 590)</t>
  </si>
  <si>
    <t xml:space="preserve">롯데시네마 안산고잔 </t>
  </si>
  <si>
    <t>안산시 단원구 광덕대로 141 밀레니엄빌딩 7층 (고잔동 717-2)</t>
  </si>
  <si>
    <t xml:space="preserve">(구)메가박스 안산 </t>
  </si>
  <si>
    <t>안산시 단원구 고잔2길 41 (고잔2동 535-1)</t>
  </si>
  <si>
    <t>(구)프리머스 안산메가넥스</t>
  </si>
  <si>
    <t>안성시 아양2로 109 (석정동)</t>
  </si>
  <si>
    <t xml:space="preserve">안성시 </t>
  </si>
  <si>
    <t>안성시 공도읍 서동대로 4478 롯데마트 1층 (양기리 306-1)</t>
  </si>
  <si>
    <t>안양시 동안구 관평로 170번길 33, 8층 (관양동 1606)</t>
  </si>
  <si>
    <t>안양시 만안구 만안로 244 롯데백화점 8층 (안양1동 88-1)</t>
  </si>
  <si>
    <t>안양시 만안구 안양로 311, 프로젝트타워 9~13층</t>
  </si>
  <si>
    <t>(구)CGV 안양</t>
  </si>
  <si>
    <t>롯데시네마 평촌(범계역)</t>
  </si>
  <si>
    <t>안양시 동안구 시민대로 180, 8층 (호계동 1039)</t>
  </si>
  <si>
    <t xml:space="preserve">안양시 </t>
  </si>
  <si>
    <t>안양시 동안구 동안로 119, 11층 (호계동 1139-3 뉴코아아울렛 11층)</t>
  </si>
  <si>
    <t xml:space="preserve">(구)프리머스 평촌 </t>
  </si>
  <si>
    <t xml:space="preserve">롯데시네마 인덕원 </t>
  </si>
  <si>
    <t>안양시 동안구 흥안대로 519번길 아이퍼스트타워 7층 (관양동 1502-6)</t>
  </si>
  <si>
    <t>양주시 고읍남로 6-16 (광사동 651-6)</t>
  </si>
  <si>
    <t xml:space="preserve">양주시 </t>
  </si>
  <si>
    <t>양주시 고읍남로 6-6 해동센트럴타워 9층 (광사동 651)</t>
  </si>
  <si>
    <t>www.ypcinema.com</t>
  </si>
  <si>
    <t>용인시 수지구 광교중앙로 295번길 W스퀘어 2층</t>
  </si>
  <si>
    <t xml:space="preserve">용인시 기흥구 동백죽전대로 444 (중동 833 쥬네브썬월드) </t>
  </si>
  <si>
    <t>용인시 처인구 금령로 86, 5층</t>
  </si>
  <si>
    <t>(구)롯데시네마 용인</t>
  </si>
  <si>
    <t>용인시 기흥구 기흥역로 63</t>
  </si>
  <si>
    <t>의정부시 평화로 525, 10층 (의정부동 168)</t>
  </si>
  <si>
    <t xml:space="preserve">의정부시 시민로 80 (센트럴타워) 15층 </t>
  </si>
  <si>
    <t>의정부시 민락동 민락2지구 206-2,3 해동타워 8~9층</t>
  </si>
  <si>
    <t>메가박스 의정부민락</t>
  </si>
  <si>
    <t>의정부시 오목로 205번길 55</t>
  </si>
  <si>
    <t xml:space="preserve">이천시 </t>
  </si>
  <si>
    <t>이천시 중리천로 58 랜드마크ICC 4층</t>
  </si>
  <si>
    <t xml:space="preserve">메가박스 파주금촌 </t>
  </si>
  <si>
    <t>파주시 중앙로 328 MH타워 4층 (금촌동)</t>
  </si>
  <si>
    <t>메가박스 파주운정</t>
  </si>
  <si>
    <t>파주시 경의로 989,3~4층</t>
  </si>
  <si>
    <t>파주시 문발로 220 이채쇼핑몰 C동 (교하읍 문발리 510-)</t>
  </si>
  <si>
    <t xml:space="preserve">파주시 </t>
  </si>
  <si>
    <t xml:space="preserve">파주시 문산읍 방촌로 1719-10, 3층 </t>
  </si>
  <si>
    <t>평택시 평택로 51, 8층 (평택동 186-3 평택민자역사 8층)</t>
  </si>
  <si>
    <t>평택시 경기대로 279, 10층 (비전2동 830번지)</t>
  </si>
  <si>
    <t>평택시 평남로 862 5~7층(비전동)</t>
  </si>
  <si>
    <t>평택시 관광특구로 17 (서정동 818-35)</t>
  </si>
  <si>
    <t>하남시 위례대로 200</t>
  </si>
  <si>
    <t xml:space="preserve">메가박스 미사강변 </t>
  </si>
  <si>
    <t>하남시 미사강변중앙로 218</t>
  </si>
  <si>
    <t>하남시 미사대로 750, 3층</t>
  </si>
  <si>
    <t>화성시 동탄중앙로 220, 3층 (반송동 96,98번지 메타폴리스복합단지)</t>
  </si>
  <si>
    <t>화성시 동탄대로 537(오산동 라스플로레스 A동 5~8층)</t>
  </si>
  <si>
    <t>화성시 효행로 1052 (병점동 844-1번지)</t>
  </si>
  <si>
    <t>화성시 향남읍 상신하길로 298번길 7-21</t>
  </si>
  <si>
    <t xml:space="preserve">메가박스 동탄 </t>
  </si>
  <si>
    <t xml:space="preserve">화성시 동탄지성로 11(반송동) 7층 </t>
  </si>
  <si>
    <t>강릉시 경강로 2120, 6층~8층 (옥천동 189)</t>
  </si>
  <si>
    <t xml:space="preserve">동해시 한섬로 111-7 현진빌딩 5층 (천곡동) </t>
  </si>
  <si>
    <t>속초시 조양로142번길 20 (조양동 1506-1)</t>
  </si>
  <si>
    <t>yw.scinema.org</t>
  </si>
  <si>
    <t>원주시 서원대로 396 (단구동 1511-2,3)</t>
  </si>
  <si>
    <t>원주시 능라동길 51 씨네시티타워 9층</t>
  </si>
  <si>
    <t>원주시 서원대로 165-3 아트스페이스빌딩 6층 (단계동 873)</t>
  </si>
  <si>
    <t>원주시 황금로 2, 센트럴파크 7층</t>
  </si>
  <si>
    <t xml:space="preserve">원주시 </t>
  </si>
  <si>
    <t>원주시 서원대로 171, 7층 (단계동)</t>
  </si>
  <si>
    <t>jeongseon.scinema.org</t>
  </si>
  <si>
    <t>춘천시 지석로 80, 3층~8층 (퇴계동 1017투탑시티 3층~8층)</t>
  </si>
  <si>
    <t xml:space="preserve">메가박스 남춘천 </t>
  </si>
  <si>
    <t xml:space="preserve">춘천시 춘천로 17번길 17 </t>
  </si>
  <si>
    <t>hongcheon.ccine.co.kr</t>
  </si>
  <si>
    <t>www.sancheoneocinema.co.kr</t>
  </si>
  <si>
    <t>제천시 의병대로 18길 1 (남천동 1145)</t>
  </si>
  <si>
    <t>(구)제천TTC7</t>
  </si>
  <si>
    <t xml:space="preserve">진천군 </t>
  </si>
  <si>
    <t xml:space="preserve">메가박스 진천 </t>
  </si>
  <si>
    <t>진천군 진천읍 중앙북1길 3 진천터미널</t>
  </si>
  <si>
    <t>청주시 상당구 상당로 81번길 33 (북문로1가 170-1)</t>
  </si>
  <si>
    <t>청주시 상당구 상당로 81번길 63 (서문동 29-2)</t>
  </si>
  <si>
    <t>청주시 상당구 충청대로 114 (율량동 500-3)</t>
  </si>
  <si>
    <t>(구)SFX시네마</t>
  </si>
  <si>
    <t xml:space="preserve">충청북도 </t>
  </si>
  <si>
    <t xml:space="preserve">청주시 흥덕구 대농로 47-1 </t>
  </si>
  <si>
    <t>롯데시네마 서청주(아울렛)</t>
  </si>
  <si>
    <t>청주시 흥덕구 2순환로 1004 (비하동 332-1)</t>
  </si>
  <si>
    <t>청주시 상당구 1순환로 1233</t>
  </si>
  <si>
    <t xml:space="preserve">메가박스 오창 </t>
  </si>
  <si>
    <t>청주시 청원구 오창읍 중심상업1로 8-9 메가시티 4층</t>
  </si>
  <si>
    <t>청주시 서원구 1순환로 682</t>
  </si>
  <si>
    <t xml:space="preserve">메가박스 충주 </t>
  </si>
  <si>
    <t>충주시 성서3길 19 (성서동 273)</t>
  </si>
  <si>
    <t xml:space="preserve">씨네Q 충주연수 </t>
  </si>
  <si>
    <t>충주시 번영대로 211 아토몰 3층</t>
  </si>
  <si>
    <t>공주시 흑수골길 12 (신관동 248-3)</t>
  </si>
  <si>
    <t>당진시 우두1로 88 (읍내동)</t>
  </si>
  <si>
    <t xml:space="preserve">보령시 </t>
  </si>
  <si>
    <t>보령시 대천동 대흥로 51</t>
  </si>
  <si>
    <t>(구)메가박스 보령</t>
  </si>
  <si>
    <t>서산시 안견로 243 (동문동)</t>
  </si>
  <si>
    <t>서산시 율지18로 38 (동문동 193-1)</t>
  </si>
  <si>
    <t xml:space="preserve">롯데시네마 아산터미널 </t>
  </si>
  <si>
    <t>아산시 번영로 225</t>
  </si>
  <si>
    <t>천안시 동남구 명동길 47, 5층 (대흥동102-10번지 5층)</t>
  </si>
  <si>
    <t xml:space="preserve">충청남도 </t>
  </si>
  <si>
    <t>천안시 서북구 공원로 196, 5층 (불당동 1289 펜타포트 주상복합상가 5층)</t>
  </si>
  <si>
    <t>천안시 서북구 1공단1길 52 센트하임 3층 (두정동 68-1)</t>
  </si>
  <si>
    <t>홍성군 홍성읍 고암리 1042</t>
  </si>
  <si>
    <t xml:space="preserve">메가박스 홍성내포 </t>
  </si>
  <si>
    <t>홍성군 홍북읍 청사로 174번길 2, 6층</t>
  </si>
  <si>
    <t>군산시 백토로 166, 3층 (나운동)</t>
  </si>
  <si>
    <t>군산시 백토로 198 (나운동 114-34)</t>
  </si>
  <si>
    <t>(구)CGV군산</t>
  </si>
  <si>
    <t>wanjumovie.kr</t>
  </si>
  <si>
    <t>익산시 무왕로 1052, 3층~5층 (영등동 149-1)</t>
  </si>
  <si>
    <t>전주시 완산구 홍산로 260 엠스퀘어 6층</t>
  </si>
  <si>
    <t>전주시 완산구 전주객사 3길 72</t>
  </si>
  <si>
    <t>전주시 완산구 용머리로 45 (Mall of Hyoja 2층)</t>
  </si>
  <si>
    <t>IMAX, ScreenX</t>
  </si>
  <si>
    <t>롯데시네마 전주(백화점)</t>
  </si>
  <si>
    <t>전주시 완산구 온고을로 2 (서신동 971)</t>
  </si>
  <si>
    <t>전주시 완산구 백제대로 10 (평화동 1가 604-1)</t>
  </si>
  <si>
    <t>전주시 전주객사4길 74-10 (고사동 181)</t>
  </si>
  <si>
    <t>www.jcinema.co.kr</t>
  </si>
  <si>
    <t xml:space="preserve">전라북도 </t>
  </si>
  <si>
    <t xml:space="preserve">정읍시 </t>
  </si>
  <si>
    <t>정읍시 중앙1길 1</t>
  </si>
  <si>
    <t>jinan.scinema.org</t>
  </si>
  <si>
    <t>광양시 금호로 26 몰오브광양 2~3층</t>
  </si>
  <si>
    <t>광양시 광양읍 순광로 466 LF스퀘어 3층 가든동</t>
  </si>
  <si>
    <t>나주시 상야4길 16-16(빛가람동)</t>
  </si>
  <si>
    <t>목포시 교육로 63 (상동 892)</t>
  </si>
  <si>
    <t>목포시 원형동로 53, 5층</t>
  </si>
  <si>
    <t>목포시 옥암로 95 포르모쇼핑몰 (상동 860-1)</t>
  </si>
  <si>
    <t>(구)프리머스 목포</t>
  </si>
  <si>
    <t>순천시 장명로 22, 2층~6층 (장천동 54-1)</t>
  </si>
  <si>
    <t>순천시 해룡면 해광로 199</t>
  </si>
  <si>
    <t>(구)메가박스 신대(순천)</t>
  </si>
  <si>
    <t>순천시 충효로 15 제701호 (덕암동 151)</t>
  </si>
  <si>
    <t>(구)롯데시네마 순천</t>
  </si>
  <si>
    <t>여수시 웅천로 19-35, 2~8층 (웅천동)</t>
  </si>
  <si>
    <t xml:space="preserve">여수시 신월로 96, 3층 </t>
  </si>
  <si>
    <t>jangheung.scinema.org</t>
  </si>
  <si>
    <t>경산시 강변동로 278 (대평동 278)</t>
  </si>
  <si>
    <t>메가박스 경산하양</t>
  </si>
  <si>
    <t>경산시 하양읍 대경로 765</t>
  </si>
  <si>
    <t>경주시 계림로 83 (노동동)</t>
  </si>
  <si>
    <t>씨네Q 경주보문</t>
  </si>
  <si>
    <t>경주시 보문로 465-67</t>
  </si>
  <si>
    <t>gr.scinema.org</t>
  </si>
  <si>
    <t>구미시 구미중앙로 44, 4층 (원평동 68-1번지)</t>
  </si>
  <si>
    <t>구미시 산호대로 233, 4층 (공단동 253-2)</t>
  </si>
  <si>
    <t>구미시 구미중앙로 17길 16 (원평동 147-9)</t>
  </si>
  <si>
    <t>(구)메가박스 구미</t>
  </si>
  <si>
    <t>구미시 인동가산로 14 시네마월드 7층 (진평동 1023-1)</t>
  </si>
  <si>
    <t>씨네Q 구미봉곡</t>
  </si>
  <si>
    <t>구미시 야은로 296</t>
  </si>
  <si>
    <t>김천시 혁신2로 15</t>
  </si>
  <si>
    <t xml:space="preserve">메가박스 김천 </t>
  </si>
  <si>
    <t>김천시 김천로 74 (평화동 245-82)</t>
  </si>
  <si>
    <t xml:space="preserve">(구)프리머스 김천 </t>
  </si>
  <si>
    <t xml:space="preserve">메가박스 문경 </t>
  </si>
  <si>
    <t>문경시 모전로 65 홈플러스 1층</t>
  </si>
  <si>
    <t>중앙시네마</t>
  </si>
  <si>
    <t xml:space="preserve">안동시 </t>
  </si>
  <si>
    <t xml:space="preserve">안동시 경동로 841 </t>
  </si>
  <si>
    <t>(구)롯데시네마 안동</t>
  </si>
  <si>
    <t>영주시 구성로 417</t>
  </si>
  <si>
    <t>포항시 북구 서동로 93 (덕산동 235-4)</t>
  </si>
  <si>
    <t xml:space="preserve">포항시 남구 중흥로 77, 7층 (상도동 582번지) </t>
  </si>
  <si>
    <t>포항시 북구 중앙상가길 16 (대흥동 563-3)</t>
  </si>
  <si>
    <t>포항시 남구 오천읍 하원로 47번길 9</t>
  </si>
  <si>
    <t>거제시 장평로 6층 (고현동 958-15 디큐브백화점 6층)</t>
  </si>
  <si>
    <t xml:space="preserve">거창군 </t>
  </si>
  <si>
    <t>거창군 거창읍 중앙로 1길1(고센시티 9층)</t>
  </si>
  <si>
    <t>김해시 내외중앙로 137, 4층 (내동 1131-4 휴앤락 4층)</t>
  </si>
  <si>
    <t xml:space="preserve">김해시 삼문로 12 </t>
  </si>
  <si>
    <t xml:space="preserve">김해시 </t>
  </si>
  <si>
    <t xml:space="preserve">김해시 김해대로 2352번길 아이스퀘어 3층 </t>
  </si>
  <si>
    <t xml:space="preserve">경상남도 </t>
  </si>
  <si>
    <t>롯데시네마 김해아울렛(장유)</t>
  </si>
  <si>
    <t xml:space="preserve">김해시 장유로 469 롯데아울렛 신관 (장유면 신문리 75-5) </t>
  </si>
  <si>
    <t xml:space="preserve">사천시 </t>
  </si>
  <si>
    <t>사천시 사천읍 항공로 6</t>
  </si>
  <si>
    <t>사천시 해안관광로 109-10, 아르떼리조트 본관 4층</t>
  </si>
  <si>
    <t>양산시 물금읍 백호로 68</t>
  </si>
  <si>
    <t>메가박스 양산</t>
  </si>
  <si>
    <t>양산시 강변로 440</t>
  </si>
  <si>
    <t>(구)롯데시네마 양산</t>
  </si>
  <si>
    <t>롯데시네마 엠비씨네(진주)</t>
  </si>
  <si>
    <t xml:space="preserve">진주시 가호로 13 MBC경남 </t>
  </si>
  <si>
    <t>롯데시네마 진주혁신(롯데몰)</t>
  </si>
  <si>
    <t>진주시 동진로 440</t>
  </si>
  <si>
    <t>창원시 마산회원구 3.15대로 736, 8층 (합성동 126-4 보보스존빌딩)</t>
  </si>
  <si>
    <t>창원시 의창구 창원대로 397번길 6, 8층~11층 (의창구 팔용동 30-1 파비뉴21)</t>
  </si>
  <si>
    <t>창원시 마산회원구 3.15대로 750 (합성동 267)</t>
  </si>
  <si>
    <t xml:space="preserve">롯데시네마 진해 </t>
  </si>
  <si>
    <t>창원시 진해구 진해대로 752 (석동 543-3)</t>
  </si>
  <si>
    <t>창원시 성산구 중앙대로 124 (상남동 79)</t>
  </si>
  <si>
    <t xml:space="preserve">메가박스 마산 </t>
  </si>
  <si>
    <t>창원시 마산합포구 해안대로 51 유로스퀘어 6층</t>
  </si>
  <si>
    <t>창원시 성산구 용지로 58 메가플렉스 8층 (중앙동 99-1)</t>
  </si>
  <si>
    <t>통영시 원문로 27, 5층(북신동)</t>
  </si>
  <si>
    <t>롯데시네마 통영</t>
  </si>
  <si>
    <t>통영시 안개로 37 (무전동)</t>
  </si>
  <si>
    <t>서귀포시 월드컵로 31 (법환동 914)</t>
  </si>
  <si>
    <t>제주시 서광로 288, 2층~7층 (이도2동 1776-3)</t>
  </si>
  <si>
    <t>제주시 노형로 407 노형타워 5층</t>
  </si>
  <si>
    <t>(구)롯데시네마 제주</t>
  </si>
  <si>
    <t>롯데시네마 제주삼화지구</t>
  </si>
  <si>
    <t>제주시 삼봉로 11 (삼양2동 1477-8)</t>
  </si>
  <si>
    <t xml:space="preserve">제주시 </t>
  </si>
  <si>
    <t>제주시 구산로 4 (아라1동 2574)</t>
  </si>
  <si>
    <t>군산시 조촌로 130(조촌동)</t>
  </si>
  <si>
    <t>~</t>
    <phoneticPr fontId="2" type="noConversion"/>
  </si>
  <si>
    <t>yangyang.scinema.org</t>
  </si>
  <si>
    <t>gohan.scinema.org</t>
  </si>
  <si>
    <t>happy700.scinema.org</t>
  </si>
  <si>
    <t>경기도 가평군 가평읍 석봉로 100</t>
  </si>
  <si>
    <t>031-582-3909</t>
  </si>
  <si>
    <t>www.1939cinema.com</t>
  </si>
  <si>
    <t>pocheon.scinema.org</t>
  </si>
  <si>
    <t>cafe.naver.com/joongangcinema</t>
  </si>
  <si>
    <t>blog.naver.com/pohangcf</t>
  </si>
  <si>
    <t>artmovie.co.kr</t>
  </si>
  <si>
    <t>cafe.naver.com/eivomtheater</t>
  </si>
  <si>
    <t>www.forest6.co.kr</t>
  </si>
  <si>
    <t>02-730-5604</t>
    <phoneticPr fontId="3" type="noConversion"/>
  </si>
  <si>
    <t>www.hhiarts.co.kr</t>
  </si>
  <si>
    <t>www.milimcine.com</t>
  </si>
  <si>
    <t>naturaldreampark.co.kr</t>
  </si>
  <si>
    <t>cinema.gimje.go.kr</t>
  </si>
  <si>
    <t>Comfort</t>
    <phoneticPr fontId="2" type="noConversion"/>
  </si>
  <si>
    <t>MX</t>
    <phoneticPr fontId="2" type="noConversion"/>
  </si>
  <si>
    <t>4D</t>
    <phoneticPr fontId="2" type="noConversion"/>
  </si>
  <si>
    <t>Cine &amp; Foret</t>
    <phoneticPr fontId="2" type="noConversion"/>
  </si>
  <si>
    <t>Cine de Chef</t>
    <phoneticPr fontId="2" type="noConversion"/>
  </si>
  <si>
    <t>좌석</t>
    <phoneticPr fontId="2" type="noConversion"/>
  </si>
  <si>
    <t>총계</t>
    <phoneticPr fontId="2" type="noConversion"/>
  </si>
  <si>
    <t>광역단체</t>
    <phoneticPr fontId="2" type="noConversion"/>
  </si>
  <si>
    <r>
      <rPr>
        <sz val="10"/>
        <color theme="1"/>
        <rFont val="맑은 고딕"/>
        <family val="3"/>
        <charset val="129"/>
        <scheme val="minor"/>
      </rPr>
      <t>전주시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덕진구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동부대로</t>
    </r>
    <r>
      <rPr>
        <sz val="10"/>
        <rFont val="맑은 고딕"/>
        <family val="3"/>
        <charset val="129"/>
        <scheme val="minor"/>
      </rPr>
      <t xml:space="preserve"> 1215 (</t>
    </r>
    <r>
      <rPr>
        <sz val="10"/>
        <color theme="1"/>
        <rFont val="맑은 고딕"/>
        <family val="3"/>
        <charset val="129"/>
        <scheme val="minor"/>
      </rPr>
      <t>송천동</t>
    </r>
    <r>
      <rPr>
        <sz val="10"/>
        <rFont val="맑은 고딕"/>
        <family val="3"/>
        <charset val="129"/>
        <scheme val="minor"/>
      </rPr>
      <t xml:space="preserve"> 2</t>
    </r>
    <r>
      <rPr>
        <sz val="10"/>
        <color theme="1"/>
        <rFont val="맑은 고딕"/>
        <family val="3"/>
        <charset val="129"/>
        <scheme val="minor"/>
      </rPr>
      <t>가</t>
    </r>
    <r>
      <rPr>
        <sz val="10"/>
        <rFont val="맑은 고딕"/>
        <family val="3"/>
        <charset val="129"/>
        <scheme val="minor"/>
      </rPr>
      <t xml:space="preserve"> 661-15)</t>
    </r>
  </si>
  <si>
    <t>씨네Q</t>
    <phoneticPr fontId="2" type="noConversion"/>
  </si>
  <si>
    <t>독립예술영화전용관명</t>
    <phoneticPr fontId="2" type="noConversion"/>
  </si>
  <si>
    <t>아르떼 클래식</t>
  </si>
  <si>
    <t>1관/2관</t>
    <phoneticPr fontId="2" type="noConversion"/>
  </si>
  <si>
    <t>-</t>
    <phoneticPr fontId="2" type="noConversion"/>
  </si>
  <si>
    <t>번호</t>
    <phoneticPr fontId="2" type="noConversion"/>
  </si>
  <si>
    <t>독립예술영화
전용관 여부</t>
    <phoneticPr fontId="2" type="noConversion"/>
  </si>
  <si>
    <t>비고</t>
    <phoneticPr fontId="2" type="noConversion"/>
  </si>
  <si>
    <t>01관</t>
  </si>
  <si>
    <t>Y</t>
  </si>
  <si>
    <t>N</t>
  </si>
  <si>
    <t>02관</t>
  </si>
  <si>
    <t>03관</t>
  </si>
  <si>
    <t>04관</t>
  </si>
  <si>
    <t>05관</t>
  </si>
  <si>
    <t>06관</t>
  </si>
  <si>
    <t>07관</t>
  </si>
  <si>
    <t>08관</t>
  </si>
  <si>
    <t>09관</t>
  </si>
  <si>
    <t>메가박스 남춘천</t>
  </si>
  <si>
    <t>메가박스 일산벨라시타</t>
  </si>
  <si>
    <t>메가박스 별내</t>
  </si>
  <si>
    <t>메가박스 부천스타필드시티</t>
  </si>
  <si>
    <t>메가박스 수원남문</t>
  </si>
  <si>
    <t>Y</t>
    <phoneticPr fontId="2" type="noConversion"/>
  </si>
  <si>
    <t>메가박스 용인테크노밸리</t>
  </si>
  <si>
    <t>메가박스 파주금촌</t>
  </si>
  <si>
    <t>메가박스 미사강변</t>
  </si>
  <si>
    <t>메가박스 동탄</t>
  </si>
  <si>
    <t>메가박스 양산라피에스타</t>
  </si>
  <si>
    <t>메가박스 마산</t>
  </si>
  <si>
    <t>메가박스 김천</t>
  </si>
  <si>
    <t>메가박스 문경</t>
  </si>
  <si>
    <t>메가박스 경북도청</t>
  </si>
  <si>
    <t>10관</t>
  </si>
  <si>
    <t>메가박스 대전중앙로</t>
  </si>
  <si>
    <t>메가박스 덕천</t>
  </si>
  <si>
    <t>1관</t>
  </si>
  <si>
    <t>TABLE관</t>
  </si>
  <si>
    <t>소상영관 A</t>
  </si>
  <si>
    <t>소상영관 B</t>
  </si>
  <si>
    <t>메가박스 화곡</t>
  </si>
  <si>
    <t>메가박스 홍대</t>
  </si>
  <si>
    <t>연기군</t>
  </si>
  <si>
    <t>메가박스 인천논현</t>
  </si>
  <si>
    <t>메가박스 홍성내포</t>
  </si>
  <si>
    <t>메가박스 오창</t>
  </si>
  <si>
    <t>메가박스 충주</t>
  </si>
  <si>
    <t>11관</t>
  </si>
  <si>
    <t>N</t>
    <phoneticPr fontId="2" type="noConversion"/>
  </si>
  <si>
    <t>Cine Comfort</t>
  </si>
  <si>
    <t>롯데시네마 광명</t>
  </si>
  <si>
    <t>롯데시네마 광명아울렛</t>
  </si>
  <si>
    <t>롯데시네마 마석</t>
  </si>
  <si>
    <t>롯데시네마 부천역</t>
  </si>
  <si>
    <t>롯데시네마 광교아울렛</t>
  </si>
  <si>
    <t>롯데시네마 센트럴락(안산)</t>
  </si>
  <si>
    <t>Charlotte</t>
  </si>
  <si>
    <t>롯데시네마 안산고잔</t>
  </si>
  <si>
    <t>롯데시네마 인덕원</t>
  </si>
  <si>
    <t>롯데시네마 수지</t>
  </si>
  <si>
    <t>롯데시네마 용인역북</t>
  </si>
  <si>
    <t>롯데시네마 김해아울렛</t>
  </si>
  <si>
    <t>롯데시네마 진주혁신</t>
  </si>
  <si>
    <t>롯데시네마 진해</t>
  </si>
  <si>
    <t>롯데시네마 충장로</t>
  </si>
  <si>
    <t>롯데시네마 상인</t>
  </si>
  <si>
    <t>롯데시네마 대구현풍</t>
  </si>
  <si>
    <t>롯데시네마 대구율하</t>
  </si>
  <si>
    <t>롯데시네마 대전관저</t>
  </si>
  <si>
    <t>롯데시네마 오투(부산대)</t>
  </si>
  <si>
    <t>롯데시네마 동부산(아울렛)</t>
  </si>
  <si>
    <t>롯데시네마 광복</t>
  </si>
  <si>
    <t>롯데시네마 가산디지털</t>
  </si>
  <si>
    <t>롯데시네마 수락산</t>
  </si>
  <si>
    <t>롯데시네마 월드타워</t>
  </si>
  <si>
    <t>14관</t>
  </si>
  <si>
    <t>16관</t>
  </si>
  <si>
    <t>17관</t>
  </si>
  <si>
    <t>18관</t>
  </si>
  <si>
    <t>롯데시네마 울산성남</t>
  </si>
  <si>
    <t>롯데시네마 영종하늘도시</t>
  </si>
  <si>
    <t>롯데시네마 익산모현</t>
  </si>
  <si>
    <t>롯데시네마 제주아라</t>
  </si>
  <si>
    <t>롯데시네마 아산터미널</t>
  </si>
  <si>
    <t>롯데시네마 충주</t>
  </si>
  <si>
    <t>IMAX관</t>
  </si>
  <si>
    <t>12관</t>
  </si>
  <si>
    <t>GS관</t>
  </si>
  <si>
    <t>GH관</t>
  </si>
  <si>
    <t>4DX관</t>
  </si>
  <si>
    <t>ART1관</t>
  </si>
  <si>
    <t>ART2관</t>
  </si>
  <si>
    <t>13관</t>
  </si>
  <si>
    <t>6층 2관</t>
  </si>
  <si>
    <t>6층 3관</t>
  </si>
  <si>
    <t>6층 4관</t>
  </si>
  <si>
    <t>6층 5관</t>
  </si>
  <si>
    <t>8층 6관</t>
  </si>
  <si>
    <t>8층 7관</t>
  </si>
  <si>
    <t>8층 8관</t>
  </si>
  <si>
    <t xml:space="preserve">10관 </t>
  </si>
  <si>
    <t>아트하우스 ART1관</t>
  </si>
  <si>
    <t>아트하우스 ART2관</t>
  </si>
  <si>
    <t>강릉독립예술극장 신영</t>
  </si>
  <si>
    <t>양양 작은영화관</t>
  </si>
  <si>
    <t>HAPPY700 평창시네마</t>
  </si>
  <si>
    <t>홍천시네마</t>
  </si>
  <si>
    <t>횡성시네마</t>
  </si>
  <si>
    <t>동광극장(구 문화극장3관)</t>
  </si>
  <si>
    <t>한국만화영상진흥원</t>
  </si>
  <si>
    <t>만화영화상영관</t>
  </si>
  <si>
    <t>명화극장</t>
  </si>
  <si>
    <t>고전</t>
  </si>
  <si>
    <t>양평시네마</t>
  </si>
  <si>
    <t>헤이리시네마</t>
  </si>
  <si>
    <t>보물섬시네마</t>
  </si>
  <si>
    <t>씨네아트 리좀</t>
  </si>
  <si>
    <t>합천시네마</t>
  </si>
  <si>
    <t>대가야시네마</t>
  </si>
  <si>
    <t>영양 작은영화관</t>
  </si>
  <si>
    <t>광주독립영화관</t>
  </si>
  <si>
    <t>대구독립영화전용관 오오극장</t>
  </si>
  <si>
    <t>오오</t>
  </si>
  <si>
    <t>영화의전당</t>
  </si>
  <si>
    <t>시네마테크관</t>
  </si>
  <si>
    <t>소극장</t>
  </si>
  <si>
    <t>중극장</t>
  </si>
  <si>
    <t>인디플러스 영화의 전당</t>
  </si>
  <si>
    <t>이봄씨어터</t>
  </si>
  <si>
    <t>KU시네마테크</t>
  </si>
  <si>
    <t>더숲 아트시네마</t>
  </si>
  <si>
    <t>아트나인</t>
  </si>
  <si>
    <t>0관</t>
  </si>
  <si>
    <t>9관</t>
  </si>
  <si>
    <t>인디스페이스</t>
  </si>
  <si>
    <t>알프스시네마</t>
  </si>
  <si>
    <t>구례자연드림시네마</t>
  </si>
  <si>
    <t>진도아리랑 시네마</t>
  </si>
  <si>
    <t>고창문화원 동리시네마</t>
  </si>
  <si>
    <t>천재의 공간 영화산책</t>
  </si>
  <si>
    <t>조이아트시네마</t>
  </si>
  <si>
    <t>조이앤시네마 전주점</t>
  </si>
  <si>
    <t>마이골작은영화관</t>
  </si>
  <si>
    <t>명보시네마</t>
  </si>
  <si>
    <t>스타박스</t>
  </si>
  <si>
    <t>예산시네마</t>
  </si>
  <si>
    <t>태안시네마</t>
  </si>
  <si>
    <t>괴산자연드림파크 괴산극장</t>
  </si>
  <si>
    <t>01관</t>
    <phoneticPr fontId="2" type="noConversion"/>
  </si>
  <si>
    <t>Cine de Chef</t>
  </si>
  <si>
    <t>작은영화관 여부</t>
    <phoneticPr fontId="2" type="noConversion"/>
  </si>
  <si>
    <t>1관</t>
    <phoneticPr fontId="2" type="noConversion"/>
  </si>
  <si>
    <t>2관</t>
    <phoneticPr fontId="2" type="noConversion"/>
  </si>
  <si>
    <t>구분</t>
    <phoneticPr fontId="2" type="noConversion"/>
  </si>
  <si>
    <t> 운영 형태</t>
  </si>
  <si>
    <t>직영극장 수</t>
    <phoneticPr fontId="2" type="noConversion"/>
  </si>
  <si>
    <t>직영 비중</t>
    <phoneticPr fontId="2" type="noConversion"/>
  </si>
  <si>
    <t>위탁극장 수</t>
    <phoneticPr fontId="2" type="noConversion"/>
  </si>
  <si>
    <t>위탁 비중</t>
    <phoneticPr fontId="2" type="noConversion"/>
  </si>
  <si>
    <t>지역</t>
    <phoneticPr fontId="2" type="noConversion"/>
  </si>
  <si>
    <t>스크린수</t>
    <phoneticPr fontId="2" type="noConversion"/>
  </si>
  <si>
    <t>지역분포</t>
    <phoneticPr fontId="2" type="noConversion"/>
  </si>
  <si>
    <t>세종</t>
  </si>
  <si>
    <t>경남</t>
  </si>
  <si>
    <t>Starium</t>
    <phoneticPr fontId="2" type="noConversion"/>
  </si>
  <si>
    <t>Super S</t>
    <phoneticPr fontId="2" type="noConversion"/>
  </si>
  <si>
    <t>Super 4D</t>
    <phoneticPr fontId="2" type="noConversion"/>
  </si>
  <si>
    <t>Megabox Kids</t>
    <phoneticPr fontId="2" type="noConversion"/>
  </si>
  <si>
    <t>Cine &amp; Living Room</t>
    <phoneticPr fontId="2" type="noConversion"/>
  </si>
  <si>
    <t>Cine Couple</t>
    <phoneticPr fontId="2" type="noConversion"/>
  </si>
  <si>
    <t>Gold Class</t>
    <phoneticPr fontId="2" type="noConversion"/>
  </si>
  <si>
    <t xml:space="preserve"> The Boutique</t>
    <phoneticPr fontId="2" type="noConversion"/>
  </si>
  <si>
    <t>Charlotte</t>
    <phoneticPr fontId="2" type="noConversion"/>
  </si>
  <si>
    <t>Premium</t>
    <phoneticPr fontId="2" type="noConversion"/>
  </si>
  <si>
    <t>Reserve &amp; Suite</t>
    <phoneticPr fontId="2" type="noConversion"/>
  </si>
  <si>
    <t xml:space="preserve">ScreenX </t>
  </si>
  <si>
    <t>Cine &amp; Foret</t>
  </si>
  <si>
    <t>Cine Comfort</t>
    <phoneticPr fontId="2" type="noConversion"/>
  </si>
  <si>
    <t>Kids관</t>
  </si>
  <si>
    <t>Cine &amp; Living Room</t>
  </si>
  <si>
    <t>SphereX관</t>
  </si>
  <si>
    <t>SphereX</t>
  </si>
  <si>
    <t>춘천시 춘천로 17번길 17</t>
  </si>
  <si>
    <t>고양시 일산동구 정발산로 24 (장항동 867번지 웨스턴돔 3층)</t>
  </si>
  <si>
    <t>광주시 중앙로 89-6, 2층</t>
  </si>
  <si>
    <t>구리시 동구릉로 136번길 47</t>
  </si>
  <si>
    <t>김포시 걸포로 6 케이탑리츠빌딩 7~8층 (걸포동 1574-3)</t>
  </si>
  <si>
    <t>김포시 김포한강 11로 288-31 에이스프라자 7층</t>
  </si>
  <si>
    <t>부천시 길주로 180, 5층 (중동 1164 로담코 플라자 5~7층)</t>
  </si>
  <si>
    <t>부천시 부천로 11 (심곡동)</t>
  </si>
  <si>
    <t>부천시 송내대로 239, 6층 (상동 539-1 소풍 6,7층)</t>
  </si>
  <si>
    <t>부천시 경인로 505, 6층 (괴안동 역곡하이뷰 6층)</t>
  </si>
  <si>
    <t>부천시 길주로 289 (중동 1141-2)</t>
  </si>
  <si>
    <t>부천시 옥길로1 (옥길동 768)</t>
  </si>
  <si>
    <t>성남시 분당구 서현로 180번길 19 비전월드빌딩 1층</t>
  </si>
  <si>
    <t>수원시 권선구 금곡로 219 (금곡동 1114-1번지)</t>
  </si>
  <si>
    <t>수원시 팔달구 행궁로 71</t>
  </si>
  <si>
    <t>안산시 단원구 광덕대로 194 (고잔동 725-1 스타맥스타워 5층)</t>
  </si>
  <si>
    <t>안산시 단원구 고잔로 108, 7층 (고잔2동)</t>
  </si>
  <si>
    <t>오산시 원동로 37번길 46 (원동 763-21 오산시네마타운)</t>
  </si>
  <si>
    <t>오산시 원동로 22 르마레시티 3층 (원동 335-10)</t>
  </si>
  <si>
    <t>용인시 기흥구 동백죽전대로 444 (중동 833 쥬네브썬월드)</t>
  </si>
  <si>
    <t>용인시 수지구 성복2로 38 롯데몰 수지점 5층</t>
  </si>
  <si>
    <t>용인시 처인구 중부대로 1294 더와이스퀘어 5층(역북동)</t>
  </si>
  <si>
    <t>용인시 기흥구 구성로 357 용인테크노밸리A동 지하1층 (청덕동)</t>
  </si>
  <si>
    <t>의정부시 시민로 80 (센트럴타워) 15층</t>
  </si>
  <si>
    <t>파주시 문산읍 방촌로 1719-10, 3층</t>
  </si>
  <si>
    <t>화성시 봉담읍 동화길 51, 2층 (동화리)</t>
  </si>
  <si>
    <t>화성시 동탄지성로 11(반송동) 7층</t>
  </si>
  <si>
    <t>김해시 삼문로 12</t>
  </si>
  <si>
    <t>김해시 김해대로 2352번길 아이스퀘어 3층</t>
  </si>
  <si>
    <t>김해시 장유로 469 롯데아울렛 신관 (장유면 신문리 75-5)</t>
  </si>
  <si>
    <t>양산시 물금읍 증산역로 177(가촌리)</t>
  </si>
  <si>
    <t>진주시 가호로 13 MBC경남</t>
  </si>
  <si>
    <t>창원시 마산합포구 해안대로 7 남부시네마타운 (월남동 5가 4-1)</t>
  </si>
  <si>
    <t>창원시 의창구 원이대로 332 (두대동 1B1L 더시티세븐)</t>
  </si>
  <si>
    <t>안동시 경동로 841</t>
  </si>
  <si>
    <t>안동시 경북대로 418 A동 401/501호 (옥동 테마프라자)</t>
  </si>
  <si>
    <t>예천군 호명면 새움3로 70 (산합리)</t>
  </si>
  <si>
    <t>동구 충장로안길 12 (황금동 12-2)</t>
  </si>
  <si>
    <t>북구 문화소통로 170 (용봉동 17-1 굿모닝타운 4층)</t>
  </si>
  <si>
    <t>달성군 현풍읍 테크노상업로 62 센터빌타워 4층 (현풍읍 중리)</t>
  </si>
  <si>
    <t>북구 학정로 422 태을빌딩 5층 (구암동 769-1)</t>
  </si>
  <si>
    <t>서구 달구벌대로 1691 엠프라자 4층 (내당동)</t>
  </si>
  <si>
    <t>중구 동성로 39, 7층 (동성로 2가 88-2 씨네시티한일 7층)</t>
  </si>
  <si>
    <t>동구 은어송로 72, 4층 (가오동 72 홈플러스 4층)</t>
  </si>
  <si>
    <t>서구 도안동로11번길 45, U플라자 5~6층(가수원동)</t>
  </si>
  <si>
    <t>서구 봉우로8번길 23, 5층 (관저동 1735)</t>
  </si>
  <si>
    <t>유성구 노은로 144 노은타운 7층</t>
  </si>
  <si>
    <t>유성구 계룡로 132번길 10, 5층</t>
  </si>
  <si>
    <t>중구 중앙로 126(대흥동)</t>
  </si>
  <si>
    <t>동래구 중앙대로 1393</t>
  </si>
  <si>
    <t>북구 화명대로 16 (화명동 2275-1 센추리빌딩)</t>
  </si>
  <si>
    <t>사상구 사상로 201 애플아울렛 본관 3~4층(괘법동 533-1)</t>
  </si>
  <si>
    <t>사하구 낙동남로 1413 아트몰링문화관 7층 (하단동)</t>
  </si>
  <si>
    <t>중구 중앙대로 2 마트/시네마동 9층</t>
  </si>
  <si>
    <t>해운대구 해운대로 802, 7층</t>
  </si>
  <si>
    <t>해운대구 수영강변대로 120 (우1동 1467)</t>
  </si>
  <si>
    <t>강남구 강남대로 438 (역삼동 814-6 스타플렉스)</t>
  </si>
  <si>
    <t>강남구 도산대로 8길 8 (논현동 3-5)</t>
  </si>
  <si>
    <t>강동구 양재대로 1571 홈플러스 4층</t>
  </si>
  <si>
    <t>관악구 신림로 330, 10층 (신림동 1641-2 포도몰 10층)</t>
  </si>
  <si>
    <t>금천구 시흥대로 399 시티렉스 6층</t>
  </si>
  <si>
    <t>노원구 섬밭로 258 지하 1층 (중계동 506-1 건영백화점)</t>
  </si>
  <si>
    <t>마포구 양화로 153 (동교동) 3층</t>
  </si>
  <si>
    <t>마포구 양화로 147 아일렉스 7층 (동교동 160-4)</t>
  </si>
  <si>
    <t>서대문구 신촌로 129, 2층 (창천동 20-24, 20-25)</t>
  </si>
  <si>
    <t>성동구 왕십리로 50, 3층 (성수동1가)</t>
  </si>
  <si>
    <t>송파구 충민로 66, 10층 (장지동 201-27 가든파이브 라이프 영관 10층)</t>
  </si>
  <si>
    <t>종로구 경희궁1가길 7</t>
    <phoneticPr fontId="3" type="noConversion"/>
  </si>
  <si>
    <t>에무 시네마</t>
    <phoneticPr fontId="2" type="noConversion"/>
  </si>
  <si>
    <t>중구 남대문로 2가 130 (소공동 에비뉴엘 6층, 7층)</t>
  </si>
  <si>
    <t>세종시 도움1로 108 몰리브 7층</t>
  </si>
  <si>
    <t>북구 매산1로 17 (신천동)</t>
  </si>
  <si>
    <t>미추홀구 염창로 58, 6층 (주안동 30-1 카라아울렛 6~10층)</t>
  </si>
  <si>
    <t>미추홀구 연남로 35, 지하1층 (관교동 15 신세계백화점 지하1층)</t>
  </si>
  <si>
    <t>미추홀구 미추홀대로 716 메인프라자7층 (주안1동 166-1)</t>
  </si>
  <si>
    <t>서구 서곶로 788 (당하동) 홀리랜드 4층</t>
  </si>
  <si>
    <t>중구 개항로 63-2 (경동 238번지)</t>
  </si>
  <si>
    <t>광명시 일직로 17 롯데Premium아울렛 광명점 5층</t>
  </si>
  <si>
    <t xml:space="preserve">서구 시청로 67 (Premium아울렛) 6층 </t>
  </si>
  <si>
    <t>행정구역별 
정렬</t>
    <phoneticPr fontId="2" type="noConversion"/>
  </si>
  <si>
    <t>씨네Q</t>
    <phoneticPr fontId="2" type="noConversion"/>
  </si>
  <si>
    <t>전남</t>
    <phoneticPr fontId="2" type="noConversion"/>
  </si>
  <si>
    <t>4DX, Cine &amp; Foret</t>
  </si>
  <si>
    <t>Super 4D</t>
  </si>
  <si>
    <t>Cine Couple</t>
  </si>
  <si>
    <t>Cine Couple(2)</t>
  </si>
  <si>
    <t>Superplex</t>
  </si>
  <si>
    <t xml:space="preserve">Superplex </t>
  </si>
  <si>
    <t>서구 시청로 67 (프리미엄아울렛) 6층</t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</si>
  <si>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</si>
  <si>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</si>
  <si>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</si>
  <si>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</si>
  <si>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</si>
  <si>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</si>
  <si>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</si>
  <si>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</si>
  <si>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07관</t>
    <phoneticPr fontId="2" type="noConversion"/>
  </si>
  <si>
    <t>Dolby ATMOS</t>
  </si>
  <si>
    <t>MX관</t>
    <phoneticPr fontId="2" type="noConversion"/>
  </si>
  <si>
    <t>중구 남대문로 2가 130(소공동 에비뉴엘 6층, 7층)</t>
  </si>
  <si>
    <t>용산구 한강대로 23길 55, 6층(한강로 3가 40-1 용산민자역사 6층)</t>
  </si>
  <si>
    <t>성동구 왕십리광장로 17, 5층(행당동 왕십리 민자역사 4층~6층)</t>
  </si>
  <si>
    <t>성동구 왕십리로 50, 3층(성수동1가)</t>
  </si>
  <si>
    <t>광진구 광나루로 56길 85(구의동 546-4 테크노마트 10층)</t>
  </si>
  <si>
    <t>광진구 아차산로 272(자양동 227-7번지 스타시티 2층)</t>
  </si>
  <si>
    <t>동대문구 왕산로 214(전농동)</t>
  </si>
  <si>
    <t>노원구 동일로 1414 롯데백화점 10층(상계동 713)</t>
  </si>
  <si>
    <t>노원구 동일로 204가길 12, 8층(중계동 509-2)</t>
  </si>
  <si>
    <t>양천구 목동동로 309 행복한세상백화점 6층(목동 917-6)</t>
  </si>
  <si>
    <t>강서구 하늘길 77 롯데몰(방화동 하늘길 38)</t>
  </si>
  <si>
    <t>금천구 디지털로 10길 9 현대아울렛쇼핑몰(가산동)</t>
  </si>
  <si>
    <t>영등포구 국제금융로 10, 지하3층(여의도동 국제금융로 10)</t>
  </si>
  <si>
    <t>영등포구 영산로 15, 4층(영등포동 4가 441-10번지 경방 타임스퀘어 4~7층)</t>
  </si>
  <si>
    <t>서초구 신반포로 176 센트럴시티빌딩 지하1층(반포동 19-3)</t>
  </si>
  <si>
    <t>강남구 도산대로 323(신사동 651-21)</t>
  </si>
  <si>
    <t>강남구 봉은사로 524 코엑스몰 B1(삼성동 159)</t>
  </si>
  <si>
    <t>강남구 압구정로 30길 45(신사동 603-2)</t>
  </si>
  <si>
    <t>송파구 충민로 66, 10층(장지동 201-27 가든파이브 라이프 영관 10층)</t>
  </si>
  <si>
    <t>부산진구 가야대로 772 롯데백화점 10층(부전동 503-15)</t>
  </si>
  <si>
    <t>부산진구 동천로 4, 6층(전포동 892-20 지오플레이스 6층)</t>
  </si>
  <si>
    <t>해운대구 센텀남대로 35, 7층(우동 1495번지 신세계센텀시티 7층)</t>
  </si>
  <si>
    <t>해운대구 센텀남대로 50 롯데백화점 8층(우동 센텀시티 1496)</t>
  </si>
  <si>
    <t>해운대구 해운대로 813 NC백화점 8층(좌동 1467-4)</t>
  </si>
  <si>
    <t>동구 안심로 80(율하동 1117)</t>
  </si>
  <si>
    <t>달서구 월곡로 247(상인동)</t>
  </si>
  <si>
    <t>남동구 예술로 198, 4층(구월동 1130 씨엔씨빌딩 4층)</t>
  </si>
  <si>
    <t>계양구 장제로 738, 8층(작전동 899-1 8~11층)</t>
  </si>
  <si>
    <t xml:space="preserve">서구 서곶로 788(당하동) 홀리랜드 4층 </t>
  </si>
  <si>
    <t>동구 독립로 268 롯데백화점 9층(대인동 7-1)</t>
  </si>
  <si>
    <t>동구 충장로안길 12(황금동 12-2)</t>
  </si>
  <si>
    <t>서구 무진대로 904, 2층~6층(광천동 49-1 유스퀘어 2~6층)</t>
  </si>
  <si>
    <t>서구 시청로 60번길 21-6(치평동 1223-3)</t>
  </si>
  <si>
    <t>광산구 임방울대로 826번길, 2층(쌍암동 667-9)</t>
  </si>
  <si>
    <t>광산구 장신로 98 롯데아울렛(장신동)</t>
  </si>
  <si>
    <t>광산구 풍영철길로 15(우산동1587-1)</t>
  </si>
  <si>
    <t>동구 동서대로 1689, 3층(용전동 63-3, 68-2)</t>
  </si>
  <si>
    <t>중구 계백로 1700, 6층(문화동 1-16 세이백화점 6층)</t>
  </si>
  <si>
    <t>남구 삼산로 288(삼산동 1480-1)</t>
  </si>
  <si>
    <t>남구 화합로 185, 5층(삼산동 1569-1 업스퀘어 5층)</t>
  </si>
  <si>
    <t>수원시 영통구 봉영로 1579 롯데쇼핑플라자 5층(영통동 960-1)</t>
  </si>
  <si>
    <t>수원시 팔달구 권광로 181, 7층(인계동 113-11 12번지 7~10)</t>
  </si>
  <si>
    <t>수원시 팔달구 덕영대로 924, 6층(매산로 1가)</t>
  </si>
  <si>
    <t>성남시 분당구 탄천상로 151번길 20(구미동 159 월드쇼핑 4층)</t>
  </si>
  <si>
    <t>의정부시 평화로 525, 10층(의정부동 168)</t>
  </si>
  <si>
    <t>안양시 동안구 시민대로 180, 8층(호계동 1039)</t>
  </si>
  <si>
    <t>안양시 만안구 만안로 244 롯데백화점 8층(안양1동 88-1)</t>
  </si>
  <si>
    <t>부천시 길주로 180, 5층(중동 1164 로담코 플라자 5~7층)</t>
  </si>
  <si>
    <t>평택시 평택로 51, 8층(평택동 186-3 평택민자역사 8층)</t>
  </si>
  <si>
    <t>안산시 상록구 충장로 427 롯데마트 안산점 4층(성포동 590)</t>
  </si>
  <si>
    <t xml:space="preserve">고양시 일산동구 정발산로 24(장항동 867번지 웨스턴돔 3층) </t>
  </si>
  <si>
    <t>고양시 일산서구 호수로 817 레이킨스몰 3층(대화동)</t>
  </si>
  <si>
    <t>용인시 수지구 포은대로 536, 8층(죽전동 1285번지 신세계백화점)</t>
  </si>
  <si>
    <t>파주시 중앙로 328 MH타워 4층(금촌동)</t>
  </si>
  <si>
    <t>춘천시 지석로 80, 3층~8층(퇴계동 1017투탑시티 3층~8층)</t>
  </si>
  <si>
    <t>청주시 흥덕구 2순환로 1004(비하동 332-1)</t>
  </si>
  <si>
    <t>천안시 서북구 1공단1길 52 센트하임 3층(두정동 68-1)</t>
  </si>
  <si>
    <t>천안시 서북구 공원로 196, 5층(불당동 1289 펜타포트 주상복합상가 5층)</t>
  </si>
  <si>
    <t>전주시 완산구 용머리로 45(Mall of Hyoja 2층)</t>
  </si>
  <si>
    <t>전주시 전주객사4길 74-10(고사동 181)</t>
  </si>
  <si>
    <t>김해시 내외중앙로 137, 4층(내동 1131-4 휴앤락 4층)</t>
  </si>
  <si>
    <t xml:space="preserve">서대문구 신촌로 129, 2층(창천동 20-24, 20-25) </t>
  </si>
  <si>
    <t xml:space="preserve">안산시 단원구 광덕대로 194(고잔동 725-1 스타맥스타워 5층) </t>
  </si>
  <si>
    <t xml:space="preserve">중구 남대문로 2가 130(소공동 에비뉴엘 6층, 7층) </t>
  </si>
  <si>
    <t xml:space="preserve">창원시 의창구 원이대로 332(두대동 1B1L 더시티세븐) </t>
  </si>
  <si>
    <t>Starium</t>
  </si>
  <si>
    <t>SOUNDX</t>
  </si>
  <si>
    <t>6P Laser</t>
  </si>
  <si>
    <t>102호</t>
  </si>
  <si>
    <t>101호</t>
  </si>
  <si>
    <t>103호</t>
  </si>
  <si>
    <t>104호</t>
  </si>
  <si>
    <t>105호</t>
  </si>
  <si>
    <t>19관</t>
  </si>
  <si>
    <t>6층 1관</t>
  </si>
  <si>
    <t>8층 10관</t>
  </si>
  <si>
    <t>Gold Class관</t>
  </si>
  <si>
    <t>Cine &amp; Foret관</t>
  </si>
  <si>
    <t>Charlotte관</t>
  </si>
  <si>
    <t>롯데시네마 에비뉴엘(명동)_Charlotte관</t>
  </si>
  <si>
    <t>롯데시네마 건대입구_Charlotte관</t>
  </si>
  <si>
    <t>롯데시네마 김포공항_Charlotte관</t>
  </si>
  <si>
    <t>롯데시네마 월드타워_Charlotte관</t>
  </si>
  <si>
    <t>롯데시네마 광복_Charlotte관</t>
  </si>
  <si>
    <t>롯데시네마 센텀시티(백화점)_Charlotte관</t>
  </si>
  <si>
    <t>롯데시네마 동성로_Charlotte관</t>
  </si>
  <si>
    <t>롯데시네마 광주(백화점)_Charlotte관</t>
  </si>
  <si>
    <t>롯데시네마 평촌(범계역)_Charlotte관</t>
  </si>
  <si>
    <t xml:space="preserve">02관 </t>
  </si>
  <si>
    <t xml:space="preserve">06관 </t>
  </si>
  <si>
    <t>15관</t>
  </si>
  <si>
    <t>20관</t>
  </si>
  <si>
    <t>21관</t>
  </si>
  <si>
    <t>IMAX, ScreenX, 4DX</t>
  </si>
  <si>
    <t>ScreenX, 4DX</t>
  </si>
  <si>
    <t>ScreenX, 4DX, Cine &amp; Foret</t>
  </si>
  <si>
    <t>ScreenX, 4DX, SphereX</t>
  </si>
  <si>
    <t>춘천시 중앙로 67번길 18</t>
  </si>
  <si>
    <t>파주시 청암로17번길 17 홈플러스 3층</t>
  </si>
  <si>
    <t>sancheong.littletheaters.com</t>
  </si>
  <si>
    <t>namhae.littletheaters.com</t>
  </si>
  <si>
    <t>www.hccinema.co.kr</t>
  </si>
  <si>
    <t>중구 계백로 1712 기독교연합봉사회관 1층</t>
  </si>
  <si>
    <t>afe.naver.com/cineindieu</t>
  </si>
  <si>
    <t>www.suncinema.co.kr</t>
  </si>
  <si>
    <t xml:space="preserve">창원시 성산구 중앙대로 100번길 13, 6층 </t>
  </si>
  <si>
    <t>http://pf.kakao.com/_IGxbEK</t>
  </si>
  <si>
    <t>Cine Salon</t>
    <phoneticPr fontId="2" type="noConversion"/>
  </si>
  <si>
    <t>Superplex/ Superplex G</t>
    <phoneticPr fontId="2" type="noConversion"/>
  </si>
  <si>
    <t>Colorium</t>
    <phoneticPr fontId="2" type="noConversion"/>
  </si>
  <si>
    <t>고급</t>
    <phoneticPr fontId="2" type="noConversion"/>
  </si>
  <si>
    <t>Recliner / 밥.CINE</t>
    <phoneticPr fontId="2" type="noConversion"/>
  </si>
  <si>
    <t>ScreenX / SphereX</t>
    <phoneticPr fontId="2" type="noConversion"/>
  </si>
  <si>
    <t>Dolby Cinema</t>
    <phoneticPr fontId="2" type="noConversion"/>
  </si>
  <si>
    <t>CJ CGV</t>
    <phoneticPr fontId="2" type="noConversion"/>
  </si>
  <si>
    <t>CJ CGV</t>
    <phoneticPr fontId="2" type="noConversion"/>
  </si>
  <si>
    <t>CJ CGV</t>
    <phoneticPr fontId="2" type="noConversion"/>
  </si>
  <si>
    <t>화면 &amp; 사운드</t>
    <phoneticPr fontId="2" type="noConversion"/>
  </si>
  <si>
    <t>휴관</t>
    <phoneticPr fontId="2" type="noConversion"/>
  </si>
  <si>
    <t>지역 합계</t>
    <phoneticPr fontId="2" type="noConversion"/>
  </si>
  <si>
    <t>비상설로 운영 중인 루프탑 1개관 제외</t>
    <phoneticPr fontId="2" type="noConversion"/>
  </si>
  <si>
    <t>20.03.25.~ 휴관</t>
  </si>
  <si>
    <t>ART 3관</t>
  </si>
  <si>
    <t>ART 4관</t>
  </si>
  <si>
    <t>ART 5관</t>
  </si>
  <si>
    <t>Comfort 03관</t>
  </si>
  <si>
    <t>Comfort 04관</t>
  </si>
  <si>
    <t>Comfort 05관</t>
  </si>
  <si>
    <t>Comfort 06관</t>
  </si>
  <si>
    <t>Comfort 07관</t>
  </si>
  <si>
    <t>Comfort 08관</t>
  </si>
  <si>
    <t>Comfort 09관</t>
  </si>
  <si>
    <t>Comfort 10관</t>
  </si>
  <si>
    <t>www.laikacinema.com</t>
  </si>
  <si>
    <t>jeonjucinecomplex.kr</t>
  </si>
  <si>
    <t>063-231-3377</t>
  </si>
  <si>
    <t>02-363-2537</t>
  </si>
  <si>
    <t>070-7017-4526</t>
  </si>
  <si>
    <t>시흥시 장현능곡로 155 (능곡동)</t>
  </si>
  <si>
    <t>101호(The Boutique Suite)</t>
  </si>
  <si>
    <t>종로구 대명길 28</t>
  </si>
  <si>
    <t>부산진구 서면로 39 KT&amp;G</t>
  </si>
  <si>
    <t>중구 중앙대로 412</t>
  </si>
  <si>
    <t>(구)허리우드 극장 / 20.12.07.상영내역 없음. 휴관 처리 / 21.2.1. 발권재개</t>
    <phoneticPr fontId="3" type="noConversion"/>
  </si>
  <si>
    <t>19.12.31. 5관 아트하우스 전용관 해제 / 20.10.26. 휴관 / 21.5.19. 영업재개</t>
    <phoneticPr fontId="2" type="noConversion"/>
  </si>
  <si>
    <t>www.emuartspace.com</t>
  </si>
  <si>
    <t>지역</t>
  </si>
  <si>
    <t>전년 대비 
극장 수
증감수</t>
  </si>
  <si>
    <t>전년 대비 
극장 수 
증감율</t>
  </si>
  <si>
    <t>전년 대비 
스크린 수 
증감수</t>
    <phoneticPr fontId="2" type="noConversion"/>
  </si>
  <si>
    <t>전년 대비 
스크린 수 
증감율</t>
    <phoneticPr fontId="2" type="noConversion"/>
  </si>
  <si>
    <t>전년 대비 
좌석 수 
증감수</t>
    <phoneticPr fontId="2" type="noConversion"/>
  </si>
  <si>
    <t>전년 대비 
좌석 수 
증감율</t>
    <phoneticPr fontId="2" type="noConversion"/>
  </si>
  <si>
    <t>휴관 극장 수</t>
    <phoneticPr fontId="2" type="noConversion"/>
  </si>
  <si>
    <t>휴관 스크린 수</t>
    <phoneticPr fontId="2" type="noConversion"/>
  </si>
  <si>
    <t>폐관 극장 수</t>
    <phoneticPr fontId="2" type="noConversion"/>
  </si>
  <si>
    <t>폐관 스크린 수</t>
    <phoneticPr fontId="2" type="noConversion"/>
  </si>
  <si>
    <t xml:space="preserve">신규개관 
극장 수 </t>
    <phoneticPr fontId="2" type="noConversion"/>
  </si>
  <si>
    <t>신규개관 
스크린 수</t>
    <phoneticPr fontId="2" type="noConversion"/>
  </si>
  <si>
    <t>독립예술영화전용관 수</t>
    <phoneticPr fontId="2" type="noConversion"/>
  </si>
  <si>
    <t>작은영화관 수</t>
    <phoneticPr fontId="2" type="noConversion"/>
  </si>
  <si>
    <t>세종</t>
    <phoneticPr fontId="2" type="noConversion"/>
  </si>
  <si>
    <t>전남</t>
  </si>
  <si>
    <t xml:space="preserve"> 경남 </t>
  </si>
  <si>
    <t>총계</t>
  </si>
  <si>
    <t>* 집계 대상 극장은 전국 상설 영화관으로, 특수 목적의 비상설 상영 시설 및 자동차극장은 제외함</t>
  </si>
  <si>
    <t>* 스크린 수, 좌석 수의 경우 기준일 수치가 확인되지 않은 경우는 조사 시점의 수치로 대체함</t>
  </si>
  <si>
    <t>* 부분휴관 및 부분폐관의 경우 휴관 극장 수, 폐관 극장 수에는 포함하지 않고 휴관 스크린 수, 폐관 스크린 수에는 포함함</t>
    <phoneticPr fontId="2" type="noConversion"/>
  </si>
  <si>
    <t>* 독립예술영화전용관은 문화체육관광부가 지정하거나 영화진흥위원회가 지원하는 독립예술영화 전용상영관을 말함</t>
    <phoneticPr fontId="2" type="noConversion"/>
  </si>
  <si>
    <t xml:space="preserve">* 작은영화관은 극장이 없는 기초자치단체에서의 영화 향유 제고를 위해 국고나 지자체의 예산이 투입되어 건립/운영되는 상영관을 말함 </t>
    <phoneticPr fontId="2" type="noConversion"/>
  </si>
  <si>
    <t>지역</t>
    <phoneticPr fontId="3" type="noConversion"/>
  </si>
  <si>
    <t>전년 대비
멀티플렉스
극장 수 증감수</t>
    <phoneticPr fontId="3" type="noConversion"/>
  </si>
  <si>
    <t>전년 대비
멀티플렉스
극장수 증감율</t>
    <phoneticPr fontId="3" type="noConversion"/>
  </si>
  <si>
    <t>전년 대비 
멀티플렉스
스크린 수 증감수</t>
    <phoneticPr fontId="3" type="noConversion"/>
  </si>
  <si>
    <t>전년 대비 
멀티플렉스
스크린 수 증감율</t>
    <phoneticPr fontId="3" type="noConversion"/>
  </si>
  <si>
    <t>전년 대비 
멀티플렉스
좌석 수 증감수</t>
    <phoneticPr fontId="3" type="noConversion"/>
  </si>
  <si>
    <t>전년 대비 
멀티플렉스
좌석 수 증감율</t>
    <phoneticPr fontId="3" type="noConversion"/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</si>
  <si>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</si>
  <si>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</si>
  <si>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</si>
  <si>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</si>
  <si>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</si>
  <si>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</si>
  <si>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</si>
  <si>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세종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</si>
  <si>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</si>
  <si>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</si>
  <si>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</si>
  <si>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</si>
  <si>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</si>
  <si>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</si>
  <si>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</si>
  <si>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 xml:space="preserve"> 경남 </t>
    <phoneticPr fontId="3" type="noConversion"/>
  </si>
  <si>
    <t>제주</t>
    <phoneticPr fontId="3" type="noConversion"/>
  </si>
  <si>
    <t>지역 합계</t>
    <phoneticPr fontId="3" type="noConversion"/>
  </si>
  <si>
    <t>총계</t>
    <phoneticPr fontId="3" type="noConversion"/>
  </si>
  <si>
    <t>구분</t>
    <phoneticPr fontId="2" type="noConversion"/>
  </si>
  <si>
    <t xml:space="preserve">극장 수 </t>
  </si>
  <si>
    <t>전년대비 
증감 수</t>
    <phoneticPr fontId="2" type="noConversion"/>
  </si>
  <si>
    <t>전년대비 
증감률</t>
    <phoneticPr fontId="2" type="noConversion"/>
  </si>
  <si>
    <t>스크린 수</t>
  </si>
  <si>
    <t>좌석 수</t>
    <phoneticPr fontId="3" type="noConversion"/>
  </si>
  <si>
    <t>전년대비 
증감 수</t>
    <phoneticPr fontId="3" type="noConversion"/>
  </si>
  <si>
    <t>전년대비
증감률</t>
    <phoneticPr fontId="3" type="noConversion"/>
  </si>
  <si>
    <t> 운영 형태</t>
    <phoneticPr fontId="3" type="noConversion"/>
  </si>
  <si>
    <t>극장 수</t>
  </si>
  <si>
    <t>직영 극장 수</t>
    <phoneticPr fontId="3" type="noConversion"/>
  </si>
  <si>
    <t>직영 비중</t>
    <phoneticPr fontId="3" type="noConversion"/>
  </si>
  <si>
    <t>위탁 극장 수</t>
    <phoneticPr fontId="3" type="noConversion"/>
  </si>
  <si>
    <t>위탁 비중</t>
    <phoneticPr fontId="3" type="noConversion"/>
  </si>
  <si>
    <t>CJ CGV</t>
    <phoneticPr fontId="3" type="noConversion"/>
  </si>
  <si>
    <t xml:space="preserve">씨네Q </t>
    <phoneticPr fontId="3" type="noConversion"/>
  </si>
  <si>
    <t>* 집계 대상 멀티플렉스 체인은 CJ CGV, 롯데시네마, 메가박스, 씨네Q 총 4개 체인임</t>
    <phoneticPr fontId="3" type="noConversion"/>
  </si>
  <si>
    <t>기초단체</t>
    <phoneticPr fontId="2" type="noConversion"/>
  </si>
  <si>
    <t>전년대비 
증감수</t>
    <phoneticPr fontId="2" type="noConversion"/>
  </si>
  <si>
    <t>전년대비 
증감수</t>
    <phoneticPr fontId="2" type="noConversion"/>
  </si>
  <si>
    <t>전년대비 
증감률</t>
    <phoneticPr fontId="2" type="noConversion"/>
  </si>
  <si>
    <t>전년대비
증감률</t>
    <phoneticPr fontId="2" type="noConversion"/>
  </si>
  <si>
    <t>전년대비　
증감률</t>
    <phoneticPr fontId="2" type="noConversion"/>
  </si>
  <si>
    <t>전년 대비 
증감수</t>
    <phoneticPr fontId="2" type="noConversion"/>
  </si>
  <si>
    <t>전국</t>
  </si>
  <si>
    <t>서울특별시</t>
  </si>
  <si>
    <t/>
  </si>
  <si>
    <t>부산광역시</t>
  </si>
  <si>
    <t>-</t>
    <phoneticPr fontId="2" type="noConversion"/>
  </si>
  <si>
    <t>영도구</t>
  </si>
  <si>
    <t>-</t>
    <phoneticPr fontId="2" type="noConversion"/>
  </si>
  <si>
    <t>수영구</t>
  </si>
  <si>
    <t>-</t>
    <phoneticPr fontId="2" type="noConversion"/>
  </si>
  <si>
    <t>대구광역시</t>
  </si>
  <si>
    <t>-</t>
    <phoneticPr fontId="2" type="noConversion"/>
  </si>
  <si>
    <t>인천광역시</t>
  </si>
  <si>
    <t>미추홀구</t>
  </si>
  <si>
    <t>강화군</t>
  </si>
  <si>
    <t>옹진군</t>
  </si>
  <si>
    <t>광주광역시</t>
  </si>
  <si>
    <t>대전광역시</t>
  </si>
  <si>
    <t>대덕구</t>
  </si>
  <si>
    <t>울산광역시</t>
  </si>
  <si>
    <t>세종특별자치시</t>
  </si>
  <si>
    <t>과천시</t>
  </si>
  <si>
    <t>의왕시</t>
  </si>
  <si>
    <t>포천시</t>
  </si>
  <si>
    <t>여주시</t>
  </si>
  <si>
    <t>연천군</t>
  </si>
  <si>
    <t>가평군</t>
  </si>
  <si>
    <t>태백시</t>
  </si>
  <si>
    <t>삼척시</t>
  </si>
  <si>
    <t>영월군</t>
  </si>
  <si>
    <t>정선군</t>
  </si>
  <si>
    <t>철원군</t>
  </si>
  <si>
    <t>화천군</t>
  </si>
  <si>
    <t>양구군</t>
  </si>
  <si>
    <t>고성군</t>
  </si>
  <si>
    <t>-</t>
    <phoneticPr fontId="2" type="noConversion"/>
  </si>
  <si>
    <t>보은군</t>
  </si>
  <si>
    <t>옥천군</t>
  </si>
  <si>
    <t>영동군</t>
  </si>
  <si>
    <t>증평군</t>
  </si>
  <si>
    <t>단양군</t>
  </si>
  <si>
    <t>계룡시</t>
  </si>
  <si>
    <t>금산군</t>
  </si>
  <si>
    <t>서천군</t>
  </si>
  <si>
    <t>청양군</t>
  </si>
  <si>
    <t>김제시</t>
  </si>
  <si>
    <t>완주군</t>
  </si>
  <si>
    <t>임실군</t>
  </si>
  <si>
    <t>부안군</t>
  </si>
  <si>
    <t>담양군</t>
  </si>
  <si>
    <t>곡성군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</si>
  <si>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</si>
  <si>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</si>
  <si>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</si>
  <si>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</si>
  <si>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</si>
  <si>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</si>
  <si>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</si>
  <si>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</si>
  <si>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</si>
  <si>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</si>
  <si>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</si>
  <si>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</si>
  <si>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신안군</t>
  </si>
  <si>
    <t>영천시</t>
  </si>
  <si>
    <t>상주시</t>
  </si>
  <si>
    <t>군위군</t>
  </si>
  <si>
    <t>의성군</t>
  </si>
  <si>
    <t>청송군</t>
  </si>
  <si>
    <t>영덕군</t>
  </si>
  <si>
    <t>청도군</t>
  </si>
  <si>
    <t>성주군</t>
  </si>
  <si>
    <t>칠곡군</t>
  </si>
  <si>
    <t>봉화군</t>
  </si>
  <si>
    <t>울진군</t>
  </si>
  <si>
    <t>울릉군</t>
  </si>
  <si>
    <t>의령군</t>
  </si>
  <si>
    <t>함안군</t>
  </si>
  <si>
    <t>창녕군</t>
  </si>
  <si>
    <t>하동군</t>
  </si>
  <si>
    <t>산청군</t>
  </si>
  <si>
    <t>함양군</t>
  </si>
  <si>
    <t>제주특별자치도</t>
  </si>
  <si>
    <t>2021년 
멀티플렉스
좌석 수</t>
    <phoneticPr fontId="3" type="noConversion"/>
  </si>
  <si>
    <t xml:space="preserve">2021년
좌석 수 </t>
    <phoneticPr fontId="2" type="noConversion"/>
  </si>
  <si>
    <t>-</t>
    <phoneticPr fontId="2" type="noConversion"/>
  </si>
  <si>
    <t>-</t>
    <phoneticPr fontId="2" type="noConversion"/>
  </si>
  <si>
    <t>영화관명</t>
    <phoneticPr fontId="2" type="noConversion"/>
  </si>
  <si>
    <t>대기업 
운영 여부</t>
    <phoneticPr fontId="2" type="noConversion"/>
  </si>
  <si>
    <t>독립예술영화
전용관 수</t>
    <phoneticPr fontId="2" type="noConversion"/>
  </si>
  <si>
    <t>작은영화관 여부</t>
    <phoneticPr fontId="2" type="noConversion"/>
  </si>
  <si>
    <t>서울시</t>
    <phoneticPr fontId="3" type="noConversion"/>
  </si>
  <si>
    <t>종로구</t>
    <phoneticPr fontId="3" type="noConversion"/>
  </si>
  <si>
    <t>에무시네마</t>
    <phoneticPr fontId="3" type="noConversion"/>
  </si>
  <si>
    <t>~</t>
    <phoneticPr fontId="3" type="noConversion"/>
  </si>
  <si>
    <t>N</t>
    <phoneticPr fontId="2" type="noConversion"/>
  </si>
  <si>
    <t>CGV대학로</t>
  </si>
  <si>
    <t>~</t>
    <phoneticPr fontId="2" type="noConversion"/>
  </si>
  <si>
    <t>CGV피카디리1958</t>
  </si>
  <si>
    <t>~</t>
    <phoneticPr fontId="2" type="noConversion"/>
  </si>
  <si>
    <t>N</t>
    <phoneticPr fontId="2" type="noConversion"/>
  </si>
  <si>
    <t xml:space="preserve">(구)롯데시네마 피카디리 / 21.11.19. 7, 8관 폐업신고 </t>
    <phoneticPr fontId="2" type="noConversion"/>
  </si>
  <si>
    <t xml:space="preserve">서울시 </t>
    <phoneticPr fontId="3" type="noConversion"/>
  </si>
  <si>
    <t xml:space="preserve">종로구 </t>
    <phoneticPr fontId="3" type="noConversion"/>
  </si>
  <si>
    <t xml:space="preserve">낭만극장 </t>
    <phoneticPr fontId="3" type="noConversion"/>
  </si>
  <si>
    <t xml:space="preserve">낭만극장 </t>
    <phoneticPr fontId="3" type="noConversion"/>
  </si>
  <si>
    <t>종로구 삼일대로 428, 4층 (낙원동 284-6 낙원상가 4층)</t>
    <phoneticPr fontId="3" type="noConversion"/>
  </si>
  <si>
    <t>~</t>
    <phoneticPr fontId="3" type="noConversion"/>
  </si>
  <si>
    <t>N</t>
    <phoneticPr fontId="2" type="noConversion"/>
  </si>
  <si>
    <t>www.bravosilver.org</t>
    <phoneticPr fontId="2" type="noConversion"/>
  </si>
  <si>
    <t>20.12.10.~ 상영내역 없음. 휴관 처리 / 21.2.1. 발권재개</t>
    <phoneticPr fontId="2" type="noConversion"/>
  </si>
  <si>
    <t>허리우드 클래식</t>
    <phoneticPr fontId="3" type="noConversion"/>
  </si>
  <si>
    <t>종로구 삼일대로 428, 4층 (낙원동 284-6 낙원상가 4층)</t>
    <phoneticPr fontId="3" type="noConversion"/>
  </si>
  <si>
    <t>1관</t>
    <phoneticPr fontId="2" type="noConversion"/>
  </si>
  <si>
    <t>02-3672-4233</t>
    <phoneticPr fontId="2" type="noConversion"/>
  </si>
  <si>
    <t>종로구 새문안로 68 지하2층 (신문로1가 흥국생명빌딩)</t>
    <phoneticPr fontId="3" type="noConversion"/>
  </si>
  <si>
    <t>02-2002-7776</t>
    <phoneticPr fontId="2" type="noConversion"/>
  </si>
  <si>
    <t>www.cinecube.co.kr</t>
    <phoneticPr fontId="2" type="noConversion"/>
  </si>
  <si>
    <t>~</t>
    <phoneticPr fontId="2" type="noConversion"/>
  </si>
  <si>
    <t>CGV명동</t>
  </si>
  <si>
    <t>중구</t>
    <phoneticPr fontId="3" type="noConversion"/>
  </si>
  <si>
    <t>청춘극장</t>
    <phoneticPr fontId="3" type="noConversion"/>
  </si>
  <si>
    <t>중구 새문안로 22(충정로 1가 문화일보홀)</t>
    <phoneticPr fontId="3" type="noConversion"/>
  </si>
  <si>
    <t>02-739-5422</t>
    <phoneticPr fontId="3" type="noConversion"/>
  </si>
  <si>
    <t>café.naver.com/seoulsilvercinema</t>
    <phoneticPr fontId="3" type="noConversion"/>
  </si>
  <si>
    <t xml:space="preserve">은평구에서 이전 / 20.12.04.~ 상영내역 없음. 휴관 처리 </t>
    <phoneticPr fontId="3" type="noConversion"/>
  </si>
  <si>
    <t>CGV동대문</t>
  </si>
  <si>
    <t>중구</t>
    <phoneticPr fontId="2" type="noConversion"/>
  </si>
  <si>
    <t>중구 정동길 3 경향아트힐 2층</t>
    <phoneticPr fontId="3" type="noConversion"/>
  </si>
  <si>
    <t>02-741-9782</t>
    <phoneticPr fontId="2" type="noConversion"/>
  </si>
  <si>
    <t>22.4.4. 주소 및 좌석수 변경</t>
    <phoneticPr fontId="2" type="noConversion"/>
  </si>
  <si>
    <t>CGV명동역씨네라이브러리</t>
  </si>
  <si>
    <t>씨너스명동-&gt;CGV명동역 / 20.10.26. 휴관 후 21년 재개관. 21.3.29. 발권내역 확인됨</t>
    <phoneticPr fontId="2" type="noConversion"/>
  </si>
  <si>
    <t>02-3393-3500</t>
    <phoneticPr fontId="2" type="noConversion"/>
  </si>
  <si>
    <t>CGV용산아이파크몰</t>
  </si>
  <si>
    <t>CGV 아트하우스</t>
    <phoneticPr fontId="2" type="noConversion"/>
  </si>
  <si>
    <t>22.10.25. 4, 7관 좌석수 변경</t>
    <phoneticPr fontId="2" type="noConversion"/>
  </si>
  <si>
    <t>CGV왕십리</t>
  </si>
  <si>
    <t>서울시</t>
    <phoneticPr fontId="2" type="noConversion"/>
  </si>
  <si>
    <t>서울시</t>
    <phoneticPr fontId="2" type="noConversion"/>
  </si>
  <si>
    <t>성동구</t>
    <phoneticPr fontId="2" type="noConversion"/>
  </si>
  <si>
    <t>메가박스 성수</t>
    <phoneticPr fontId="2" type="noConversion"/>
  </si>
  <si>
    <t>직영</t>
    <phoneticPr fontId="2" type="noConversion"/>
  </si>
  <si>
    <t>직영</t>
    <phoneticPr fontId="2" type="noConversion"/>
  </si>
  <si>
    <t>MX, The Boutique Suite(2)</t>
    <phoneticPr fontId="2" type="noConversion"/>
  </si>
  <si>
    <t>CGV강변</t>
  </si>
  <si>
    <t>22.5.2. Cine &amp; Foret 좌석수 변경</t>
    <phoneticPr fontId="2" type="noConversion"/>
  </si>
  <si>
    <t>KU시네마테크</t>
    <phoneticPr fontId="2" type="noConversion"/>
  </si>
  <si>
    <t>광진구 능동로 120 건국대학교 예술문화대학 B108 (화양동 1번지)</t>
    <phoneticPr fontId="3" type="noConversion"/>
  </si>
  <si>
    <t>02-446-6579</t>
    <phoneticPr fontId="2" type="noConversion"/>
  </si>
  <si>
    <t>www.kucine.kr</t>
    <phoneticPr fontId="3" type="noConversion"/>
  </si>
  <si>
    <t>Super S, Charlotte</t>
    <phoneticPr fontId="2" type="noConversion"/>
  </si>
  <si>
    <t>22.8.25 11관 아르떼 클래식 운영종료, 폐관</t>
    <phoneticPr fontId="2" type="noConversion"/>
  </si>
  <si>
    <t>CGV건대입구</t>
  </si>
  <si>
    <t>중랑구</t>
    <phoneticPr fontId="2" type="noConversion"/>
  </si>
  <si>
    <t>롯데시네마 중랑</t>
    <phoneticPr fontId="2" type="noConversion"/>
  </si>
  <si>
    <t>중랑구 동일로 951</t>
    <phoneticPr fontId="2" type="noConversion"/>
  </si>
  <si>
    <t>위탁</t>
    <phoneticPr fontId="2" type="noConversion"/>
  </si>
  <si>
    <t>위탁</t>
    <phoneticPr fontId="2" type="noConversion"/>
  </si>
  <si>
    <t>Cine Comfort(2)</t>
    <phoneticPr fontId="2" type="noConversion"/>
  </si>
  <si>
    <t>CGV상봉</t>
  </si>
  <si>
    <t>CGV성신여대입구</t>
  </si>
  <si>
    <t>성북구 동소문로 106, 10층/12층 (동선동 1가)</t>
    <phoneticPr fontId="2" type="noConversion"/>
  </si>
  <si>
    <t>21.7.28. 씨네Q 성신여대입구 통합 3관 -&gt;5관으로 변경</t>
    <phoneticPr fontId="2" type="noConversion"/>
  </si>
  <si>
    <t>아리랑시네센터</t>
    <phoneticPr fontId="3" type="noConversion"/>
  </si>
  <si>
    <t>성북구 아리랑로 82 (돈암동 538-98)</t>
    <phoneticPr fontId="3" type="noConversion"/>
  </si>
  <si>
    <t>아리랑인디웨이브</t>
    <phoneticPr fontId="3" type="noConversion"/>
  </si>
  <si>
    <t xml:space="preserve">02-3291-5540 </t>
    <phoneticPr fontId="2" type="noConversion"/>
  </si>
  <si>
    <t>14.03.29. 재개관 / 20.12.05. 휴관 / 21.1.27. 영업재개</t>
    <phoneticPr fontId="3" type="noConversion"/>
  </si>
  <si>
    <t>21.12.15. 직영&gt; 위탁 전환</t>
    <phoneticPr fontId="2" type="noConversion"/>
  </si>
  <si>
    <t>CGV미아</t>
  </si>
  <si>
    <t>CGV수유</t>
  </si>
  <si>
    <t>도봉구</t>
    <phoneticPr fontId="2" type="noConversion"/>
  </si>
  <si>
    <t>CGV방학</t>
  </si>
  <si>
    <t>도봉구 도봉로 684, 4~8층</t>
    <phoneticPr fontId="2" type="noConversion"/>
  </si>
  <si>
    <t>서울시</t>
    <phoneticPr fontId="3" type="noConversion"/>
  </si>
  <si>
    <t>노원구</t>
    <phoneticPr fontId="3" type="noConversion"/>
  </si>
  <si>
    <t>더숲 아트시네마</t>
    <phoneticPr fontId="3" type="noConversion"/>
  </si>
  <si>
    <t>노원구 노해로 480 조광빌딩 지하1층</t>
    <phoneticPr fontId="3" type="noConversion"/>
  </si>
  <si>
    <t>1관, 2관</t>
    <phoneticPr fontId="2" type="noConversion"/>
  </si>
  <si>
    <t>02-951-0206</t>
    <phoneticPr fontId="3" type="noConversion"/>
  </si>
  <si>
    <t>17.08.09. 상설상영관으로 전환</t>
    <phoneticPr fontId="3" type="noConversion"/>
  </si>
  <si>
    <t>Super 4D</t>
    <phoneticPr fontId="2" type="noConversion"/>
  </si>
  <si>
    <t>아르떼 클래식</t>
    <phoneticPr fontId="2" type="noConversion"/>
  </si>
  <si>
    <t xml:space="preserve">21년 9월 직영 &gt; 위탁 전환 </t>
    <phoneticPr fontId="2" type="noConversion"/>
  </si>
  <si>
    <t>CGV중계</t>
  </si>
  <si>
    <t>CGV하계</t>
  </si>
  <si>
    <t xml:space="preserve">노원구 섬밭로 258 지하 1층 (중계동 506-1 건영백화점) </t>
    <phoneticPr fontId="2" type="noConversion"/>
  </si>
  <si>
    <t>(구)프리머스 노원 / Cine Kids19년 특별관 → 20년 일반관</t>
    <phoneticPr fontId="2" type="noConversion"/>
  </si>
  <si>
    <t>CGV불광</t>
  </si>
  <si>
    <t>서대문구 성산로 527 지하1층 (대신동 85-1 하늬솔빌딩)</t>
    <phoneticPr fontId="3" type="noConversion"/>
  </si>
  <si>
    <t>서대문구 성산로 527 지하1층 (대신동 85-1 하늬솔빌딩)</t>
    <phoneticPr fontId="3" type="noConversion"/>
  </si>
  <si>
    <t>1관, 2관</t>
    <phoneticPr fontId="2" type="noConversion"/>
  </si>
  <si>
    <t>07.04. 이전 개관</t>
    <phoneticPr fontId="3" type="noConversion"/>
  </si>
  <si>
    <t>CGV신촌아트레온</t>
  </si>
  <si>
    <t>Comfort(2)</t>
    <phoneticPr fontId="2" type="noConversion"/>
  </si>
  <si>
    <t xml:space="preserve">서울시 </t>
    <phoneticPr fontId="2" type="noConversion"/>
  </si>
  <si>
    <t>서대문구</t>
    <phoneticPr fontId="2" type="noConversion"/>
  </si>
  <si>
    <t>라이카시네마</t>
    <phoneticPr fontId="2" type="noConversion"/>
  </si>
  <si>
    <t>서대문구 연희로 8길 18, 스페이스독 지하1층</t>
    <phoneticPr fontId="2" type="noConversion"/>
  </si>
  <si>
    <t>~</t>
    <phoneticPr fontId="3" type="noConversion"/>
  </si>
  <si>
    <t>S관</t>
    <phoneticPr fontId="2" type="noConversion"/>
  </si>
  <si>
    <t>070-7780-0962</t>
    <phoneticPr fontId="2" type="noConversion"/>
  </si>
  <si>
    <t>22.2.21. 독립예술영화전용관 선정</t>
    <phoneticPr fontId="2" type="noConversion"/>
  </si>
  <si>
    <t>서대문구 이화여대길 52 이화여자대학교 ECC 402-4 (대현동)</t>
    <phoneticPr fontId="3" type="noConversion"/>
  </si>
  <si>
    <t>1관/2관</t>
    <phoneticPr fontId="2" type="noConversion"/>
  </si>
  <si>
    <t>02-747-7782</t>
    <phoneticPr fontId="2" type="noConversion"/>
  </si>
  <si>
    <t>20.12.01. 휴관 / 21.7.1. 영업재개</t>
    <phoneticPr fontId="3" type="noConversion"/>
  </si>
  <si>
    <t>마포구</t>
    <phoneticPr fontId="2" type="noConversion"/>
  </si>
  <si>
    <t>메가박스 홍대</t>
    <phoneticPr fontId="2" type="noConversion"/>
  </si>
  <si>
    <t>마포구 양화로 147 아일렉스 7층 (동교동 160-4)</t>
    <phoneticPr fontId="2" type="noConversion"/>
  </si>
  <si>
    <t>직영</t>
    <phoneticPr fontId="2" type="noConversion"/>
  </si>
  <si>
    <t>CGV홍대</t>
  </si>
  <si>
    <t>마포구</t>
    <phoneticPr fontId="2" type="noConversion"/>
  </si>
  <si>
    <t>인디스페이스</t>
    <phoneticPr fontId="3" type="noConversion"/>
  </si>
  <si>
    <t>마포구 양화로 176, (동교동) 동교동 스타피카소 8층</t>
  </si>
  <si>
    <t>02-738-0366</t>
    <phoneticPr fontId="3" type="noConversion"/>
  </si>
  <si>
    <t>café.naver.com/indiespace</t>
    <phoneticPr fontId="3" type="noConversion"/>
  </si>
  <si>
    <t>22.3.2. 주소 및 좌석수 변경</t>
    <phoneticPr fontId="2" type="noConversion"/>
  </si>
  <si>
    <t>CGV연남</t>
  </si>
  <si>
    <t xml:space="preserve">마포구 양화로 186 (동교동) </t>
    <phoneticPr fontId="2" type="noConversion"/>
  </si>
  <si>
    <t>Suite Cinema, 4DX</t>
  </si>
  <si>
    <t>KT&amp;G 상상마당 시네마</t>
    <phoneticPr fontId="2" type="noConversion"/>
  </si>
  <si>
    <t>마포구 어울마당로 65 지하4층 (서교동 367-5)</t>
    <phoneticPr fontId="3" type="noConversion"/>
  </si>
  <si>
    <t>마포구 어울마당로 65 지하4층 (서교동 367-5)</t>
    <phoneticPr fontId="3" type="noConversion"/>
  </si>
  <si>
    <t>02-330-6200</t>
    <phoneticPr fontId="2" type="noConversion"/>
  </si>
  <si>
    <t>www.sangsangmadang.com</t>
    <phoneticPr fontId="2" type="noConversion"/>
  </si>
  <si>
    <t>20.08.29.~ 휴관 / 22.1.18. 재개관예정으로 21년은 휴관 처리 / 22.1.25. 영업재개</t>
    <phoneticPr fontId="2" type="noConversion"/>
  </si>
  <si>
    <t>메가박스 더 부티크 목동현대백화점</t>
    <phoneticPr fontId="2" type="noConversion"/>
  </si>
  <si>
    <t>양천구 목동 목동동로 257</t>
    <phoneticPr fontId="2" type="noConversion"/>
  </si>
  <si>
    <t>(구)CGV 목동(22.9.12. 영업종료)</t>
    <phoneticPr fontId="2" type="noConversion"/>
  </si>
  <si>
    <t>MX, Comfort(3)</t>
    <phoneticPr fontId="2" type="noConversion"/>
  </si>
  <si>
    <t>서울시</t>
    <phoneticPr fontId="2" type="noConversion"/>
  </si>
  <si>
    <t>강서구</t>
    <phoneticPr fontId="2" type="noConversion"/>
  </si>
  <si>
    <t>CGV등촌</t>
  </si>
  <si>
    <t>강서구 공항대로45길 63, 3~9층 (등촌동)</t>
    <phoneticPr fontId="2" type="noConversion"/>
  </si>
  <si>
    <t>ScreenX</t>
    <phoneticPr fontId="2" type="noConversion"/>
  </si>
  <si>
    <t>20.10.26.휴관 후 21년 재개관/ 22.11.28. 7,8관 폐관</t>
    <phoneticPr fontId="2" type="noConversion"/>
  </si>
  <si>
    <t>위탁</t>
    <phoneticPr fontId="2" type="noConversion"/>
  </si>
  <si>
    <t>Cine Comfort(6)</t>
    <phoneticPr fontId="2" type="noConversion"/>
  </si>
  <si>
    <t>Cine Comfort(6)</t>
    <phoneticPr fontId="2" type="noConversion"/>
  </si>
  <si>
    <t>21.6.23. 직영-&gt; 위탁 전환/ 22.1.3. 1~6관 좌석수 변경</t>
    <phoneticPr fontId="2" type="noConversion"/>
  </si>
  <si>
    <t>Super 4D, Charlotte</t>
    <phoneticPr fontId="2" type="noConversion"/>
  </si>
  <si>
    <t>Super 4D, Charlotte</t>
    <phoneticPr fontId="2" type="noConversion"/>
  </si>
  <si>
    <t>CGV구로</t>
  </si>
  <si>
    <t>ScreenX</t>
    <phoneticPr fontId="2" type="noConversion"/>
  </si>
  <si>
    <t>Reserve(2), Suite</t>
    <phoneticPr fontId="2" type="noConversion"/>
  </si>
  <si>
    <t>CGV여의도</t>
  </si>
  <si>
    <t xml:space="preserve">21.12.22. 7관-&gt;TEMPUR CINEMA 변경 </t>
    <phoneticPr fontId="2" type="noConversion"/>
  </si>
  <si>
    <t>CGV영등포</t>
  </si>
  <si>
    <t>4DX, Gold Class, ScreenX(2), SphereX</t>
  </si>
  <si>
    <t>동작구</t>
    <phoneticPr fontId="3" type="noConversion"/>
  </si>
  <si>
    <t xml:space="preserve">아트나인 </t>
    <phoneticPr fontId="3" type="noConversion"/>
  </si>
  <si>
    <t xml:space="preserve">동작구 동작대로 89 골든시네마 12층 </t>
    <phoneticPr fontId="3" type="noConversion"/>
  </si>
  <si>
    <t>0관/ 9관</t>
    <phoneticPr fontId="2" type="noConversion"/>
  </si>
  <si>
    <t>www.artnine.co.kr</t>
    <phoneticPr fontId="3" type="noConversion"/>
  </si>
  <si>
    <t>관악구 신림로 330, 10층 (신림동 1641-2 포도몰 10층)</t>
    <phoneticPr fontId="3" type="noConversion"/>
  </si>
  <si>
    <t>The Boutique(5)</t>
    <phoneticPr fontId="2" type="noConversion"/>
  </si>
  <si>
    <t>14.12.09. 2개관(7,8관) 폐관</t>
    <phoneticPr fontId="2" type="noConversion"/>
  </si>
  <si>
    <t>서초구</t>
    <phoneticPr fontId="2" type="noConversion"/>
  </si>
  <si>
    <t>CGV살롱서초</t>
  </si>
  <si>
    <t xml:space="preserve">서초구 효령로 391, B2층 (서초동) </t>
    <phoneticPr fontId="2" type="noConversion"/>
  </si>
  <si>
    <t>CGV강남</t>
  </si>
  <si>
    <t>강남구</t>
    <phoneticPr fontId="2" type="noConversion"/>
  </si>
  <si>
    <t>롯데시네마 도곡</t>
    <phoneticPr fontId="2" type="noConversion"/>
  </si>
  <si>
    <t>강남구 남부순환로 2753</t>
    <phoneticPr fontId="2" type="noConversion"/>
  </si>
  <si>
    <t>Cine Salon(2)</t>
    <phoneticPr fontId="2" type="noConversion"/>
  </si>
  <si>
    <t>CGV청담씨네시티</t>
  </si>
  <si>
    <t>4DX, Premium</t>
  </si>
  <si>
    <t>소상영관 A/B</t>
    <phoneticPr fontId="2" type="noConversion"/>
  </si>
  <si>
    <t>21.9.15. 돌비시네마 청소년전용관으로 등록/ 22. 12. 더부티크 프라이빗2관 오픈(KOBIS 등록 22.12.29.)</t>
    <phoneticPr fontId="2" type="noConversion"/>
  </si>
  <si>
    <t xml:space="preserve">강남구 </t>
    <phoneticPr fontId="3" type="noConversion"/>
  </si>
  <si>
    <t>이봄씨어터</t>
    <phoneticPr fontId="3" type="noConversion"/>
  </si>
  <si>
    <t>강남구 압구정로 10길 9 대원빌딩 지하2층</t>
    <phoneticPr fontId="3" type="noConversion"/>
  </si>
  <si>
    <t>070-8233-4321</t>
    <phoneticPr fontId="3" type="noConversion"/>
  </si>
  <si>
    <t>(구)조이앤시네마</t>
    <phoneticPr fontId="3" type="noConversion"/>
  </si>
  <si>
    <t>CGV압구정</t>
  </si>
  <si>
    <t>IMAX, Cine de Chef(2)</t>
  </si>
  <si>
    <t xml:space="preserve">22.8.10. 1관-&gt; IMAX관 변경 </t>
    <phoneticPr fontId="2" type="noConversion"/>
  </si>
  <si>
    <t>Superplex, Super S, Super 4D, Charlotte(3)</t>
    <phoneticPr fontId="2" type="noConversion"/>
  </si>
  <si>
    <t>21관 명칭 변경 SuperplexG → Superplex, 좌석 리뉴얼</t>
    <phoneticPr fontId="2" type="noConversion"/>
  </si>
  <si>
    <t>CGV송파</t>
  </si>
  <si>
    <t>CGV천호</t>
  </si>
  <si>
    <t xml:space="preserve">Superplex, Super 4D, Charlotte </t>
    <phoneticPr fontId="2" type="noConversion"/>
  </si>
  <si>
    <t>CGV서면</t>
  </si>
  <si>
    <t xml:space="preserve">1관 없음 </t>
    <phoneticPr fontId="2" type="noConversion"/>
  </si>
  <si>
    <t>부산시</t>
    <phoneticPr fontId="2" type="noConversion"/>
  </si>
  <si>
    <t>부산진구</t>
    <phoneticPr fontId="2" type="noConversion"/>
  </si>
  <si>
    <t>CGV서면상상마당</t>
  </si>
  <si>
    <t>부산진구 서면로 39 KT&amp;G</t>
    <phoneticPr fontId="2" type="noConversion"/>
  </si>
  <si>
    <t>Private Box</t>
    <phoneticPr fontId="2" type="noConversion"/>
  </si>
  <si>
    <t>CGV서면삼정타워</t>
  </si>
  <si>
    <t>부산진구 중앙대로 672 삼정타워 11층(부전동 227-2)</t>
    <phoneticPr fontId="2" type="noConversion"/>
  </si>
  <si>
    <t>CGV동래</t>
  </si>
  <si>
    <t>CGV대연</t>
  </si>
  <si>
    <t>CGV화명</t>
  </si>
  <si>
    <t>CGV센텀시티</t>
  </si>
  <si>
    <t>Starium, 4DX, Cine de Chef(2), ScreenX</t>
  </si>
  <si>
    <t>영화의 전당</t>
    <phoneticPr fontId="3" type="noConversion"/>
  </si>
  <si>
    <t>해운대구 수영강변대로 120 (우1동 1467)</t>
    <phoneticPr fontId="3" type="noConversion"/>
  </si>
  <si>
    <t>해운대구 수영강변대로 120 (우1동 1467)</t>
    <phoneticPr fontId="3" type="noConversion"/>
  </si>
  <si>
    <t>시네마테크관/ 소극장/ 인디플러스 영화의 전당</t>
    <phoneticPr fontId="2" type="noConversion"/>
  </si>
  <si>
    <t>051-780-6087</t>
    <phoneticPr fontId="3" type="noConversion"/>
  </si>
  <si>
    <t>비상설로 운영 중인 2개관(야외극장, 하늘연극장) 제외</t>
    <phoneticPr fontId="3" type="noConversion"/>
  </si>
  <si>
    <t>CGV해운대</t>
  </si>
  <si>
    <t>롯데시네마 프리미엄해운대(장산역)</t>
    <phoneticPr fontId="2" type="noConversion"/>
  </si>
  <si>
    <t>CGV하단아트몰링</t>
  </si>
  <si>
    <t>사하구 낙동남로 1413 아트몰링문화관 7층 (하단동)</t>
    <phoneticPr fontId="2" type="noConversion"/>
  </si>
  <si>
    <t>Comfort</t>
    <phoneticPr fontId="2" type="noConversion"/>
  </si>
  <si>
    <t>롯데시네마 오투(부산대)</t>
    <phoneticPr fontId="2" type="noConversion"/>
  </si>
  <si>
    <t>아르떼 클래식</t>
    <phoneticPr fontId="2" type="noConversion"/>
  </si>
  <si>
    <t>강서구</t>
    <phoneticPr fontId="2" type="noConversion"/>
  </si>
  <si>
    <t>롯데시네마 부산명지</t>
    <phoneticPr fontId="2" type="noConversion"/>
  </si>
  <si>
    <t>강서구 명지국제6로 107, 2층 (명지동 대방디엠시티 2차)</t>
    <phoneticPr fontId="2" type="noConversion"/>
  </si>
  <si>
    <t>CGV부산명지</t>
  </si>
  <si>
    <t>강서구 명지국제8로 10번길 38, 명지플러스시네마 9층</t>
  </si>
  <si>
    <t>CGV아시아드</t>
  </si>
  <si>
    <t>4DX, ScreenX</t>
  </si>
  <si>
    <t>09.03. CGV 아시아드로 상호변경</t>
    <phoneticPr fontId="2" type="noConversion"/>
  </si>
  <si>
    <t>메가박스 사상</t>
    <phoneticPr fontId="2" type="noConversion"/>
  </si>
  <si>
    <t>사상구 사상로 201 애플아울렛 본관 3~4층(괘법동 533-1)</t>
    <phoneticPr fontId="2" type="noConversion"/>
  </si>
  <si>
    <t>Comfort(7)</t>
    <phoneticPr fontId="2" type="noConversion"/>
  </si>
  <si>
    <t>22.1.12. 롯데시네마 사상 -&gt;22.5.2. 메가박스 사상으로 전환</t>
    <phoneticPr fontId="2" type="noConversion"/>
  </si>
  <si>
    <t>CGV정관</t>
  </si>
  <si>
    <t xml:space="preserve">대구시 </t>
    <phoneticPr fontId="3" type="noConversion"/>
  </si>
  <si>
    <t xml:space="preserve">중구 </t>
    <phoneticPr fontId="3" type="noConversion"/>
  </si>
  <si>
    <t xml:space="preserve">대구독립영화전용관 오오극장 </t>
    <phoneticPr fontId="3" type="noConversion"/>
  </si>
  <si>
    <t>중구 국채보상로 537</t>
    <phoneticPr fontId="3" type="noConversion"/>
  </si>
  <si>
    <t>오오</t>
    <phoneticPr fontId="2" type="noConversion"/>
  </si>
  <si>
    <t>롯데시네마 프리미엄만경</t>
    <phoneticPr fontId="2" type="noConversion"/>
  </si>
  <si>
    <t>CGV대구현대</t>
  </si>
  <si>
    <t>CGV대구한일</t>
  </si>
  <si>
    <t xml:space="preserve">(구)대구한일극장 → (구)메가박스 대구한일 </t>
    <phoneticPr fontId="2" type="noConversion"/>
  </si>
  <si>
    <t>CGV대구아카데미</t>
  </si>
  <si>
    <t>(구)롯데시네마 대구아카데미 / 20.10.26.~ 휴관</t>
    <phoneticPr fontId="2" type="noConversion"/>
  </si>
  <si>
    <t>동구 동부로 149 신세계백화점 8층</t>
    <phoneticPr fontId="2" type="noConversion"/>
  </si>
  <si>
    <t xml:space="preserve">Dolby Cinema </t>
    <phoneticPr fontId="2" type="noConversion"/>
  </si>
  <si>
    <t>롯데시네마 대구율하</t>
    <phoneticPr fontId="2" type="noConversion"/>
  </si>
  <si>
    <t>씨네Q 대구이시아</t>
    <phoneticPr fontId="2" type="noConversion"/>
  </si>
  <si>
    <t>Recliner(7)</t>
    <phoneticPr fontId="2" type="noConversion"/>
  </si>
  <si>
    <t>(구)CGV 대구이시아폴리스/ 22.1.19. CGV대구이시아에서 전환됨</t>
    <phoneticPr fontId="2" type="noConversion"/>
  </si>
  <si>
    <t>Comfort(7)</t>
    <phoneticPr fontId="2" type="noConversion"/>
  </si>
  <si>
    <t>20년 위탁-&gt;직영 전환</t>
    <phoneticPr fontId="2" type="noConversion"/>
  </si>
  <si>
    <t>CGV대구칠곡</t>
  </si>
  <si>
    <t>대구시</t>
    <phoneticPr fontId="2" type="noConversion"/>
  </si>
  <si>
    <t>북구</t>
    <phoneticPr fontId="2" type="noConversion"/>
  </si>
  <si>
    <t>CGV대구연경</t>
  </si>
  <si>
    <t>북구 동화천로 290</t>
    <phoneticPr fontId="2" type="noConversion"/>
  </si>
  <si>
    <t>북구</t>
    <phoneticPr fontId="2" type="noConversion"/>
  </si>
  <si>
    <t>CGV대구</t>
    <phoneticPr fontId="2" type="noConversion"/>
  </si>
  <si>
    <t>북구 침산로 93 스펙트럼시티 4층 (칠성동2가)</t>
    <phoneticPr fontId="2" type="noConversion"/>
  </si>
  <si>
    <t>롯데시네마 프리미엄칠곡</t>
    <phoneticPr fontId="2" type="noConversion"/>
  </si>
  <si>
    <t>CGV대구스타디움</t>
  </si>
  <si>
    <t>CGV대구수성</t>
  </si>
  <si>
    <t>CGV대구월성</t>
  </si>
  <si>
    <t>달성군</t>
    <phoneticPr fontId="2" type="noConversion"/>
  </si>
  <si>
    <t>롯데시네마 대구현풍</t>
    <phoneticPr fontId="2" type="noConversion"/>
  </si>
  <si>
    <t>달성군 현풍읍 테크노상업로 62 센터빌타워 4층 (현풍읍 중리)</t>
    <phoneticPr fontId="2" type="noConversion"/>
  </si>
  <si>
    <t>달성군 현풍읍 테크노상업로 62 센터빌타워 4층 (현풍읍 중리)</t>
    <phoneticPr fontId="2" type="noConversion"/>
  </si>
  <si>
    <t>중구 개항로 63-2 (경동 238번지)</t>
    <phoneticPr fontId="3" type="noConversion"/>
  </si>
  <si>
    <t>인천시</t>
    <phoneticPr fontId="2" type="noConversion"/>
  </si>
  <si>
    <t>중구</t>
    <phoneticPr fontId="2" type="noConversion"/>
  </si>
  <si>
    <t>중구</t>
    <phoneticPr fontId="2" type="noConversion"/>
  </si>
  <si>
    <t>롯데시네마 영종하늘도시</t>
    <phoneticPr fontId="2" type="noConversion"/>
  </si>
  <si>
    <t>중구 하늘중앙로195번길 15 세영프라자 3층 (중산동)</t>
    <phoneticPr fontId="2" type="noConversion"/>
  </si>
  <si>
    <t>인천시</t>
    <phoneticPr fontId="3" type="noConversion"/>
  </si>
  <si>
    <t>동구</t>
    <phoneticPr fontId="3" type="noConversion"/>
  </si>
  <si>
    <t xml:space="preserve">인천미림극장 </t>
    <phoneticPr fontId="3" type="noConversion"/>
  </si>
  <si>
    <t>동구 화도진로 31 (송현동 92-7)</t>
    <phoneticPr fontId="3" type="noConversion"/>
  </si>
  <si>
    <t>032-764-6920</t>
    <phoneticPr fontId="3" type="noConversion"/>
  </si>
  <si>
    <t>22.4.27. 좌석수 변경</t>
    <phoneticPr fontId="2" type="noConversion"/>
  </si>
  <si>
    <t>미추홀구</t>
    <phoneticPr fontId="2" type="noConversion"/>
  </si>
  <si>
    <t>CGV인천학익</t>
  </si>
  <si>
    <t xml:space="preserve">미추홀구 매소홀로 255, 5~8층 </t>
    <phoneticPr fontId="2" type="noConversion"/>
  </si>
  <si>
    <t>미추홀구 미추홀대로 716 메인프라자7층 (주안1동 166-1)</t>
    <phoneticPr fontId="3" type="noConversion"/>
  </si>
  <si>
    <t>1관/2관/3관/4관</t>
    <phoneticPr fontId="2" type="noConversion"/>
  </si>
  <si>
    <t>(구)프리머스 주안</t>
    <phoneticPr fontId="3" type="noConversion"/>
  </si>
  <si>
    <t>미추홀구</t>
    <phoneticPr fontId="2" type="noConversion"/>
  </si>
  <si>
    <t>CGV인천도화</t>
  </si>
  <si>
    <t>미추홀구 숙골로 88번길 12, 지하1층</t>
    <phoneticPr fontId="2" type="noConversion"/>
  </si>
  <si>
    <t>미추홀구 연남로 35, 지하1층 (관교동 15 신세계백화점 지하1층)</t>
    <phoneticPr fontId="2" type="noConversion"/>
  </si>
  <si>
    <t>CGV주안역</t>
  </si>
  <si>
    <t>미추홀구 염창로 58, 6층 (주안동 30-1 카라아울렛 6~10층)</t>
    <phoneticPr fontId="2" type="noConversion"/>
  </si>
  <si>
    <t>(구)CGV 주안/ 20.03.07. 직영 → 위탁 전환</t>
    <phoneticPr fontId="2" type="noConversion"/>
  </si>
  <si>
    <t>연수구</t>
    <phoneticPr fontId="2" type="noConversion"/>
  </si>
  <si>
    <t>CGV연수역</t>
  </si>
  <si>
    <t>(구)메가박스 연수 / 20.10.26.~ 휴관/ 22.4.13. 발권재개</t>
    <phoneticPr fontId="2" type="noConversion"/>
  </si>
  <si>
    <t>CGV인천연수</t>
  </si>
  <si>
    <t>CGV송도타임스페이스</t>
  </si>
  <si>
    <t>연수구 하모니로 158 지하1층</t>
    <phoneticPr fontId="2" type="noConversion"/>
  </si>
  <si>
    <t>22.11.18. 6,7관 좌석수 변경</t>
    <phoneticPr fontId="2" type="noConversion"/>
  </si>
  <si>
    <t>CGV인천논현</t>
  </si>
  <si>
    <t>CGV인천</t>
  </si>
  <si>
    <t xml:space="preserve">22.7.13. 10관 좌석수 변경 </t>
    <phoneticPr fontId="2" type="noConversion"/>
  </si>
  <si>
    <t>부평구 경원대로 1382 (부평1동 201-9)</t>
    <phoneticPr fontId="3" type="noConversion"/>
  </si>
  <si>
    <t>032-503-3330</t>
    <phoneticPr fontId="2" type="noConversion"/>
  </si>
  <si>
    <t>https://daihan.moonhwain.net:451/</t>
  </si>
  <si>
    <t>CGV부평</t>
  </si>
  <si>
    <t>부평구</t>
    <phoneticPr fontId="2" type="noConversion"/>
  </si>
  <si>
    <t>롯데시네마 부평갈산</t>
    <phoneticPr fontId="2" type="noConversion"/>
  </si>
  <si>
    <t>부평구 주부토로 236, 3층 (갈산동)</t>
    <phoneticPr fontId="2" type="noConversion"/>
  </si>
  <si>
    <t>CGV계양</t>
  </si>
  <si>
    <t>4DX</t>
    <phoneticPr fontId="2" type="noConversion"/>
  </si>
  <si>
    <t>CGV청라</t>
  </si>
  <si>
    <t xml:space="preserve">강화군 </t>
    <phoneticPr fontId="3" type="noConversion"/>
  </si>
  <si>
    <t xml:space="preserve">강화작은영화관 </t>
    <phoneticPr fontId="3" type="noConversion"/>
  </si>
  <si>
    <t xml:space="preserve">강화군 고비고개로 19번길 12 </t>
    <phoneticPr fontId="3" type="noConversion"/>
  </si>
  <si>
    <t>Y</t>
    <phoneticPr fontId="2" type="noConversion"/>
  </si>
  <si>
    <t>032-934-7717</t>
    <phoneticPr fontId="2" type="noConversion"/>
  </si>
  <si>
    <t>ganghwa.scinema.org</t>
    <phoneticPr fontId="2" type="noConversion"/>
  </si>
  <si>
    <t xml:space="preserve">20.02.21. 상영내역 없음. 휴관 처리 / 21.4월경 재개관예정, 21년은 상영내역 없음/ 22.5.23. 영업재개 </t>
    <phoneticPr fontId="2" type="noConversion"/>
  </si>
  <si>
    <t>광주독립영화관</t>
    <phoneticPr fontId="3" type="noConversion"/>
  </si>
  <si>
    <t>동구 제봉로 96 (서석동 47번지 1호)</t>
    <phoneticPr fontId="3" type="noConversion"/>
  </si>
  <si>
    <t>062-222-1895</t>
    <phoneticPr fontId="2" type="noConversion"/>
  </si>
  <si>
    <t>www.gift4u.or.kr</t>
    <phoneticPr fontId="3" type="noConversion"/>
  </si>
  <si>
    <t>CGV광주금남로</t>
  </si>
  <si>
    <t>동구 중앙로 160번길 16-7 부로타워 2층(불로동 1-21)</t>
    <phoneticPr fontId="2" type="noConversion"/>
  </si>
  <si>
    <t>(구)씨네씨티/ (구)메가박스 광주(충장로) / 20.10.26.휴관 후 21년 재개관</t>
    <phoneticPr fontId="2" type="noConversion"/>
  </si>
  <si>
    <t>CGV광주충장로</t>
  </si>
  <si>
    <t>동구 충장로 46번길 10 (충장로 5가 62)</t>
    <phoneticPr fontId="3" type="noConversion"/>
  </si>
  <si>
    <t>062-224-5858</t>
    <phoneticPr fontId="2" type="noConversion"/>
  </si>
  <si>
    <t>CGV광주터미널</t>
  </si>
  <si>
    <t>IMAX, ScreenX, 4DX</t>
    <phoneticPr fontId="2" type="noConversion"/>
  </si>
  <si>
    <t>Comfort(10)</t>
    <phoneticPr fontId="2" type="noConversion"/>
  </si>
  <si>
    <t>CGV광주상무</t>
  </si>
  <si>
    <t>CGV광주용봉</t>
  </si>
  <si>
    <t>Cine Comfort(7)</t>
    <phoneticPr fontId="2" type="noConversion"/>
  </si>
  <si>
    <t>20.03.16.휴관 / 21년 1월 중순 사업자 변경 후 재개관</t>
    <phoneticPr fontId="2" type="noConversion"/>
  </si>
  <si>
    <t>CGV광주하남</t>
  </si>
  <si>
    <t>CGV광주첨단</t>
  </si>
  <si>
    <t>CGV대전터미널</t>
  </si>
  <si>
    <t>CGV대전가오</t>
  </si>
  <si>
    <t>CGV대전</t>
  </si>
  <si>
    <t>대전시</t>
    <phoneticPr fontId="2" type="noConversion"/>
  </si>
  <si>
    <t>대전독립영화전용관 씨네인디U</t>
    <phoneticPr fontId="2" type="noConversion"/>
  </si>
  <si>
    <t>중구 계백로 1712 기독교연합봉사회관 1층</t>
    <phoneticPr fontId="2" type="noConversion"/>
  </si>
  <si>
    <t>042-331-1895</t>
    <phoneticPr fontId="2" type="noConversion"/>
  </si>
  <si>
    <t xml:space="preserve">20.04.23. 상영시작일을 개관일로 봄 </t>
    <phoneticPr fontId="2" type="noConversion"/>
  </si>
  <si>
    <t>메가박스 대전중앙로</t>
    <phoneticPr fontId="2" type="noConversion"/>
  </si>
  <si>
    <t>중구 중앙로 126(대흥동)</t>
    <phoneticPr fontId="2" type="noConversion"/>
  </si>
  <si>
    <t>서구</t>
    <phoneticPr fontId="2" type="noConversion"/>
  </si>
  <si>
    <t>CGV대전가수원</t>
  </si>
  <si>
    <t>서구 도안동로11번길 45, U플라자 5~6층(가수원동)</t>
    <phoneticPr fontId="2" type="noConversion"/>
  </si>
  <si>
    <t>Comfort(4)</t>
    <phoneticPr fontId="2" type="noConversion"/>
  </si>
  <si>
    <t>CGV대전탄방</t>
  </si>
  <si>
    <t>롯데시네마 대전관저</t>
    <phoneticPr fontId="2" type="noConversion"/>
  </si>
  <si>
    <t>서구 봉우로8번길 23, 5층 (관저동 1735)</t>
    <phoneticPr fontId="2" type="noConversion"/>
  </si>
  <si>
    <t>메가박스 대전유성</t>
    <phoneticPr fontId="2" type="noConversion"/>
  </si>
  <si>
    <t>(구)CGV 유성온천 20.02.29. 영업종료 후 전환</t>
    <phoneticPr fontId="2" type="noConversion"/>
  </si>
  <si>
    <t>CGV유성노은</t>
  </si>
  <si>
    <t>유성구</t>
    <phoneticPr fontId="2" type="noConversion"/>
  </si>
  <si>
    <t>메가박스 대전신세계 아트앤사이언스</t>
    <phoneticPr fontId="2" type="noConversion"/>
  </si>
  <si>
    <t>유성구 엑스포로1, 대전신세계아트앤사이언스지점 6~7층</t>
    <phoneticPr fontId="2" type="noConversion"/>
  </si>
  <si>
    <t>Comfort(5), Dolby Cinema, The Boutique suite</t>
    <phoneticPr fontId="2" type="noConversion"/>
  </si>
  <si>
    <t xml:space="preserve">유성구 </t>
    <phoneticPr fontId="2" type="noConversion"/>
  </si>
  <si>
    <t>메가박스 대전현대아울렛</t>
    <phoneticPr fontId="2" type="noConversion"/>
  </si>
  <si>
    <t>유성구 테크노중앙로 123, 3층</t>
    <phoneticPr fontId="2" type="noConversion"/>
  </si>
  <si>
    <t>MX</t>
    <phoneticPr fontId="2" type="noConversion"/>
  </si>
  <si>
    <t>CGV울산삼산</t>
  </si>
  <si>
    <t>IMAX, ScreenX, 4DX, Gold Class</t>
  </si>
  <si>
    <t>울산시</t>
    <phoneticPr fontId="2" type="noConversion"/>
  </si>
  <si>
    <t>동구</t>
    <phoneticPr fontId="2" type="noConversion"/>
  </si>
  <si>
    <t>CGV울산동구</t>
  </si>
  <si>
    <t>동구 등대로50</t>
  </si>
  <si>
    <t>현대예술관</t>
    <phoneticPr fontId="2" type="noConversion"/>
  </si>
  <si>
    <t>동구 명덕로 10 (서부동 110-1)</t>
    <phoneticPr fontId="3" type="noConversion"/>
  </si>
  <si>
    <t>052-209-7816</t>
    <phoneticPr fontId="2" type="noConversion"/>
  </si>
  <si>
    <t>영화관 2개관 / 20.12.14. 휴관 / 21.01.14. 영업재개</t>
    <phoneticPr fontId="3" type="noConversion"/>
  </si>
  <si>
    <t>CGV울산신천</t>
  </si>
  <si>
    <t>북구 매산1로 17 (신천동)</t>
    <phoneticPr fontId="2" type="noConversion"/>
  </si>
  <si>
    <t>CGV울산진장</t>
  </si>
  <si>
    <t>울산시</t>
    <phoneticPr fontId="3" type="noConversion"/>
  </si>
  <si>
    <t xml:space="preserve">울주군 </t>
    <phoneticPr fontId="3" type="noConversion"/>
  </si>
  <si>
    <t xml:space="preserve">알프스시네마 </t>
    <phoneticPr fontId="3" type="noConversion"/>
  </si>
  <si>
    <t>울주군 상북면 알프스온천5길 103-8</t>
    <phoneticPr fontId="3" type="noConversion"/>
  </si>
  <si>
    <t>052-204-2931</t>
    <phoneticPr fontId="3" type="noConversion"/>
  </si>
  <si>
    <t>22.5.2. 좌석수 변경</t>
    <phoneticPr fontId="2" type="noConversion"/>
  </si>
  <si>
    <t>세종시</t>
    <phoneticPr fontId="2" type="noConversion"/>
  </si>
  <si>
    <t xml:space="preserve">메가박스 세종나성 </t>
    <phoneticPr fontId="2" type="noConversion"/>
  </si>
  <si>
    <t xml:space="preserve">세종시 나성로 38, 4~6층 (나성동 세종가로수길 건물) </t>
    <phoneticPr fontId="2" type="noConversion"/>
  </si>
  <si>
    <t>CGV세종</t>
  </si>
  <si>
    <t xml:space="preserve">메가박스 세종청사 </t>
    <phoneticPr fontId="2" type="noConversion"/>
  </si>
  <si>
    <t>세종시 도움3로 19, 엠브릿지 B1층</t>
    <phoneticPr fontId="2" type="noConversion"/>
  </si>
  <si>
    <t>Comfort(6)</t>
    <phoneticPr fontId="2" type="noConversion"/>
  </si>
  <si>
    <t>조치원읍</t>
    <phoneticPr fontId="2" type="noConversion"/>
  </si>
  <si>
    <t>메가박스 세종(조치원)</t>
    <phoneticPr fontId="2" type="noConversion"/>
  </si>
  <si>
    <t>21.11.15. 직영&gt; 위탁전환</t>
    <phoneticPr fontId="2" type="noConversion"/>
  </si>
  <si>
    <t>경기도</t>
    <phoneticPr fontId="2" type="noConversion"/>
  </si>
  <si>
    <t>수원시</t>
    <phoneticPr fontId="2" type="noConversion"/>
  </si>
  <si>
    <t>롯데시네마 서수원</t>
    <phoneticPr fontId="2" type="noConversion"/>
  </si>
  <si>
    <t>수원시 권선구 금곡로 219 (금곡동 1114-1번지)</t>
    <phoneticPr fontId="2" type="noConversion"/>
  </si>
  <si>
    <t>1544-8855</t>
    <phoneticPr fontId="2" type="noConversion"/>
  </si>
  <si>
    <t>Superplex, Super 4D, Colorium</t>
    <phoneticPr fontId="2" type="noConversion"/>
  </si>
  <si>
    <t>메가박스 수원호매실</t>
    <phoneticPr fontId="2" type="noConversion"/>
  </si>
  <si>
    <t>수원시 권선구 호매실로90번길 76 아진스퀘어 7,8층</t>
  </si>
  <si>
    <t>Comfort(5)</t>
    <phoneticPr fontId="2" type="noConversion"/>
  </si>
  <si>
    <t>CGV광교</t>
  </si>
  <si>
    <t xml:space="preserve">수원시 영통구 광교호수공원로 320 갤러리아백화점 광교점 10층 </t>
    <phoneticPr fontId="2" type="noConversion"/>
  </si>
  <si>
    <t>4DX, IMAX</t>
  </si>
  <si>
    <t>22.5.11. 키즈A, B관 -&gt; Puppy Cinema관으로 변경</t>
    <phoneticPr fontId="2" type="noConversion"/>
  </si>
  <si>
    <t>CGV북수원</t>
  </si>
  <si>
    <t>롯데시네마 북수원</t>
    <phoneticPr fontId="2" type="noConversion"/>
  </si>
  <si>
    <t>수원시 장안구 천천로 100</t>
    <phoneticPr fontId="2" type="noConversion"/>
  </si>
  <si>
    <t>CGV동수원</t>
  </si>
  <si>
    <t>CGV수원</t>
  </si>
  <si>
    <t>CGV서현</t>
  </si>
  <si>
    <t>CGV야탑</t>
  </si>
  <si>
    <t>CGV판교</t>
  </si>
  <si>
    <t>IMAX, ScreenX, 4DX, TEMPUR CINEMA</t>
  </si>
  <si>
    <t xml:space="preserve">21.12.10. 7관-&gt; TEMPUR CINEMA 변경 </t>
    <phoneticPr fontId="2" type="noConversion"/>
  </si>
  <si>
    <t>(구)시네플라자</t>
    <phoneticPr fontId="2" type="noConversion"/>
  </si>
  <si>
    <t>CGV성남모란</t>
  </si>
  <si>
    <t>(구)롯데시네마 성남(모란역) 20.02.01. CGV로 전환</t>
    <phoneticPr fontId="2" type="noConversion"/>
  </si>
  <si>
    <t>성남시</t>
    <phoneticPr fontId="2" type="noConversion"/>
  </si>
  <si>
    <t>롯데시네마 판교</t>
    <phoneticPr fontId="2" type="noConversion"/>
  </si>
  <si>
    <t>성남시 수정구 창업로 18 파미어스몰 B1~B3 (시흥동)</t>
    <phoneticPr fontId="2" type="noConversion"/>
  </si>
  <si>
    <t>CGV의정부태흥</t>
  </si>
  <si>
    <t>1544-0070</t>
    <phoneticPr fontId="3" type="noConversion"/>
  </si>
  <si>
    <t>CGV의정부</t>
  </si>
  <si>
    <t>CGV평촌</t>
  </si>
  <si>
    <t>CGV범계</t>
  </si>
  <si>
    <t>(구)메가박스 인덕원 / 21년 10월 직영&gt;위탁 전환</t>
    <phoneticPr fontId="2" type="noConversion"/>
  </si>
  <si>
    <t>CGV역곡</t>
  </si>
  <si>
    <t>부천시 경인로 505, 6층 (괴안동 역곡하이뷰 6층)</t>
    <phoneticPr fontId="2" type="noConversion"/>
  </si>
  <si>
    <t>경기도</t>
    <phoneticPr fontId="3" type="noConversion"/>
  </si>
  <si>
    <t>부천시</t>
    <phoneticPr fontId="3" type="noConversion"/>
  </si>
  <si>
    <t>한국만화영상진흥원</t>
    <phoneticPr fontId="3" type="noConversion"/>
  </si>
  <si>
    <t xml:space="preserve">부천시 길주로 1 (상3동 529-2) </t>
    <phoneticPr fontId="3" type="noConversion"/>
  </si>
  <si>
    <t>032-310-3093</t>
    <phoneticPr fontId="3" type="noConversion"/>
  </si>
  <si>
    <t>www.comicsmuseum.org</t>
    <phoneticPr fontId="3" type="noConversion"/>
  </si>
  <si>
    <t>CGV부천</t>
  </si>
  <si>
    <t>판타스틱 큐브</t>
    <phoneticPr fontId="3" type="noConversion"/>
  </si>
  <si>
    <t>부천시 길주로 210</t>
    <phoneticPr fontId="3" type="noConversion"/>
  </si>
  <si>
    <t>032-329-8150</t>
    <phoneticPr fontId="3" type="noConversion"/>
  </si>
  <si>
    <t>www.bcmc.kr</t>
    <phoneticPr fontId="3" type="noConversion"/>
  </si>
  <si>
    <t>부천시 길주로 289 (중동 1141-2)</t>
    <phoneticPr fontId="3" type="noConversion"/>
  </si>
  <si>
    <t>CGV부천역</t>
  </si>
  <si>
    <t>부천시 부일로 460</t>
    <phoneticPr fontId="2" type="noConversion"/>
  </si>
  <si>
    <t>(구)MMC부천 -&gt;(구)메가박스 부천MMC/ 22.7.21. 1~8관 좌석수 변경</t>
    <phoneticPr fontId="2" type="noConversion"/>
  </si>
  <si>
    <t>부천시 부천로 11 (심곡동)</t>
    <phoneticPr fontId="3" type="noConversion"/>
  </si>
  <si>
    <t>CGV소풍</t>
  </si>
  <si>
    <t>부천시 송내대로 239, 6층 (상동 539-1 소풍 6,7층)</t>
    <phoneticPr fontId="2" type="noConversion"/>
  </si>
  <si>
    <t>부천시</t>
    <phoneticPr fontId="2" type="noConversion"/>
  </si>
  <si>
    <t>CGV부천옥길</t>
  </si>
  <si>
    <t>부천시 옥길로 124 문영퀸즈파크옥길 C동 8층</t>
    <phoneticPr fontId="2" type="noConversion"/>
  </si>
  <si>
    <t>메가박스 부천스타필드시티</t>
    <phoneticPr fontId="2" type="noConversion"/>
  </si>
  <si>
    <t>부천시 옥길로1 (옥길동 768)</t>
    <phoneticPr fontId="2" type="noConversion"/>
  </si>
  <si>
    <t>광명시</t>
    <phoneticPr fontId="2" type="noConversion"/>
  </si>
  <si>
    <t>메가박스 광명소하</t>
    <phoneticPr fontId="2" type="noConversion"/>
  </si>
  <si>
    <t>광명시 소하로 190 G타워 지하1층</t>
  </si>
  <si>
    <t>메가박스 광명AK플라자</t>
    <phoneticPr fontId="2" type="noConversion"/>
  </si>
  <si>
    <t xml:space="preserve">광명시 양지로 17, B1층 (일직동) </t>
    <phoneticPr fontId="2" type="noConversion"/>
  </si>
  <si>
    <t xml:space="preserve">21.12.17. 1관 좌석수 변경 </t>
    <phoneticPr fontId="2" type="noConversion"/>
  </si>
  <si>
    <t>CGV광명역</t>
  </si>
  <si>
    <t>광명시 일직로 43 GIDC B동 지하2층</t>
    <phoneticPr fontId="2" type="noConversion"/>
  </si>
  <si>
    <t>OLC광명철산극장</t>
    <phoneticPr fontId="2" type="noConversion"/>
  </si>
  <si>
    <t>02-2685-0704</t>
    <phoneticPr fontId="2" type="noConversion"/>
  </si>
  <si>
    <t>www.olcinema.co.kr</t>
    <phoneticPr fontId="2" type="noConversion"/>
  </si>
  <si>
    <t xml:space="preserve">(구)프리머스 광명 / (구)CGV 광명철산 20.01.27. 영업종료 / 20.07.27. 광명철산극장으로 변경 후 휴업 / 21.5.5. 발권데이터 확인 영업 시작/ 3관 폐관, GS관, 5관, 6관 22년 상반기부터 부분휴관중 </t>
    <phoneticPr fontId="2" type="noConversion"/>
  </si>
  <si>
    <t>롯데시네마 평택비전(뉴코아)</t>
    <phoneticPr fontId="2" type="noConversion"/>
  </si>
  <si>
    <t>(구)프리머스 평택 &gt; (구)CGV평택비전 / 20.10.13.휴관, 21.8.1. 발권재개</t>
    <phoneticPr fontId="2" type="noConversion"/>
  </si>
  <si>
    <t>평택시</t>
    <phoneticPr fontId="2" type="noConversion"/>
  </si>
  <si>
    <t>CGV평택고덕</t>
  </si>
  <si>
    <t>평택시 경기대로 945,평택고덕아이파크 101동 3층</t>
  </si>
  <si>
    <t>CGV평택소사</t>
  </si>
  <si>
    <t>CGV평택</t>
  </si>
  <si>
    <t>14.12.17. 8관 116석 추가/ 22.5.2. 2관 좌석수 변경</t>
    <phoneticPr fontId="2" type="noConversion"/>
  </si>
  <si>
    <t>동광극장</t>
    <phoneticPr fontId="3" type="noConversion"/>
  </si>
  <si>
    <t>동두천시 동광로 33 (중앙동 828)</t>
    <phoneticPr fontId="3" type="noConversion"/>
  </si>
  <si>
    <t>031-867-3030</t>
    <phoneticPr fontId="2" type="noConversion"/>
  </si>
  <si>
    <t>dgt.movieplus.or.kr/</t>
    <phoneticPr fontId="3" type="noConversion"/>
  </si>
  <si>
    <t>(구)동광극장</t>
    <phoneticPr fontId="3" type="noConversion"/>
  </si>
  <si>
    <t>동두천시 동광로 66 (생연3동 616)</t>
    <phoneticPr fontId="3" type="noConversion"/>
  </si>
  <si>
    <t>031-863-3000</t>
    <phoneticPr fontId="2" type="noConversion"/>
  </si>
  <si>
    <t>mht.movieplus.or.kr/</t>
    <phoneticPr fontId="3" type="noConversion"/>
  </si>
  <si>
    <t>CGV안산</t>
  </si>
  <si>
    <t xml:space="preserve">경기도 </t>
    <phoneticPr fontId="3" type="noConversion"/>
  </si>
  <si>
    <t>안산시</t>
    <phoneticPr fontId="3" type="noConversion"/>
  </si>
  <si>
    <t xml:space="preserve">명화극장 </t>
    <phoneticPr fontId="3" type="noConversion"/>
  </si>
  <si>
    <t>안산시 단원구 중앙대로 921 (고잔동)</t>
    <phoneticPr fontId="3" type="noConversion"/>
  </si>
  <si>
    <t>고전</t>
    <phoneticPr fontId="2" type="noConversion"/>
  </si>
  <si>
    <t>031-480-3827</t>
    <phoneticPr fontId="3" type="noConversion"/>
  </si>
  <si>
    <t>www.myounghwacinema.org</t>
    <phoneticPr fontId="2" type="noConversion"/>
  </si>
  <si>
    <t>22.4.20. 좌석수 변경</t>
    <phoneticPr fontId="2" type="noConversion"/>
  </si>
  <si>
    <t>롯데시네마 안산</t>
    <phoneticPr fontId="2" type="noConversion"/>
  </si>
  <si>
    <t>고양시</t>
    <phoneticPr fontId="2" type="noConversion"/>
  </si>
  <si>
    <t>CGV고양행신</t>
  </si>
  <si>
    <t>고양시 덕양구 충장로 8 로터스플레이스 5층</t>
    <phoneticPr fontId="2" type="noConversion"/>
  </si>
  <si>
    <t>CGV화정</t>
  </si>
  <si>
    <t>Cine Comfort(8)</t>
    <phoneticPr fontId="2" type="noConversion"/>
  </si>
  <si>
    <t>21년 6월 직영&gt; 위탁 전환 /  22년 Cine Comfort 4개 추가</t>
    <phoneticPr fontId="2" type="noConversion"/>
  </si>
  <si>
    <t>CGV일산</t>
  </si>
  <si>
    <t>IMAX, ScreenX, 4DX Cine &amp; Foret</t>
  </si>
  <si>
    <t>OPEN M관 17.10. 영업종료</t>
    <phoneticPr fontId="2" type="noConversion"/>
  </si>
  <si>
    <t>Cine Comfort(5)</t>
    <phoneticPr fontId="2" type="noConversion"/>
  </si>
  <si>
    <t xml:space="preserve">케이트리호텔 X 모노플렉스 </t>
    <phoneticPr fontId="2" type="noConversion"/>
  </si>
  <si>
    <t>고양시 일산서구 킨텍스로 255-3, (대화동) 케이트리 201호</t>
  </si>
  <si>
    <t>031-540-2400</t>
    <phoneticPr fontId="2" type="noConversion"/>
  </si>
  <si>
    <t>www.monoplex.com</t>
    <phoneticPr fontId="2" type="noConversion"/>
  </si>
  <si>
    <t>Comfort(2), The Boutique Suite</t>
    <phoneticPr fontId="2" type="noConversion"/>
  </si>
  <si>
    <t>CGV구리</t>
  </si>
  <si>
    <t>남양주시</t>
    <phoneticPr fontId="2" type="noConversion"/>
  </si>
  <si>
    <t>CGV다산</t>
  </si>
  <si>
    <t>남양주시 다산순환로 20 현대프리미어캠퍼스 지하2층</t>
    <phoneticPr fontId="2" type="noConversion"/>
  </si>
  <si>
    <t>메가박스 남양주현대아울렛 스페이스원</t>
    <phoneticPr fontId="2" type="noConversion"/>
  </si>
  <si>
    <t xml:space="preserve">남양주시 다산순환로 50 </t>
    <phoneticPr fontId="2" type="noConversion"/>
  </si>
  <si>
    <t>Comfort, Dolby Cinema</t>
    <phoneticPr fontId="2" type="noConversion"/>
  </si>
  <si>
    <t>롯데시네마 별내</t>
    <phoneticPr fontId="2" type="noConversion"/>
  </si>
  <si>
    <t>남양주시 별내중앙로 10 (별내동)</t>
    <phoneticPr fontId="2" type="noConversion"/>
  </si>
  <si>
    <t>남양주시 진접읍 해밀예당1로 36 래일스타 9층 (금곡리 1081-2)</t>
    <phoneticPr fontId="3" type="noConversion"/>
  </si>
  <si>
    <t>롯데시네마 오산(원동)</t>
    <phoneticPr fontId="2" type="noConversion"/>
  </si>
  <si>
    <t>오산시 경기대로 198, 5층 (원동)</t>
    <phoneticPr fontId="2" type="noConversion"/>
  </si>
  <si>
    <t xml:space="preserve">(구)프리머스 오산 / (구)메가박스 오산 / 21년 12월 현재 1관 휴관 중 </t>
    <phoneticPr fontId="2" type="noConversion"/>
  </si>
  <si>
    <t>오산시</t>
    <phoneticPr fontId="2" type="noConversion"/>
  </si>
  <si>
    <t>CGV오산중앙</t>
  </si>
  <si>
    <t>오산시 원동로 22 르마레시티 3층 (원동 335-10)</t>
    <phoneticPr fontId="2" type="noConversion"/>
  </si>
  <si>
    <t>CGV오산</t>
  </si>
  <si>
    <t>오산시 원동로 37번길 46 (원동 763-21 오산시네마타운)</t>
    <phoneticPr fontId="2" type="noConversion"/>
  </si>
  <si>
    <t>(구)오산시네마 / (구)롯데시네마 오산</t>
    <phoneticPr fontId="2" type="noConversion"/>
  </si>
  <si>
    <t>21년 2월 직영&gt;위탁 전환 / 22.7.29. 좌석수 변경</t>
    <phoneticPr fontId="2" type="noConversion"/>
  </si>
  <si>
    <t>CGV시흥</t>
  </si>
  <si>
    <t>CGV배곧</t>
  </si>
  <si>
    <t>시흥시</t>
    <phoneticPr fontId="2" type="noConversion"/>
  </si>
  <si>
    <t>롯데시네마 시흥장현</t>
    <phoneticPr fontId="2" type="noConversion"/>
  </si>
  <si>
    <t>CGV정왕</t>
  </si>
  <si>
    <t xml:space="preserve">시흥시 정왕대로210 이마트 시화점 10층 </t>
    <phoneticPr fontId="2" type="noConversion"/>
  </si>
  <si>
    <t>22.11.17. 4,5관 비상설-&gt; 상설상영관으로 전환</t>
    <phoneticPr fontId="2" type="noConversion"/>
  </si>
  <si>
    <t>CGV산본</t>
  </si>
  <si>
    <t>군포시</t>
    <phoneticPr fontId="2" type="noConversion"/>
  </si>
  <si>
    <t xml:space="preserve">메가박스 금정AK플라자 </t>
    <phoneticPr fontId="2" type="noConversion"/>
  </si>
  <si>
    <t>군포시 엘에스로 143 1층</t>
  </si>
  <si>
    <t>하남시</t>
    <phoneticPr fontId="2" type="noConversion"/>
  </si>
  <si>
    <t>CGV하남미사</t>
  </si>
  <si>
    <t>하남시 미사강변동로95 그랑파사쥬 3층</t>
    <phoneticPr fontId="2" type="noConversion"/>
  </si>
  <si>
    <t>22.5.31. 2,3,5관 좌석수 변경</t>
    <phoneticPr fontId="2" type="noConversion"/>
  </si>
  <si>
    <t>롯데시네마 하남미사</t>
    <phoneticPr fontId="2" type="noConversion"/>
  </si>
  <si>
    <t>하남시 미사대로 520 지하 1~2층 (덕풍동)</t>
    <phoneticPr fontId="2" type="noConversion"/>
  </si>
  <si>
    <t>CGV스타필드시티위례</t>
  </si>
  <si>
    <t>용인시</t>
    <phoneticPr fontId="2" type="noConversion"/>
  </si>
  <si>
    <t>메가박스 용인테크노밸리</t>
    <phoneticPr fontId="2" type="noConversion"/>
  </si>
  <si>
    <t xml:space="preserve">용인시 기흥구 구성로 357 용인테크노밸리A동 지하1층 (청덕동) </t>
    <phoneticPr fontId="2" type="noConversion"/>
  </si>
  <si>
    <t xml:space="preserve">20.02.14. 6관 상설전환하여 1개관 추가 </t>
    <phoneticPr fontId="2" type="noConversion"/>
  </si>
  <si>
    <t>CGV동백</t>
  </si>
  <si>
    <t xml:space="preserve">경기도 </t>
    <phoneticPr fontId="2" type="noConversion"/>
  </si>
  <si>
    <t>메가박스 용인기흥</t>
    <phoneticPr fontId="2" type="noConversion"/>
  </si>
  <si>
    <t>용인시 기흥구 신고매로 59</t>
    <phoneticPr fontId="2" type="noConversion"/>
  </si>
  <si>
    <t>CGV광교상현</t>
  </si>
  <si>
    <t>롯데시네마 수지</t>
    <phoneticPr fontId="2" type="noConversion"/>
  </si>
  <si>
    <t>용인시 수지구 성복2로 38 롯데몰 수지점 5층</t>
    <phoneticPr fontId="2" type="noConversion"/>
  </si>
  <si>
    <t>Superplex, Cine comfort(3)</t>
    <phoneticPr fontId="2" type="noConversion"/>
  </si>
  <si>
    <t>CGV용인</t>
  </si>
  <si>
    <t>롯데시네마 용인역북</t>
    <phoneticPr fontId="2" type="noConversion"/>
  </si>
  <si>
    <t xml:space="preserve">용인시 처인구 중부대로 1294 더와이스퀘어 5층(역북동) </t>
    <phoneticPr fontId="2" type="noConversion"/>
  </si>
  <si>
    <t>Cine Comfort(3)</t>
    <phoneticPr fontId="2" type="noConversion"/>
  </si>
  <si>
    <t>CGV기흥</t>
  </si>
  <si>
    <t xml:space="preserve">기흥구 기흥로 58-1 기흥ICT밸리 SK V1 B동 지하 </t>
    <phoneticPr fontId="2" type="noConversion"/>
  </si>
  <si>
    <t>파주시</t>
    <phoneticPr fontId="2" type="noConversion"/>
  </si>
  <si>
    <t>CGV파주야당</t>
  </si>
  <si>
    <t xml:space="preserve">파주시 경의로 1074, 6층 </t>
    <phoneticPr fontId="2" type="noConversion"/>
  </si>
  <si>
    <t>12.05.08. 메가박스 이채 → 메가박스 파주출판도시로 명칭변경</t>
    <phoneticPr fontId="2" type="noConversion"/>
  </si>
  <si>
    <t>CGV파주문산</t>
  </si>
  <si>
    <t xml:space="preserve">17.12.22. 오픈M 상설상영관 전환 / 20.06.26. 7관 추가 </t>
    <phoneticPr fontId="2" type="noConversion"/>
  </si>
  <si>
    <t>파주시 청암로17번길 17 홈플러스 3층</t>
    <phoneticPr fontId="2" type="noConversion"/>
  </si>
  <si>
    <t>파주시</t>
    <phoneticPr fontId="3" type="noConversion"/>
  </si>
  <si>
    <t>헤이리시네마</t>
    <phoneticPr fontId="3" type="noConversion"/>
  </si>
  <si>
    <t>파주시 탄현면 헤이리마을길 93-119 커피공장103, 3층</t>
    <phoneticPr fontId="3" type="noConversion"/>
  </si>
  <si>
    <t>031-942-1031</t>
    <phoneticPr fontId="3" type="noConversion"/>
  </si>
  <si>
    <t>CGV이천</t>
  </si>
  <si>
    <t>안성시</t>
    <phoneticPr fontId="2" type="noConversion"/>
  </si>
  <si>
    <t>메가박스 안성스타필드</t>
    <phoneticPr fontId="2" type="noConversion"/>
  </si>
  <si>
    <t xml:space="preserve">안성시 공도읍 서동대로 3930-39, 3층 (스타필드 안성) </t>
    <phoneticPr fontId="2" type="noConversion"/>
  </si>
  <si>
    <t>Dolby Cinema</t>
    <phoneticPr fontId="2" type="noConversion"/>
  </si>
  <si>
    <t>22.1.1. 직영-&gt; 위탁 전환</t>
    <phoneticPr fontId="2" type="noConversion"/>
  </si>
  <si>
    <t>CGV안성</t>
  </si>
  <si>
    <t>CGV김포한강</t>
  </si>
  <si>
    <t>김포시 걸포로 6 케이탑리츠빌딩 7~8층 (걸포동 1574-3)</t>
    <phoneticPr fontId="2" type="noConversion"/>
  </si>
  <si>
    <t>(구)메가박스 김포 19.05.27. 영업종료 후 전환</t>
    <phoneticPr fontId="2" type="noConversion"/>
  </si>
  <si>
    <t>김포시</t>
    <phoneticPr fontId="2" type="noConversion"/>
  </si>
  <si>
    <t>CGV김포운양</t>
  </si>
  <si>
    <t>CGV김포</t>
  </si>
  <si>
    <t>풍무로 128 김포풍무웰라움퍼펙트시티 6층</t>
    <phoneticPr fontId="2" type="noConversion"/>
  </si>
  <si>
    <t>화성시</t>
    <phoneticPr fontId="2" type="noConversion"/>
  </si>
  <si>
    <t>CGV동탄호수공원</t>
  </si>
  <si>
    <t xml:space="preserve">화성시 동탄대로 181 레이크꼬모 B2층 </t>
    <phoneticPr fontId="2" type="noConversion"/>
  </si>
  <si>
    <t>CGV동탄역</t>
  </si>
  <si>
    <t xml:space="preserve">안영채 X 모노플렉스 </t>
    <phoneticPr fontId="2" type="noConversion"/>
  </si>
  <si>
    <t>화성시 동탄대로5길 21 (라크몽) B1</t>
    <phoneticPr fontId="2" type="noConversion"/>
  </si>
  <si>
    <t>031-8058-8992</t>
  </si>
  <si>
    <t>www.monoplex.kr</t>
  </si>
  <si>
    <t>롯데시네마 동탄</t>
    <phoneticPr fontId="2" type="noConversion"/>
  </si>
  <si>
    <t>화성시 동탄역로 160, 롯데백화점 7층 (오산동)</t>
    <phoneticPr fontId="2" type="noConversion"/>
  </si>
  <si>
    <t>Charlotte, Superplex, Cine Comfort</t>
    <phoneticPr fontId="2" type="noConversion"/>
  </si>
  <si>
    <t>22년 Cine Comfort 추가</t>
    <phoneticPr fontId="2" type="noConversion"/>
  </si>
  <si>
    <t>CGV동탄</t>
  </si>
  <si>
    <t>22.7.23. 7관 IMAX관으로 변경(좌석수 변경, 특수상영관)</t>
    <phoneticPr fontId="2" type="noConversion"/>
  </si>
  <si>
    <t>Comfort(8)</t>
    <phoneticPr fontId="2" type="noConversion"/>
  </si>
  <si>
    <t>화성시 작은영화관</t>
    <phoneticPr fontId="2" type="noConversion"/>
  </si>
  <si>
    <t>화성시 마도면 마도북로 387 마도문화센터 3층</t>
  </si>
  <si>
    <t>031-355-2731</t>
  </si>
  <si>
    <t>https://hscinema.moonhwain.net:451/</t>
  </si>
  <si>
    <t>CGV화성봉담</t>
  </si>
  <si>
    <t>화성시 봉담읍 동화길 51, 2층 (동화리)</t>
    <phoneticPr fontId="2" type="noConversion"/>
  </si>
  <si>
    <t>CGV경기광주</t>
  </si>
  <si>
    <t>Comfort(3)</t>
    <phoneticPr fontId="2" type="noConversion"/>
  </si>
  <si>
    <t>양주시</t>
    <phoneticPr fontId="2" type="noConversion"/>
  </si>
  <si>
    <t>CGV양주옥정</t>
  </si>
  <si>
    <t>양주시 옥정로 200 씨네마엠디프라자 7층</t>
    <phoneticPr fontId="2" type="noConversion"/>
  </si>
  <si>
    <t>포천시</t>
    <phoneticPr fontId="2" type="noConversion"/>
  </si>
  <si>
    <t>CGV포천</t>
  </si>
  <si>
    <t>포천시 소흘읍 호국로 689</t>
    <phoneticPr fontId="2" type="noConversion"/>
  </si>
  <si>
    <t>포천 클라우드시네마</t>
    <phoneticPr fontId="2" type="noConversion"/>
  </si>
  <si>
    <t>포천시 영북면 산정리 514-6</t>
    <phoneticPr fontId="2" type="noConversion"/>
  </si>
  <si>
    <t>031-531-7718</t>
    <phoneticPr fontId="2" type="noConversion"/>
  </si>
  <si>
    <t>20.02.22. 휴관 / 21.7.2. 영업재개</t>
    <phoneticPr fontId="2" type="noConversion"/>
  </si>
  <si>
    <t>가평군</t>
    <phoneticPr fontId="2" type="noConversion"/>
  </si>
  <si>
    <t>OLC조종시네마</t>
    <phoneticPr fontId="2" type="noConversion"/>
  </si>
  <si>
    <t>가평군 조종면 청군로 1270 1층,3층</t>
  </si>
  <si>
    <t>031-585-0705</t>
    <phoneticPr fontId="2" type="noConversion"/>
  </si>
  <si>
    <t>www.olcinema.co.kr</t>
  </si>
  <si>
    <t>1939시네마</t>
    <phoneticPr fontId="2" type="noConversion"/>
  </si>
  <si>
    <t>20.11.11. 휴관 / 21.2.3. 영업재개</t>
    <phoneticPr fontId="2" type="noConversion"/>
  </si>
  <si>
    <t>양평시네마</t>
    <phoneticPr fontId="3" type="noConversion"/>
  </si>
  <si>
    <t>양평군 양평읍 양근로 167 (양근리 422-2)</t>
    <phoneticPr fontId="3" type="noConversion"/>
  </si>
  <si>
    <t>031-771-2154</t>
    <phoneticPr fontId="2" type="noConversion"/>
  </si>
  <si>
    <t xml:space="preserve">롯데시네마 춘천 </t>
    <phoneticPr fontId="2" type="noConversion"/>
  </si>
  <si>
    <t>춘천시 중앙로 67번길 18</t>
    <phoneticPr fontId="2" type="noConversion"/>
  </si>
  <si>
    <t>Cine Comfort(4)</t>
    <phoneticPr fontId="2" type="noConversion"/>
  </si>
  <si>
    <t>(구)프리머스 춘천/ (구)CGV 춘천명동 20.04.30. 영업종료 후 전환/ 22.4.7 2~6관 좌석수 변경</t>
    <phoneticPr fontId="2" type="noConversion"/>
  </si>
  <si>
    <t>CGV춘천</t>
  </si>
  <si>
    <t>메가박스 춘천석사</t>
    <phoneticPr fontId="2" type="noConversion"/>
  </si>
  <si>
    <t>춘천시 후석로 120 NH타운 ENTA 2층</t>
  </si>
  <si>
    <t>Cine Comfort, Superplex</t>
    <phoneticPr fontId="2" type="noConversion"/>
  </si>
  <si>
    <t>CGV원주</t>
  </si>
  <si>
    <t>22.6.27. 직영-&gt; 위탁 전환</t>
    <phoneticPr fontId="2" type="noConversion"/>
  </si>
  <si>
    <t>22.11.18. 1~7관 좌석수 변경</t>
    <phoneticPr fontId="2" type="noConversion"/>
  </si>
  <si>
    <t>강원도</t>
    <phoneticPr fontId="3" type="noConversion"/>
  </si>
  <si>
    <t>강릉시</t>
    <phoneticPr fontId="3" type="noConversion"/>
  </si>
  <si>
    <t>강릉독립예술극장 신영</t>
    <phoneticPr fontId="3" type="noConversion"/>
  </si>
  <si>
    <t>강릉시 경강로 2100 (임당동, 신영빌딩)</t>
    <phoneticPr fontId="3" type="noConversion"/>
  </si>
  <si>
    <t>033-645-7415</t>
    <phoneticPr fontId="3" type="noConversion"/>
  </si>
  <si>
    <t>theque.tistory.com</t>
    <phoneticPr fontId="3" type="noConversion"/>
  </si>
  <si>
    <t xml:space="preserve">16.03.01. 휴업 / 18.07. 재개관 </t>
    <phoneticPr fontId="3" type="noConversion"/>
  </si>
  <si>
    <t>CGV강릉</t>
  </si>
  <si>
    <t>강원도</t>
    <phoneticPr fontId="2" type="noConversion"/>
  </si>
  <si>
    <t>속초시</t>
    <phoneticPr fontId="2" type="noConversion"/>
  </si>
  <si>
    <t>롯데시네마 속초</t>
    <phoneticPr fontId="2" type="noConversion"/>
  </si>
  <si>
    <t>속초시 중앙로121번길 28, 센텀마크 3층</t>
    <phoneticPr fontId="2" type="noConversion"/>
  </si>
  <si>
    <t>삼척시</t>
    <phoneticPr fontId="3" type="noConversion"/>
  </si>
  <si>
    <t>삼척 가람영화관</t>
    <phoneticPr fontId="3" type="noConversion"/>
  </si>
  <si>
    <t>삼척시 엑스포로 50 태양에너지전시관</t>
    <phoneticPr fontId="3" type="noConversion"/>
  </si>
  <si>
    <t>033-575-7053</t>
    <phoneticPr fontId="3" type="noConversion"/>
  </si>
  <si>
    <t>samcheok.scinema.org</t>
    <phoneticPr fontId="3" type="noConversion"/>
  </si>
  <si>
    <t>20.07.03. 휴관 / 21.4.22. 사업주 변경 후 재개관 / 21.5.27 가람3관(도계관) 추가</t>
    <phoneticPr fontId="2" type="noConversion"/>
  </si>
  <si>
    <t xml:space="preserve">홍천군 </t>
    <phoneticPr fontId="3" type="noConversion"/>
  </si>
  <si>
    <t xml:space="preserve">홍천시네마 </t>
    <phoneticPr fontId="3" type="noConversion"/>
  </si>
  <si>
    <t>홍천군 홍천읍 연봉중앙로 11-8</t>
    <phoneticPr fontId="3" type="noConversion"/>
  </si>
  <si>
    <t>033-433-7053</t>
    <phoneticPr fontId="3" type="noConversion"/>
  </si>
  <si>
    <t xml:space="preserve">20.09.30. 재개관 </t>
    <phoneticPr fontId="2" type="noConversion"/>
  </si>
  <si>
    <t>횡성군</t>
    <phoneticPr fontId="3" type="noConversion"/>
  </si>
  <si>
    <t>횡성시네마</t>
    <phoneticPr fontId="3" type="noConversion"/>
  </si>
  <si>
    <t>횡성군 횡성읍 앞들서3로 6</t>
    <phoneticPr fontId="3" type="noConversion"/>
  </si>
  <si>
    <t>033-343-1088</t>
    <phoneticPr fontId="3" type="noConversion"/>
  </si>
  <si>
    <t>cinema.hscf.or.kr</t>
    <phoneticPr fontId="3" type="noConversion"/>
  </si>
  <si>
    <t>20.05.06. 재개관</t>
    <phoneticPr fontId="2" type="noConversion"/>
  </si>
  <si>
    <t xml:space="preserve">영월군 </t>
    <phoneticPr fontId="3" type="noConversion"/>
  </si>
  <si>
    <t xml:space="preserve">영월시네마 </t>
    <phoneticPr fontId="3" type="noConversion"/>
  </si>
  <si>
    <t xml:space="preserve">영월군 영월읍 관풍헌길 66 </t>
    <phoneticPr fontId="3" type="noConversion"/>
  </si>
  <si>
    <t>033-375-7053</t>
    <phoneticPr fontId="3" type="noConversion"/>
  </si>
  <si>
    <t>20.11.27. 휴관 / 21.4.22. 발권데이터 확인. 영업전환</t>
    <phoneticPr fontId="2" type="noConversion"/>
  </si>
  <si>
    <t xml:space="preserve">평창군 </t>
    <phoneticPr fontId="3" type="noConversion"/>
  </si>
  <si>
    <t xml:space="preserve">해피700 평창시네마 </t>
    <phoneticPr fontId="3" type="noConversion"/>
  </si>
  <si>
    <t xml:space="preserve">평창군 용평면 경강로 1689 용평복지회관 2층 </t>
    <phoneticPr fontId="3" type="noConversion"/>
  </si>
  <si>
    <t>033-334-7053</t>
    <phoneticPr fontId="3" type="noConversion"/>
  </si>
  <si>
    <t>20.08.13. 재개관</t>
    <phoneticPr fontId="2" type="noConversion"/>
  </si>
  <si>
    <t>정선군</t>
    <phoneticPr fontId="2" type="noConversion"/>
  </si>
  <si>
    <t>고한시네마</t>
    <phoneticPr fontId="2" type="noConversion"/>
  </si>
  <si>
    <t>정선군 고한읍 고한10길 28-12</t>
    <phoneticPr fontId="2" type="noConversion"/>
  </si>
  <si>
    <t>033-592-7053</t>
    <phoneticPr fontId="2" type="noConversion"/>
  </si>
  <si>
    <t>20.12.04. 휴관 / 21.3.10. 영업재개</t>
    <phoneticPr fontId="2" type="noConversion"/>
  </si>
  <si>
    <t>정선군</t>
    <phoneticPr fontId="3" type="noConversion"/>
  </si>
  <si>
    <t>아리아리 정선시네마</t>
    <phoneticPr fontId="3" type="noConversion"/>
  </si>
  <si>
    <t>정선군 정선읍 봉양6길 10(봉양리)</t>
    <phoneticPr fontId="3" type="noConversion"/>
  </si>
  <si>
    <t>033-563-5703</t>
    <phoneticPr fontId="3" type="noConversion"/>
  </si>
  <si>
    <t>철원군</t>
    <phoneticPr fontId="3" type="noConversion"/>
  </si>
  <si>
    <t>철원작은영화관 뚜루</t>
    <phoneticPr fontId="3" type="noConversion"/>
  </si>
  <si>
    <t>철원군 철원읍 금학로 252번길 23</t>
    <phoneticPr fontId="3" type="noConversion"/>
  </si>
  <si>
    <t>033-458-7053</t>
    <phoneticPr fontId="3" type="noConversion"/>
  </si>
  <si>
    <t>cwg.scinema.org</t>
    <phoneticPr fontId="3" type="noConversion"/>
  </si>
  <si>
    <t>20.11.14. 휴관 / 21.2.11. 영업재개</t>
    <phoneticPr fontId="2" type="noConversion"/>
  </si>
  <si>
    <t>화천군</t>
    <phoneticPr fontId="3" type="noConversion"/>
  </si>
  <si>
    <t xml:space="preserve">화천작은영화관 </t>
    <phoneticPr fontId="3" type="noConversion"/>
  </si>
  <si>
    <t xml:space="preserve">화천군 화천읍 상승로2길 25-10, 2층 </t>
    <phoneticPr fontId="3" type="noConversion"/>
  </si>
  <si>
    <t>033-441-7053</t>
    <phoneticPr fontId="3" type="noConversion"/>
  </si>
  <si>
    <t xml:space="preserve">(구)산천어시네마 / 20.11.29. 상영내역 없음. 휴관 처리 / 21.2.16. 영업재개 </t>
    <phoneticPr fontId="3" type="noConversion"/>
  </si>
  <si>
    <t>양구군</t>
    <phoneticPr fontId="3" type="noConversion"/>
  </si>
  <si>
    <t>양구 정중앙시네마</t>
    <phoneticPr fontId="3" type="noConversion"/>
  </si>
  <si>
    <t xml:space="preserve">양구군 양구읍 비봉로73번길 52 </t>
    <phoneticPr fontId="3" type="noConversion"/>
  </si>
  <si>
    <t>033-482-7053</t>
    <phoneticPr fontId="3" type="noConversion"/>
  </si>
  <si>
    <t>yanggu.scinema.org</t>
    <phoneticPr fontId="3" type="noConversion"/>
  </si>
  <si>
    <t xml:space="preserve">20.11.20.휴관 / 21.4.5. ~휴관 (코로나19 접종센터) / 22. 6. 영업재개 </t>
    <phoneticPr fontId="2" type="noConversion"/>
  </si>
  <si>
    <t>양양군</t>
    <phoneticPr fontId="2" type="noConversion"/>
  </si>
  <si>
    <t>양양 작은영화관</t>
    <phoneticPr fontId="2" type="noConversion"/>
  </si>
  <si>
    <t>양양군 양양읍 일출로 570 양양웰컴센터 3~4층</t>
    <phoneticPr fontId="2" type="noConversion"/>
  </si>
  <si>
    <t>인제군</t>
    <phoneticPr fontId="2" type="noConversion"/>
  </si>
  <si>
    <t>CGV원통</t>
  </si>
  <si>
    <t>인제군 북면 금강로 11번길 19, 2층</t>
    <phoneticPr fontId="2" type="noConversion"/>
  </si>
  <si>
    <t>CGV인제</t>
  </si>
  <si>
    <t>인제군 인제읍 남북리 388 하늘내린센터</t>
    <phoneticPr fontId="2" type="noConversion"/>
  </si>
  <si>
    <t>20.11.11.휴관 후 21년 재개관</t>
    <phoneticPr fontId="2" type="noConversion"/>
  </si>
  <si>
    <t>고성군</t>
    <phoneticPr fontId="2" type="noConversion"/>
  </si>
  <si>
    <t>달홀영화관</t>
    <phoneticPr fontId="2" type="noConversion"/>
  </si>
  <si>
    <t>고성군 간성읍 수성로 3, 달홀문화센터</t>
  </si>
  <si>
    <t>033-680-4068</t>
    <phoneticPr fontId="2" type="noConversion"/>
  </si>
  <si>
    <t>https://gs.scinema.kr/cinema/main.do?cgid=FE8EF4D2-F22D-4802-A39A-D58F23A29C1E&amp;BrandCd=scinema&amp;CinemaCd=000091</t>
    <phoneticPr fontId="2" type="noConversion"/>
  </si>
  <si>
    <t>CGV청주성안길</t>
  </si>
  <si>
    <t>CGV청주(서문)</t>
  </si>
  <si>
    <t>16.02.05. 직영전환/ 22.7.5. 7관-&gt;IMAX관(좌석수 변경, 특수상영관)</t>
    <phoneticPr fontId="2" type="noConversion"/>
  </si>
  <si>
    <t>CGV청주율량</t>
  </si>
  <si>
    <t>메가박스 청주사창</t>
    <phoneticPr fontId="2" type="noConversion"/>
  </si>
  <si>
    <t xml:space="preserve">(구)롯데시네마 청주충대/ (구)메가박스 청주충북대/ 20.01.04. 상호명 변경 </t>
    <phoneticPr fontId="3" type="noConversion"/>
  </si>
  <si>
    <t>충청북도</t>
    <phoneticPr fontId="2" type="noConversion"/>
  </si>
  <si>
    <t>청주시</t>
    <phoneticPr fontId="2" type="noConversion"/>
  </si>
  <si>
    <t>CGV청주터미널</t>
  </si>
  <si>
    <t>청주시 흥덕구 2순환로 1233 8층 (가경동 1416-3)</t>
    <phoneticPr fontId="2" type="noConversion"/>
  </si>
  <si>
    <t>CGV청주지웰시티</t>
  </si>
  <si>
    <t>충주시</t>
    <phoneticPr fontId="2" type="noConversion"/>
  </si>
  <si>
    <t>CGV충주교현</t>
  </si>
  <si>
    <t>충주시 국원대로 107 한스타워 5~8층</t>
    <phoneticPr fontId="2" type="noConversion"/>
  </si>
  <si>
    <t>(구)충주TTC/12년 메가박스 충주로 전환 / 21년 1,2,3,5,6,7관 6개관 폐관</t>
    <phoneticPr fontId="2" type="noConversion"/>
  </si>
  <si>
    <t>롯데시네마 충주</t>
    <phoneticPr fontId="2" type="noConversion"/>
  </si>
  <si>
    <t>충주시 중원대로 3683, 3~4층(달천동)</t>
    <phoneticPr fontId="2" type="noConversion"/>
  </si>
  <si>
    <t>제천시</t>
    <phoneticPr fontId="2" type="noConversion"/>
  </si>
  <si>
    <t>CGV제천</t>
  </si>
  <si>
    <t>제천시 장평천로 27-13 더캐슬CGV제천 2,3,4층</t>
    <phoneticPr fontId="2" type="noConversion"/>
  </si>
  <si>
    <t>보은군</t>
    <phoneticPr fontId="2" type="noConversion"/>
  </si>
  <si>
    <t>씨네Q 보은</t>
    <phoneticPr fontId="2" type="noConversion"/>
  </si>
  <si>
    <t>보은군 보은읍 뱃들로 68-22</t>
    <phoneticPr fontId="2" type="noConversion"/>
  </si>
  <si>
    <t>Y</t>
    <phoneticPr fontId="2" type="noConversion"/>
  </si>
  <si>
    <t>충청북도</t>
    <phoneticPr fontId="3" type="noConversion"/>
  </si>
  <si>
    <t>옥천군</t>
    <phoneticPr fontId="3" type="noConversion"/>
  </si>
  <si>
    <t>옥천 향수시네마</t>
    <phoneticPr fontId="3" type="noConversion"/>
  </si>
  <si>
    <t xml:space="preserve">옥천군 옥천읍 문정1길 47 </t>
    <phoneticPr fontId="3" type="noConversion"/>
  </si>
  <si>
    <t>043-731-7050</t>
    <phoneticPr fontId="3" type="noConversion"/>
  </si>
  <si>
    <t>oc.scinema.org</t>
    <phoneticPr fontId="3" type="noConversion"/>
  </si>
  <si>
    <t>20.02.28. 휴관 / 21.2.23. 영업재개</t>
    <phoneticPr fontId="2" type="noConversion"/>
  </si>
  <si>
    <t>영동군</t>
    <phoneticPr fontId="3" type="noConversion"/>
  </si>
  <si>
    <t>영동 레인보우영화관</t>
    <phoneticPr fontId="3" type="noConversion"/>
  </si>
  <si>
    <t>영동군 영동읍 계산로 2길 24</t>
    <phoneticPr fontId="3" type="noConversion"/>
  </si>
  <si>
    <t>043-743-7718</t>
    <phoneticPr fontId="3" type="noConversion"/>
  </si>
  <si>
    <t>ticket.yd21.go.kr</t>
    <phoneticPr fontId="3" type="noConversion"/>
  </si>
  <si>
    <t>20.12.07. 휴관 / 21.1.21. 영업재개</t>
    <phoneticPr fontId="2" type="noConversion"/>
  </si>
  <si>
    <t>괴산군</t>
    <phoneticPr fontId="3" type="noConversion"/>
  </si>
  <si>
    <t>괴산자연드림파크 괴산극장</t>
    <phoneticPr fontId="3" type="noConversion"/>
  </si>
  <si>
    <t>괴산군 칠성면 자연드림길 240 B동</t>
    <phoneticPr fontId="3" type="noConversion"/>
  </si>
  <si>
    <t>043-760-4303</t>
    <phoneticPr fontId="3" type="noConversion"/>
  </si>
  <si>
    <t>naturaldreampark.co.kr</t>
    <phoneticPr fontId="3" type="noConversion"/>
  </si>
  <si>
    <t>음성군</t>
    <phoneticPr fontId="2" type="noConversion"/>
  </si>
  <si>
    <t>CGV충북혁신</t>
  </si>
  <si>
    <t>음성군 맹동면 대하1길 10 (동성리 500)</t>
    <phoneticPr fontId="2" type="noConversion"/>
  </si>
  <si>
    <t xml:space="preserve">설성시네마 </t>
    <phoneticPr fontId="2" type="noConversion"/>
  </si>
  <si>
    <t>음성군 수정로 37, (음성읍) 설성문화회관 3층</t>
  </si>
  <si>
    <t>070-7704-7788</t>
  </si>
  <si>
    <t>https://seolseong.scinema.kr/cinema/main.do?cgid=FE8EF4D2-F22D-4802-A39A-D58F23A29C1E&amp;?cgid=FE8EF4D2-F22D-4802-A39A-D58F23A29C1E&amp;BrandCd=scinema&amp;CinemaCd=000105</t>
  </si>
  <si>
    <t>CGV천안</t>
  </si>
  <si>
    <t>충청남도</t>
    <phoneticPr fontId="3" type="noConversion"/>
  </si>
  <si>
    <t>천안시</t>
    <phoneticPr fontId="3" type="noConversion"/>
  </si>
  <si>
    <t>인디플러스 천안</t>
    <phoneticPr fontId="3" type="noConversion"/>
  </si>
  <si>
    <t>천안시 동남구 문화동 010-2 천안시영상미디어센터</t>
    <phoneticPr fontId="3" type="noConversion"/>
  </si>
  <si>
    <t>041-415-0098</t>
    <phoneticPr fontId="3" type="noConversion"/>
  </si>
  <si>
    <t>http://www.xn--2z1bz7ch1njvc5tdy9k60p.kr/</t>
    <phoneticPr fontId="2" type="noConversion"/>
  </si>
  <si>
    <t>21.7월 부터 휴관 중 / 22.8.24. 영업재개</t>
    <phoneticPr fontId="2" type="noConversion"/>
  </si>
  <si>
    <t>천안인생극장</t>
    <phoneticPr fontId="3" type="noConversion"/>
  </si>
  <si>
    <t xml:space="preserve">천안시 동남구 버들로 41 명성빌딩 </t>
    <phoneticPr fontId="3" type="noConversion"/>
  </si>
  <si>
    <t>041-551-0817</t>
    <phoneticPr fontId="3" type="noConversion"/>
  </si>
  <si>
    <t>http://xn--3i0b617a6gd9tcrg75y.org/</t>
  </si>
  <si>
    <t>20.11.24 상영내역 없음. 휴관 처리 / (구)천안낭만극장 / 21.10.12. 영업재개</t>
    <phoneticPr fontId="2" type="noConversion"/>
  </si>
  <si>
    <t>CGV천안터미널</t>
  </si>
  <si>
    <t>천안시 만남로 43 신세계백화점 B관 4층(신부동 373-1)</t>
    <phoneticPr fontId="2" type="noConversion"/>
  </si>
  <si>
    <t>야우리 19.02.17. 영업종료/ CGV 천안터미널로 전환</t>
    <phoneticPr fontId="2" type="noConversion"/>
  </si>
  <si>
    <t>CGV천안펜타포트</t>
  </si>
  <si>
    <t>충청남도</t>
    <phoneticPr fontId="2" type="noConversion"/>
  </si>
  <si>
    <t>천안시</t>
    <phoneticPr fontId="2" type="noConversion"/>
  </si>
  <si>
    <t>씨네Q 천안불당</t>
    <phoneticPr fontId="2" type="noConversion"/>
  </si>
  <si>
    <t>천안시 서북구 불당33길 28, 4층</t>
    <phoneticPr fontId="2" type="noConversion"/>
  </si>
  <si>
    <t>밥.Cine, Recliner</t>
    <phoneticPr fontId="2" type="noConversion"/>
  </si>
  <si>
    <t xml:space="preserve">롯데시네마 천안청당 </t>
    <phoneticPr fontId="2" type="noConversion"/>
  </si>
  <si>
    <t>천안시 동남구 청수11로 35 CA타워 7층 (청당동)</t>
  </si>
  <si>
    <t>CGV천안시청</t>
  </si>
  <si>
    <t>천안시 서북구 번영로 201 센트에비뉴 2~4층</t>
    <phoneticPr fontId="2" type="noConversion"/>
  </si>
  <si>
    <t>롯데시네마 천안불당</t>
    <phoneticPr fontId="2" type="noConversion"/>
  </si>
  <si>
    <t>천안시 서북구 불당21로 67-8, 7층 (불당동 정석프라자 4차)</t>
    <phoneticPr fontId="2" type="noConversion"/>
  </si>
  <si>
    <t>Super S, Cine Comfort(2)</t>
    <phoneticPr fontId="2" type="noConversion"/>
  </si>
  <si>
    <t>금산군</t>
    <phoneticPr fontId="3" type="noConversion"/>
  </si>
  <si>
    <t>금산시네마</t>
    <phoneticPr fontId="3" type="noConversion"/>
  </si>
  <si>
    <t>금산군 금산읍 비단로 91</t>
    <phoneticPr fontId="3" type="noConversion"/>
  </si>
  <si>
    <t>041-751-7668</t>
    <phoneticPr fontId="3" type="noConversion"/>
  </si>
  <si>
    <t>geumsancinema.com</t>
    <phoneticPr fontId="3" type="noConversion"/>
  </si>
  <si>
    <t>20.12.04.~ 상영내역 없음. 휴관 처리/ 22.5.14. 영업재개</t>
    <phoneticPr fontId="2" type="noConversion"/>
  </si>
  <si>
    <t>CGV보령</t>
  </si>
  <si>
    <t xml:space="preserve">보령시 </t>
    <phoneticPr fontId="3" type="noConversion"/>
  </si>
  <si>
    <t>명보시네마</t>
    <phoneticPr fontId="3" type="noConversion"/>
  </si>
  <si>
    <t>보령시 중앙로 125 (대천동)</t>
    <phoneticPr fontId="3" type="noConversion"/>
  </si>
  <si>
    <t>041-936-4503</t>
    <phoneticPr fontId="3" type="noConversion"/>
  </si>
  <si>
    <t>16년 폐업후 신규오픈</t>
    <phoneticPr fontId="3" type="noConversion"/>
  </si>
  <si>
    <t>CGV서산</t>
  </si>
  <si>
    <t>논산시</t>
    <phoneticPr fontId="2" type="noConversion"/>
  </si>
  <si>
    <t>CGV논산</t>
  </si>
  <si>
    <t>논산시 시민로 181 시네마타워 3층</t>
    <phoneticPr fontId="2" type="noConversion"/>
  </si>
  <si>
    <t>메가박스 논산</t>
    <phoneticPr fontId="2" type="noConversion"/>
  </si>
  <si>
    <t>논산시 중앙로 255 우리메가박스타운 3,4층</t>
    <phoneticPr fontId="2" type="noConversion"/>
  </si>
  <si>
    <t>22.8.31. 1~5관 좌석수 변경</t>
    <phoneticPr fontId="2" type="noConversion"/>
  </si>
  <si>
    <t>당진시</t>
    <phoneticPr fontId="2" type="noConversion"/>
  </si>
  <si>
    <t>롯데시네마 당진</t>
    <phoneticPr fontId="2" type="noConversion"/>
  </si>
  <si>
    <t xml:space="preserve">당진시 시청2로 49-19, 7~9층 </t>
    <phoneticPr fontId="2" type="noConversion"/>
  </si>
  <si>
    <t>Cine Comfort(4)</t>
    <phoneticPr fontId="3" type="noConversion"/>
  </si>
  <si>
    <t>CGV당진</t>
  </si>
  <si>
    <t>부여군</t>
    <phoneticPr fontId="3" type="noConversion"/>
  </si>
  <si>
    <t>스타박스</t>
    <phoneticPr fontId="3" type="noConversion"/>
  </si>
  <si>
    <t>부여군 계백로 305</t>
    <phoneticPr fontId="3" type="noConversion"/>
  </si>
  <si>
    <t>041-837-4501</t>
    <phoneticPr fontId="3" type="noConversion"/>
  </si>
  <si>
    <t>부여군 부여읍 사비로 100번길 12 (구아리 209-1)</t>
    <phoneticPr fontId="3" type="noConversion"/>
  </si>
  <si>
    <t>041-833-9999</t>
    <phoneticPr fontId="2" type="noConversion"/>
  </si>
  <si>
    <t>서천군</t>
    <phoneticPr fontId="3" type="noConversion"/>
  </si>
  <si>
    <t>서천군 기벌포영화관</t>
    <phoneticPr fontId="3" type="noConversion"/>
  </si>
  <si>
    <t>서천군 장항읍 장항로 145번길 30</t>
    <phoneticPr fontId="3" type="noConversion"/>
  </si>
  <si>
    <t>041-956-7939</t>
    <phoneticPr fontId="3" type="noConversion"/>
  </si>
  <si>
    <t>서천군기벌포영화관.net</t>
    <phoneticPr fontId="2" type="noConversion"/>
  </si>
  <si>
    <t>20.12.24.~ 상영내역 없음. 휴관 처리 / 21.1.20. 발권재개</t>
    <phoneticPr fontId="2" type="noConversion"/>
  </si>
  <si>
    <t>청양군</t>
    <phoneticPr fontId="3" type="noConversion"/>
  </si>
  <si>
    <t>청양시네마</t>
    <phoneticPr fontId="3" type="noConversion"/>
  </si>
  <si>
    <t>청양군 청양읍 칠갑산로 221 문화체육센터 3층</t>
    <phoneticPr fontId="3" type="noConversion"/>
  </si>
  <si>
    <t>041-942-7053</t>
    <phoneticPr fontId="3" type="noConversion"/>
  </si>
  <si>
    <t>cheongyang.scinema.org</t>
    <phoneticPr fontId="3" type="noConversion"/>
  </si>
  <si>
    <t>20.12.02.휴관 / 21.1.20. 발권재개</t>
    <phoneticPr fontId="2" type="noConversion"/>
  </si>
  <si>
    <t>CGV홍성</t>
  </si>
  <si>
    <t>16.03.28. 직영전환/ 20.10.26. 휴관 후 21년 재개관</t>
    <phoneticPr fontId="2" type="noConversion"/>
  </si>
  <si>
    <t>예산군</t>
    <phoneticPr fontId="3" type="noConversion"/>
  </si>
  <si>
    <t>예산시네마</t>
    <phoneticPr fontId="3" type="noConversion"/>
  </si>
  <si>
    <t>예산군 예산읍 천변로 160</t>
    <phoneticPr fontId="3" type="noConversion"/>
  </si>
  <si>
    <t>041-335-2331</t>
    <phoneticPr fontId="3" type="noConversion"/>
  </si>
  <si>
    <t>yesan.scinema.org</t>
    <phoneticPr fontId="3" type="noConversion"/>
  </si>
  <si>
    <t>태안군</t>
    <phoneticPr fontId="3" type="noConversion"/>
  </si>
  <si>
    <t xml:space="preserve">태안시네마 </t>
    <phoneticPr fontId="3" type="noConversion"/>
  </si>
  <si>
    <t>태안군 태안읍 백화로 192</t>
    <phoneticPr fontId="3" type="noConversion"/>
  </si>
  <si>
    <t>041-673-2192</t>
    <phoneticPr fontId="3" type="noConversion"/>
  </si>
  <si>
    <t>taeancinema.com</t>
    <phoneticPr fontId="3" type="noConversion"/>
  </si>
  <si>
    <t xml:space="preserve">20.10.13. 재개관 </t>
    <phoneticPr fontId="2" type="noConversion"/>
  </si>
  <si>
    <t>전라북도</t>
    <phoneticPr fontId="2" type="noConversion"/>
  </si>
  <si>
    <t>전주시</t>
    <phoneticPr fontId="2" type="noConversion"/>
  </si>
  <si>
    <t>메가박스 전주혁신</t>
    <phoneticPr fontId="2" type="noConversion"/>
  </si>
  <si>
    <t xml:space="preserve">전주시 덕진구 기지로 77, 2층 </t>
    <phoneticPr fontId="2" type="noConversion"/>
  </si>
  <si>
    <t>메가박스 전주송천</t>
    <phoneticPr fontId="2" type="noConversion"/>
  </si>
  <si>
    <t>롯데시네마 전주송천</t>
    <phoneticPr fontId="2" type="noConversion"/>
  </si>
  <si>
    <t>전주시 덕진구 송천중앙로225 (파인트리몰 6층)</t>
    <phoneticPr fontId="2" type="noConversion"/>
  </si>
  <si>
    <t>전주시</t>
    <phoneticPr fontId="3" type="noConversion"/>
  </si>
  <si>
    <t>전주디지털독립영화관</t>
    <phoneticPr fontId="3" type="noConversion"/>
  </si>
  <si>
    <t>전주시 완산구 고사동 객사 3길 22 전주영화제작소 4층</t>
    <phoneticPr fontId="3" type="noConversion"/>
  </si>
  <si>
    <t>20.11.30. 휴관 / 21.1.27. 영업재개 / 21.12.15.~휴관 / 22.1.4. 영업재개</t>
    <phoneticPr fontId="2" type="noConversion"/>
  </si>
  <si>
    <t>CGV전주효자</t>
  </si>
  <si>
    <t>CGV전주고사</t>
  </si>
  <si>
    <t>전주시 완산구 전주객사3길 67 (고사동 340-3)</t>
    <phoneticPr fontId="3" type="noConversion"/>
  </si>
  <si>
    <t>063-283-7722</t>
    <phoneticPr fontId="2" type="noConversion"/>
  </si>
  <si>
    <t>1관 폐관/ 20년부터 2관 휴관 중</t>
    <phoneticPr fontId="3" type="noConversion"/>
  </si>
  <si>
    <t>전라북도</t>
    <phoneticPr fontId="3" type="noConversion"/>
  </si>
  <si>
    <t xml:space="preserve">조이아트시네마 </t>
    <phoneticPr fontId="3" type="noConversion"/>
  </si>
  <si>
    <t>전주시 완산구 전주객사3길 72</t>
    <phoneticPr fontId="3" type="noConversion"/>
  </si>
  <si>
    <t>063-252-4323</t>
    <phoneticPr fontId="3" type="noConversion"/>
  </si>
  <si>
    <t>https://joyart.moonhwain.net:451/</t>
  </si>
  <si>
    <t>조이앤시네마 전주</t>
    <phoneticPr fontId="3" type="noConversion"/>
  </si>
  <si>
    <t>https://joyn.moonhwain.net:451/</t>
  </si>
  <si>
    <t>CGV서전주</t>
  </si>
  <si>
    <t>씨네Q 전주영화의 거리</t>
    <phoneticPr fontId="2" type="noConversion"/>
  </si>
  <si>
    <t>Reserve(6), Suite</t>
    <phoneticPr fontId="2" type="noConversion"/>
  </si>
  <si>
    <t>(구)메가박스 전주(객사) 20.01.28. 영업종료 후 4.24. 씨네Q 전주영화의거리 오픈</t>
    <phoneticPr fontId="2" type="noConversion"/>
  </si>
  <si>
    <t>CGV전주에코시티</t>
  </si>
  <si>
    <t xml:space="preserve">전주시 덕진구 세병2길 10, 로마네시티 4층 </t>
    <phoneticPr fontId="2" type="noConversion"/>
  </si>
  <si>
    <t>CGV군산</t>
  </si>
  <si>
    <t>(구)롯데시네마 군산</t>
    <phoneticPr fontId="3" type="noConversion"/>
  </si>
  <si>
    <t>CGV익산</t>
  </si>
  <si>
    <t>20.02.29. 2개관(8,9관) 부분폐관</t>
    <phoneticPr fontId="2" type="noConversion"/>
  </si>
  <si>
    <t>익산시</t>
    <phoneticPr fontId="2" type="noConversion"/>
  </si>
  <si>
    <t>롯데시네마 익산모현</t>
    <phoneticPr fontId="2" type="noConversion"/>
  </si>
  <si>
    <t>익산시 선화로 77(모현동1가 876)</t>
    <phoneticPr fontId="2" type="noConversion"/>
  </si>
  <si>
    <t>CGV정읍</t>
  </si>
  <si>
    <t>남원시</t>
    <phoneticPr fontId="2" type="noConversion"/>
  </si>
  <si>
    <t>NH시네마</t>
    <phoneticPr fontId="2" type="noConversion"/>
  </si>
  <si>
    <t>남원시 요천로 1838, 4층 (고죽동)</t>
    <phoneticPr fontId="2" type="noConversion"/>
  </si>
  <si>
    <t>063-635-3927</t>
    <phoneticPr fontId="2" type="noConversion"/>
  </si>
  <si>
    <t>nhcinema.net</t>
    <phoneticPr fontId="2" type="noConversion"/>
  </si>
  <si>
    <t xml:space="preserve">농협영화관 </t>
    <phoneticPr fontId="2" type="noConversion"/>
  </si>
  <si>
    <t>김제시</t>
    <phoneticPr fontId="3" type="noConversion"/>
  </si>
  <si>
    <t xml:space="preserve">올망졸망 지평선시네마 </t>
    <phoneticPr fontId="3" type="noConversion"/>
  </si>
  <si>
    <t xml:space="preserve">김제시 도작로 224-32 (검산동 산 62-1) </t>
    <phoneticPr fontId="3" type="noConversion"/>
  </si>
  <si>
    <t>063-547-1501</t>
    <phoneticPr fontId="3" type="noConversion"/>
  </si>
  <si>
    <t>20.12.15. 휴관 / 21.1.21. 발권재개/ 22.1. 재개관</t>
    <phoneticPr fontId="2" type="noConversion"/>
  </si>
  <si>
    <t xml:space="preserve">완주군 </t>
    <phoneticPr fontId="3" type="noConversion"/>
  </si>
  <si>
    <t xml:space="preserve">완주 휴 시네마 </t>
    <phoneticPr fontId="3" type="noConversion"/>
  </si>
  <si>
    <t xml:space="preserve">완주군 봉동읍 둔산3로 94 </t>
    <phoneticPr fontId="3" type="noConversion"/>
  </si>
  <si>
    <t>063-263-9012</t>
    <phoneticPr fontId="3" type="noConversion"/>
  </si>
  <si>
    <t>20.02.23. 상영내역 없음. 휴관 처리 / 21.8.24. 영업재개 / 21.12.13~18. 임시휴관. 12.19. 영업재개</t>
    <phoneticPr fontId="2" type="noConversion"/>
  </si>
  <si>
    <t xml:space="preserve">진안군 </t>
    <phoneticPr fontId="3" type="noConversion"/>
  </si>
  <si>
    <t xml:space="preserve">마이골작은영화관 </t>
    <phoneticPr fontId="3" type="noConversion"/>
  </si>
  <si>
    <t>진안군 진안읍 대성길 3</t>
    <phoneticPr fontId="3" type="noConversion"/>
  </si>
  <si>
    <t>063-433-7050</t>
    <phoneticPr fontId="3" type="noConversion"/>
  </si>
  <si>
    <t>15.07.27. 개관 / 20.07.13. 폐관 / 20.11.13. 재개관</t>
    <phoneticPr fontId="2" type="noConversion"/>
  </si>
  <si>
    <t xml:space="preserve">무주군 </t>
    <phoneticPr fontId="3" type="noConversion"/>
  </si>
  <si>
    <t xml:space="preserve">무주산골영화관 </t>
    <phoneticPr fontId="3" type="noConversion"/>
  </si>
  <si>
    <t xml:space="preserve">무주군 무주읍 한풍루로 326-17 무주예체문화관 2층 </t>
    <phoneticPr fontId="3" type="noConversion"/>
  </si>
  <si>
    <t>063-322-7053</t>
    <phoneticPr fontId="3" type="noConversion"/>
  </si>
  <si>
    <t>임실군</t>
    <phoneticPr fontId="2" type="noConversion"/>
  </si>
  <si>
    <t>임실한마당 작은별영화관</t>
    <phoneticPr fontId="2" type="noConversion"/>
  </si>
  <si>
    <t>임실군 임실읍 호국로 1703 (이도리, 임실군민회관 지하1층)</t>
  </si>
  <si>
    <t>063-642-7050</t>
  </si>
  <si>
    <t>imsil.moonhwain.net:451</t>
    <phoneticPr fontId="2" type="noConversion"/>
  </si>
  <si>
    <t>22.12.6. 재개관</t>
    <phoneticPr fontId="2" type="noConversion"/>
  </si>
  <si>
    <t xml:space="preserve">순창군 </t>
    <phoneticPr fontId="3" type="noConversion"/>
  </si>
  <si>
    <t>천재의 공간 영화산책</t>
    <phoneticPr fontId="3" type="noConversion"/>
  </si>
  <si>
    <t>순창군 순창읍 남계로 83</t>
    <phoneticPr fontId="3" type="noConversion"/>
  </si>
  <si>
    <t>063-653-7057</t>
    <phoneticPr fontId="3" type="noConversion"/>
  </si>
  <si>
    <t xml:space="preserve">전라북도 </t>
    <phoneticPr fontId="3" type="noConversion"/>
  </si>
  <si>
    <t xml:space="preserve">고창군 </t>
    <phoneticPr fontId="3" type="noConversion"/>
  </si>
  <si>
    <t xml:space="preserve">동리시네마 </t>
    <phoneticPr fontId="3" type="noConversion"/>
  </si>
  <si>
    <t>고창군 고창읍 판소리길 20</t>
    <phoneticPr fontId="3" type="noConversion"/>
  </si>
  <si>
    <t>063-564-1340</t>
    <phoneticPr fontId="3" type="noConversion"/>
  </si>
  <si>
    <t>https://gccinema.moonhwain.net:451/</t>
  </si>
  <si>
    <t>15년 상설상영관 신고/ 20.09.30. 재개관</t>
    <phoneticPr fontId="3" type="noConversion"/>
  </si>
  <si>
    <t xml:space="preserve">부안군 </t>
    <phoneticPr fontId="3" type="noConversion"/>
  </si>
  <si>
    <t xml:space="preserve">OLC 부안마실영화관 </t>
    <phoneticPr fontId="3" type="noConversion"/>
  </si>
  <si>
    <t xml:space="preserve">부안군 부안읍 예술회관길 11 </t>
    <phoneticPr fontId="3" type="noConversion"/>
  </si>
  <si>
    <t>063-582-1228</t>
    <phoneticPr fontId="3" type="noConversion"/>
  </si>
  <si>
    <t>(구)마실영화관 20.06.30. 폐관</t>
    <phoneticPr fontId="2" type="noConversion"/>
  </si>
  <si>
    <t>CGV목포</t>
  </si>
  <si>
    <t>CGV목포평화광장</t>
  </si>
  <si>
    <t>(구)롯데시네마 목포</t>
    <phoneticPr fontId="3" type="noConversion"/>
  </si>
  <si>
    <t>CGV여수웅천</t>
  </si>
  <si>
    <t>CGV순천</t>
  </si>
  <si>
    <t>CGV순천신대</t>
  </si>
  <si>
    <t>CGV나주</t>
  </si>
  <si>
    <t>CGV광양엘에프스퀘어</t>
  </si>
  <si>
    <t>CGV광양</t>
  </si>
  <si>
    <t>전라남도</t>
    <phoneticPr fontId="2" type="noConversion"/>
  </si>
  <si>
    <t>담양군</t>
    <phoneticPr fontId="2" type="noConversion"/>
  </si>
  <si>
    <t>OLC담양담빛시네마</t>
    <phoneticPr fontId="2" type="noConversion"/>
  </si>
  <si>
    <t>담양군 담양읍 지침6길 29</t>
    <phoneticPr fontId="2" type="noConversion"/>
  </si>
  <si>
    <t>061-382-0305</t>
    <phoneticPr fontId="2" type="noConversion"/>
  </si>
  <si>
    <t>전라남도</t>
    <phoneticPr fontId="3" type="noConversion"/>
  </si>
  <si>
    <t>곡성군</t>
    <phoneticPr fontId="3" type="noConversion"/>
  </si>
  <si>
    <t>OLC곡성극장</t>
    <phoneticPr fontId="3" type="noConversion"/>
  </si>
  <si>
    <t>곡성군 곡성읍 중앙로 59, 1층</t>
    <phoneticPr fontId="3" type="noConversion"/>
  </si>
  <si>
    <t>061-362-7890</t>
    <phoneticPr fontId="3" type="noConversion"/>
  </si>
  <si>
    <t>(구)곡성작은영화관 20.07.02. 폐관</t>
    <phoneticPr fontId="2" type="noConversion"/>
  </si>
  <si>
    <t xml:space="preserve">구례군 </t>
    <phoneticPr fontId="3" type="noConversion"/>
  </si>
  <si>
    <t xml:space="preserve">구례자연드림시네마 </t>
    <phoneticPr fontId="3" type="noConversion"/>
  </si>
  <si>
    <t xml:space="preserve">구례군 용방면 용산로 107-73 </t>
    <phoneticPr fontId="3" type="noConversion"/>
  </si>
  <si>
    <t>061-783-2200</t>
    <phoneticPr fontId="3" type="noConversion"/>
  </si>
  <si>
    <t>고흥군</t>
    <phoneticPr fontId="3" type="noConversion"/>
  </si>
  <si>
    <t>고흥 작은영화관</t>
    <phoneticPr fontId="3" type="noConversion"/>
  </si>
  <si>
    <t>고흥군 고흥읍 고흥로 1892-67</t>
    <phoneticPr fontId="3" type="noConversion"/>
  </si>
  <si>
    <t>061-830-5800</t>
    <phoneticPr fontId="3" type="noConversion"/>
  </si>
  <si>
    <t>cinema.goheung.go.kr</t>
    <phoneticPr fontId="3" type="noConversion"/>
  </si>
  <si>
    <t>20.12.23. 휴관 / 21.2.16. 영업재개</t>
    <phoneticPr fontId="2" type="noConversion"/>
  </si>
  <si>
    <t>보성군</t>
    <phoneticPr fontId="2" type="noConversion"/>
  </si>
  <si>
    <t>보성 작은영화관</t>
    <phoneticPr fontId="2" type="noConversion"/>
  </si>
  <si>
    <t>보성군 보성읍 원봉리 2-1</t>
    <phoneticPr fontId="2" type="noConversion"/>
  </si>
  <si>
    <t>20.03.01. 휴관 / 21.2.4. 영업재개</t>
    <phoneticPr fontId="2" type="noConversion"/>
  </si>
  <si>
    <t>화순군</t>
    <phoneticPr fontId="3" type="noConversion"/>
  </si>
  <si>
    <t>OLC화순시네마</t>
    <phoneticPr fontId="3" type="noConversion"/>
  </si>
  <si>
    <t>화순군 화순읍 진각로 85 화순군민회관 2층</t>
    <phoneticPr fontId="3" type="noConversion"/>
  </si>
  <si>
    <t>061-373-7053</t>
    <phoneticPr fontId="3" type="noConversion"/>
  </si>
  <si>
    <t>20.02.20. 휴관 / 21.11.30. 영업재개</t>
    <phoneticPr fontId="2" type="noConversion"/>
  </si>
  <si>
    <t>장흥군</t>
    <phoneticPr fontId="3" type="noConversion"/>
  </si>
  <si>
    <t xml:space="preserve">정남진시네마 </t>
    <phoneticPr fontId="3" type="noConversion"/>
  </si>
  <si>
    <t>장흥군 장흥읍 흥성로 43</t>
    <phoneticPr fontId="3" type="noConversion"/>
  </si>
  <si>
    <t>061-862-7053</t>
    <phoneticPr fontId="3" type="noConversion"/>
  </si>
  <si>
    <t>20.02.27. 상영내역 없음. 휴관 처리 / 2021.5.1. 영업재개</t>
    <phoneticPr fontId="2" type="noConversion"/>
  </si>
  <si>
    <t>해남군</t>
    <phoneticPr fontId="2" type="noConversion"/>
  </si>
  <si>
    <t>해남시네마</t>
    <phoneticPr fontId="2" type="noConversion"/>
  </si>
  <si>
    <t>해남군 해남읍 남부순환로 22, 1층</t>
    <phoneticPr fontId="2" type="noConversion"/>
  </si>
  <si>
    <t>061-533-7717</t>
    <phoneticPr fontId="2" type="noConversion"/>
  </si>
  <si>
    <t>haenam.scinema.org</t>
    <phoneticPr fontId="2" type="noConversion"/>
  </si>
  <si>
    <t>영암군</t>
    <phoneticPr fontId="2" type="noConversion"/>
  </si>
  <si>
    <t>영암 기찬시네마</t>
    <phoneticPr fontId="2" type="noConversion"/>
  </si>
  <si>
    <t>영암군 영암읍 낭주로 135-1</t>
  </si>
  <si>
    <t>061-472-1117</t>
  </si>
  <si>
    <t>https://petitecine.com/PETC/small_cinema?cinema=90</t>
  </si>
  <si>
    <t>영광군</t>
    <phoneticPr fontId="2" type="noConversion"/>
  </si>
  <si>
    <t>영광작은영화관</t>
    <phoneticPr fontId="2" type="noConversion"/>
  </si>
  <si>
    <t>영광군 영광읍 천년로13길 2-26</t>
    <phoneticPr fontId="2" type="noConversion"/>
  </si>
  <si>
    <t>061-351-5501</t>
    <phoneticPr fontId="2" type="noConversion"/>
  </si>
  <si>
    <t>yeonggwang.scinema.org</t>
    <phoneticPr fontId="2" type="noConversion"/>
  </si>
  <si>
    <t>완도군</t>
    <phoneticPr fontId="3" type="noConversion"/>
  </si>
  <si>
    <t xml:space="preserve">완도 빙그레시네마 </t>
    <phoneticPr fontId="3" type="noConversion"/>
  </si>
  <si>
    <t>완도군 완도읍 개포로 159번길 55, 2층</t>
    <phoneticPr fontId="3" type="noConversion"/>
  </si>
  <si>
    <t>061-555-7053</t>
    <phoneticPr fontId="3" type="noConversion"/>
  </si>
  <si>
    <t>wando.scinema.org</t>
    <phoneticPr fontId="3" type="noConversion"/>
  </si>
  <si>
    <t>20.12.25. 휴관 / 21.1.4. 영업재개</t>
    <phoneticPr fontId="2" type="noConversion"/>
  </si>
  <si>
    <t>진도군</t>
    <phoneticPr fontId="3" type="noConversion"/>
  </si>
  <si>
    <t xml:space="preserve">진도아리랑 시네마 </t>
    <phoneticPr fontId="3" type="noConversion"/>
  </si>
  <si>
    <t>진도군 진도읍 동외1길 6-13</t>
    <phoneticPr fontId="3" type="noConversion"/>
  </si>
  <si>
    <t>061-544-7790</t>
    <phoneticPr fontId="3" type="noConversion"/>
  </si>
  <si>
    <t>jindo.scinema.org</t>
    <phoneticPr fontId="3" type="noConversion"/>
  </si>
  <si>
    <t>20.06. 재개관</t>
    <phoneticPr fontId="2" type="noConversion"/>
  </si>
  <si>
    <t>메가박스 포항</t>
    <phoneticPr fontId="2" type="noConversion"/>
  </si>
  <si>
    <t>포항시 남구 중흥로 77, 7~8층</t>
    <phoneticPr fontId="2" type="noConversion"/>
  </si>
  <si>
    <t>MX, Comfort(6)</t>
    <phoneticPr fontId="2" type="noConversion"/>
  </si>
  <si>
    <t>경상북도</t>
    <phoneticPr fontId="3" type="noConversion"/>
  </si>
  <si>
    <t>포항시</t>
    <phoneticPr fontId="3" type="noConversion"/>
  </si>
  <si>
    <t>인디플러스 포항</t>
    <phoneticPr fontId="3" type="noConversion"/>
  </si>
  <si>
    <t>포항시 북구 서동로 83 포항시립중앙아트홀 2층</t>
    <phoneticPr fontId="3" type="noConversion"/>
  </si>
  <si>
    <t>054-289-7943</t>
    <phoneticPr fontId="3" type="noConversion"/>
  </si>
  <si>
    <t>20.12.15.휴관 / 21.1.19. 영업재개</t>
    <phoneticPr fontId="2" type="noConversion"/>
  </si>
  <si>
    <t>CGV북포항</t>
  </si>
  <si>
    <t>21.7.28. 직영-&gt; 위탁전환</t>
    <phoneticPr fontId="2" type="noConversion"/>
  </si>
  <si>
    <t>경상북도</t>
    <phoneticPr fontId="2" type="noConversion"/>
  </si>
  <si>
    <t>경주시</t>
    <phoneticPr fontId="2" type="noConversion"/>
  </si>
  <si>
    <t>메가박스 경주</t>
    <phoneticPr fontId="2" type="noConversion"/>
  </si>
  <si>
    <t>경주시 원효로 112, 2층 (노동동)</t>
    <phoneticPr fontId="2" type="noConversion"/>
  </si>
  <si>
    <t>Comfort(1)</t>
    <phoneticPr fontId="2" type="noConversion"/>
  </si>
  <si>
    <t xml:space="preserve">21.10.1. 폐관/ 22.12. 재오픈 </t>
    <phoneticPr fontId="2" type="noConversion"/>
  </si>
  <si>
    <t>롯데시네마 경주황성</t>
    <phoneticPr fontId="2" type="noConversion"/>
  </si>
  <si>
    <t>경주시 유림로 5번길 85-46</t>
    <phoneticPr fontId="2" type="noConversion"/>
  </si>
  <si>
    <t>CGV김천율곡</t>
  </si>
  <si>
    <t>CGV안동</t>
  </si>
  <si>
    <t>롯데시네마 프리미엄안동</t>
    <phoneticPr fontId="2" type="noConversion"/>
  </si>
  <si>
    <t>안동시 경북대로 418 A동 401/501호 (옥동 테마프라자)</t>
    <phoneticPr fontId="2" type="noConversion"/>
  </si>
  <si>
    <t>(구)프리머스 안동 → (구)메가박스 안동</t>
    <phoneticPr fontId="2" type="noConversion"/>
  </si>
  <si>
    <t>안동시 문화광장길 45 (삼산동 140-5)</t>
    <phoneticPr fontId="3" type="noConversion"/>
  </si>
  <si>
    <t>054-854-5500</t>
    <phoneticPr fontId="2" type="noConversion"/>
  </si>
  <si>
    <t>롯데시네마 프리미엄구미센트럴</t>
    <phoneticPr fontId="2" type="noConversion"/>
  </si>
  <si>
    <t>CGV구미</t>
  </si>
  <si>
    <t>Cine Comfort</t>
    <phoneticPr fontId="2" type="noConversion"/>
  </si>
  <si>
    <t>영천시</t>
    <phoneticPr fontId="3" type="noConversion"/>
  </si>
  <si>
    <t>영천 별빛영화관 with 씨네Q</t>
    <phoneticPr fontId="3" type="noConversion"/>
  </si>
  <si>
    <t xml:space="preserve">영천시 시장2길 10, 2층 </t>
    <phoneticPr fontId="3" type="noConversion"/>
  </si>
  <si>
    <t>직영</t>
    <phoneticPr fontId="3" type="noConversion"/>
  </si>
  <si>
    <t xml:space="preserve">20.12.04.휴관 / 21.6.25. 씨네Q로 사업자 변경하여 재개관 </t>
    <phoneticPr fontId="2" type="noConversion"/>
  </si>
  <si>
    <t>영천시</t>
    <phoneticPr fontId="2" type="noConversion"/>
  </si>
  <si>
    <t>롯데시네마 영천</t>
    <phoneticPr fontId="2" type="noConversion"/>
  </si>
  <si>
    <t>영천시 시장로 96, 2층 202호 (완산동)</t>
    <phoneticPr fontId="2" type="noConversion"/>
  </si>
  <si>
    <t>상주시</t>
    <phoneticPr fontId="3" type="noConversion"/>
  </si>
  <si>
    <t xml:space="preserve">롯데시네마 상주 </t>
    <phoneticPr fontId="2" type="noConversion"/>
  </si>
  <si>
    <t xml:space="preserve">상주시 중앙로 147, 2층 </t>
    <phoneticPr fontId="2" type="noConversion"/>
  </si>
  <si>
    <t>경산시</t>
    <phoneticPr fontId="2" type="noConversion"/>
  </si>
  <si>
    <t>CGV경산</t>
  </si>
  <si>
    <t>경산시 대학로 28길 6-5 아이작레비뉴 2~4층</t>
    <phoneticPr fontId="2" type="noConversion"/>
  </si>
  <si>
    <t>의성군</t>
    <phoneticPr fontId="2" type="noConversion"/>
  </si>
  <si>
    <t>의성작은영화관</t>
    <phoneticPr fontId="2" type="noConversion"/>
  </si>
  <si>
    <t>의성군 의성읍 후죽4길 6, 1층</t>
    <phoneticPr fontId="2" type="noConversion"/>
  </si>
  <si>
    <t>054-833-7718</t>
    <phoneticPr fontId="2" type="noConversion"/>
  </si>
  <si>
    <t>uiseong.scinema.org</t>
    <phoneticPr fontId="2" type="noConversion"/>
  </si>
  <si>
    <t>영양군</t>
    <phoneticPr fontId="3" type="noConversion"/>
  </si>
  <si>
    <t>영양 작은영화관</t>
    <phoneticPr fontId="3" type="noConversion"/>
  </si>
  <si>
    <t>영양군 영양읍 서부리 2-15, 2층</t>
    <phoneticPr fontId="3" type="noConversion"/>
  </si>
  <si>
    <t>054-683-7053</t>
    <phoneticPr fontId="3" type="noConversion"/>
  </si>
  <si>
    <t>yyg.scinema.org</t>
    <phoneticPr fontId="3" type="noConversion"/>
  </si>
  <si>
    <t>20.11.18. 재개관</t>
    <phoneticPr fontId="2" type="noConversion"/>
  </si>
  <si>
    <t xml:space="preserve">고령군 </t>
    <phoneticPr fontId="3" type="noConversion"/>
  </si>
  <si>
    <t xml:space="preserve">대가야시네마 </t>
    <phoneticPr fontId="3" type="noConversion"/>
  </si>
  <si>
    <t>고령군 대가야읍 대가야로 1216</t>
    <phoneticPr fontId="3" type="noConversion"/>
  </si>
  <si>
    <t>054-954-7053</t>
    <phoneticPr fontId="3" type="noConversion"/>
  </si>
  <si>
    <t>20.06.18. 재개관/ 22.4.29. 좌석수 변경</t>
    <phoneticPr fontId="2" type="noConversion"/>
  </si>
  <si>
    <t>성주군</t>
    <phoneticPr fontId="2" type="noConversion"/>
  </si>
  <si>
    <t>별고을시네마</t>
    <phoneticPr fontId="2" type="noConversion"/>
  </si>
  <si>
    <t>성주군 성주읍 경산길 17</t>
  </si>
  <si>
    <t>054-932-7717</t>
  </si>
  <si>
    <t>seongju.scinema.kr</t>
  </si>
  <si>
    <t>칠곡군</t>
    <phoneticPr fontId="3" type="noConversion"/>
  </si>
  <si>
    <t>씨네Q 칠곡호이</t>
    <phoneticPr fontId="3" type="noConversion"/>
  </si>
  <si>
    <t>칠곡군 석적읍 석적로 646</t>
    <phoneticPr fontId="3" type="noConversion"/>
  </si>
  <si>
    <t>20.05.31.상영내역 없음. 휴관 처리 / 21.3.5. 칠곡호이영화관(씨네Q)로 재개관</t>
    <phoneticPr fontId="2" type="noConversion"/>
  </si>
  <si>
    <t>예천군</t>
    <phoneticPr fontId="2" type="noConversion"/>
  </si>
  <si>
    <t xml:space="preserve">메가박스 경북도청 </t>
    <phoneticPr fontId="2" type="noConversion"/>
  </si>
  <si>
    <t>예천군 호명면 새움3로 70 (산합리)</t>
    <phoneticPr fontId="2" type="noConversion"/>
  </si>
  <si>
    <t>울진군</t>
    <phoneticPr fontId="3" type="noConversion"/>
  </si>
  <si>
    <t>울진 작은영화관</t>
    <phoneticPr fontId="3" type="noConversion"/>
  </si>
  <si>
    <t>울진군 울진읍 울진중앙로 115-21</t>
    <phoneticPr fontId="3" type="noConversion"/>
  </si>
  <si>
    <t>054-782-7717</t>
    <phoneticPr fontId="3" type="noConversion"/>
  </si>
  <si>
    <t>uljin.scunema.org</t>
    <phoneticPr fontId="3" type="noConversion"/>
  </si>
  <si>
    <t>20.06.29. 휴관 / 21.5.1 영업재개</t>
    <phoneticPr fontId="2" type="noConversion"/>
  </si>
  <si>
    <t>경상남도</t>
    <phoneticPr fontId="3" type="noConversion"/>
  </si>
  <si>
    <t>창원시</t>
    <phoneticPr fontId="3" type="noConversion"/>
  </si>
  <si>
    <t>씨네아트 리좀</t>
    <phoneticPr fontId="3" type="noConversion"/>
  </si>
  <si>
    <t xml:space="preserve">창원시 마산합포구 동서북 14길 24 </t>
    <phoneticPr fontId="3" type="noConversion"/>
  </si>
  <si>
    <t>070-8802-6438</t>
    <phoneticPr fontId="3" type="noConversion"/>
  </si>
  <si>
    <t>espacerhizome.com</t>
    <phoneticPr fontId="2" type="noConversion"/>
  </si>
  <si>
    <t>Megabox Kids, Comfort</t>
    <phoneticPr fontId="2" type="noConversion"/>
  </si>
  <si>
    <t>(구)롯데시네마 마산(경남대)</t>
    <phoneticPr fontId="3" type="noConversion"/>
  </si>
  <si>
    <t>롯데시네마 프리미엄경남대</t>
    <phoneticPr fontId="2" type="noConversion"/>
  </si>
  <si>
    <t>창원시 마산합포구 해안대로 7 남부시네마타운 (월남동 5가 4-1)</t>
    <phoneticPr fontId="3" type="noConversion"/>
  </si>
  <si>
    <t xml:space="preserve">(구)남부씨네마/ (구)메가박스 경남대 18년 폐점 </t>
    <phoneticPr fontId="3" type="noConversion"/>
  </si>
  <si>
    <t>CGV마산</t>
  </si>
  <si>
    <t>롯데시네마 마산(합성동)</t>
    <phoneticPr fontId="2" type="noConversion"/>
  </si>
  <si>
    <t>(구)마산시네마/20.05.01. 마산터미널 → 마산(합성동)으로 상호명 변경</t>
    <phoneticPr fontId="2" type="noConversion"/>
  </si>
  <si>
    <t>경상남도</t>
    <phoneticPr fontId="2" type="noConversion"/>
  </si>
  <si>
    <t>창원시</t>
    <phoneticPr fontId="2" type="noConversion"/>
  </si>
  <si>
    <t>메가박스 창원내서</t>
    <phoneticPr fontId="2" type="noConversion"/>
  </si>
  <si>
    <t>창원시 마산회원구 내서읍 광려천서로 81, 10층</t>
    <phoneticPr fontId="2" type="noConversion"/>
  </si>
  <si>
    <t>CGV창원상남</t>
  </si>
  <si>
    <t xml:space="preserve">창원시 성산구 중앙대로 100번길 13, 6층 </t>
    <phoneticPr fontId="2" type="noConversion"/>
  </si>
  <si>
    <t>CGV창원더시티</t>
  </si>
  <si>
    <t>CGV창원</t>
  </si>
  <si>
    <t>(구)CGV 진주</t>
    <phoneticPr fontId="3" type="noConversion"/>
  </si>
  <si>
    <t>진주시</t>
    <phoneticPr fontId="2" type="noConversion"/>
  </si>
  <si>
    <t>CGV진주혁신</t>
  </si>
  <si>
    <t>진주시 애나로 127번길 30 드림어반스퀘어 4~5층</t>
    <phoneticPr fontId="2" type="noConversion"/>
  </si>
  <si>
    <t>메가박스 진주중안</t>
    <phoneticPr fontId="2" type="noConversion"/>
  </si>
  <si>
    <t>진주시 진양호로 521 (중안동 2-13)</t>
    <phoneticPr fontId="2" type="noConversion"/>
  </si>
  <si>
    <t>Comfort(9)</t>
    <phoneticPr fontId="2" type="noConversion"/>
  </si>
  <si>
    <t>(구)롯데시네마 진주프리미엄 22.12.2. 영업종료</t>
    <phoneticPr fontId="2" type="noConversion"/>
  </si>
  <si>
    <t>22.4.15. 2~5관 좌석수 변경</t>
    <phoneticPr fontId="2" type="noConversion"/>
  </si>
  <si>
    <t xml:space="preserve">롯데시네마 사천 </t>
    <phoneticPr fontId="2" type="noConversion"/>
  </si>
  <si>
    <t>(구)메가박스 사천 20.09.14. 영업종료 후 전환</t>
    <phoneticPr fontId="2" type="noConversion"/>
  </si>
  <si>
    <t>CGV김해</t>
  </si>
  <si>
    <t>CGV김해장유</t>
  </si>
  <si>
    <t>김해시</t>
    <phoneticPr fontId="2" type="noConversion"/>
  </si>
  <si>
    <t>CGV김해율하</t>
  </si>
  <si>
    <t>김해시 율하2로 111, 시네마플레이스 3층</t>
    <phoneticPr fontId="2" type="noConversion"/>
  </si>
  <si>
    <t>밀양시 백민로 75-1 (내이동 1565-16)</t>
    <phoneticPr fontId="3" type="noConversion"/>
  </si>
  <si>
    <t>055-356-3606</t>
    <phoneticPr fontId="2" type="noConversion"/>
  </si>
  <si>
    <t>CGV거제</t>
  </si>
  <si>
    <t>양산시</t>
    <phoneticPr fontId="2" type="noConversion"/>
  </si>
  <si>
    <t>영화공장</t>
    <phoneticPr fontId="2" type="noConversion"/>
  </si>
  <si>
    <t>양산시 덕계북길 35</t>
  </si>
  <si>
    <t>055-364-9977</t>
  </si>
  <si>
    <t>https://www.instagram.com/cinema_factory_yangsan/</t>
  </si>
  <si>
    <t>롯데시네마 양산물금</t>
    <phoneticPr fontId="2" type="noConversion"/>
  </si>
  <si>
    <t xml:space="preserve">(구)CGV 양산물금 21.12.21. 롯데시네마 양산물금으로 브랜드 전환 </t>
    <phoneticPr fontId="2" type="noConversion"/>
  </si>
  <si>
    <t>메가박스 양산라피에스타</t>
    <phoneticPr fontId="2" type="noConversion"/>
  </si>
  <si>
    <t xml:space="preserve">양산시 물금읍 증산역로 177(가촌리) </t>
    <phoneticPr fontId="2" type="noConversion"/>
  </si>
  <si>
    <t>CGV양산삼호</t>
  </si>
  <si>
    <t>양산시 삼호1길 42 더퍼스트 6층(삼호동)</t>
    <phoneticPr fontId="2" type="noConversion"/>
  </si>
  <si>
    <t>함안군</t>
    <phoneticPr fontId="3" type="noConversion"/>
  </si>
  <si>
    <t>OLC함안군 작은영화관</t>
    <phoneticPr fontId="3" type="noConversion"/>
  </si>
  <si>
    <t xml:space="preserve">함안군 가야읍 가야12길 12 </t>
    <phoneticPr fontId="3" type="noConversion"/>
  </si>
  <si>
    <t>055-584-8323</t>
    <phoneticPr fontId="3" type="noConversion"/>
  </si>
  <si>
    <t>20.11.27. 휴관 / 21.5.5. 영업재개</t>
    <phoneticPr fontId="2" type="noConversion"/>
  </si>
  <si>
    <t>CGV고성</t>
  </si>
  <si>
    <t>고성군 고성읍 송학로 58</t>
    <phoneticPr fontId="2" type="noConversion"/>
  </si>
  <si>
    <t>1544-1122</t>
    <phoneticPr fontId="2" type="noConversion"/>
  </si>
  <si>
    <t xml:space="preserve">고성군 위탁 작은영화관 </t>
    <phoneticPr fontId="2" type="noConversion"/>
  </si>
  <si>
    <t>남해군</t>
    <phoneticPr fontId="3" type="noConversion"/>
  </si>
  <si>
    <t>보물섬시네마</t>
    <phoneticPr fontId="3" type="noConversion"/>
  </si>
  <si>
    <t>남해군 남해읍 선소로 12 문화체육센터 내</t>
    <phoneticPr fontId="3" type="noConversion"/>
  </si>
  <si>
    <t>055-862-7718</t>
    <phoneticPr fontId="3" type="noConversion"/>
  </si>
  <si>
    <t xml:space="preserve">20.11. 재개관 </t>
    <phoneticPr fontId="2" type="noConversion"/>
  </si>
  <si>
    <t>하동군</t>
    <phoneticPr fontId="2" type="noConversion"/>
  </si>
  <si>
    <t>씨네Q 알프스하동</t>
    <phoneticPr fontId="2" type="noConversion"/>
  </si>
  <si>
    <t xml:space="preserve">하동군 하동읍 시장1길 17, 4층 </t>
    <phoneticPr fontId="2" type="noConversion"/>
  </si>
  <si>
    <t xml:space="preserve">21.3.4. 공식적인 첫 상영일 </t>
    <phoneticPr fontId="2" type="noConversion"/>
  </si>
  <si>
    <t>산청군</t>
    <phoneticPr fontId="2" type="noConversion"/>
  </si>
  <si>
    <t>산청군 작은영화관</t>
    <phoneticPr fontId="2" type="noConversion"/>
  </si>
  <si>
    <t xml:space="preserve">산청군 신안면 원지강변로 67-10 남부문화체육센터 2층 </t>
    <phoneticPr fontId="2" type="noConversion"/>
  </si>
  <si>
    <t>055-973-7717</t>
    <phoneticPr fontId="2" type="noConversion"/>
  </si>
  <si>
    <t xml:space="preserve">롯데시네마 거창 </t>
    <phoneticPr fontId="2" type="noConversion"/>
  </si>
  <si>
    <t>(구)고센시네마/ (구)메가박스 거창 20.07.23. 영업종료 후 전환</t>
    <phoneticPr fontId="2" type="noConversion"/>
  </si>
  <si>
    <t>합천군</t>
    <phoneticPr fontId="3" type="noConversion"/>
  </si>
  <si>
    <t xml:space="preserve">합천시네마 </t>
    <phoneticPr fontId="3" type="noConversion"/>
  </si>
  <si>
    <t>합천군 합천읍 남정길(합천리 521)</t>
    <phoneticPr fontId="3" type="noConversion"/>
  </si>
  <si>
    <t>055-932-7053</t>
    <phoneticPr fontId="3" type="noConversion"/>
  </si>
  <si>
    <t>제주시</t>
    <phoneticPr fontId="2" type="noConversion"/>
  </si>
  <si>
    <t>롯데시네마 제주연동</t>
    <phoneticPr fontId="2" type="noConversion"/>
  </si>
  <si>
    <t>제주시 과원로 128 B1F (연동)</t>
    <phoneticPr fontId="2" type="noConversion"/>
  </si>
  <si>
    <t>롯데시네마 제주아라</t>
    <phoneticPr fontId="2" type="noConversion"/>
  </si>
  <si>
    <t>(구)메가박스 제주아라</t>
    <phoneticPr fontId="2" type="noConversion"/>
  </si>
  <si>
    <t>CGV제주노형</t>
  </si>
  <si>
    <t>CGV제주</t>
  </si>
  <si>
    <t xml:space="preserve">20.02.27. 8관 추가 </t>
    <phoneticPr fontId="2" type="noConversion"/>
  </si>
  <si>
    <t>제주도</t>
    <phoneticPr fontId="2" type="noConversion"/>
  </si>
  <si>
    <t>한림작은영화관</t>
    <phoneticPr fontId="2" type="noConversion"/>
  </si>
  <si>
    <t xml:space="preserve">제주시 한림읍 한림중앙로 71-9, 1층 </t>
    <phoneticPr fontId="2" type="noConversion"/>
  </si>
  <si>
    <t>064-796-0813</t>
    <phoneticPr fontId="2" type="noConversion"/>
  </si>
  <si>
    <t>www.hallimcinema.or.kr</t>
    <phoneticPr fontId="2" type="noConversion"/>
  </si>
  <si>
    <t>총계</t>
    <phoneticPr fontId="2" type="noConversion"/>
  </si>
  <si>
    <t>행적구역별
정렬</t>
    <phoneticPr fontId="2" type="noConversion"/>
  </si>
  <si>
    <t>3D상영 가능관 여부</t>
    <phoneticPr fontId="2" type="noConversion"/>
  </si>
  <si>
    <t>독립예술영화전용관명</t>
    <phoneticPr fontId="2" type="noConversion"/>
  </si>
  <si>
    <t>종로구 경희궁1가길 7</t>
    <phoneticPr fontId="3" type="noConversion"/>
  </si>
  <si>
    <t>N</t>
    <phoneticPr fontId="2" type="noConversion"/>
  </si>
  <si>
    <t>~</t>
    <phoneticPr fontId="2" type="noConversion"/>
  </si>
  <si>
    <t>Y</t>
    <phoneticPr fontId="2" type="noConversion"/>
  </si>
  <si>
    <t>1관</t>
    <phoneticPr fontId="2" type="noConversion"/>
  </si>
  <si>
    <t>1관</t>
    <phoneticPr fontId="2" type="noConversion"/>
  </si>
  <si>
    <t>에무 시네마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</si>
  <si>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</si>
  <si>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</si>
  <si>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</si>
  <si>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</si>
  <si>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</si>
  <si>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08관</t>
    <phoneticPr fontId="2" type="noConversion"/>
  </si>
  <si>
    <t xml:space="preserve">종로구 </t>
    <phoneticPr fontId="3" type="noConversion"/>
  </si>
  <si>
    <t>01관</t>
    <phoneticPr fontId="2" type="noConversion"/>
  </si>
  <si>
    <t>허리우드 클래식</t>
    <phoneticPr fontId="3" type="noConversion"/>
  </si>
  <si>
    <t>씨네큐브광화문</t>
    <phoneticPr fontId="2" type="noConversion"/>
  </si>
  <si>
    <t>종로구 새문안로 68 지하2층 (신문로1가 흥국생명빌딩)</t>
    <phoneticPr fontId="3" type="noConversion"/>
  </si>
  <si>
    <t>2관</t>
    <phoneticPr fontId="2" type="noConversion"/>
  </si>
  <si>
    <t>05관</t>
    <phoneticPr fontId="2" type="noConversion"/>
  </si>
  <si>
    <t>Charlotte관</t>
    <phoneticPr fontId="2" type="noConversion"/>
  </si>
  <si>
    <t>Charlotte</t>
    <phoneticPr fontId="2" type="noConversion"/>
  </si>
  <si>
    <t>중구 장충단로 247 굿모닝시티 9층 (을지로 6가 21번지)</t>
    <phoneticPr fontId="2" type="noConversion"/>
  </si>
  <si>
    <t>중구</t>
    <phoneticPr fontId="2" type="noConversion"/>
  </si>
  <si>
    <t>1관</t>
    <phoneticPr fontId="2" type="noConversion"/>
  </si>
  <si>
    <t>서울시</t>
    <phoneticPr fontId="2" type="noConversion"/>
  </si>
  <si>
    <t xml:space="preserve">중구 퇴계로 123, 10~11층 (명동) </t>
    <phoneticPr fontId="2" type="noConversion"/>
  </si>
  <si>
    <t>ART 1관</t>
    <phoneticPr fontId="2" type="noConversion"/>
  </si>
  <si>
    <t>CGV 아트하우스</t>
    <phoneticPr fontId="2" type="noConversion"/>
  </si>
  <si>
    <t xml:space="preserve">중구 퇴계로 123, 10~11층 (명동) </t>
    <phoneticPr fontId="2" type="noConversion"/>
  </si>
  <si>
    <t>ART 2관</t>
    <phoneticPr fontId="2" type="noConversion"/>
  </si>
  <si>
    <t xml:space="preserve">중구 퇴계로 123, 10~11층 (명동) </t>
    <phoneticPr fontId="2" type="noConversion"/>
  </si>
  <si>
    <t>직영</t>
    <phoneticPr fontId="2" type="noConversion"/>
  </si>
  <si>
    <t>대한극장</t>
    <phoneticPr fontId="2" type="noConversion"/>
  </si>
  <si>
    <t>롯데시네마 용산</t>
    <phoneticPr fontId="2" type="noConversion"/>
  </si>
  <si>
    <t>롯데시네마 용산</t>
    <phoneticPr fontId="2" type="noConversion"/>
  </si>
  <si>
    <t>22.10.25 좌석수 변경</t>
    <phoneticPr fontId="2" type="noConversion"/>
  </si>
  <si>
    <t>15관</t>
    <phoneticPr fontId="2" type="noConversion"/>
  </si>
  <si>
    <t>17관</t>
    <phoneticPr fontId="2" type="noConversion"/>
  </si>
  <si>
    <t>용산구 한강대로 23길 55, 6층 (한강로 3가 40-1 용산민자역사 6층)</t>
    <phoneticPr fontId="2" type="noConversion"/>
  </si>
  <si>
    <t>4DX관</t>
    <phoneticPr fontId="2" type="noConversion"/>
  </si>
  <si>
    <t>Gold Class관</t>
    <phoneticPr fontId="2" type="noConversion"/>
  </si>
  <si>
    <t>Gold Class</t>
    <phoneticPr fontId="2" type="noConversion"/>
  </si>
  <si>
    <t>IMAX관</t>
    <phoneticPr fontId="2" type="noConversion"/>
  </si>
  <si>
    <t>IMAX</t>
    <phoneticPr fontId="2" type="noConversion"/>
  </si>
  <si>
    <t>Cine de Chef (TEMPUR Cinema)</t>
    <phoneticPr fontId="2" type="noConversion"/>
  </si>
  <si>
    <t>Cine de Chef_TEMPUR Cinema</t>
    <phoneticPr fontId="2" type="noConversion"/>
  </si>
  <si>
    <t>Cine de Chef</t>
    <phoneticPr fontId="2" type="noConversion"/>
  </si>
  <si>
    <t>성동구 왕십리광장로 17, 5층 (행당동 왕십리 민자역사 4층~6층)</t>
    <phoneticPr fontId="2" type="noConversion"/>
  </si>
  <si>
    <t xml:space="preserve">Cine &amp; Living Room </t>
    <phoneticPr fontId="2" type="noConversion"/>
  </si>
  <si>
    <t>메가박스 성수</t>
    <phoneticPr fontId="2" type="noConversion"/>
  </si>
  <si>
    <t>성동구 왕십리로 50, 3층 (성수동1가)</t>
    <phoneticPr fontId="2" type="noConversion"/>
  </si>
  <si>
    <t>The Boutique Suite</t>
    <phoneticPr fontId="2" type="noConversion"/>
  </si>
  <si>
    <t>101호(The Boutique Suite)</t>
    <phoneticPr fontId="2" type="noConversion"/>
  </si>
  <si>
    <t>광진구 광나루로 56길 85 (구의동 546-4 테크노마트 10층)</t>
    <phoneticPr fontId="2" type="noConversion"/>
  </si>
  <si>
    <t>Cine &amp; Foret관</t>
    <phoneticPr fontId="2" type="noConversion"/>
  </si>
  <si>
    <t>Cine &amp; Foret</t>
    <phoneticPr fontId="2" type="noConversion"/>
  </si>
  <si>
    <t>메가박스 군자</t>
    <phoneticPr fontId="2" type="noConversion"/>
  </si>
  <si>
    <t>Super S</t>
    <phoneticPr fontId="2" type="noConversion"/>
  </si>
  <si>
    <t xml:space="preserve">롯데시네마 중랑 </t>
    <phoneticPr fontId="2" type="noConversion"/>
  </si>
  <si>
    <t>Cine Comfort</t>
    <phoneticPr fontId="2" type="noConversion"/>
  </si>
  <si>
    <t>07관</t>
    <phoneticPr fontId="2" type="noConversion"/>
  </si>
  <si>
    <t>중랑구 망우로 30길 3 (상봉동 130-3번지)</t>
    <phoneticPr fontId="2" type="noConversion"/>
  </si>
  <si>
    <t>성북구</t>
    <phoneticPr fontId="2" type="noConversion"/>
  </si>
  <si>
    <t>아리랑인디웨이브관</t>
    <phoneticPr fontId="2" type="noConversion"/>
  </si>
  <si>
    <t>아리랑인디웨이브</t>
    <phoneticPr fontId="2" type="noConversion"/>
  </si>
  <si>
    <t>메가박스 창동</t>
    <phoneticPr fontId="2" type="noConversion"/>
  </si>
  <si>
    <t>도봉구</t>
    <phoneticPr fontId="2" type="noConversion"/>
  </si>
  <si>
    <t>도봉구 도봉로 684, 4~8층</t>
  </si>
  <si>
    <t>2관</t>
    <phoneticPr fontId="2" type="noConversion"/>
  </si>
  <si>
    <t>아르떼클래식</t>
    <phoneticPr fontId="2" type="noConversion"/>
  </si>
  <si>
    <t xml:space="preserve">위탁 </t>
    <phoneticPr fontId="2" type="noConversion"/>
  </si>
  <si>
    <t>노원구 동일로 204가길 12, 8층 (중계동 509-2)</t>
    <phoneticPr fontId="2" type="noConversion"/>
  </si>
  <si>
    <t>노원구 섬밭로 258 지하 1층 (중계동 506-1 건영백화점)</t>
    <phoneticPr fontId="2" type="noConversion"/>
  </si>
  <si>
    <t>Cine Kids관</t>
    <phoneticPr fontId="2" type="noConversion"/>
  </si>
  <si>
    <t>롯데시네마 은평(롯데몰)</t>
    <phoneticPr fontId="2" type="noConversion"/>
  </si>
  <si>
    <t>Superplex</t>
    <phoneticPr fontId="2" type="noConversion"/>
  </si>
  <si>
    <t>Dolby ATMOS / 6P Laser</t>
    <phoneticPr fontId="2" type="noConversion"/>
  </si>
  <si>
    <t>서대문구 신촌로 129, 2층 (창천동 20-24, 20-25)</t>
    <phoneticPr fontId="2" type="noConversion"/>
  </si>
  <si>
    <t>서대문구 신촌역로 30 밀리오레 5층 (신촌동 74-12)</t>
    <phoneticPr fontId="2" type="noConversion"/>
  </si>
  <si>
    <t xml:space="preserve">라이카시네마 </t>
    <phoneticPr fontId="2" type="noConversion"/>
  </si>
  <si>
    <t>서대문구 연희로 8길 18, 스페이스독 지하1층</t>
    <phoneticPr fontId="2" type="noConversion"/>
  </si>
  <si>
    <t>S관</t>
    <phoneticPr fontId="2" type="noConversion"/>
  </si>
  <si>
    <t>아트하우스 모모</t>
    <phoneticPr fontId="2" type="noConversion"/>
  </si>
  <si>
    <t>마포구 양화로 147 아일렉스 7층 (동교동 160-4)</t>
    <phoneticPr fontId="2" type="noConversion"/>
  </si>
  <si>
    <t>마포구 양화로 153 (동교동) 3층</t>
    <phoneticPr fontId="2" type="noConversion"/>
  </si>
  <si>
    <t xml:space="preserve">마포구 양화로 153 (동교동) 3층 </t>
    <phoneticPr fontId="2" type="noConversion"/>
  </si>
  <si>
    <t>마포구 양화로 186 (동교동)</t>
    <phoneticPr fontId="2" type="noConversion"/>
  </si>
  <si>
    <t>03관(SUITE CINEMA)</t>
    <phoneticPr fontId="2" type="noConversion"/>
  </si>
  <si>
    <t xml:space="preserve">Suite Cinema </t>
    <phoneticPr fontId="2" type="noConversion"/>
  </si>
  <si>
    <t>KT&amp;G 상상마당 시네마</t>
    <phoneticPr fontId="2" type="noConversion"/>
  </si>
  <si>
    <t>Comfort관</t>
    <phoneticPr fontId="2" type="noConversion"/>
  </si>
  <si>
    <t>MX관</t>
    <phoneticPr fontId="2" type="noConversion"/>
  </si>
  <si>
    <t>메가박스 더 부티크 목동현대백화점</t>
    <phoneticPr fontId="2" type="noConversion"/>
  </si>
  <si>
    <t>양천구 목동 목동동로 257</t>
  </si>
  <si>
    <t>Comfort 06관</t>
    <phoneticPr fontId="2" type="noConversion"/>
  </si>
  <si>
    <t>Comfort 02관</t>
    <phoneticPr fontId="2" type="noConversion"/>
  </si>
  <si>
    <t>양천구 목동동로 309 행복한세상백화점 6층 (목동 917-6)</t>
    <phoneticPr fontId="2" type="noConversion"/>
  </si>
  <si>
    <t>Comfort 05관</t>
    <phoneticPr fontId="2" type="noConversion"/>
  </si>
  <si>
    <t>Dolby ATMOS/ 22.5.23. 예술영화전용관 등록</t>
    <phoneticPr fontId="2" type="noConversion"/>
  </si>
  <si>
    <t>강서구 공항대로45길 63, 3~9층 (등촌동)</t>
    <phoneticPr fontId="2" type="noConversion"/>
  </si>
  <si>
    <t>06관(SCREENX)</t>
    <phoneticPr fontId="2" type="noConversion"/>
  </si>
  <si>
    <t xml:space="preserve">ScreenX </t>
    <phoneticPr fontId="2" type="noConversion"/>
  </si>
  <si>
    <t>22.1.3. 좌석수 변경</t>
    <phoneticPr fontId="2" type="noConversion"/>
  </si>
  <si>
    <t>22.1.3. 좌석수 변경</t>
  </si>
  <si>
    <t>10관</t>
    <phoneticPr fontId="2" type="noConversion"/>
  </si>
  <si>
    <t>구로구 구로중앙로 152 (구로동 573 애경백화점 5층)</t>
    <phoneticPr fontId="2" type="noConversion"/>
  </si>
  <si>
    <t>씨네Q 신도림</t>
    <phoneticPr fontId="2" type="noConversion"/>
  </si>
  <si>
    <t>03관(Reserve)</t>
    <phoneticPr fontId="2" type="noConversion"/>
  </si>
  <si>
    <t>Reserve</t>
    <phoneticPr fontId="2" type="noConversion"/>
  </si>
  <si>
    <t>05관(Reserve)</t>
    <phoneticPr fontId="2" type="noConversion"/>
  </si>
  <si>
    <t>07관(Suite)</t>
    <phoneticPr fontId="2" type="noConversion"/>
  </si>
  <si>
    <t>Suite</t>
    <phoneticPr fontId="2" type="noConversion"/>
  </si>
  <si>
    <t>영등포구 국제금융로 10, 지하3층 (여의도동 국제금융로 10)</t>
    <phoneticPr fontId="2" type="noConversion"/>
  </si>
  <si>
    <t>TEMPUR CINEMA</t>
    <phoneticPr fontId="2" type="noConversion"/>
  </si>
  <si>
    <t>21.12.22. 7관에서 변경</t>
    <phoneticPr fontId="2" type="noConversion"/>
  </si>
  <si>
    <t>영등포구 영산로 15, 4층 (영등포동 4가 441-10번지 경방 타임스퀘어 4~7층)</t>
    <phoneticPr fontId="2" type="noConversion"/>
  </si>
  <si>
    <t>22.6.10. STARIUM관에서 변경</t>
    <phoneticPr fontId="2" type="noConversion"/>
  </si>
  <si>
    <t>0관</t>
    <phoneticPr fontId="2" type="noConversion"/>
  </si>
  <si>
    <t>9관</t>
    <phoneticPr fontId="2" type="noConversion"/>
  </si>
  <si>
    <t>The Boutique</t>
    <phoneticPr fontId="2" type="noConversion"/>
  </si>
  <si>
    <t>메가박스 강남대로(씨티)</t>
    <phoneticPr fontId="2" type="noConversion"/>
  </si>
  <si>
    <t>강남구 강남대로 438 (역삼동 814-6 스타플렉스)</t>
    <phoneticPr fontId="2" type="noConversion"/>
  </si>
  <si>
    <t>Cine Salon</t>
    <phoneticPr fontId="2" type="noConversion"/>
  </si>
  <si>
    <t xml:space="preserve">07관 </t>
    <phoneticPr fontId="2" type="noConversion"/>
  </si>
  <si>
    <t>01관(HEADPHONE)</t>
    <phoneticPr fontId="2" type="noConversion"/>
  </si>
  <si>
    <t>02관(HEADPHONE)</t>
    <phoneticPr fontId="2" type="noConversion"/>
  </si>
  <si>
    <t>강남구 도산대로 323 (신사동 651-21)</t>
    <phoneticPr fontId="2" type="noConversion"/>
  </si>
  <si>
    <t>SoundX</t>
    <phoneticPr fontId="2" type="noConversion"/>
  </si>
  <si>
    <t>BMW CINEMA PREMIUM</t>
    <phoneticPr fontId="2" type="noConversion"/>
  </si>
  <si>
    <t>Premium</t>
    <phoneticPr fontId="2" type="noConversion"/>
  </si>
  <si>
    <t>롯데시네마 브로드웨이(신사)</t>
    <phoneticPr fontId="2" type="noConversion"/>
  </si>
  <si>
    <t>소상영관A</t>
    <phoneticPr fontId="2" type="noConversion"/>
  </si>
  <si>
    <t>소상영관B</t>
    <phoneticPr fontId="2" type="noConversion"/>
  </si>
  <si>
    <t>강남구 봉은사로 524 코엑스몰 B1 (삼성동 159)</t>
    <phoneticPr fontId="2" type="noConversion"/>
  </si>
  <si>
    <t>102호(The Boutique Suite)</t>
    <phoneticPr fontId="2" type="noConversion"/>
  </si>
  <si>
    <t>103호(The Boutique Suite)</t>
    <phoneticPr fontId="2" type="noConversion"/>
  </si>
  <si>
    <t>104호(The Boutique)</t>
    <phoneticPr fontId="2" type="noConversion"/>
  </si>
  <si>
    <t>105호(The Boutique)</t>
    <phoneticPr fontId="2" type="noConversion"/>
  </si>
  <si>
    <t>Comfort 10관</t>
    <phoneticPr fontId="2" type="noConversion"/>
  </si>
  <si>
    <t>Comfort 11관</t>
    <phoneticPr fontId="2" type="noConversion"/>
  </si>
  <si>
    <t>Comfort 03관</t>
    <phoneticPr fontId="2" type="noConversion"/>
  </si>
  <si>
    <t>Comfort 07관</t>
    <phoneticPr fontId="2" type="noConversion"/>
  </si>
  <si>
    <t>Comfort 08관</t>
    <phoneticPr fontId="2" type="noConversion"/>
  </si>
  <si>
    <t>Comfort 09관</t>
    <phoneticPr fontId="2" type="noConversion"/>
  </si>
  <si>
    <t>청소년영화전용상영관</t>
    <phoneticPr fontId="2" type="noConversion"/>
  </si>
  <si>
    <t>The Boutique Private1</t>
    <phoneticPr fontId="2" type="noConversion"/>
  </si>
  <si>
    <t>The Boutique Private2</t>
    <phoneticPr fontId="2" type="noConversion"/>
  </si>
  <si>
    <t>22.12.29 상영관 등록</t>
    <phoneticPr fontId="2" type="noConversion"/>
  </si>
  <si>
    <t>22.8.10. 1관에서 변경</t>
    <phoneticPr fontId="2" type="noConversion"/>
  </si>
  <si>
    <t>강남구 압구정로 30길 45 (신사동 603-2)</t>
    <phoneticPr fontId="2" type="noConversion"/>
  </si>
  <si>
    <t xml:space="preserve">Cine de Chef </t>
    <phoneticPr fontId="2" type="noConversion"/>
  </si>
  <si>
    <t>메가박스 송파파크하비오</t>
    <phoneticPr fontId="2" type="noConversion"/>
  </si>
  <si>
    <t>09관</t>
    <phoneticPr fontId="2" type="noConversion"/>
  </si>
  <si>
    <t>11관</t>
    <phoneticPr fontId="2" type="noConversion"/>
  </si>
  <si>
    <t>송파구 충민로 66, 10층 (장지동 201-27 가든파이브 라이프 영관 10층)</t>
    <phoneticPr fontId="3" type="noConversion"/>
  </si>
  <si>
    <t>송파구 충민로 66, 10층 (장지동 201-27 가든파이브 라이프 영관 10층)</t>
    <phoneticPr fontId="2" type="noConversion"/>
  </si>
  <si>
    <t>메가박스 강동</t>
    <phoneticPr fontId="2" type="noConversion"/>
  </si>
  <si>
    <t>롯데시네마 부산본점</t>
    <phoneticPr fontId="2" type="noConversion"/>
  </si>
  <si>
    <t>Cine Couple</t>
    <phoneticPr fontId="2" type="noConversion"/>
  </si>
  <si>
    <t>부산진구 동천로 4, 6층 (전포동 892-20 지오플레이스 6층)</t>
    <phoneticPr fontId="2" type="noConversion"/>
  </si>
  <si>
    <t>롯데시네마 서면(전포동)</t>
    <phoneticPr fontId="2" type="noConversion"/>
  </si>
  <si>
    <t>22.6. 관명 변경</t>
    <phoneticPr fontId="2" type="noConversion"/>
  </si>
  <si>
    <t>부산진구 중앙대로 672 삼정타워 11층 (부전동 227-2)</t>
    <phoneticPr fontId="2" type="noConversion"/>
  </si>
  <si>
    <t>동래구 중앙대로 1523, 6층 (온천동 153-8 SK허브스카이 6층)</t>
    <phoneticPr fontId="2" type="noConversion"/>
  </si>
  <si>
    <t>해운대구 센텀남대로 35, 7층 (우동 1495번지 신세계센텀시티 7층)</t>
    <phoneticPr fontId="2" type="noConversion"/>
  </si>
  <si>
    <t>Starium관</t>
    <phoneticPr fontId="2" type="noConversion"/>
  </si>
  <si>
    <t>소극장</t>
    <phoneticPr fontId="2" type="noConversion"/>
  </si>
  <si>
    <t>시네마테크</t>
    <phoneticPr fontId="2" type="noConversion"/>
  </si>
  <si>
    <t>인디플러스 영화의 전당</t>
    <phoneticPr fontId="2" type="noConversion"/>
  </si>
  <si>
    <t>롯데시네마 프리미엄 해운대(장산역)</t>
    <phoneticPr fontId="2" type="noConversion"/>
  </si>
  <si>
    <t>해운대구 해운대로 813 NC백화점 8층(좌동 1467-4)</t>
    <phoneticPr fontId="2" type="noConversion"/>
  </si>
  <si>
    <t xml:space="preserve"> Megabox Kids</t>
    <phoneticPr fontId="2" type="noConversion"/>
  </si>
  <si>
    <t>사하구 낙동남로 1413 아트몰링문화관 7층 (하단동)</t>
    <phoneticPr fontId="2" type="noConversion"/>
  </si>
  <si>
    <t>금정구 장전로 12번길 55 (장전동 292-4)</t>
    <phoneticPr fontId="2" type="noConversion"/>
  </si>
  <si>
    <t>오오관</t>
    <phoneticPr fontId="2" type="noConversion"/>
  </si>
  <si>
    <t>롯데시네마 프리미엄 만경</t>
    <phoneticPr fontId="2" type="noConversion"/>
  </si>
  <si>
    <t>중구 동성로 39, 7층 (동성로 2가 88-2 씨네시티한일 7층)</t>
    <phoneticPr fontId="2" type="noConversion"/>
  </si>
  <si>
    <t>MX, Dolby ATMOS / 6P Laser</t>
    <phoneticPr fontId="2" type="noConversion"/>
  </si>
  <si>
    <t>Recliner</t>
    <phoneticPr fontId="2" type="noConversion"/>
  </si>
  <si>
    <t>Comfort 01관</t>
    <phoneticPr fontId="2" type="noConversion"/>
  </si>
  <si>
    <t>롯데시네마 프리미엄 칠곡</t>
    <phoneticPr fontId="2" type="noConversion"/>
  </si>
  <si>
    <t>수성구 유니버시아드로 140 (대흥동 504번지)</t>
    <phoneticPr fontId="2" type="noConversion"/>
  </si>
  <si>
    <t>애관극장</t>
    <phoneticPr fontId="2" type="noConversion"/>
  </si>
  <si>
    <t>인천미림극장</t>
    <phoneticPr fontId="2" type="noConversion"/>
  </si>
  <si>
    <t>영화공간 주안</t>
    <phoneticPr fontId="2" type="noConversion"/>
  </si>
  <si>
    <t>3관</t>
    <phoneticPr fontId="2" type="noConversion"/>
  </si>
  <si>
    <t>4관</t>
    <phoneticPr fontId="2" type="noConversion"/>
  </si>
  <si>
    <t>메가박스 송도</t>
    <phoneticPr fontId="2" type="noConversion"/>
  </si>
  <si>
    <t>Dolby ATMOS / 6P Lase</t>
    <phoneticPr fontId="2" type="noConversion"/>
  </si>
  <si>
    <t>Comfort 2관</t>
    <phoneticPr fontId="2" type="noConversion"/>
  </si>
  <si>
    <t>22.7.13. 좌석수 변경</t>
    <phoneticPr fontId="2" type="noConversion"/>
  </si>
  <si>
    <t>남동구 예술로 198, 4층 (구월동 1130 씨엔씨빌딩 4층)</t>
    <phoneticPr fontId="2" type="noConversion"/>
  </si>
  <si>
    <t>대한극장(인천)</t>
    <phoneticPr fontId="2" type="noConversion"/>
  </si>
  <si>
    <t>계양구 장제로 738, 8층 (작전동 899-1 8~11층)</t>
    <phoneticPr fontId="2" type="noConversion"/>
  </si>
  <si>
    <t>메가박스 검단</t>
    <phoneticPr fontId="2" type="noConversion"/>
  </si>
  <si>
    <t>~</t>
    <phoneticPr fontId="3" type="noConversion"/>
  </si>
  <si>
    <t>광주시</t>
    <phoneticPr fontId="2" type="noConversion"/>
  </si>
  <si>
    <t>동구 중앙로 160번길 16-7 부로타워 2층</t>
    <phoneticPr fontId="2" type="noConversion"/>
  </si>
  <si>
    <t xml:space="preserve">씨네앤포레 </t>
    <phoneticPr fontId="2" type="noConversion"/>
  </si>
  <si>
    <t>서구 무진대로 904, 2층~6층 (광천동 49-1 유스퀘어 2~6층)</t>
    <phoneticPr fontId="2" type="noConversion"/>
  </si>
  <si>
    <t>메가박스 광주상무</t>
    <phoneticPr fontId="2" type="noConversion"/>
  </si>
  <si>
    <t>서구 시청로 67 (프리미엄아울렛) 6층</t>
    <phoneticPr fontId="2" type="noConversion"/>
  </si>
  <si>
    <t>광산구</t>
    <phoneticPr fontId="2" type="noConversion"/>
  </si>
  <si>
    <t>롯데시네마 광주광산</t>
    <phoneticPr fontId="2" type="noConversion"/>
  </si>
  <si>
    <t>Dolby ATMOS</t>
    <phoneticPr fontId="2" type="noConversion"/>
  </si>
  <si>
    <t>메가박스 광주하남</t>
    <phoneticPr fontId="2" type="noConversion"/>
  </si>
  <si>
    <t>중구 계백로 1700, 6층 (문화동 1-16 세이백화점 6층)</t>
    <phoneticPr fontId="2" type="noConversion"/>
  </si>
  <si>
    <t>롯데시네마 대전둔산(월평동)</t>
    <phoneticPr fontId="2" type="noConversion"/>
  </si>
  <si>
    <t>서구 문정로 77 로데오타운 5층 (탄방동 746)</t>
    <phoneticPr fontId="2" type="noConversion"/>
  </si>
  <si>
    <t>유성구 계룡로 132번길 10, 5층</t>
    <phoneticPr fontId="2" type="noConversion"/>
  </si>
  <si>
    <t xml:space="preserve">Comfort </t>
    <phoneticPr fontId="2" type="noConversion"/>
  </si>
  <si>
    <t>The Boutique 101 Suite</t>
    <phoneticPr fontId="2" type="noConversion"/>
  </si>
  <si>
    <t>중구 젊음의 거리 73 (성남동 251-8)</t>
    <phoneticPr fontId="2" type="noConversion"/>
  </si>
  <si>
    <t>롯데시네마 울산(백화점)</t>
    <phoneticPr fontId="2" type="noConversion"/>
  </si>
  <si>
    <t>남구 화합로 185, 5층 (삼산동 1569-1 업스퀘어 5층)</t>
    <phoneticPr fontId="2" type="noConversion"/>
  </si>
  <si>
    <t>8층 9관</t>
    <phoneticPr fontId="2" type="noConversion"/>
  </si>
  <si>
    <t>북구 진장유통로 51-10 (진장동)</t>
    <phoneticPr fontId="2" type="noConversion"/>
  </si>
  <si>
    <t>Colorium</t>
    <phoneticPr fontId="2" type="noConversion"/>
  </si>
  <si>
    <t>수원시 영통구 봉영로 1579 롯데쇼핑플라자 5층 (영통동 960-1)</t>
    <phoneticPr fontId="2" type="noConversion"/>
  </si>
  <si>
    <t>어나더관</t>
    <phoneticPr fontId="2" type="noConversion"/>
  </si>
  <si>
    <t>Puppy Cinema</t>
    <phoneticPr fontId="2" type="noConversion"/>
  </si>
  <si>
    <t>22.5.11. 특별관명 변경</t>
    <phoneticPr fontId="2" type="noConversion"/>
  </si>
  <si>
    <t>베이비관</t>
    <phoneticPr fontId="2" type="noConversion"/>
  </si>
  <si>
    <t>수원시 팔달구 권광로 181, 7층 (인계동 113-11 12번지 7~10)</t>
    <phoneticPr fontId="2" type="noConversion"/>
  </si>
  <si>
    <t>수원시 팔달구 덕영대로 924, 6층 (매산로 1가)</t>
    <phoneticPr fontId="2" type="noConversion"/>
  </si>
  <si>
    <t>Comfort 04관</t>
    <phoneticPr fontId="2" type="noConversion"/>
  </si>
  <si>
    <t xml:space="preserve"> Comfort 01관</t>
    <phoneticPr fontId="2" type="noConversion"/>
  </si>
  <si>
    <t>21.12.10. 7관에서 변경</t>
    <phoneticPr fontId="2" type="noConversion"/>
  </si>
  <si>
    <t>성남시 분당구 황새울로 32 (서현동 262-2)</t>
    <phoneticPr fontId="2" type="noConversion"/>
  </si>
  <si>
    <t>02관(Cine Comfort)</t>
    <phoneticPr fontId="2" type="noConversion"/>
  </si>
  <si>
    <t>03관(Cine Comfort)</t>
    <phoneticPr fontId="2" type="noConversion"/>
  </si>
  <si>
    <t>성남시 중원구 성남대로 1136 (성남동 3499)</t>
    <phoneticPr fontId="2" type="noConversion"/>
  </si>
  <si>
    <t>메가박스 의정부민락</t>
    <phoneticPr fontId="2" type="noConversion"/>
  </si>
  <si>
    <t>의정부시 평화로 525, 10층 (의정부동 168)</t>
    <phoneticPr fontId="2" type="noConversion"/>
  </si>
  <si>
    <t>안양시 동안구 관평로 170번길 33, 8층 (관양동 1606)</t>
    <phoneticPr fontId="2" type="noConversion"/>
  </si>
  <si>
    <t>안양시 동안구 동안로 119, 11층 (호계동 1139-3 뉴코아아울렛 11층)</t>
    <phoneticPr fontId="2" type="noConversion"/>
  </si>
  <si>
    <t>롯데시네마 평촌(범계역)</t>
    <phoneticPr fontId="2" type="noConversion"/>
  </si>
  <si>
    <t>부천시 길주로 180, 5층 (중동 1164 로담코 플라자 5~7층)</t>
    <phoneticPr fontId="2" type="noConversion"/>
  </si>
  <si>
    <t>판타스틱 큐브</t>
    <phoneticPr fontId="2" type="noConversion"/>
  </si>
  <si>
    <t>22.7.21 좌석수 변경</t>
    <phoneticPr fontId="2" type="noConversion"/>
  </si>
  <si>
    <t>부천시 부천로 11 (심곡동)</t>
    <phoneticPr fontId="2" type="noConversion"/>
  </si>
  <si>
    <t xml:space="preserve">부천시 옥길로 124 문영퀸즈파크옥길 C동 8층 </t>
    <phoneticPr fontId="2" type="noConversion"/>
  </si>
  <si>
    <t>광명시 일직로 17 롯데프리미엄아울렛 광명점 5층</t>
    <phoneticPr fontId="2" type="noConversion"/>
  </si>
  <si>
    <t>광명시 일직로 43 GIDC B동 지하2층</t>
  </si>
  <si>
    <t>GH관</t>
    <phoneticPr fontId="2" type="noConversion"/>
  </si>
  <si>
    <t>22.5.2.좌석수 변경</t>
    <phoneticPr fontId="2" type="noConversion"/>
  </si>
  <si>
    <t>평택시 평택로 51, 8층 (평택동 186-3 평택민자역사 8층)</t>
    <phoneticPr fontId="2" type="noConversion"/>
  </si>
  <si>
    <t>안산시 단원구 광덕대로 194 (고잔동 725-1 스타맥스타워 5층)</t>
    <phoneticPr fontId="2" type="noConversion"/>
  </si>
  <si>
    <t>롯데시네마 안산_Charlotte관</t>
    <phoneticPr fontId="2" type="noConversion"/>
  </si>
  <si>
    <t xml:space="preserve">고양시 덕양구 충장로 8 로터스플레이스 5층 </t>
    <phoneticPr fontId="2" type="noConversion"/>
  </si>
  <si>
    <t xml:space="preserve">The Boutique </t>
    <phoneticPr fontId="2" type="noConversion"/>
  </si>
  <si>
    <t xml:space="preserve">05관(Cine Comfort) </t>
    <phoneticPr fontId="2" type="noConversion"/>
  </si>
  <si>
    <t>06관(Cine Comfort)</t>
    <phoneticPr fontId="2" type="noConversion"/>
  </si>
  <si>
    <t>07관(Cine Comfort)</t>
    <phoneticPr fontId="2" type="noConversion"/>
  </si>
  <si>
    <t>고양시 일산동구 정발산로 24 (장항동 867번지 웨스턴돔 3층)</t>
    <phoneticPr fontId="2" type="noConversion"/>
  </si>
  <si>
    <t xml:space="preserve">고양시 일산동구 정발산로 24 (장항동 867번지 웨스턴돔 3층) </t>
    <phoneticPr fontId="2" type="noConversion"/>
  </si>
  <si>
    <t>롯데시네마 주엽</t>
    <phoneticPr fontId="2" type="noConversion"/>
  </si>
  <si>
    <t>고양시 일산서구 호수로 817 레이킨스몰 3층 (대화동)</t>
    <phoneticPr fontId="2" type="noConversion"/>
  </si>
  <si>
    <t>남양주시 다산순환로 20 현대프리미어캠퍼스 지하2층</t>
  </si>
  <si>
    <t>남양주시 다산순환로 50</t>
    <phoneticPr fontId="2" type="noConversion"/>
  </si>
  <si>
    <t>Comfort 8관</t>
    <phoneticPr fontId="2" type="noConversion"/>
  </si>
  <si>
    <t>메가박스 시흥배곧</t>
    <phoneticPr fontId="2" type="noConversion"/>
  </si>
  <si>
    <t>시흥시 정왕대로210 이마트 시화점 10층</t>
    <phoneticPr fontId="2" type="noConversion"/>
  </si>
  <si>
    <t>22.11.17. 비상설-&gt; 상설 전환</t>
    <phoneticPr fontId="2" type="noConversion"/>
  </si>
  <si>
    <t>메가박스 금정AK플라자</t>
    <phoneticPr fontId="2" type="noConversion"/>
  </si>
  <si>
    <t>Comfort 1관</t>
    <phoneticPr fontId="2" type="noConversion"/>
  </si>
  <si>
    <t>Comfort 3관</t>
  </si>
  <si>
    <t>Comfort 4관</t>
  </si>
  <si>
    <t>Comfort 5관</t>
  </si>
  <si>
    <t>Comfort 6관</t>
  </si>
  <si>
    <t>Comfort 7관</t>
  </si>
  <si>
    <t>Kids A관</t>
    <phoneticPr fontId="2" type="noConversion"/>
  </si>
  <si>
    <t>Kids B관</t>
    <phoneticPr fontId="2" type="noConversion"/>
  </si>
  <si>
    <t>메가박스 파주운정</t>
    <phoneticPr fontId="2" type="noConversion"/>
  </si>
  <si>
    <t>9관(DELUXE)</t>
    <phoneticPr fontId="2" type="noConversion"/>
  </si>
  <si>
    <t>화성시 동탄대로 181 레이크꼬모 B2층</t>
    <phoneticPr fontId="2" type="noConversion"/>
  </si>
  <si>
    <t>화성시 동탄대로 537 (오산동 라스플로레스 A동 5~8층)</t>
    <phoneticPr fontId="2" type="noConversion"/>
  </si>
  <si>
    <t>Dolby ATMOS / 4K 레이저 영사기</t>
    <phoneticPr fontId="2" type="noConversion"/>
  </si>
  <si>
    <t>22.7.23. 7관 IMAX관으로 변경</t>
    <phoneticPr fontId="2" type="noConversion"/>
  </si>
  <si>
    <t>화성시 동탄중앙로 220, 3층 (반송동 96,98번지 메타폴리스복합단지)</t>
    <phoneticPr fontId="2" type="noConversion"/>
  </si>
  <si>
    <t xml:space="preserve">Comfort 01관 </t>
    <phoneticPr fontId="2" type="noConversion"/>
  </si>
  <si>
    <t>OLC 조종시네마</t>
    <phoneticPr fontId="2" type="noConversion"/>
  </si>
  <si>
    <t>1939 시네마</t>
    <phoneticPr fontId="2" type="noConversion"/>
  </si>
  <si>
    <t>롯데시네마 춘천</t>
    <phoneticPr fontId="2" type="noConversion"/>
  </si>
  <si>
    <t>춘천시 지석로 80, 3층~8층 (퇴계동 1017투탑시티 3층~8층)</t>
    <phoneticPr fontId="2" type="noConversion"/>
  </si>
  <si>
    <t>원주시 서원대로 171, 7층 (단계동)</t>
    <phoneticPr fontId="2" type="noConversion"/>
  </si>
  <si>
    <t>Comfort 1관_리클라이너</t>
    <phoneticPr fontId="2" type="noConversion"/>
  </si>
  <si>
    <t>22.11.18. 좌석수변경</t>
    <phoneticPr fontId="2" type="noConversion"/>
  </si>
  <si>
    <t>Comfort 2관_리클라이너</t>
    <phoneticPr fontId="2" type="noConversion"/>
  </si>
  <si>
    <t>Comfort 3관_리클라이너</t>
    <phoneticPr fontId="2" type="noConversion"/>
  </si>
  <si>
    <t>22.11.18. 좌석수변경</t>
  </si>
  <si>
    <t>Comfort 4관_리클라이너</t>
    <phoneticPr fontId="2" type="noConversion"/>
  </si>
  <si>
    <t>Comfort 5관_리클라이너</t>
    <phoneticPr fontId="2" type="noConversion"/>
  </si>
  <si>
    <t>Comfort 6관_리클라이너</t>
    <phoneticPr fontId="2" type="noConversion"/>
  </si>
  <si>
    <t>Comfort 7관_리클라이너</t>
    <phoneticPr fontId="2" type="noConversion"/>
  </si>
  <si>
    <t>8관</t>
  </si>
  <si>
    <t>강릉시 경강로 2120, 6층~8층 (옥천동 189)</t>
    <phoneticPr fontId="2" type="noConversion"/>
  </si>
  <si>
    <t>삼척시</t>
    <phoneticPr fontId="2" type="noConversion"/>
  </si>
  <si>
    <t>삼척가람영화관</t>
    <phoneticPr fontId="2" type="noConversion"/>
  </si>
  <si>
    <t>삼척시 도계읍 도계로 223</t>
    <phoneticPr fontId="2" type="noConversion"/>
  </si>
  <si>
    <t>가람 3관(도계관)</t>
    <phoneticPr fontId="2" type="noConversion"/>
  </si>
  <si>
    <t>삼척시 도계읍</t>
    <phoneticPr fontId="2" type="noConversion"/>
  </si>
  <si>
    <t>삼척시 엑스포로 50 태양에너지전시관</t>
    <phoneticPr fontId="2" type="noConversion"/>
  </si>
  <si>
    <t>가람 1관</t>
    <phoneticPr fontId="2" type="noConversion"/>
  </si>
  <si>
    <t>삼척시 성남동</t>
    <phoneticPr fontId="2" type="noConversion"/>
  </si>
  <si>
    <t>가람 2관</t>
    <phoneticPr fontId="2" type="noConversion"/>
  </si>
  <si>
    <t>영월군</t>
    <phoneticPr fontId="2" type="noConversion"/>
  </si>
  <si>
    <t>영월시네마</t>
    <phoneticPr fontId="2" type="noConversion"/>
  </si>
  <si>
    <t>영월군 영월읍 관풍헌길 66</t>
    <phoneticPr fontId="2" type="noConversion"/>
  </si>
  <si>
    <t>아리아리 정선시네마</t>
    <phoneticPr fontId="2" type="noConversion"/>
  </si>
  <si>
    <t>철원군</t>
    <phoneticPr fontId="2" type="noConversion"/>
  </si>
  <si>
    <t xml:space="preserve">철원작은영화관 뚜루 </t>
    <phoneticPr fontId="2" type="noConversion"/>
  </si>
  <si>
    <t>03관(삼부연)</t>
    <phoneticPr fontId="2" type="noConversion"/>
  </si>
  <si>
    <t>화천군</t>
    <phoneticPr fontId="2" type="noConversion"/>
  </si>
  <si>
    <t>화천 작은영화관</t>
    <phoneticPr fontId="2" type="noConversion"/>
  </si>
  <si>
    <t>토마토관</t>
    <phoneticPr fontId="2" type="noConversion"/>
  </si>
  <si>
    <t>산천어관</t>
    <phoneticPr fontId="2" type="noConversion"/>
  </si>
  <si>
    <t>DMZ관</t>
    <phoneticPr fontId="2" type="noConversion"/>
  </si>
  <si>
    <t>01관(하늘관)</t>
    <phoneticPr fontId="2" type="noConversion"/>
  </si>
  <si>
    <t>02관(내린관)</t>
    <phoneticPr fontId="2" type="noConversion"/>
  </si>
  <si>
    <t>22.7.5. 좌석수 변경</t>
    <phoneticPr fontId="2" type="noConversion"/>
  </si>
  <si>
    <t>22.7.5. IMAX관으로 변경</t>
    <phoneticPr fontId="2" type="noConversion"/>
  </si>
  <si>
    <t>롯데시네마 서청주(아울렛)</t>
    <phoneticPr fontId="2" type="noConversion"/>
  </si>
  <si>
    <t xml:space="preserve">20년 추가 </t>
    <phoneticPr fontId="2" type="noConversion"/>
  </si>
  <si>
    <t>제천시 장평천로 27-13 더캐슬CGV제천 2,3,4층</t>
  </si>
  <si>
    <t>메가박스 진천</t>
    <phoneticPr fontId="2" type="noConversion"/>
  </si>
  <si>
    <t>천안시 서북구 공원로 196, 5층 (불당동 1289 펜타포트 주상복합상가 5층)</t>
    <phoneticPr fontId="2" type="noConversion"/>
  </si>
  <si>
    <t>밥.Cine</t>
    <phoneticPr fontId="2" type="noConversion"/>
  </si>
  <si>
    <t xml:space="preserve">논산시 시민로 181 시네마타워 3층 </t>
    <phoneticPr fontId="2" type="noConversion"/>
  </si>
  <si>
    <t>22.8.31. 좌석수 변경</t>
    <phoneticPr fontId="2" type="noConversion"/>
  </si>
  <si>
    <t>22.8.31. 좌석수 변경</t>
  </si>
  <si>
    <t xml:space="preserve">05관 </t>
    <phoneticPr fontId="2" type="noConversion"/>
  </si>
  <si>
    <t>홍성군</t>
    <phoneticPr fontId="2" type="noConversion"/>
  </si>
  <si>
    <t xml:space="preserve">전주시 </t>
    <phoneticPr fontId="2" type="noConversion"/>
  </si>
  <si>
    <t>2관</t>
  </si>
  <si>
    <t>3관</t>
  </si>
  <si>
    <t>4관</t>
  </si>
  <si>
    <t>5관</t>
  </si>
  <si>
    <t>6관</t>
  </si>
  <si>
    <t>7관</t>
  </si>
  <si>
    <t>롯데시네마 전주(백화점)</t>
    <phoneticPr fontId="2" type="noConversion"/>
  </si>
  <si>
    <t>전주시 완산구 용머리로 45 (Mall of Hyoja 2층)</t>
    <phoneticPr fontId="2" type="noConversion"/>
  </si>
  <si>
    <t>무주산골영화관</t>
    <phoneticPr fontId="2" type="noConversion"/>
  </si>
  <si>
    <t>Comfort 4관</t>
    <phoneticPr fontId="2" type="noConversion"/>
  </si>
  <si>
    <t>인디플러스 포항</t>
    <phoneticPr fontId="2" type="noConversion"/>
  </si>
  <si>
    <t>씨네Q 경주보문</t>
    <phoneticPr fontId="2" type="noConversion"/>
  </si>
  <si>
    <t>롯데시네마 프리미엄 안동</t>
    <phoneticPr fontId="2" type="noConversion"/>
  </si>
  <si>
    <t>중앙시네마</t>
    <phoneticPr fontId="2" type="noConversion"/>
  </si>
  <si>
    <t>롯데시네마 프리미엄 구미센트럴</t>
    <phoneticPr fontId="2" type="noConversion"/>
  </si>
  <si>
    <t>씨네Q 구미봉곡</t>
    <phoneticPr fontId="2" type="noConversion"/>
  </si>
  <si>
    <t>상주시</t>
    <phoneticPr fontId="2" type="noConversion"/>
  </si>
  <si>
    <t>롯데시네마 상주</t>
    <phoneticPr fontId="2" type="noConversion"/>
  </si>
  <si>
    <t>메가박스 경산하양</t>
    <phoneticPr fontId="2" type="noConversion"/>
  </si>
  <si>
    <t>칠곡군</t>
    <phoneticPr fontId="2" type="noConversion"/>
  </si>
  <si>
    <t>씨네Q 칠곡호이</t>
    <phoneticPr fontId="2" type="noConversion"/>
  </si>
  <si>
    <t>칠곡군 석적읍 석적로 646</t>
    <phoneticPr fontId="2" type="noConversion"/>
  </si>
  <si>
    <t xml:space="preserve">직영 </t>
    <phoneticPr fontId="2" type="noConversion"/>
  </si>
  <si>
    <t>울진군</t>
    <phoneticPr fontId="2" type="noConversion"/>
  </si>
  <si>
    <t>Megabox Kids</t>
    <phoneticPr fontId="2" type="noConversion"/>
  </si>
  <si>
    <t>롯데시네마 프리미엄 경남대</t>
    <phoneticPr fontId="2" type="noConversion"/>
  </si>
  <si>
    <t>창원시 의창구 원이대로 332 (두대동 1B1L 더시티세븐)</t>
    <phoneticPr fontId="2" type="noConversion"/>
  </si>
  <si>
    <t xml:space="preserve">창원시 의창구 원이대로 332 (두대동 1B1L 더시티세븐) </t>
    <phoneticPr fontId="2" type="noConversion"/>
  </si>
  <si>
    <t>창원시 의창구 창원대로 397번길 6, 8층~11층 (의창구 팔용동 30-1 파비뉴21)</t>
    <phoneticPr fontId="2" type="noConversion"/>
  </si>
  <si>
    <t>롯데시네마 엠비씨네(진주)</t>
    <phoneticPr fontId="2" type="noConversion"/>
  </si>
  <si>
    <t>진주시 애나로127번길 30 드림어반스퀘어 4~5층</t>
    <phoneticPr fontId="2" type="noConversion"/>
  </si>
  <si>
    <t>롯데시네마 통영</t>
    <phoneticPr fontId="2" type="noConversion"/>
  </si>
  <si>
    <t>22.4.1.5. 좌석수 변경</t>
    <phoneticPr fontId="2" type="noConversion"/>
  </si>
  <si>
    <t>롯데시네마 사천</t>
    <phoneticPr fontId="2" type="noConversion"/>
  </si>
  <si>
    <t>김해시 내외중앙로 137, 4층 (내동 1131-4 휴앤락 4층)</t>
    <phoneticPr fontId="2" type="noConversion"/>
  </si>
  <si>
    <t>메가박스 양산</t>
    <phoneticPr fontId="2" type="noConversion"/>
  </si>
  <si>
    <t>함안군</t>
    <phoneticPr fontId="2" type="noConversion"/>
  </si>
  <si>
    <t>롯데시네마 거창</t>
    <phoneticPr fontId="2" type="noConversion"/>
  </si>
  <si>
    <t>롯데시네마 제주삼화지구</t>
    <phoneticPr fontId="2" type="noConversion"/>
  </si>
  <si>
    <t>총계</t>
    <phoneticPr fontId="3" type="noConversion"/>
  </si>
  <si>
    <t>씨네큐 보은</t>
    <phoneticPr fontId="22" type="noConversion"/>
  </si>
  <si>
    <t>행정구역별 정렬</t>
    <phoneticPr fontId="2" type="noConversion"/>
  </si>
  <si>
    <t>대기업 
운영 여부</t>
    <phoneticPr fontId="2" type="noConversion"/>
  </si>
  <si>
    <t>독립예술영화
전용관 수</t>
    <phoneticPr fontId="2" type="noConversion"/>
  </si>
  <si>
    <t>독립예술영화전용관명</t>
    <phoneticPr fontId="2" type="noConversion"/>
  </si>
  <si>
    <t>전화번호</t>
    <phoneticPr fontId="3" type="noConversion"/>
  </si>
  <si>
    <t>도봉구</t>
    <phoneticPr fontId="2" type="noConversion"/>
  </si>
  <si>
    <t>도봉구 도봉로 684, 4~8층</t>
    <phoneticPr fontId="2" type="noConversion"/>
  </si>
  <si>
    <t>4DX</t>
    <phoneticPr fontId="2" type="noConversion"/>
  </si>
  <si>
    <t>부산시</t>
    <phoneticPr fontId="2" type="noConversion"/>
  </si>
  <si>
    <t>강서구</t>
    <phoneticPr fontId="2" type="noConversion"/>
  </si>
  <si>
    <t>위탁</t>
    <phoneticPr fontId="2" type="noConversion"/>
  </si>
  <si>
    <t>인천시</t>
    <phoneticPr fontId="2" type="noConversion"/>
  </si>
  <si>
    <t>롯데시네마 부평갈산</t>
    <phoneticPr fontId="2" type="noConversion"/>
  </si>
  <si>
    <t>부평구 주부토로 236, 3층 (갈산동)</t>
    <phoneticPr fontId="2" type="noConversion"/>
  </si>
  <si>
    <t>Cine comfort (2)</t>
    <phoneticPr fontId="2" type="noConversion"/>
  </si>
  <si>
    <t>울산시</t>
    <phoneticPr fontId="2" type="noConversion"/>
  </si>
  <si>
    <t>N</t>
    <phoneticPr fontId="2" type="noConversion"/>
  </si>
  <si>
    <t>경기도</t>
    <phoneticPr fontId="2" type="noConversion"/>
  </si>
  <si>
    <t>평택시</t>
    <phoneticPr fontId="2" type="noConversion"/>
  </si>
  <si>
    <t>~</t>
    <phoneticPr fontId="2" type="noConversion"/>
  </si>
  <si>
    <t>Comfort(7)</t>
    <phoneticPr fontId="2" type="noConversion"/>
  </si>
  <si>
    <t>Y</t>
    <phoneticPr fontId="2" type="noConversion"/>
  </si>
  <si>
    <t>02-323-1718</t>
  </si>
  <si>
    <t>인제군 북면 금강로 11번길 19, 2층</t>
    <phoneticPr fontId="2" type="noConversion"/>
  </si>
  <si>
    <t>달홀영화관</t>
    <phoneticPr fontId="2" type="noConversion"/>
  </si>
  <si>
    <t>구분</t>
    <phoneticPr fontId="2" type="noConversion"/>
  </si>
  <si>
    <t>행정구역별 정렬</t>
    <phoneticPr fontId="2" type="noConversion"/>
  </si>
  <si>
    <t>특별관명</t>
    <phoneticPr fontId="2" type="noConversion"/>
  </si>
  <si>
    <t>전화번호</t>
    <phoneticPr fontId="3" type="noConversion"/>
  </si>
  <si>
    <t>대전아트시네마</t>
    <phoneticPr fontId="2" type="noConversion"/>
  </si>
  <si>
    <t>동구 중앙로 192-1, (중동) 3층</t>
    <phoneticPr fontId="2" type="noConversion"/>
  </si>
  <si>
    <t>N</t>
    <phoneticPr fontId="2" type="noConversion"/>
  </si>
  <si>
    <t>042-472-1138</t>
    <phoneticPr fontId="2" type="noConversion"/>
  </si>
  <si>
    <t xml:space="preserve">22.5.3. 좌석수 변경/ 22.12.22.~ 휴관, 재개관일 미정 </t>
    <phoneticPr fontId="2" type="noConversion"/>
  </si>
  <si>
    <t>휴관</t>
    <phoneticPr fontId="2" type="noConversion"/>
  </si>
  <si>
    <t>명보아트시네마</t>
    <phoneticPr fontId="3" type="noConversion"/>
  </si>
  <si>
    <t>02-2273-5345</t>
    <phoneticPr fontId="3" type="noConversion"/>
  </si>
  <si>
    <t>16.03.10.~ 인터파크 발권시작 / 20.12. 25.상영내역 없음. 휴관 처리 / 21.1.7. 발권재개/ 21.12.31. 최종발권. 휴관처리</t>
    <phoneticPr fontId="3" type="noConversion"/>
  </si>
  <si>
    <t>동작구</t>
    <phoneticPr fontId="2" type="noConversion"/>
  </si>
  <si>
    <t>롯데시네마 신대방</t>
    <phoneticPr fontId="2" type="noConversion"/>
  </si>
  <si>
    <t>동작구 시흥대로 606, B2F (신대방동)</t>
    <phoneticPr fontId="2" type="noConversion"/>
  </si>
  <si>
    <t xml:space="preserve">22.8.9. ~폭우침수로 영업중단 </t>
    <phoneticPr fontId="2" type="noConversion"/>
  </si>
  <si>
    <t>기장군</t>
    <phoneticPr fontId="2" type="noConversion"/>
  </si>
  <si>
    <t>모노플렉스 오시리아</t>
    <phoneticPr fontId="2" type="noConversion"/>
  </si>
  <si>
    <t>기장군 기장읍 동부산관광로 34 오시리아테마파크 1층 103-1호</t>
    <phoneticPr fontId="2" type="noConversion"/>
  </si>
  <si>
    <t>051-926-0926</t>
    <phoneticPr fontId="2" type="noConversion"/>
  </si>
  <si>
    <t>중구 동성로 69 (동성로1가 22)</t>
    <phoneticPr fontId="3" type="noConversion"/>
  </si>
  <si>
    <t>053-425-2845</t>
    <phoneticPr fontId="2" type="noConversion"/>
  </si>
  <si>
    <t>21.12.31.까지 영업. 22.1.1. ~ 휴관(건물 계약 해지)</t>
    <phoneticPr fontId="2" type="noConversion"/>
  </si>
  <si>
    <t>미추홀구 미추홀대로 736 (주안동 9층 18호)</t>
    <phoneticPr fontId="2" type="noConversion"/>
  </si>
  <si>
    <t xml:space="preserve">20.09.01.~ 휴관/ 22.3.14. 리뉴얼 휴관 중 </t>
    <phoneticPr fontId="2" type="noConversion"/>
  </si>
  <si>
    <t>ScreenX, Gold Class</t>
    <phoneticPr fontId="2" type="noConversion"/>
  </si>
  <si>
    <t xml:space="preserve">22.8.22. 1~6관 좌석수 변경/ 22.8.8. ~리뉴얼 휴관중 </t>
    <phoneticPr fontId="2" type="noConversion"/>
  </si>
  <si>
    <t>AWC 하남미사</t>
    <phoneticPr fontId="2" type="noConversion"/>
  </si>
  <si>
    <t>하남시 미사강변동로84번길 39 에코타워 201호</t>
    <phoneticPr fontId="2" type="noConversion"/>
  </si>
  <si>
    <t>031-795-8411</t>
    <phoneticPr fontId="2" type="noConversion"/>
  </si>
  <si>
    <t>www.awclub.co.kr</t>
    <phoneticPr fontId="2" type="noConversion"/>
  </si>
  <si>
    <t xml:space="preserve">22.12.30. 휴관 후 폐업 처리 예정 / 23.7. 동대문구 재오픈 예정 </t>
    <phoneticPr fontId="2" type="noConversion"/>
  </si>
  <si>
    <t xml:space="preserve">22.3.21.~리뉴얼 휴점 중 </t>
    <phoneticPr fontId="2" type="noConversion"/>
  </si>
  <si>
    <t>22.11.30. ~ 내부수리 중 임시휴관</t>
    <phoneticPr fontId="2" type="noConversion"/>
  </si>
  <si>
    <t>OLC장수한누리극장</t>
    <phoneticPr fontId="3" type="noConversion"/>
  </si>
  <si>
    <t>장수군 장수읍 한누리로 393 (두산리 472)</t>
    <phoneticPr fontId="3" type="noConversion"/>
  </si>
  <si>
    <t>063-352-7050</t>
    <phoneticPr fontId="2" type="noConversion"/>
  </si>
  <si>
    <t xml:space="preserve">20.06.28. 휴관 / 21.1.22. 영업재개/ 22.12.4.~ 휴관중 </t>
    <phoneticPr fontId="2" type="noConversion"/>
  </si>
  <si>
    <t>목포시</t>
    <phoneticPr fontId="2" type="noConversion"/>
  </si>
  <si>
    <t>OLC목포극장 1926</t>
    <phoneticPr fontId="2" type="noConversion"/>
  </si>
  <si>
    <t>목포시 영산로59번길 30</t>
    <phoneticPr fontId="2" type="noConversion"/>
  </si>
  <si>
    <t>061-242-0705</t>
    <phoneticPr fontId="2" type="noConversion"/>
  </si>
  <si>
    <t>폐관</t>
    <phoneticPr fontId="2" type="noConversion"/>
  </si>
  <si>
    <t>20.09.01.~ 휴관/ 22.1.13 영업종료</t>
    <phoneticPr fontId="2" type="noConversion"/>
  </si>
  <si>
    <t>당진시</t>
    <phoneticPr fontId="3" type="noConversion"/>
  </si>
  <si>
    <t xml:space="preserve">조이앤시네마 당진 </t>
    <phoneticPr fontId="3" type="noConversion"/>
  </si>
  <si>
    <t>당진시 당진중앙2로 191</t>
    <phoneticPr fontId="3" type="noConversion"/>
  </si>
  <si>
    <t>041-356-8300</t>
    <phoneticPr fontId="3" type="noConversion"/>
  </si>
  <si>
    <t>(구)키노키노/ 22.3.9. 최종발권, 22.10.4. 영업종료</t>
    <phoneticPr fontId="3" type="noConversion"/>
  </si>
  <si>
    <t>당진아트시네마</t>
    <phoneticPr fontId="3" type="noConversion"/>
  </si>
  <si>
    <t>당진시 당진중앙2로 191, 3층</t>
    <phoneticPr fontId="3" type="noConversion"/>
  </si>
  <si>
    <t xml:space="preserve">22.2.28. 최종발권 </t>
    <phoneticPr fontId="2" type="noConversion"/>
  </si>
  <si>
    <t>22.8.30. 영업종료</t>
    <phoneticPr fontId="2" type="noConversion"/>
  </si>
  <si>
    <t xml:space="preserve">(구)메가박스 경산/ 22.5.31. 영업종료 </t>
    <phoneticPr fontId="2" type="noConversion"/>
  </si>
  <si>
    <t>14년 영업종료 후 17년 재개관/ 22.8.2. 영업종료</t>
    <phoneticPr fontId="2" type="noConversion"/>
  </si>
  <si>
    <t>부분휴관/ 부분폐관</t>
    <phoneticPr fontId="2" type="noConversion"/>
  </si>
  <si>
    <t>부분폐관</t>
    <phoneticPr fontId="2" type="noConversion"/>
  </si>
  <si>
    <t>* 기준일(2022.12.31) 당시 휴관 또는 폐관극장임</t>
    <phoneticPr fontId="2" type="noConversion"/>
  </si>
  <si>
    <t xml:space="preserve">* 기준일 휴관이 확인되지 않은 경우는 조사 시점의 휴관여부로 대체함 </t>
    <phoneticPr fontId="2" type="noConversion"/>
  </si>
  <si>
    <t>MX</t>
    <phoneticPr fontId="2" type="noConversion"/>
  </si>
  <si>
    <t>~</t>
    <phoneticPr fontId="2" type="noConversion"/>
  </si>
  <si>
    <t>22.1.10. 일반관 전환</t>
    <phoneticPr fontId="2" type="noConversion"/>
  </si>
  <si>
    <t>22.1.10. 일반관 전환</t>
    <phoneticPr fontId="2" type="noConversion"/>
  </si>
  <si>
    <t>22.1.10. 일반관 전환</t>
    <phoneticPr fontId="2" type="noConversion"/>
  </si>
  <si>
    <t>22.1.10. 7관 아트하우스-&gt; 일반관 전환/ 22.7.17. 3,4관 영업종료, 폐관</t>
    <phoneticPr fontId="2" type="noConversion"/>
  </si>
  <si>
    <t>~</t>
    <phoneticPr fontId="2" type="noConversion"/>
  </si>
  <si>
    <t>(구)프리머스 소풍 / 22.1.10. 7관 아트하우스-&gt;일반관 전환</t>
    <phoneticPr fontId="2" type="noConversion"/>
  </si>
  <si>
    <t>22.1.10. 8관 아트하우스-&gt;일반관 전환</t>
    <phoneticPr fontId="2" type="noConversion"/>
  </si>
  <si>
    <t xml:space="preserve"> CGV 아트하우스</t>
    <phoneticPr fontId="2" type="noConversion"/>
  </si>
  <si>
    <t>CGV 아트하우스</t>
    <phoneticPr fontId="2" type="noConversion"/>
  </si>
  <si>
    <t xml:space="preserve">2022년 전국 극장 현황 </t>
    <phoneticPr fontId="2" type="noConversion"/>
  </si>
  <si>
    <t>* 개별극장이 4대 멀티플렉스 체인극장으로 전환시에는 폐관극장으로 간주함 (2022년은 해당사항 없음)</t>
    <phoneticPr fontId="3" type="noConversion"/>
  </si>
  <si>
    <t>* 인구 수는 2022년 12월 31일 기준 행정안전부 주민등록 인구통계(주민등록 인구 및 세대현황) 기준</t>
    <phoneticPr fontId="2" type="noConversion"/>
  </si>
  <si>
    <t>22.11.11 최종발권, 휴관처리</t>
    <phoneticPr fontId="2" type="noConversion"/>
  </si>
  <si>
    <t>4DX(ScreenX)</t>
    <phoneticPr fontId="2" type="noConversion"/>
  </si>
  <si>
    <t>IMAX, 4DX(SCREENX)</t>
    <phoneticPr fontId="2" type="noConversion"/>
  </si>
  <si>
    <t xml:space="preserve">(2022년도 브랜드 전환 극장: CGV대구이시아 -&gt; 씨네Q 대구이시아 / 롯데시네마 프리미엄진주 -&gt; 메가박스 진주(중안) / CGV목동 -&gt; 메가박스 더부티크 목동현대백화점 / 롯데시네마 사상 -&gt; 메가박스 사상 / 메가박스 대구(칠성로) -&gt; CGV대구) 
</t>
    <phoneticPr fontId="2" type="noConversion"/>
  </si>
  <si>
    <t>* 4대 멀티플렉스 내 상호변경은 폐관극장 또는 신규 개관극장에 포함하지 않음</t>
    <phoneticPr fontId="3" type="noConversion"/>
  </si>
  <si>
    <t>2021년
극장 수</t>
    <phoneticPr fontId="2" type="noConversion"/>
  </si>
  <si>
    <t>2021년 
스크린 수</t>
    <phoneticPr fontId="2" type="noConversion"/>
  </si>
  <si>
    <t>2021년
좌석 수</t>
    <phoneticPr fontId="2" type="noConversion"/>
  </si>
  <si>
    <t>2022년 
극장 수</t>
    <phoneticPr fontId="2" type="noConversion"/>
  </si>
  <si>
    <t>2022년 
스크린 수</t>
    <phoneticPr fontId="2" type="noConversion"/>
  </si>
  <si>
    <t xml:space="preserve">2022년
좌석 수 </t>
    <phoneticPr fontId="2" type="noConversion"/>
  </si>
  <si>
    <t xml:space="preserve">* 기준일(2022.12.31) 당시 휴관 및 폐관극장은 제외함 </t>
    <phoneticPr fontId="3" type="noConversion"/>
  </si>
  <si>
    <t>2022년 전국 4대 멀티플렉스 체인 현황</t>
    <phoneticPr fontId="2" type="noConversion"/>
  </si>
  <si>
    <t xml:space="preserve">* 기준일(2022.12.31) 당시 휴관 및 폐관극장은 제외함 </t>
    <phoneticPr fontId="3" type="noConversion"/>
  </si>
  <si>
    <t>2022년 전국 멀티플렉스 현황</t>
    <phoneticPr fontId="3" type="noConversion"/>
  </si>
  <si>
    <t>2021년 
멀티플렉스
극장 수</t>
    <phoneticPr fontId="3" type="noConversion"/>
  </si>
  <si>
    <t>2021년 
멀티플렉스
스크린 수</t>
    <phoneticPr fontId="3" type="noConversion"/>
  </si>
  <si>
    <t>2022년 
멀티플렉스
극장 수</t>
    <phoneticPr fontId="3" type="noConversion"/>
  </si>
  <si>
    <t>2022년 
멀티플렉스
스크린 수</t>
    <phoneticPr fontId="3" type="noConversion"/>
  </si>
  <si>
    <t>2022년 
멀티플렉스
좌석 수</t>
    <phoneticPr fontId="3" type="noConversion"/>
  </si>
  <si>
    <t>Megabox Kids, Comfort(5)</t>
    <phoneticPr fontId="2" type="noConversion"/>
  </si>
  <si>
    <t>Dolby Cinema, Comfort(8), The Boutique Private1, The Boutique Private2, The Boutique Suite(3), The Boutique(2)</t>
    <phoneticPr fontId="2" type="noConversion"/>
  </si>
  <si>
    <t>IMAX, ScreenX, 4DX, Gold Class, Cine &amp; Living Room</t>
    <phoneticPr fontId="2" type="noConversion"/>
  </si>
  <si>
    <t>Tempur Cinema</t>
    <phoneticPr fontId="2" type="noConversion"/>
  </si>
  <si>
    <t xml:space="preserve">Private Box, Suite Cinema </t>
    <phoneticPr fontId="2" type="noConversion"/>
  </si>
  <si>
    <t xml:space="preserve">2022년 전국 행정구역(시군구)별 극장 현황 </t>
    <phoneticPr fontId="2" type="noConversion"/>
  </si>
  <si>
    <t>2021년
극장 수</t>
    <phoneticPr fontId="2" type="noConversion"/>
  </si>
  <si>
    <t xml:space="preserve">2021년
스크린 수 </t>
    <phoneticPr fontId="2" type="noConversion"/>
  </si>
  <si>
    <t>2021년 
인구10만명당 스크린수</t>
    <phoneticPr fontId="2" type="noConversion"/>
  </si>
  <si>
    <t>2022년
인구 수</t>
    <phoneticPr fontId="2" type="noConversion"/>
  </si>
  <si>
    <t>2022년 
극장 수</t>
    <phoneticPr fontId="2" type="noConversion"/>
  </si>
  <si>
    <t>2022년 
스크린 수</t>
    <phoneticPr fontId="2" type="noConversion"/>
  </si>
  <si>
    <t xml:space="preserve">2022년
좌석 수 </t>
    <phoneticPr fontId="2" type="noConversion"/>
  </si>
  <si>
    <t>2022년
인구10만명당 스크린수</t>
    <phoneticPr fontId="2" type="noConversion"/>
  </si>
  <si>
    <t>The Boutique</t>
    <phoneticPr fontId="2" type="noConversion"/>
  </si>
  <si>
    <t>The Boutique Suite</t>
    <phoneticPr fontId="2" type="noConversion"/>
  </si>
  <si>
    <t>Comfort 1관</t>
    <phoneticPr fontId="2" type="noConversion"/>
  </si>
  <si>
    <t>Comfort 2관</t>
  </si>
  <si>
    <t>Comfort 8관</t>
  </si>
  <si>
    <t>Comfort 9관</t>
  </si>
  <si>
    <t>Comfort 3관</t>
    <phoneticPr fontId="2" type="noConversion"/>
  </si>
  <si>
    <t>Comfort 4관</t>
    <phoneticPr fontId="2" type="noConversion"/>
  </si>
  <si>
    <t>Comfort 7관(아지트)</t>
    <phoneticPr fontId="2" type="noConversion"/>
  </si>
  <si>
    <t>Comfort 1관</t>
    <phoneticPr fontId="2" type="noConversion"/>
  </si>
  <si>
    <t>Comfort 2관</t>
    <phoneticPr fontId="2" type="noConversion"/>
  </si>
  <si>
    <t>Dolby Cinema</t>
    <phoneticPr fontId="2" type="noConversion"/>
  </si>
  <si>
    <t>The Boutique 101호</t>
    <phoneticPr fontId="2" type="noConversion"/>
  </si>
  <si>
    <t>The Boutique 102호</t>
    <phoneticPr fontId="2" type="noConversion"/>
  </si>
  <si>
    <t>The Boutique 103호</t>
    <phoneticPr fontId="2" type="noConversion"/>
  </si>
  <si>
    <t>The Boutique 104호</t>
    <phoneticPr fontId="2" type="noConversion"/>
  </si>
  <si>
    <t>The Boutique 105호</t>
    <phoneticPr fontId="2" type="noConversion"/>
  </si>
  <si>
    <t>The Boutique 106호</t>
    <phoneticPr fontId="2" type="noConversion"/>
  </si>
  <si>
    <t>The Boutique Suite 107호</t>
    <phoneticPr fontId="2" type="noConversion"/>
  </si>
  <si>
    <t>The Boutique Suite 108호</t>
    <phoneticPr fontId="2" type="noConversion"/>
  </si>
  <si>
    <t>Comfort 2관</t>
    <phoneticPr fontId="2" type="noConversion"/>
  </si>
  <si>
    <t>Comfort 3관</t>
    <phoneticPr fontId="2" type="noConversion"/>
  </si>
  <si>
    <t>Comfort 4관</t>
    <phoneticPr fontId="2" type="noConversion"/>
  </si>
  <si>
    <t>Comfort 5관</t>
    <phoneticPr fontId="2" type="noConversion"/>
  </si>
  <si>
    <t>Comfort 6관</t>
    <phoneticPr fontId="2" type="noConversion"/>
  </si>
  <si>
    <t>Comfort 7관</t>
    <phoneticPr fontId="2" type="noConversion"/>
  </si>
  <si>
    <t>Comfort 03관</t>
    <phoneticPr fontId="2" type="noConversion"/>
  </si>
  <si>
    <t>04관(Cine Comfort)</t>
    <phoneticPr fontId="2" type="noConversion"/>
  </si>
  <si>
    <t>01관(4DX관)</t>
    <phoneticPr fontId="2" type="noConversion"/>
  </si>
  <si>
    <t>ScreenX관</t>
    <phoneticPr fontId="2" type="noConversion"/>
  </si>
  <si>
    <t>MX</t>
    <phoneticPr fontId="2" type="noConversion"/>
  </si>
  <si>
    <t>ScreenX</t>
    <phoneticPr fontId="2" type="noConversion"/>
  </si>
  <si>
    <t>MX, Comfort</t>
    <phoneticPr fontId="2" type="noConversion"/>
  </si>
  <si>
    <t>MX, Puppy Cinema(2)</t>
    <phoneticPr fontId="2" type="noConversion"/>
  </si>
  <si>
    <t>MX</t>
    <phoneticPr fontId="2" type="noConversion"/>
  </si>
  <si>
    <t>22.5.23. MX관-&gt;예술영화전용관 등록/ 22.8.1. 2,6관 Comfort관 등록</t>
    <phoneticPr fontId="2" type="noConversion"/>
  </si>
  <si>
    <t xml:space="preserve">22.6.10. STARIUM-&gt; ScreenX 변경 </t>
    <phoneticPr fontId="2" type="noConversion"/>
  </si>
  <si>
    <t>(구)메가박스 대구(칠성로) 22.4.20. 영업종료 / 22.12.30. 4개관, 23.1.4. 4개관 실제영업/ 23년 2개관 추가오픈 예정</t>
    <phoneticPr fontId="2" type="noConversion"/>
  </si>
  <si>
    <t>21.1.20. 직영-&gt; 위탁 전환/ 7,8,9관 폐관/ 아르떼클래식 예술영화전용관 해제 / 리뉴얼로 Cine Comfort 5개</t>
    <phoneticPr fontId="2" type="noConversion"/>
  </si>
  <si>
    <t xml:space="preserve">CGV남주안 </t>
    <phoneticPr fontId="2" type="noConversion"/>
  </si>
  <si>
    <t>CGV오리</t>
    <phoneticPr fontId="2" type="noConversion"/>
  </si>
  <si>
    <t>CGV죽전</t>
    <phoneticPr fontId="2" type="noConversion"/>
  </si>
  <si>
    <t>CGV인천공항</t>
    <phoneticPr fontId="2" type="noConversion"/>
  </si>
  <si>
    <t>CGV포항</t>
    <phoneticPr fontId="2" type="noConversion"/>
  </si>
  <si>
    <t xml:space="preserve">CGV통영 </t>
    <phoneticPr fontId="2" type="noConversion"/>
  </si>
  <si>
    <t>CGV방학</t>
    <phoneticPr fontId="2" type="noConversion"/>
  </si>
  <si>
    <t>CGV부산명지</t>
    <phoneticPr fontId="2" type="noConversion"/>
  </si>
  <si>
    <t>CGV울산동구</t>
    <phoneticPr fontId="2" type="noConversion"/>
  </si>
  <si>
    <t xml:space="preserve">CGV광명역 </t>
    <phoneticPr fontId="2" type="noConversion"/>
  </si>
  <si>
    <t>CGV평택고덕</t>
    <phoneticPr fontId="2" type="noConversion"/>
  </si>
  <si>
    <t>CGV다산</t>
    <phoneticPr fontId="2" type="noConversion"/>
  </si>
  <si>
    <t>CGV원통</t>
    <phoneticPr fontId="2" type="noConversion"/>
  </si>
  <si>
    <t>CGV제천</t>
    <phoneticPr fontId="2" type="noConversion"/>
  </si>
  <si>
    <t>CGV대학로</t>
    <phoneticPr fontId="2" type="noConversion"/>
  </si>
  <si>
    <t>CGV피카디리1958</t>
    <phoneticPr fontId="2" type="noConversion"/>
  </si>
  <si>
    <t>CGV피카디리1958</t>
    <phoneticPr fontId="2" type="noConversion"/>
  </si>
  <si>
    <t>CGV명동</t>
    <phoneticPr fontId="2" type="noConversion"/>
  </si>
  <si>
    <t>CGV동대문</t>
    <phoneticPr fontId="2" type="noConversion"/>
  </si>
  <si>
    <t>CGV명동역 씨네라이브러리</t>
    <phoneticPr fontId="2" type="noConversion"/>
  </si>
  <si>
    <t>CGV용산아이파크몰</t>
    <phoneticPr fontId="2" type="noConversion"/>
  </si>
  <si>
    <t>CGV용산아이파크몰_Cine de Chef 용산</t>
    <phoneticPr fontId="2" type="noConversion"/>
  </si>
  <si>
    <t>CGV왕십리</t>
    <phoneticPr fontId="2" type="noConversion"/>
  </si>
  <si>
    <t>CGV강변</t>
    <phoneticPr fontId="2" type="noConversion"/>
  </si>
  <si>
    <t>CGV건대입구</t>
    <phoneticPr fontId="2" type="noConversion"/>
  </si>
  <si>
    <t>CGV상봉</t>
    <phoneticPr fontId="2" type="noConversion"/>
  </si>
  <si>
    <t>CGV성신여대입구</t>
    <phoneticPr fontId="2" type="noConversion"/>
  </si>
  <si>
    <t>CGV미아</t>
    <phoneticPr fontId="2" type="noConversion"/>
  </si>
  <si>
    <t>CGV수유</t>
    <phoneticPr fontId="2" type="noConversion"/>
  </si>
  <si>
    <t>CGV중계</t>
    <phoneticPr fontId="2" type="noConversion"/>
  </si>
  <si>
    <t>CGV하계</t>
    <phoneticPr fontId="2" type="noConversion"/>
  </si>
  <si>
    <t>CGV불광</t>
    <phoneticPr fontId="2" type="noConversion"/>
  </si>
  <si>
    <t>CGV신촌아트레온</t>
    <phoneticPr fontId="2" type="noConversion"/>
  </si>
  <si>
    <t>CGV홍대</t>
    <phoneticPr fontId="2" type="noConversion"/>
  </si>
  <si>
    <t>CGV연남</t>
    <phoneticPr fontId="2" type="noConversion"/>
  </si>
  <si>
    <t>CGV등촌</t>
    <phoneticPr fontId="2" type="noConversion"/>
  </si>
  <si>
    <t>CGV구로</t>
    <phoneticPr fontId="2" type="noConversion"/>
  </si>
  <si>
    <t>CGV여의도</t>
    <phoneticPr fontId="2" type="noConversion"/>
  </si>
  <si>
    <t>CGV영등포</t>
    <phoneticPr fontId="2" type="noConversion"/>
  </si>
  <si>
    <t>CGV살롱 서초</t>
    <phoneticPr fontId="2" type="noConversion"/>
  </si>
  <si>
    <t>CGV강남</t>
    <phoneticPr fontId="2" type="noConversion"/>
  </si>
  <si>
    <t>CGV청담씨네시티</t>
    <phoneticPr fontId="2" type="noConversion"/>
  </si>
  <si>
    <t>CGV압구정</t>
    <phoneticPr fontId="2" type="noConversion"/>
  </si>
  <si>
    <t>CGV압구정_Cine de Chef 압구정</t>
    <phoneticPr fontId="2" type="noConversion"/>
  </si>
  <si>
    <t>CGV송파</t>
    <phoneticPr fontId="2" type="noConversion"/>
  </si>
  <si>
    <t>CGV천호</t>
    <phoneticPr fontId="2" type="noConversion"/>
  </si>
  <si>
    <t>CGV서면</t>
    <phoneticPr fontId="2" type="noConversion"/>
  </si>
  <si>
    <t>CGV서면상상마당</t>
    <phoneticPr fontId="2" type="noConversion"/>
  </si>
  <si>
    <t>CGV서면삼정타워</t>
    <phoneticPr fontId="2" type="noConversion"/>
  </si>
  <si>
    <t>CGV동래</t>
    <phoneticPr fontId="2" type="noConversion"/>
  </si>
  <si>
    <t>CGV대연</t>
    <phoneticPr fontId="2" type="noConversion"/>
  </si>
  <si>
    <t>CGV화명</t>
    <phoneticPr fontId="2" type="noConversion"/>
  </si>
  <si>
    <t>CGV센텀시티</t>
    <phoneticPr fontId="2" type="noConversion"/>
  </si>
  <si>
    <t>CGV센텀시티_Cine de Chef 센텀</t>
    <phoneticPr fontId="2" type="noConversion"/>
  </si>
  <si>
    <t>CGV센텀시티_Cine de Chef 센텀</t>
    <phoneticPr fontId="2" type="noConversion"/>
  </si>
  <si>
    <t>CGV해운대</t>
    <phoneticPr fontId="2" type="noConversion"/>
  </si>
  <si>
    <t>CGV하단아트몰링</t>
    <phoneticPr fontId="2" type="noConversion"/>
  </si>
  <si>
    <t>CGV부산명지</t>
    <phoneticPr fontId="2" type="noConversion"/>
  </si>
  <si>
    <t>CGV아시아드</t>
    <phoneticPr fontId="2" type="noConversion"/>
  </si>
  <si>
    <t>CGV정관</t>
    <phoneticPr fontId="2" type="noConversion"/>
  </si>
  <si>
    <t>CGV대구현대</t>
    <phoneticPr fontId="2" type="noConversion"/>
  </si>
  <si>
    <t>CGV대구한일</t>
    <phoneticPr fontId="2" type="noConversion"/>
  </si>
  <si>
    <t>CGV대구아카데미</t>
    <phoneticPr fontId="2" type="noConversion"/>
  </si>
  <si>
    <t>CGV대구칠곡</t>
    <phoneticPr fontId="2" type="noConversion"/>
  </si>
  <si>
    <t>CGV대구연경</t>
    <phoneticPr fontId="2" type="noConversion"/>
  </si>
  <si>
    <t>CGV대구스타디움</t>
    <phoneticPr fontId="2" type="noConversion"/>
  </si>
  <si>
    <t>CGV대구수성</t>
    <phoneticPr fontId="2" type="noConversion"/>
  </si>
  <si>
    <t>CGV대구월성</t>
    <phoneticPr fontId="2" type="noConversion"/>
  </si>
  <si>
    <t>CGV인천학익</t>
    <phoneticPr fontId="2" type="noConversion"/>
  </si>
  <si>
    <t>CGV인천도화</t>
    <phoneticPr fontId="2" type="noConversion"/>
  </si>
  <si>
    <t>CGV주안역</t>
    <phoneticPr fontId="2" type="noConversion"/>
  </si>
  <si>
    <t>CGV연수역</t>
    <phoneticPr fontId="2" type="noConversion"/>
  </si>
  <si>
    <t>CGV인천연수</t>
    <phoneticPr fontId="2" type="noConversion"/>
  </si>
  <si>
    <t>CGV송도타임스페이스</t>
    <phoneticPr fontId="2" type="noConversion"/>
  </si>
  <si>
    <t>CGV인천논현</t>
    <phoneticPr fontId="2" type="noConversion"/>
  </si>
  <si>
    <t>CGV인천</t>
    <phoneticPr fontId="2" type="noConversion"/>
  </si>
  <si>
    <t>CGV부평</t>
    <phoneticPr fontId="2" type="noConversion"/>
  </si>
  <si>
    <t>CGV계양</t>
    <phoneticPr fontId="2" type="noConversion"/>
  </si>
  <si>
    <t>CGV청라</t>
    <phoneticPr fontId="2" type="noConversion"/>
  </si>
  <si>
    <t>CGV광주금남로</t>
    <phoneticPr fontId="2" type="noConversion"/>
  </si>
  <si>
    <t>CGV광주충장로</t>
    <phoneticPr fontId="2" type="noConversion"/>
  </si>
  <si>
    <t>CGV광주터미널</t>
    <phoneticPr fontId="2" type="noConversion"/>
  </si>
  <si>
    <t>CGV광주상무</t>
    <phoneticPr fontId="2" type="noConversion"/>
  </si>
  <si>
    <t>CGV광주용봉</t>
    <phoneticPr fontId="2" type="noConversion"/>
  </si>
  <si>
    <t>CGV광주하남</t>
    <phoneticPr fontId="2" type="noConversion"/>
  </si>
  <si>
    <t>CGV광주첨단</t>
    <phoneticPr fontId="2" type="noConversion"/>
  </si>
  <si>
    <t>CGV대전터미널</t>
    <phoneticPr fontId="2" type="noConversion"/>
  </si>
  <si>
    <t>CGV대전</t>
    <phoneticPr fontId="2" type="noConversion"/>
  </si>
  <si>
    <t>CGV대전가수원</t>
    <phoneticPr fontId="2" type="noConversion"/>
  </si>
  <si>
    <t>CGV대전탄방</t>
    <phoneticPr fontId="2" type="noConversion"/>
  </si>
  <si>
    <t>CGV유성노은</t>
    <phoneticPr fontId="2" type="noConversion"/>
  </si>
  <si>
    <t>CGV울산삼산</t>
    <phoneticPr fontId="2" type="noConversion"/>
  </si>
  <si>
    <t>CGV울산동구</t>
    <phoneticPr fontId="2" type="noConversion"/>
  </si>
  <si>
    <t>CGV대전가오</t>
    <phoneticPr fontId="2" type="noConversion"/>
  </si>
  <si>
    <t>CGV울산신천</t>
    <phoneticPr fontId="2" type="noConversion"/>
  </si>
  <si>
    <t>CGV울산진장</t>
    <phoneticPr fontId="2" type="noConversion"/>
  </si>
  <si>
    <t>CGV세종</t>
    <phoneticPr fontId="2" type="noConversion"/>
  </si>
  <si>
    <t>CGV광교</t>
    <phoneticPr fontId="2" type="noConversion"/>
  </si>
  <si>
    <t>CGV북수원</t>
    <phoneticPr fontId="2" type="noConversion"/>
  </si>
  <si>
    <t>CGV동수원</t>
    <phoneticPr fontId="2" type="noConversion"/>
  </si>
  <si>
    <t>CGV수원</t>
    <phoneticPr fontId="2" type="noConversion"/>
  </si>
  <si>
    <t>CGV서현</t>
    <phoneticPr fontId="2" type="noConversion"/>
  </si>
  <si>
    <t>CGV야탑</t>
    <phoneticPr fontId="2" type="noConversion"/>
  </si>
  <si>
    <t>CGV판교</t>
    <phoneticPr fontId="2" type="noConversion"/>
  </si>
  <si>
    <t>CGV성남모란</t>
    <phoneticPr fontId="2" type="noConversion"/>
  </si>
  <si>
    <t>CGV의정부태흥</t>
    <phoneticPr fontId="2" type="noConversion"/>
  </si>
  <si>
    <t>CGV의정부</t>
    <phoneticPr fontId="2" type="noConversion"/>
  </si>
  <si>
    <t>CGV평촌</t>
    <phoneticPr fontId="2" type="noConversion"/>
  </si>
  <si>
    <t>CGV범계</t>
    <phoneticPr fontId="2" type="noConversion"/>
  </si>
  <si>
    <t>CGV역곡</t>
    <phoneticPr fontId="2" type="noConversion"/>
  </si>
  <si>
    <t>CGV부천</t>
    <phoneticPr fontId="2" type="noConversion"/>
  </si>
  <si>
    <t>CGV부천역</t>
    <phoneticPr fontId="2" type="noConversion"/>
  </si>
  <si>
    <t>CGV소풍</t>
    <phoneticPr fontId="2" type="noConversion"/>
  </si>
  <si>
    <t>CGV부천옥길</t>
    <phoneticPr fontId="2" type="noConversion"/>
  </si>
  <si>
    <t>CGV광명역</t>
    <phoneticPr fontId="2" type="noConversion"/>
  </si>
  <si>
    <t>CGV평택고덕</t>
    <phoneticPr fontId="2" type="noConversion"/>
  </si>
  <si>
    <t>CGV평택소사</t>
    <phoneticPr fontId="2" type="noConversion"/>
  </si>
  <si>
    <t>CGV평택</t>
    <phoneticPr fontId="2" type="noConversion"/>
  </si>
  <si>
    <t>CGV안산</t>
    <phoneticPr fontId="2" type="noConversion"/>
  </si>
  <si>
    <t>CGV고양행신</t>
    <phoneticPr fontId="2" type="noConversion"/>
  </si>
  <si>
    <t>CGV화정</t>
    <phoneticPr fontId="2" type="noConversion"/>
  </si>
  <si>
    <t>CGV일산</t>
    <phoneticPr fontId="2" type="noConversion"/>
  </si>
  <si>
    <t>CGV구리</t>
    <phoneticPr fontId="2" type="noConversion"/>
  </si>
  <si>
    <t>CGV다산</t>
    <phoneticPr fontId="2" type="noConversion"/>
  </si>
  <si>
    <t>CGV오산중앙</t>
    <phoneticPr fontId="2" type="noConversion"/>
  </si>
  <si>
    <t>CGV오산</t>
    <phoneticPr fontId="2" type="noConversion"/>
  </si>
  <si>
    <t>CGV시흥</t>
    <phoneticPr fontId="2" type="noConversion"/>
  </si>
  <si>
    <t>CGV배곧</t>
    <phoneticPr fontId="2" type="noConversion"/>
  </si>
  <si>
    <t>CGV정왕</t>
    <phoneticPr fontId="2" type="noConversion"/>
  </si>
  <si>
    <t>CGV산본</t>
    <phoneticPr fontId="2" type="noConversion"/>
  </si>
  <si>
    <t>CGV하남미사</t>
    <phoneticPr fontId="2" type="noConversion"/>
  </si>
  <si>
    <t>CGV스타필드시티위례</t>
    <phoneticPr fontId="2" type="noConversion"/>
  </si>
  <si>
    <t>CGV동백</t>
    <phoneticPr fontId="2" type="noConversion"/>
  </si>
  <si>
    <t>CGV광교상현</t>
    <phoneticPr fontId="2" type="noConversion"/>
  </si>
  <si>
    <t>CGV용인</t>
    <phoneticPr fontId="2" type="noConversion"/>
  </si>
  <si>
    <t>CGV기흥</t>
    <phoneticPr fontId="2" type="noConversion"/>
  </si>
  <si>
    <t>CGV파주야당</t>
    <phoneticPr fontId="2" type="noConversion"/>
  </si>
  <si>
    <t>메가박스 파주운정</t>
    <phoneticPr fontId="2" type="noConversion"/>
  </si>
  <si>
    <t>CGV파주문산</t>
    <phoneticPr fontId="2" type="noConversion"/>
  </si>
  <si>
    <t>CGV이천</t>
    <phoneticPr fontId="2" type="noConversion"/>
  </si>
  <si>
    <t>CGV안성</t>
    <phoneticPr fontId="2" type="noConversion"/>
  </si>
  <si>
    <t>CGV김포한강</t>
    <phoneticPr fontId="2" type="noConversion"/>
  </si>
  <si>
    <t>CGV김포운양</t>
    <phoneticPr fontId="2" type="noConversion"/>
  </si>
  <si>
    <t>CGV김포</t>
    <phoneticPr fontId="2" type="noConversion"/>
  </si>
  <si>
    <t>CGV동탄호수공원</t>
    <phoneticPr fontId="2" type="noConversion"/>
  </si>
  <si>
    <t>CGV동탄역</t>
    <phoneticPr fontId="2" type="noConversion"/>
  </si>
  <si>
    <t>CGV동탄</t>
    <phoneticPr fontId="2" type="noConversion"/>
  </si>
  <si>
    <t>CGV화성봉담</t>
    <phoneticPr fontId="2" type="noConversion"/>
  </si>
  <si>
    <t>CGV경기광주</t>
    <phoneticPr fontId="2" type="noConversion"/>
  </si>
  <si>
    <t>CGV양주옥정</t>
    <phoneticPr fontId="2" type="noConversion"/>
  </si>
  <si>
    <t>CGV포천</t>
    <phoneticPr fontId="2" type="noConversion"/>
  </si>
  <si>
    <t>CGV춘천</t>
    <phoneticPr fontId="2" type="noConversion"/>
  </si>
  <si>
    <t>CGV원주</t>
    <phoneticPr fontId="2" type="noConversion"/>
  </si>
  <si>
    <t>CGV강릉</t>
    <phoneticPr fontId="2" type="noConversion"/>
  </si>
  <si>
    <t>CGV인제</t>
    <phoneticPr fontId="2" type="noConversion"/>
  </si>
  <si>
    <t>CGV청주성안길</t>
    <phoneticPr fontId="2" type="noConversion"/>
  </si>
  <si>
    <t>CGV청주(서문)</t>
    <phoneticPr fontId="2" type="noConversion"/>
  </si>
  <si>
    <t>CGV청주율량</t>
    <phoneticPr fontId="2" type="noConversion"/>
  </si>
  <si>
    <t>CGV청주터미널</t>
    <phoneticPr fontId="2" type="noConversion"/>
  </si>
  <si>
    <t>CGV청주지웰시티</t>
    <phoneticPr fontId="2" type="noConversion"/>
  </si>
  <si>
    <t>CGV충주교현</t>
    <phoneticPr fontId="2" type="noConversion"/>
  </si>
  <si>
    <t>CGV충북혁신</t>
    <phoneticPr fontId="2" type="noConversion"/>
  </si>
  <si>
    <t>CGV천안</t>
    <phoneticPr fontId="2" type="noConversion"/>
  </si>
  <si>
    <t>CGV천안터미널</t>
    <phoneticPr fontId="2" type="noConversion"/>
  </si>
  <si>
    <t>CGV천안펜타포트</t>
    <phoneticPr fontId="2" type="noConversion"/>
  </si>
  <si>
    <t>CGV천안시청</t>
    <phoneticPr fontId="2" type="noConversion"/>
  </si>
  <si>
    <t>CGV보령</t>
    <phoneticPr fontId="2" type="noConversion"/>
  </si>
  <si>
    <t>CGV서산</t>
    <phoneticPr fontId="2" type="noConversion"/>
  </si>
  <si>
    <t>CGV논산</t>
    <phoneticPr fontId="2" type="noConversion"/>
  </si>
  <si>
    <t>CGV당진</t>
    <phoneticPr fontId="2" type="noConversion"/>
  </si>
  <si>
    <t>CGV홍성</t>
    <phoneticPr fontId="2" type="noConversion"/>
  </si>
  <si>
    <t>CGV전주효자</t>
    <phoneticPr fontId="2" type="noConversion"/>
  </si>
  <si>
    <t>CGV전주고사</t>
    <phoneticPr fontId="2" type="noConversion"/>
  </si>
  <si>
    <t>CGV서전주</t>
    <phoneticPr fontId="2" type="noConversion"/>
  </si>
  <si>
    <t>CGV전주에코시티</t>
    <phoneticPr fontId="2" type="noConversion"/>
  </si>
  <si>
    <t>CGV군산</t>
    <phoneticPr fontId="2" type="noConversion"/>
  </si>
  <si>
    <t>CGV익산</t>
    <phoneticPr fontId="2" type="noConversion"/>
  </si>
  <si>
    <t>CGV정읍</t>
    <phoneticPr fontId="2" type="noConversion"/>
  </si>
  <si>
    <t>CGV목포</t>
    <phoneticPr fontId="2" type="noConversion"/>
  </si>
  <si>
    <t>CGV목포평화광장</t>
    <phoneticPr fontId="2" type="noConversion"/>
  </si>
  <si>
    <t>CGV여수웅천</t>
    <phoneticPr fontId="2" type="noConversion"/>
  </si>
  <si>
    <t>CGV순천</t>
    <phoneticPr fontId="2" type="noConversion"/>
  </si>
  <si>
    <t>CGV순천신대</t>
    <phoneticPr fontId="2" type="noConversion"/>
  </si>
  <si>
    <t>CGV나주</t>
    <phoneticPr fontId="2" type="noConversion"/>
  </si>
  <si>
    <t>CGV광양 엘에프스퀘어</t>
    <phoneticPr fontId="2" type="noConversion"/>
  </si>
  <si>
    <t>CGV광양</t>
    <phoneticPr fontId="2" type="noConversion"/>
  </si>
  <si>
    <t>CGV북포항</t>
    <phoneticPr fontId="2" type="noConversion"/>
  </si>
  <si>
    <t>CGV김천율곡</t>
    <phoneticPr fontId="2" type="noConversion"/>
  </si>
  <si>
    <t>CGV안동</t>
    <phoneticPr fontId="2" type="noConversion"/>
  </si>
  <si>
    <t>CGV구미</t>
    <phoneticPr fontId="2" type="noConversion"/>
  </si>
  <si>
    <t>CGV경산</t>
    <phoneticPr fontId="2" type="noConversion"/>
  </si>
  <si>
    <t>CGV마산</t>
    <phoneticPr fontId="2" type="noConversion"/>
  </si>
  <si>
    <t>CGV창원상남</t>
    <phoneticPr fontId="2" type="noConversion"/>
  </si>
  <si>
    <t>CGV창원더시티</t>
    <phoneticPr fontId="2" type="noConversion"/>
  </si>
  <si>
    <t>CGV창원</t>
    <phoneticPr fontId="2" type="noConversion"/>
  </si>
  <si>
    <t>CGV진주혁신</t>
    <phoneticPr fontId="2" type="noConversion"/>
  </si>
  <si>
    <t>CGV김해</t>
    <phoneticPr fontId="2" type="noConversion"/>
  </si>
  <si>
    <t>CGV김해장유</t>
    <phoneticPr fontId="2" type="noConversion"/>
  </si>
  <si>
    <t>CGV김해율하</t>
    <phoneticPr fontId="2" type="noConversion"/>
  </si>
  <si>
    <t>CGV거제</t>
    <phoneticPr fontId="2" type="noConversion"/>
  </si>
  <si>
    <t>CGV양산삼호</t>
    <phoneticPr fontId="2" type="noConversion"/>
  </si>
  <si>
    <t xml:space="preserve">CGV고성 </t>
    <phoneticPr fontId="2" type="noConversion"/>
  </si>
  <si>
    <t>CGV제주노형</t>
    <phoneticPr fontId="2" type="noConversion"/>
  </si>
  <si>
    <t>CGV제주</t>
    <phoneticPr fontId="2" type="noConversion"/>
  </si>
  <si>
    <t>노원구 동일로 1414 롯데백화점 10층 (상계동 713)</t>
    <phoneticPr fontId="2" type="noConversion"/>
  </si>
  <si>
    <t>IMAX</t>
    <phoneticPr fontId="2" type="noConversion"/>
  </si>
  <si>
    <t>ScreenX(3)</t>
    <phoneticPr fontId="2" type="noConversion"/>
  </si>
  <si>
    <t>TEMPUR CINEMA, ScreenX(2), 4DX</t>
    <phoneticPr fontId="2" type="noConversion"/>
  </si>
  <si>
    <t>IMAX, ScreenX(2), 4DX, Gold Class, Cine de chef(2)</t>
    <phoneticPr fontId="2" type="noConversion"/>
  </si>
  <si>
    <t>MX, Kids(2), The Boutique, The Boutique Suite</t>
    <phoneticPr fontId="2" type="noConversion"/>
  </si>
  <si>
    <r>
      <t>The Boutique(6)</t>
    </r>
    <r>
      <rPr>
        <b/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3"/>
        <charset val="129"/>
        <scheme val="minor"/>
      </rPr>
      <t>The Boutique Suite(2)</t>
    </r>
    <phoneticPr fontId="2" type="noConversion"/>
  </si>
  <si>
    <t>~</t>
    <phoneticPr fontId="2" type="noConversion"/>
  </si>
  <si>
    <t>~</t>
    <phoneticPr fontId="2" type="noConversion"/>
  </si>
  <si>
    <t>Comfort(2)</t>
    <phoneticPr fontId="2" type="noConversion"/>
  </si>
  <si>
    <t>21.8.8. 최종발권. 22년 발권내역 없음. 휴관처리</t>
    <phoneticPr fontId="2" type="noConversion"/>
  </si>
  <si>
    <t>22.8.25. 11관 아르떼 클래식 운영종료, 폐관</t>
    <phoneticPr fontId="2" type="noConversion"/>
  </si>
  <si>
    <t>20.10.26. 휴관 후 21년 재개관/ 22.11.28. 7,8관 폐관</t>
    <phoneticPr fontId="2" type="noConversion"/>
  </si>
  <si>
    <t>* 롯데시네마 신데방은 신규개관극장이나 침수로 인해 휴관중임</t>
    <phoneticPr fontId="2" type="noConversion"/>
  </si>
  <si>
    <t>* 롯데시네마 신데방은 신규개관극장이나 침수로 인해 휴관중으로 신규개관극장에 포함하지 않음 (2022 휴관극장에 포함)</t>
    <phoneticPr fontId="2" type="noConversion"/>
  </si>
  <si>
    <t xml:space="preserve">20년 4관 생성 </t>
    <phoneticPr fontId="2" type="noConversion"/>
  </si>
  <si>
    <t xml:space="preserve"> Dolby ATMOS </t>
    <phoneticPr fontId="2" type="noConversion"/>
  </si>
  <si>
    <t>Dolby ATMOS</t>
    <phoneticPr fontId="2" type="noConversion"/>
  </si>
  <si>
    <t>Dolby ATMOS</t>
    <phoneticPr fontId="2" type="noConversion"/>
  </si>
  <si>
    <t>제주도</t>
    <phoneticPr fontId="2" type="noConversion"/>
  </si>
  <si>
    <t>제주시</t>
    <phoneticPr fontId="2" type="noConversion"/>
  </si>
  <si>
    <t>제주시 과원로 128, B1F (연동)</t>
    <phoneticPr fontId="2" type="noConversion"/>
  </si>
  <si>
    <t>총 스크린 수</t>
    <phoneticPr fontId="2" type="noConversion"/>
  </si>
  <si>
    <t>스크린명</t>
    <phoneticPr fontId="2" type="noConversion"/>
  </si>
  <si>
    <t>스크린별     좌석수</t>
    <phoneticPr fontId="2" type="noConversion"/>
  </si>
  <si>
    <t>* 집계 대상 멀티플렉스는 전국 멀티플렉스 체인(CJ CGV, 롯데시네마, 메가박스, 씨네Q 총 4개) 소속 극장 및 7개관 이상 극장(대한극장)임</t>
    <phoneticPr fontId="3" type="noConversion"/>
  </si>
  <si>
    <t>특별관 스크린 수</t>
    <phoneticPr fontId="2" type="noConversion"/>
  </si>
  <si>
    <t xml:space="preserve">* 특별관은 일반관과 달리 특수한 설비(스크린/영사기/스피커)나 관람환경(좌석/서비스 등)을 제공하는 상영관을 말함(세부사항은 '특별관 유형 분류 및 통계' 시트 참조) </t>
    <phoneticPr fontId="2" type="noConversion"/>
  </si>
  <si>
    <r>
      <t>특별관</t>
    </r>
    <r>
      <rPr>
        <b/>
        <sz val="16"/>
        <color rgb="FFFF0000"/>
        <rFont val="맑은 고딕"/>
        <family val="3"/>
        <charset val="129"/>
        <scheme val="minor"/>
      </rPr>
      <t xml:space="preserve"> </t>
    </r>
    <r>
      <rPr>
        <b/>
        <sz val="16"/>
        <color theme="1"/>
        <rFont val="맑은 고딕"/>
        <family val="3"/>
        <charset val="129"/>
        <scheme val="minor"/>
      </rPr>
      <t>유형 분류 및 현황</t>
    </r>
    <phoneticPr fontId="2" type="noConversion"/>
  </si>
  <si>
    <t>2022년 4대 멀티플렉스 체인별 특별관 현황(직영/위탁)</t>
    <phoneticPr fontId="2" type="noConversion"/>
  </si>
  <si>
    <t>2022년 지역(광역)별 특별관 분포</t>
    <phoneticPr fontId="2" type="noConversion"/>
  </si>
  <si>
    <t>특별관
극장 수</t>
    <phoneticPr fontId="2" type="noConversion"/>
  </si>
  <si>
    <t>특별관
스크린 수</t>
    <phoneticPr fontId="2" type="noConversion"/>
  </si>
  <si>
    <t>특별관 
비율(평균)</t>
    <phoneticPr fontId="2" type="noConversion"/>
  </si>
  <si>
    <t>* 특별관은 일반관과 달리 특수한 설비(스크린/영사기/스피커)나 관람환경(좌석/서비스 등)을 제공하는 상영관을 말함</t>
    <phoneticPr fontId="2" type="noConversion"/>
  </si>
  <si>
    <t>* 단, 해당 극장에서 특별관으로 특별히 지정하여 운영하는 경우에 한함(가령 6p레이저/SoundX의 경우 특수 설비에 해당하나, 특별관으로 지정되어 운영되지 않아 제외함)</t>
    <phoneticPr fontId="2" type="noConversion"/>
  </si>
  <si>
    <t>* 특별관 집계는 상영관 내 전좌석이 특수좌석인 경우에만 특별관으로 집계함(예: 일반관 내의 일부 커플석(Sweetbox석, Cine Couple석) 및 일부 Premium석은 특별관으로 집계하지 않음)</t>
    <phoneticPr fontId="2" type="noConversion"/>
  </si>
  <si>
    <t>* 특별관 극장 수는 특별관 스크린 1개 이상을 포함한 극장을 말함</t>
    <phoneticPr fontId="2" type="noConversion"/>
  </si>
  <si>
    <t>* 2019년까지 특별관으로 집계되어 온 CJ CGV Cine Kids관의 경우 2020년부터 일반관으로 전환되어 제외함</t>
    <phoneticPr fontId="2" type="noConversion"/>
  </si>
  <si>
    <t>특별관 스크린수</t>
    <phoneticPr fontId="2" type="noConversion"/>
  </si>
  <si>
    <t>특별관 여부</t>
    <phoneticPr fontId="2" type="noConversion"/>
  </si>
  <si>
    <t>특별관
스크린수</t>
    <phoneticPr fontId="2" type="noConversion"/>
  </si>
  <si>
    <t xml:space="preserve">특별관 스크린 수 </t>
    <phoneticPr fontId="2" type="noConversion"/>
  </si>
  <si>
    <t>* 2021년 특별관으로 집계된 롯데시네마 Cine Biz관은 특별관에서 제외함</t>
    <phoneticPr fontId="2" type="noConversion"/>
  </si>
  <si>
    <t>* '특별관명' 셀의 괄호 안 숫자는 해당 특별관의 갯수를 말함 (예: Cine Comfort(2) -&gt; Cine Comfort관이 2개 존재)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</si>
</sst>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0_ "/>
    <numFmt numFmtId="180" formatCode="0_);[Red]\(0\)"/>
    <numFmt numFmtId="181" formatCode="0.0"/>
    <numFmt numFmtId="182" formatCode="0.0_ 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63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</cellStyleXfs>
  <cellXfs count="6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9" fontId="7" fillId="0" borderId="1" xfId="0" applyNumberFormat="1" applyFont="1" applyFill="1" applyBorder="1" applyAlignment="1">
      <alignment vertical="center"/>
    </xf>
    <xf numFmtId="0" fontId="5" fillId="0" borderId="0" xfId="0" applyFont="1">
      <alignment vertical="center"/>
    </xf>
    <xf numFmtId="0" fontId="4" fillId="0" borderId="0" xfId="0" applyNumberFormat="1" applyFont="1" applyAlignment="1">
      <alignment vertical="center"/>
    </xf>
    <xf numFmtId="0" fontId="4" fillId="0" borderId="0" xfId="0" applyFont="1">
      <alignment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178" fontId="4" fillId="0" borderId="1" xfId="0" applyNumberFormat="1" applyFont="1" applyFill="1" applyBorder="1" applyAlignment="1">
      <alignment vertical="center"/>
    </xf>
    <xf numFmtId="178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Alignment="1">
      <alignment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14" fontId="4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>
      <alignment vertical="center"/>
    </xf>
    <xf numFmtId="0" fontId="4" fillId="0" borderId="0" xfId="0" applyFont="1" applyFill="1" applyAlignment="1"/>
    <xf numFmtId="0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vertical="center"/>
    </xf>
    <xf numFmtId="0" fontId="13" fillId="0" borderId="1" xfId="0" applyNumberFormat="1" applyFont="1" applyFill="1" applyBorder="1" applyAlignment="1">
      <alignment horizontal="left" vertical="center"/>
    </xf>
    <xf numFmtId="178" fontId="13" fillId="0" borderId="1" xfId="0" applyNumberFormat="1" applyFont="1" applyFill="1" applyBorder="1" applyAlignment="1">
      <alignment horizontal="center" vertical="center"/>
    </xf>
    <xf numFmtId="14" fontId="13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 wrapText="1"/>
    </xf>
    <xf numFmtId="0" fontId="13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49" fontId="13" fillId="0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vertical="center"/>
    </xf>
    <xf numFmtId="31" fontId="4" fillId="0" borderId="1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31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4" fillId="0" borderId="0" xfId="0" applyNumberFormat="1" applyFont="1" applyFill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11" fillId="3" borderId="2" xfId="0" applyNumberFormat="1" applyFont="1" applyFill="1" applyBorder="1" applyAlignment="1">
      <alignment horizontal="center" vertical="center"/>
    </xf>
    <xf numFmtId="0" fontId="11" fillId="3" borderId="2" xfId="0" applyNumberFormat="1" applyFont="1" applyFill="1" applyBorder="1" applyAlignment="1">
      <alignment horizontal="center" vertical="center" wrapText="1"/>
    </xf>
    <xf numFmtId="178" fontId="11" fillId="3" borderId="2" xfId="0" applyNumberFormat="1" applyFont="1" applyFill="1" applyBorder="1" applyAlignment="1">
      <alignment horizontal="center" vertical="center" wrapText="1"/>
    </xf>
    <xf numFmtId="178" fontId="11" fillId="3" borderId="2" xfId="0" applyNumberFormat="1" applyFont="1" applyFill="1" applyBorder="1" applyAlignment="1">
      <alignment horizontal="center" vertical="center"/>
    </xf>
    <xf numFmtId="0" fontId="11" fillId="3" borderId="15" xfId="0" applyNumberFormat="1" applyFont="1" applyFill="1" applyBorder="1" applyAlignment="1">
      <alignment horizontal="center" vertical="center" wrapText="1"/>
    </xf>
    <xf numFmtId="49" fontId="4" fillId="0" borderId="1" xfId="2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 vertical="center"/>
    </xf>
    <xf numFmtId="0" fontId="17" fillId="3" borderId="15" xfId="0" applyNumberFormat="1" applyFont="1" applyFill="1" applyBorder="1" applyAlignment="1">
      <alignment horizontal="center" vertical="center"/>
    </xf>
    <xf numFmtId="180" fontId="17" fillId="3" borderId="15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49" fontId="4" fillId="0" borderId="1" xfId="0" applyNumberFormat="1" applyFont="1" applyFill="1" applyBorder="1">
      <alignment vertical="center"/>
    </xf>
    <xf numFmtId="180" fontId="4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>
      <alignment vertical="center"/>
    </xf>
    <xf numFmtId="49" fontId="4" fillId="0" borderId="1" xfId="2" applyNumberFormat="1" applyFont="1" applyFill="1" applyBorder="1">
      <alignment vertical="center"/>
    </xf>
    <xf numFmtId="180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8" fontId="14" fillId="0" borderId="0" xfId="1" applyNumberFormat="1" applyFont="1" applyFill="1" applyBorder="1" applyAlignment="1">
      <alignment horizontal="center" vertical="center" wrapText="1"/>
    </xf>
    <xf numFmtId="178" fontId="14" fillId="0" borderId="0" xfId="1" applyNumberFormat="1" applyFont="1" applyBorder="1" applyAlignment="1">
      <alignment horizontal="center" vertical="center" wrapText="1"/>
    </xf>
    <xf numFmtId="9" fontId="9" fillId="0" borderId="0" xfId="3" applyFont="1" applyBorder="1" applyAlignment="1">
      <alignment horizontal="center" vertical="center" wrapText="1"/>
    </xf>
    <xf numFmtId="9" fontId="1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0" fillId="0" borderId="0" xfId="4" applyFont="1" applyFill="1" applyBorder="1" applyAlignment="1">
      <alignment horizontal="center" vertical="center" wrapText="1"/>
    </xf>
    <xf numFmtId="0" fontId="10" fillId="0" borderId="0" xfId="5" applyNumberFormat="1" applyFont="1" applyFill="1" applyBorder="1" applyAlignment="1">
      <alignment horizontal="center" vertical="center" wrapText="1"/>
    </xf>
    <xf numFmtId="0" fontId="7" fillId="0" borderId="0" xfId="5" applyNumberFormat="1" applyFont="1" applyFill="1" applyBorder="1" applyAlignment="1">
      <alignment horizontal="center" vertical="center" wrapText="1"/>
    </xf>
    <xf numFmtId="9" fontId="7" fillId="0" borderId="0" xfId="6" applyFont="1" applyFill="1" applyBorder="1" applyAlignment="1">
      <alignment horizontal="center" vertical="center" wrapText="1"/>
    </xf>
    <xf numFmtId="9" fontId="7" fillId="0" borderId="0" xfId="3" applyFont="1" applyFill="1" applyBorder="1" applyAlignment="1">
      <alignment horizontal="center" vertical="center" wrapText="1"/>
    </xf>
    <xf numFmtId="0" fontId="5" fillId="0" borderId="1" xfId="0" applyFont="1" applyFill="1" applyBorder="1">
      <alignment vertical="center"/>
    </xf>
    <xf numFmtId="180" fontId="5" fillId="0" borderId="1" xfId="0" applyNumberFormat="1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center" vertical="center"/>
    </xf>
    <xf numFmtId="180" fontId="4" fillId="0" borderId="1" xfId="2" applyNumberFormat="1" applyFont="1" applyFill="1" applyBorder="1" applyAlignment="1">
      <alignment horizontal="center" vertical="center"/>
    </xf>
    <xf numFmtId="180" fontId="13" fillId="0" borderId="1" xfId="0" applyNumberFormat="1" applyFont="1" applyFill="1" applyBorder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vertical="center"/>
    </xf>
    <xf numFmtId="49" fontId="4" fillId="0" borderId="3" xfId="0" applyNumberFormat="1" applyFont="1" applyFill="1" applyBorder="1" applyAlignment="1">
      <alignment vertical="center"/>
    </xf>
    <xf numFmtId="49" fontId="4" fillId="0" borderId="3" xfId="0" applyNumberFormat="1" applyFont="1" applyFill="1" applyBorder="1" applyAlignment="1">
      <alignment horizontal="center" vertical="center"/>
    </xf>
    <xf numFmtId="180" fontId="4" fillId="0" borderId="3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14" fontId="4" fillId="0" borderId="3" xfId="0" applyNumberFormat="1" applyFont="1" applyFill="1" applyBorder="1" applyAlignment="1">
      <alignment horizontal="center" vertical="center"/>
    </xf>
    <xf numFmtId="49" fontId="4" fillId="0" borderId="36" xfId="0" applyNumberFormat="1" applyFont="1" applyFill="1" applyBorder="1" applyAlignment="1">
      <alignment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6" xfId="4" applyFont="1" applyFill="1" applyBorder="1" applyAlignment="1">
      <alignment horizontal="center" vertical="center" wrapText="1"/>
    </xf>
    <xf numFmtId="0" fontId="7" fillId="4" borderId="14" xfId="4" applyFont="1" applyFill="1" applyBorder="1" applyAlignment="1">
      <alignment horizontal="center" vertical="center" wrapText="1"/>
    </xf>
    <xf numFmtId="0" fontId="7" fillId="4" borderId="11" xfId="4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0" xfId="0" applyNumberFormat="1" applyFont="1" applyAlignment="1">
      <alignment vertical="center"/>
    </xf>
    <xf numFmtId="0" fontId="7" fillId="0" borderId="0" xfId="0" applyNumberFormat="1" applyFont="1" applyFill="1" applyAlignment="1">
      <alignment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 wrapText="1"/>
    </xf>
    <xf numFmtId="31" fontId="7" fillId="0" borderId="1" xfId="0" applyNumberFormat="1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vertical="center" wrapText="1"/>
    </xf>
    <xf numFmtId="14" fontId="7" fillId="0" borderId="1" xfId="0" applyNumberFormat="1" applyFont="1" applyFill="1" applyBorder="1" applyAlignment="1">
      <alignment vertical="center"/>
    </xf>
    <xf numFmtId="31" fontId="7" fillId="0" borderId="1" xfId="0" applyNumberFormat="1" applyFont="1" applyFill="1" applyBorder="1" applyAlignment="1">
      <alignment vertical="center"/>
    </xf>
    <xf numFmtId="0" fontId="7" fillId="0" borderId="24" xfId="0" applyNumberFormat="1" applyFont="1" applyFill="1" applyBorder="1" applyAlignment="1">
      <alignment vertical="center"/>
    </xf>
    <xf numFmtId="14" fontId="7" fillId="0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78" fontId="4" fillId="0" borderId="1" xfId="1" applyNumberFormat="1" applyFont="1" applyFill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25" fillId="0" borderId="0" xfId="0" applyFont="1" applyFill="1">
      <alignment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7" fillId="3" borderId="2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178" fontId="7" fillId="0" borderId="1" xfId="1" applyNumberFormat="1" applyFont="1" applyFill="1" applyBorder="1" applyAlignment="1">
      <alignment horizontal="center" vertical="center"/>
    </xf>
    <xf numFmtId="178" fontId="11" fillId="3" borderId="2" xfId="1" applyNumberFormat="1" applyFont="1" applyFill="1" applyBorder="1" applyAlignment="1">
      <alignment horizontal="center" vertical="center"/>
    </xf>
    <xf numFmtId="178" fontId="4" fillId="0" borderId="0" xfId="1" applyNumberFormat="1" applyFont="1" applyAlignment="1">
      <alignment horizontal="center" vertical="center"/>
    </xf>
    <xf numFmtId="178" fontId="4" fillId="0" borderId="0" xfId="1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178" fontId="13" fillId="0" borderId="1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6" fillId="3" borderId="38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 wrapText="1"/>
    </xf>
    <xf numFmtId="0" fontId="26" fillId="4" borderId="40" xfId="0" applyFont="1" applyFill="1" applyBorder="1" applyAlignment="1">
      <alignment horizontal="center" vertical="center"/>
    </xf>
    <xf numFmtId="177" fontId="7" fillId="0" borderId="42" xfId="0" applyNumberFormat="1" applyFont="1" applyBorder="1" applyAlignment="1">
      <alignment horizontal="right" vertical="center"/>
    </xf>
    <xf numFmtId="178" fontId="7" fillId="0" borderId="43" xfId="0" applyNumberFormat="1" applyFont="1" applyBorder="1" applyAlignment="1">
      <alignment horizontal="right" vertical="center"/>
    </xf>
    <xf numFmtId="176" fontId="7" fillId="0" borderId="15" xfId="0" applyNumberFormat="1" applyFont="1" applyBorder="1" applyAlignment="1">
      <alignment horizontal="right" vertical="center"/>
    </xf>
    <xf numFmtId="0" fontId="26" fillId="4" borderId="44" xfId="0" applyFont="1" applyFill="1" applyBorder="1" applyAlignment="1">
      <alignment horizontal="center" vertical="center"/>
    </xf>
    <xf numFmtId="177" fontId="7" fillId="0" borderId="46" xfId="0" applyNumberFormat="1" applyFont="1" applyBorder="1" applyAlignment="1">
      <alignment horizontal="right" vertical="center"/>
    </xf>
    <xf numFmtId="176" fontId="7" fillId="0" borderId="3" xfId="0" applyNumberFormat="1" applyFont="1" applyBorder="1" applyAlignment="1">
      <alignment horizontal="right" vertical="center"/>
    </xf>
    <xf numFmtId="0" fontId="26" fillId="4" borderId="49" xfId="0" applyFont="1" applyFill="1" applyBorder="1" applyAlignment="1">
      <alignment horizontal="center" vertical="center"/>
    </xf>
    <xf numFmtId="177" fontId="7" fillId="0" borderId="7" xfId="0" applyNumberFormat="1" applyFont="1" applyBorder="1" applyAlignment="1">
      <alignment horizontal="right" vertical="center"/>
    </xf>
    <xf numFmtId="178" fontId="7" fillId="0" borderId="51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0" fontId="24" fillId="4" borderId="4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177" fontId="7" fillId="0" borderId="16" xfId="0" applyNumberFormat="1" applyFont="1" applyBorder="1" applyAlignment="1">
      <alignment horizontal="right" vertical="center"/>
    </xf>
    <xf numFmtId="0" fontId="4" fillId="4" borderId="53" xfId="0" applyFont="1" applyFill="1" applyBorder="1" applyAlignment="1">
      <alignment horizontal="center" vertical="center"/>
    </xf>
    <xf numFmtId="178" fontId="7" fillId="0" borderId="56" xfId="0" applyNumberFormat="1" applyFont="1" applyBorder="1" applyAlignment="1">
      <alignment horizontal="right" vertical="center"/>
    </xf>
    <xf numFmtId="0" fontId="4" fillId="4" borderId="58" xfId="0" applyFont="1" applyFill="1" applyBorder="1" applyAlignment="1">
      <alignment horizontal="center" vertical="center"/>
    </xf>
    <xf numFmtId="178" fontId="9" fillId="0" borderId="12" xfId="0" applyNumberFormat="1" applyFont="1" applyFill="1" applyBorder="1" applyAlignment="1">
      <alignment horizontal="right" vertical="center"/>
    </xf>
    <xf numFmtId="176" fontId="7" fillId="0" borderId="8" xfId="0" applyNumberFormat="1" applyFont="1" applyBorder="1" applyAlignment="1">
      <alignment horizontal="right" vertical="center"/>
    </xf>
    <xf numFmtId="177" fontId="7" fillId="0" borderId="61" xfId="0" applyNumberFormat="1" applyFont="1" applyBorder="1" applyAlignment="1">
      <alignment horizontal="right" vertical="center"/>
    </xf>
    <xf numFmtId="0" fontId="24" fillId="0" borderId="0" xfId="0" applyNumberFormat="1" applyFont="1" applyAlignment="1">
      <alignment vertical="center"/>
    </xf>
    <xf numFmtId="0" fontId="23" fillId="0" borderId="0" xfId="0" applyFont="1">
      <alignment vertical="center"/>
    </xf>
    <xf numFmtId="41" fontId="0" fillId="0" borderId="0" xfId="1" applyFont="1">
      <alignment vertical="center"/>
    </xf>
    <xf numFmtId="0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3" borderId="65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7" fillId="3" borderId="66" xfId="0" applyFont="1" applyFill="1" applyBorder="1" applyAlignment="1">
      <alignment horizontal="center" vertical="center" wrapText="1"/>
    </xf>
    <xf numFmtId="0" fontId="7" fillId="3" borderId="67" xfId="0" applyFont="1" applyFill="1" applyBorder="1" applyAlignment="1">
      <alignment horizontal="center" vertical="center" wrapText="1"/>
    </xf>
    <xf numFmtId="0" fontId="7" fillId="4" borderId="68" xfId="0" applyFont="1" applyFill="1" applyBorder="1" applyAlignment="1">
      <alignment horizontal="center" vertical="center"/>
    </xf>
    <xf numFmtId="176" fontId="7" fillId="0" borderId="70" xfId="0" applyNumberFormat="1" applyFont="1" applyBorder="1" applyAlignment="1">
      <alignment horizontal="right" vertical="center"/>
    </xf>
    <xf numFmtId="177" fontId="7" fillId="0" borderId="72" xfId="0" applyNumberFormat="1" applyFont="1" applyBorder="1" applyAlignment="1">
      <alignment horizontal="right" vertical="center"/>
    </xf>
    <xf numFmtId="0" fontId="7" fillId="4" borderId="73" xfId="0" applyFont="1" applyFill="1" applyBorder="1" applyAlignment="1">
      <alignment horizontal="center" vertical="center"/>
    </xf>
    <xf numFmtId="0" fontId="7" fillId="4" borderId="75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right" vertical="center"/>
    </xf>
    <xf numFmtId="0" fontId="7" fillId="4" borderId="76" xfId="0" applyFont="1" applyFill="1" applyBorder="1" applyAlignment="1">
      <alignment horizontal="center" vertical="center"/>
    </xf>
    <xf numFmtId="0" fontId="7" fillId="4" borderId="77" xfId="0" applyFont="1" applyFill="1" applyBorder="1" applyAlignment="1">
      <alignment horizontal="center" vertical="center"/>
    </xf>
    <xf numFmtId="176" fontId="7" fillId="0" borderId="20" xfId="0" applyNumberFormat="1" applyFont="1" applyBorder="1" applyAlignment="1">
      <alignment horizontal="right" vertical="center"/>
    </xf>
    <xf numFmtId="176" fontId="7" fillId="0" borderId="29" xfId="0" applyNumberFormat="1" applyFont="1" applyBorder="1" applyAlignment="1">
      <alignment horizontal="right" vertical="center"/>
    </xf>
    <xf numFmtId="177" fontId="7" fillId="0" borderId="35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9" fillId="4" borderId="73" xfId="0" applyFont="1" applyFill="1" applyBorder="1" applyAlignment="1">
      <alignment horizontal="center" vertical="center" wrapText="1"/>
    </xf>
    <xf numFmtId="41" fontId="7" fillId="0" borderId="104" xfId="1" applyFont="1" applyFill="1" applyBorder="1" applyAlignment="1">
      <alignment horizontal="right" vertical="center" wrapText="1"/>
    </xf>
    <xf numFmtId="41" fontId="7" fillId="0" borderId="105" xfId="1" applyFont="1" applyFill="1" applyBorder="1" applyAlignment="1">
      <alignment horizontal="right" vertical="center" wrapText="1"/>
    </xf>
    <xf numFmtId="41" fontId="7" fillId="0" borderId="106" xfId="1" applyFont="1" applyFill="1" applyBorder="1" applyAlignment="1">
      <alignment horizontal="right" vertical="center" wrapText="1"/>
    </xf>
    <xf numFmtId="0" fontId="9" fillId="4" borderId="75" xfId="0" applyFont="1" applyFill="1" applyBorder="1" applyAlignment="1">
      <alignment horizontal="center" vertical="center" wrapText="1"/>
    </xf>
    <xf numFmtId="0" fontId="9" fillId="4" borderId="107" xfId="0" applyFont="1" applyFill="1" applyBorder="1" applyAlignment="1">
      <alignment horizontal="center" vertical="center" wrapText="1"/>
    </xf>
    <xf numFmtId="41" fontId="7" fillId="0" borderId="88" xfId="1" applyFont="1" applyFill="1" applyBorder="1" applyAlignment="1">
      <alignment horizontal="right" vertical="center" wrapText="1"/>
    </xf>
    <xf numFmtId="41" fontId="7" fillId="0" borderId="89" xfId="1" applyFont="1" applyFill="1" applyBorder="1" applyAlignment="1">
      <alignment horizontal="right" vertical="center" wrapText="1"/>
    </xf>
    <xf numFmtId="41" fontId="7" fillId="0" borderId="111" xfId="1" applyFont="1" applyFill="1" applyBorder="1" applyAlignment="1">
      <alignment horizontal="right" vertical="center" wrapText="1"/>
    </xf>
    <xf numFmtId="0" fontId="9" fillId="4" borderId="112" xfId="0" applyFont="1" applyFill="1" applyBorder="1" applyAlignment="1">
      <alignment horizontal="center" vertical="center" wrapText="1"/>
    </xf>
    <xf numFmtId="41" fontId="7" fillId="0" borderId="116" xfId="1" applyFont="1" applyFill="1" applyBorder="1" applyAlignment="1">
      <alignment horizontal="right" vertical="center" wrapText="1"/>
    </xf>
    <xf numFmtId="41" fontId="7" fillId="0" borderId="117" xfId="1" applyFont="1" applyFill="1" applyBorder="1" applyAlignment="1">
      <alignment horizontal="right" vertical="center" wrapText="1"/>
    </xf>
    <xf numFmtId="41" fontId="7" fillId="0" borderId="118" xfId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4" fillId="3" borderId="3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4" fillId="3" borderId="119" xfId="0" applyFont="1" applyFill="1" applyBorder="1" applyAlignment="1">
      <alignment horizontal="center" vertical="center" wrapText="1"/>
    </xf>
    <xf numFmtId="0" fontId="27" fillId="3" borderId="121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/>
    <xf numFmtId="0" fontId="9" fillId="4" borderId="2" xfId="0" applyFont="1" applyFill="1" applyBorder="1" applyAlignment="1"/>
    <xf numFmtId="182" fontId="7" fillId="0" borderId="7" xfId="0" applyNumberFormat="1" applyFont="1" applyBorder="1" applyAlignment="1">
      <alignment horizontal="right" vertical="center" wrapText="1"/>
    </xf>
    <xf numFmtId="0" fontId="7" fillId="4" borderId="18" xfId="0" applyFont="1" applyFill="1" applyBorder="1" applyAlignment="1"/>
    <xf numFmtId="0" fontId="7" fillId="4" borderId="2" xfId="0" applyFont="1" applyFill="1" applyBorder="1" applyAlignment="1"/>
    <xf numFmtId="0" fontId="7" fillId="4" borderId="11" xfId="0" applyFont="1" applyFill="1" applyBorder="1" applyAlignment="1"/>
    <xf numFmtId="0" fontId="7" fillId="4" borderId="8" xfId="0" applyFont="1" applyFill="1" applyBorder="1" applyAlignment="1"/>
    <xf numFmtId="182" fontId="7" fillId="0" borderId="61" xfId="0" applyNumberFormat="1" applyFont="1" applyBorder="1" applyAlignment="1">
      <alignment horizontal="right" vertical="center" wrapText="1"/>
    </xf>
    <xf numFmtId="176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7" fontId="0" fillId="0" borderId="0" xfId="0" applyNumberFormat="1">
      <alignment vertical="center"/>
    </xf>
    <xf numFmtId="0" fontId="14" fillId="3" borderId="39" xfId="0" applyFont="1" applyFill="1" applyBorder="1" applyAlignment="1">
      <alignment horizontal="center" vertical="center" wrapText="1"/>
    </xf>
    <xf numFmtId="41" fontId="4" fillId="3" borderId="10" xfId="1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178" fontId="4" fillId="0" borderId="14" xfId="0" applyNumberFormat="1" applyFont="1" applyBorder="1" applyAlignment="1">
      <alignment horizontal="right" vertical="center"/>
    </xf>
    <xf numFmtId="178" fontId="4" fillId="0" borderId="41" xfId="1" applyNumberFormat="1" applyFont="1" applyBorder="1" applyAlignment="1">
      <alignment horizontal="right" vertical="center"/>
    </xf>
    <xf numFmtId="0" fontId="4" fillId="0" borderId="15" xfId="0" applyNumberFormat="1" applyFont="1" applyBorder="1" applyAlignment="1">
      <alignment horizontal="right" vertical="center"/>
    </xf>
    <xf numFmtId="177" fontId="4" fillId="0" borderId="42" xfId="0" applyNumberFormat="1" applyFont="1" applyBorder="1" applyAlignment="1">
      <alignment horizontal="right" vertical="center"/>
    </xf>
    <xf numFmtId="178" fontId="4" fillId="0" borderId="23" xfId="0" applyNumberFormat="1" applyFont="1" applyBorder="1" applyAlignment="1">
      <alignment horizontal="right" vertical="center"/>
    </xf>
    <xf numFmtId="178" fontId="4" fillId="0" borderId="45" xfId="1" applyNumberFormat="1" applyFont="1" applyBorder="1" applyAlignment="1">
      <alignment horizontal="right" vertical="center"/>
    </xf>
    <xf numFmtId="0" fontId="4" fillId="0" borderId="3" xfId="0" applyNumberFormat="1" applyFont="1" applyBorder="1" applyAlignment="1">
      <alignment horizontal="right" vertical="center"/>
    </xf>
    <xf numFmtId="177" fontId="4" fillId="0" borderId="46" xfId="0" applyNumberFormat="1" applyFont="1" applyBorder="1" applyAlignment="1">
      <alignment horizontal="right" vertical="center"/>
    </xf>
    <xf numFmtId="178" fontId="4" fillId="0" borderId="6" xfId="0" applyNumberFormat="1" applyFont="1" applyBorder="1" applyAlignment="1">
      <alignment horizontal="right" vertical="center"/>
    </xf>
    <xf numFmtId="178" fontId="4" fillId="0" borderId="50" xfId="1" applyNumberFormat="1" applyFont="1" applyBorder="1" applyAlignment="1">
      <alignment horizontal="right" vertical="center"/>
    </xf>
    <xf numFmtId="0" fontId="4" fillId="0" borderId="1" xfId="0" applyNumberFormat="1" applyFont="1" applyBorder="1" applyAlignment="1">
      <alignment horizontal="right" vertical="center"/>
    </xf>
    <xf numFmtId="177" fontId="4" fillId="0" borderId="7" xfId="0" applyNumberFormat="1" applyFont="1" applyBorder="1" applyAlignment="1">
      <alignment horizontal="right" vertical="center"/>
    </xf>
    <xf numFmtId="0" fontId="14" fillId="3" borderId="10" xfId="0" applyFont="1" applyFill="1" applyBorder="1" applyAlignment="1">
      <alignment horizontal="center" vertical="center" wrapText="1"/>
    </xf>
    <xf numFmtId="178" fontId="4" fillId="0" borderId="41" xfId="0" applyNumberFormat="1" applyFont="1" applyBorder="1" applyAlignment="1">
      <alignment horizontal="right" vertical="center"/>
    </xf>
    <xf numFmtId="178" fontId="4" fillId="0" borderId="45" xfId="0" applyNumberFormat="1" applyFont="1" applyBorder="1" applyAlignment="1">
      <alignment horizontal="right" vertical="center"/>
    </xf>
    <xf numFmtId="178" fontId="4" fillId="0" borderId="50" xfId="0" applyNumberFormat="1" applyFont="1" applyBorder="1" applyAlignment="1">
      <alignment horizontal="right" vertical="center"/>
    </xf>
    <xf numFmtId="177" fontId="4" fillId="0" borderId="16" xfId="0" applyNumberFormat="1" applyFont="1" applyBorder="1" applyAlignment="1">
      <alignment horizontal="right" vertical="center"/>
    </xf>
    <xf numFmtId="178" fontId="4" fillId="0" borderId="54" xfId="0" applyNumberFormat="1" applyFont="1" applyBorder="1" applyAlignment="1">
      <alignment horizontal="right" vertical="center"/>
    </xf>
    <xf numFmtId="178" fontId="4" fillId="0" borderId="54" xfId="1" applyNumberFormat="1" applyFont="1" applyBorder="1" applyAlignment="1">
      <alignment horizontal="right" vertical="center"/>
    </xf>
    <xf numFmtId="178" fontId="4" fillId="0" borderId="33" xfId="0" applyNumberFormat="1" applyFont="1" applyBorder="1" applyAlignment="1">
      <alignment horizontal="right" vertical="center"/>
    </xf>
    <xf numFmtId="178" fontId="4" fillId="0" borderId="55" xfId="0" applyNumberFormat="1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 vertical="center"/>
    </xf>
    <xf numFmtId="0" fontId="4" fillId="3" borderId="32" xfId="0" applyNumberFormat="1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right" vertical="center"/>
    </xf>
    <xf numFmtId="0" fontId="4" fillId="0" borderId="42" xfId="0" applyFont="1" applyFill="1" applyBorder="1" applyAlignment="1">
      <alignment horizontal="right" vertical="center"/>
    </xf>
    <xf numFmtId="0" fontId="4" fillId="0" borderId="31" xfId="0" applyFont="1" applyBorder="1" applyAlignment="1">
      <alignment horizontal="right" vertical="center"/>
    </xf>
    <xf numFmtId="0" fontId="4" fillId="0" borderId="47" xfId="0" applyFont="1" applyBorder="1" applyAlignment="1">
      <alignment horizontal="right" vertical="center"/>
    </xf>
    <xf numFmtId="0" fontId="4" fillId="0" borderId="48" xfId="0" applyFont="1" applyFill="1" applyBorder="1" applyAlignment="1">
      <alignment horizontal="right" vertical="center"/>
    </xf>
    <xf numFmtId="0" fontId="4" fillId="0" borderId="46" xfId="0" applyFont="1" applyBorder="1" applyAlignment="1">
      <alignment horizontal="right" vertical="center"/>
    </xf>
    <xf numFmtId="0" fontId="4" fillId="0" borderId="51" xfId="0" applyFont="1" applyBorder="1" applyAlignment="1">
      <alignment horizontal="right" vertical="center"/>
    </xf>
    <xf numFmtId="0" fontId="4" fillId="0" borderId="52" xfId="0" applyFont="1" applyFill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51" xfId="0" applyFont="1" applyFill="1" applyBorder="1" applyAlignment="1">
      <alignment horizontal="right" vertical="center"/>
    </xf>
    <xf numFmtId="0" fontId="4" fillId="0" borderId="43" xfId="0" applyFont="1" applyBorder="1" applyAlignment="1">
      <alignment horizontal="right" vertical="center"/>
    </xf>
    <xf numFmtId="176" fontId="4" fillId="0" borderId="54" xfId="0" applyNumberFormat="1" applyFont="1" applyBorder="1" applyAlignment="1">
      <alignment horizontal="right" vertical="center"/>
    </xf>
    <xf numFmtId="176" fontId="4" fillId="0" borderId="57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176" fontId="4" fillId="2" borderId="63" xfId="0" applyNumberFormat="1" applyFont="1" applyFill="1" applyBorder="1" applyAlignment="1">
      <alignment horizontal="right" vertical="center"/>
    </xf>
    <xf numFmtId="176" fontId="4" fillId="2" borderId="64" xfId="0" applyNumberFormat="1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176" fontId="4" fillId="2" borderId="6" xfId="0" applyNumberFormat="1" applyFont="1" applyFill="1" applyBorder="1" applyAlignment="1">
      <alignment horizontal="right" vertical="center"/>
    </xf>
    <xf numFmtId="176" fontId="4" fillId="0" borderId="6" xfId="0" applyNumberFormat="1" applyFont="1" applyBorder="1" applyAlignment="1">
      <alignment horizontal="right" vertical="center"/>
    </xf>
    <xf numFmtId="176" fontId="4" fillId="2" borderId="75" xfId="0" applyNumberFormat="1" applyFont="1" applyFill="1" applyBorder="1" applyAlignment="1">
      <alignment horizontal="right" vertical="center"/>
    </xf>
    <xf numFmtId="176" fontId="4" fillId="0" borderId="123" xfId="0" applyNumberFormat="1" applyFont="1" applyBorder="1" applyAlignment="1">
      <alignment horizontal="right" vertical="center"/>
    </xf>
    <xf numFmtId="181" fontId="4" fillId="2" borderId="6" xfId="0" applyNumberFormat="1" applyFont="1" applyFill="1" applyBorder="1" applyAlignment="1">
      <alignment horizontal="right" vertical="center" wrapText="1"/>
    </xf>
    <xf numFmtId="181" fontId="4" fillId="0" borderId="6" xfId="0" applyNumberFormat="1" applyFont="1" applyFill="1" applyBorder="1" applyAlignment="1">
      <alignment horizontal="right" vertical="center" wrapText="1"/>
    </xf>
    <xf numFmtId="181" fontId="4" fillId="0" borderId="123" xfId="0" applyNumberFormat="1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right" vertical="center"/>
    </xf>
    <xf numFmtId="0" fontId="4" fillId="0" borderId="1" xfId="0" quotePrefix="1" applyNumberFormat="1" applyFont="1" applyFill="1" applyBorder="1" applyAlignment="1">
      <alignment horizontal="right" vertical="center"/>
    </xf>
    <xf numFmtId="0" fontId="4" fillId="0" borderId="15" xfId="0" applyFont="1" applyFill="1" applyBorder="1" applyAlignment="1">
      <alignment horizontal="right" vertical="center"/>
    </xf>
    <xf numFmtId="0" fontId="4" fillId="0" borderId="1" xfId="5" applyNumberFormat="1" applyFont="1" applyFill="1" applyBorder="1" applyAlignment="1">
      <alignment horizontal="right" vertical="center" wrapText="1"/>
    </xf>
    <xf numFmtId="177" fontId="4" fillId="0" borderId="1" xfId="6" applyNumberFormat="1" applyFont="1" applyFill="1" applyBorder="1" applyAlignment="1">
      <alignment horizontal="right" vertical="center" wrapText="1"/>
    </xf>
    <xf numFmtId="177" fontId="4" fillId="0" borderId="7" xfId="6" applyNumberFormat="1" applyFont="1" applyFill="1" applyBorder="1" applyAlignment="1">
      <alignment horizontal="right" vertical="center" wrapText="1"/>
    </xf>
    <xf numFmtId="0" fontId="4" fillId="0" borderId="15" xfId="5" applyNumberFormat="1" applyFont="1" applyFill="1" applyBorder="1" applyAlignment="1">
      <alignment horizontal="right" vertical="center" wrapText="1"/>
    </xf>
    <xf numFmtId="177" fontId="4" fillId="0" borderId="2" xfId="6" applyNumberFormat="1" applyFont="1" applyFill="1" applyBorder="1" applyAlignment="1">
      <alignment horizontal="right" vertical="center" wrapText="1"/>
    </xf>
    <xf numFmtId="0" fontId="4" fillId="0" borderId="2" xfId="5" applyNumberFormat="1" applyFont="1" applyFill="1" applyBorder="1" applyAlignment="1">
      <alignment horizontal="right" vertical="center" wrapText="1"/>
    </xf>
    <xf numFmtId="177" fontId="4" fillId="0" borderId="31" xfId="6" applyNumberFormat="1" applyFont="1" applyFill="1" applyBorder="1" applyAlignment="1">
      <alignment horizontal="right" vertical="center" wrapText="1"/>
    </xf>
    <xf numFmtId="178" fontId="4" fillId="0" borderId="15" xfId="1" applyNumberFormat="1" applyFont="1" applyBorder="1" applyAlignment="1">
      <alignment horizontal="right" vertical="center" wrapText="1"/>
    </xf>
    <xf numFmtId="178" fontId="4" fillId="0" borderId="24" xfId="1" applyNumberFormat="1" applyFont="1" applyBorder="1" applyAlignment="1">
      <alignment horizontal="right" vertical="center" wrapText="1"/>
    </xf>
    <xf numFmtId="178" fontId="4" fillId="0" borderId="1" xfId="1" applyNumberFormat="1" applyFont="1" applyBorder="1" applyAlignment="1">
      <alignment horizontal="right" vertical="center" wrapText="1"/>
    </xf>
    <xf numFmtId="178" fontId="4" fillId="0" borderId="25" xfId="1" applyNumberFormat="1" applyFont="1" applyFill="1" applyBorder="1" applyAlignment="1">
      <alignment horizontal="right" vertical="center" wrapText="1"/>
    </xf>
    <xf numFmtId="178" fontId="4" fillId="0" borderId="20" xfId="1" applyNumberFormat="1" applyFont="1" applyBorder="1" applyAlignment="1">
      <alignment horizontal="right" vertical="center" wrapText="1"/>
    </xf>
    <xf numFmtId="178" fontId="4" fillId="0" borderId="15" xfId="1" applyNumberFormat="1" applyFont="1" applyFill="1" applyBorder="1" applyAlignment="1">
      <alignment horizontal="right" vertical="center" wrapText="1"/>
    </xf>
    <xf numFmtId="178" fontId="4" fillId="0" borderId="2" xfId="1" applyNumberFormat="1" applyFont="1" applyBorder="1" applyAlignment="1">
      <alignment horizontal="right" vertical="center" wrapText="1"/>
    </xf>
    <xf numFmtId="177" fontId="4" fillId="0" borderId="15" xfId="3" applyNumberFormat="1" applyFont="1" applyBorder="1" applyAlignment="1">
      <alignment horizontal="right" vertical="center" wrapText="1"/>
    </xf>
    <xf numFmtId="177" fontId="4" fillId="0" borderId="16" xfId="3" applyNumberFormat="1" applyFont="1" applyBorder="1" applyAlignment="1">
      <alignment horizontal="right" vertical="center" wrapText="1"/>
    </xf>
    <xf numFmtId="178" fontId="4" fillId="0" borderId="24" xfId="1" applyNumberFormat="1" applyFont="1" applyFill="1" applyBorder="1" applyAlignment="1">
      <alignment horizontal="right" vertical="center" wrapText="1"/>
    </xf>
    <xf numFmtId="178" fontId="4" fillId="0" borderId="3" xfId="1" applyNumberFormat="1" applyFont="1" applyBorder="1" applyAlignment="1">
      <alignment horizontal="right" vertical="center" wrapText="1"/>
    </xf>
    <xf numFmtId="177" fontId="4" fillId="0" borderId="3" xfId="3" applyNumberFormat="1" applyFont="1" applyBorder="1" applyAlignment="1">
      <alignment horizontal="right" vertical="center" wrapText="1"/>
    </xf>
    <xf numFmtId="177" fontId="4" fillId="0" borderId="34" xfId="3" applyNumberFormat="1" applyFont="1" applyBorder="1" applyAlignment="1">
      <alignment horizontal="right" vertical="center" wrapText="1"/>
    </xf>
    <xf numFmtId="178" fontId="4" fillId="0" borderId="1" xfId="1" applyNumberFormat="1" applyFont="1" applyFill="1" applyBorder="1" applyAlignment="1">
      <alignment horizontal="right" vertical="center" wrapText="1"/>
    </xf>
    <xf numFmtId="177" fontId="4" fillId="0" borderId="1" xfId="3" applyNumberFormat="1" applyFont="1" applyBorder="1" applyAlignment="1">
      <alignment horizontal="right" vertical="center" wrapText="1"/>
    </xf>
    <xf numFmtId="177" fontId="4" fillId="0" borderId="7" xfId="3" applyNumberFormat="1" applyFont="1" applyBorder="1" applyAlignment="1">
      <alignment horizontal="right" vertical="center" wrapText="1"/>
    </xf>
    <xf numFmtId="178" fontId="5" fillId="0" borderId="1" xfId="0" applyNumberFormat="1" applyFont="1" applyBorder="1" applyAlignment="1">
      <alignment horizontal="right" vertical="center"/>
    </xf>
    <xf numFmtId="177" fontId="5" fillId="0" borderId="7" xfId="0" applyNumberFormat="1" applyFont="1" applyBorder="1" applyAlignment="1">
      <alignment horizontal="right" vertical="center"/>
    </xf>
    <xf numFmtId="178" fontId="4" fillId="0" borderId="20" xfId="1" applyNumberFormat="1" applyFont="1" applyFill="1" applyBorder="1" applyAlignment="1">
      <alignment horizontal="right" vertical="center" wrapText="1"/>
    </xf>
    <xf numFmtId="177" fontId="4" fillId="0" borderId="30" xfId="3" applyNumberFormat="1" applyFont="1" applyBorder="1" applyAlignment="1">
      <alignment horizontal="right" vertical="center" wrapText="1"/>
    </xf>
    <xf numFmtId="0" fontId="7" fillId="0" borderId="0" xfId="0" applyNumberFormat="1" applyFont="1" applyFill="1" applyAlignment="1">
      <alignment horizontal="left" vertical="center"/>
    </xf>
    <xf numFmtId="0" fontId="4" fillId="3" borderId="120" xfId="0" applyFont="1" applyFill="1" applyBorder="1" applyAlignment="1">
      <alignment horizontal="center" vertical="center" wrapText="1"/>
    </xf>
    <xf numFmtId="181" fontId="4" fillId="0" borderId="1" xfId="0" applyNumberFormat="1" applyFont="1" applyFill="1" applyBorder="1" applyAlignment="1">
      <alignment horizontal="right" vertical="center" wrapText="1"/>
    </xf>
    <xf numFmtId="181" fontId="4" fillId="0" borderId="1" xfId="0" applyNumberFormat="1" applyFont="1" applyBorder="1" applyAlignment="1">
      <alignment horizontal="right" vertical="center" wrapText="1"/>
    </xf>
    <xf numFmtId="181" fontId="4" fillId="0" borderId="8" xfId="0" applyNumberFormat="1" applyFont="1" applyBorder="1" applyAlignment="1">
      <alignment horizontal="right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176" fontId="4" fillId="3" borderId="66" xfId="0" applyNumberFormat="1" applyFont="1" applyFill="1" applyBorder="1" applyAlignment="1">
      <alignment horizontal="center" vertical="center" wrapText="1"/>
    </xf>
    <xf numFmtId="176" fontId="14" fillId="3" borderId="21" xfId="0" applyNumberFormat="1" applyFont="1" applyFill="1" applyBorder="1" applyAlignment="1">
      <alignment horizontal="center" vertical="center" wrapText="1"/>
    </xf>
    <xf numFmtId="176" fontId="4" fillId="3" borderId="22" xfId="0" applyNumberFormat="1" applyFont="1" applyFill="1" applyBorder="1" applyAlignment="1">
      <alignment horizontal="center" vertical="center" wrapText="1"/>
    </xf>
    <xf numFmtId="177" fontId="4" fillId="3" borderId="67" xfId="0" applyNumberFormat="1" applyFont="1" applyFill="1" applyBorder="1" applyAlignment="1">
      <alignment horizontal="center" vertical="center" wrapText="1"/>
    </xf>
    <xf numFmtId="178" fontId="4" fillId="3" borderId="22" xfId="0" applyNumberFormat="1" applyFont="1" applyFill="1" applyBorder="1" applyAlignment="1">
      <alignment horizontal="center" vertical="center" wrapText="1"/>
    </xf>
    <xf numFmtId="178" fontId="4" fillId="3" borderId="66" xfId="0" applyNumberFormat="1" applyFont="1" applyFill="1" applyBorder="1" applyAlignment="1">
      <alignment horizontal="center" vertical="center" wrapText="1"/>
    </xf>
    <xf numFmtId="177" fontId="4" fillId="3" borderId="66" xfId="0" applyNumberFormat="1" applyFont="1" applyFill="1" applyBorder="1" applyAlignment="1">
      <alignment horizontal="center" vertical="center" wrapText="1"/>
    </xf>
    <xf numFmtId="0" fontId="4" fillId="3" borderId="81" xfId="0" applyFont="1" applyFill="1" applyBorder="1" applyAlignment="1">
      <alignment horizontal="center" vertical="center" wrapText="1"/>
    </xf>
    <xf numFmtId="0" fontId="7" fillId="4" borderId="74" xfId="0" applyFont="1" applyFill="1" applyBorder="1" applyAlignment="1"/>
    <xf numFmtId="0" fontId="9" fillId="4" borderId="3" xfId="0" applyFont="1" applyFill="1" applyBorder="1" applyAlignment="1"/>
    <xf numFmtId="176" fontId="14" fillId="2" borderId="74" xfId="0" applyNumberFormat="1" applyFont="1" applyFill="1" applyBorder="1" applyAlignment="1">
      <alignment horizontal="right" vertical="center"/>
    </xf>
    <xf numFmtId="176" fontId="14" fillId="2" borderId="73" xfId="0" applyNumberFormat="1" applyFont="1" applyFill="1" applyBorder="1" applyAlignment="1">
      <alignment horizontal="right" vertical="center"/>
    </xf>
    <xf numFmtId="181" fontId="14" fillId="2" borderId="74" xfId="0" applyNumberFormat="1" applyFont="1" applyFill="1" applyBorder="1" applyAlignment="1">
      <alignment horizontal="right" vertical="center" wrapText="1"/>
    </xf>
    <xf numFmtId="181" fontId="4" fillId="0" borderId="3" xfId="0" applyNumberFormat="1" applyFont="1" applyFill="1" applyBorder="1" applyAlignment="1">
      <alignment horizontal="right" vertical="center" wrapText="1"/>
    </xf>
    <xf numFmtId="182" fontId="7" fillId="0" borderId="46" xfId="0" applyNumberFormat="1" applyFont="1" applyBorder="1" applyAlignment="1">
      <alignment horizontal="right" vertical="center" wrapText="1"/>
    </xf>
    <xf numFmtId="178" fontId="4" fillId="0" borderId="3" xfId="1" applyNumberFormat="1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49" fontId="7" fillId="0" borderId="1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vertical="center"/>
    </xf>
    <xf numFmtId="178" fontId="28" fillId="2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7" fillId="7" borderId="1" xfId="0" applyNumberFormat="1" applyFont="1" applyFill="1" applyBorder="1" applyAlignment="1">
      <alignment vertical="center"/>
    </xf>
    <xf numFmtId="176" fontId="28" fillId="2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horizontal="center" vertical="center"/>
    </xf>
    <xf numFmtId="0" fontId="28" fillId="0" borderId="1" xfId="0" applyNumberFormat="1" applyFont="1" applyBorder="1" applyAlignment="1">
      <alignment horizontal="center" vertical="center"/>
    </xf>
    <xf numFmtId="0" fontId="22" fillId="0" borderId="1" xfId="0" applyNumberFormat="1" applyFont="1" applyBorder="1" applyAlignment="1">
      <alignment vertical="center"/>
    </xf>
    <xf numFmtId="0" fontId="22" fillId="0" borderId="1" xfId="0" applyNumberFormat="1" applyFont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178" fontId="4" fillId="0" borderId="43" xfId="0" applyNumberFormat="1" applyFont="1" applyBorder="1" applyAlignment="1">
      <alignment horizontal="right" vertical="center"/>
    </xf>
    <xf numFmtId="176" fontId="4" fillId="0" borderId="15" xfId="0" applyNumberFormat="1" applyFont="1" applyBorder="1" applyAlignment="1">
      <alignment horizontal="right" vertical="center"/>
    </xf>
    <xf numFmtId="178" fontId="4" fillId="0" borderId="47" xfId="0" applyNumberFormat="1" applyFont="1" applyBorder="1" applyAlignment="1">
      <alignment horizontal="right" vertical="center"/>
    </xf>
    <xf numFmtId="176" fontId="4" fillId="0" borderId="3" xfId="0" applyNumberFormat="1" applyFont="1" applyBorder="1" applyAlignment="1">
      <alignment horizontal="right" vertical="center"/>
    </xf>
    <xf numFmtId="178" fontId="4" fillId="0" borderId="5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178" fontId="14" fillId="2" borderId="12" xfId="0" applyNumberFormat="1" applyFont="1" applyFill="1" applyBorder="1" applyAlignment="1">
      <alignment horizontal="right" vertical="center"/>
    </xf>
    <xf numFmtId="178" fontId="14" fillId="0" borderId="12" xfId="0" applyNumberFormat="1" applyFont="1" applyFill="1" applyBorder="1" applyAlignment="1">
      <alignment horizontal="right" vertical="center"/>
    </xf>
    <xf numFmtId="0" fontId="4" fillId="0" borderId="8" xfId="0" applyNumberFormat="1" applyFont="1" applyBorder="1" applyAlignment="1">
      <alignment horizontal="right" vertical="center"/>
    </xf>
    <xf numFmtId="177" fontId="4" fillId="0" borderId="59" xfId="0" applyNumberFormat="1" applyFont="1" applyBorder="1" applyAlignment="1">
      <alignment horizontal="right" vertical="center"/>
    </xf>
    <xf numFmtId="178" fontId="14" fillId="2" borderId="60" xfId="0" applyNumberFormat="1" applyFont="1" applyFill="1" applyBorder="1" applyAlignment="1">
      <alignment horizontal="right" vertical="center"/>
    </xf>
    <xf numFmtId="0" fontId="4" fillId="0" borderId="98" xfId="0" applyFont="1" applyFill="1" applyBorder="1" applyAlignment="1">
      <alignment horizontal="right" vertical="center" wrapText="1"/>
    </xf>
    <xf numFmtId="176" fontId="4" fillId="0" borderId="99" xfId="0" applyNumberFormat="1" applyFont="1" applyFill="1" applyBorder="1" applyAlignment="1">
      <alignment horizontal="right" vertical="center" wrapText="1"/>
    </xf>
    <xf numFmtId="177" fontId="4" fillId="0" borderId="100" xfId="0" applyNumberFormat="1" applyFont="1" applyFill="1" applyBorder="1" applyAlignment="1">
      <alignment horizontal="right" vertical="center" wrapText="1"/>
    </xf>
    <xf numFmtId="176" fontId="4" fillId="0" borderId="98" xfId="0" applyNumberFormat="1" applyFont="1" applyFill="1" applyBorder="1" applyAlignment="1">
      <alignment horizontal="right" vertical="center" wrapText="1"/>
    </xf>
    <xf numFmtId="41" fontId="4" fillId="0" borderId="101" xfId="1" applyFont="1" applyFill="1" applyBorder="1" applyAlignment="1">
      <alignment horizontal="right" vertical="center" wrapText="1"/>
    </xf>
    <xf numFmtId="176" fontId="4" fillId="0" borderId="102" xfId="1" applyNumberFormat="1" applyFont="1" applyFill="1" applyBorder="1" applyAlignment="1">
      <alignment horizontal="right" vertical="center" wrapText="1"/>
    </xf>
    <xf numFmtId="177" fontId="4" fillId="0" borderId="103" xfId="0" applyNumberFormat="1" applyFont="1" applyFill="1" applyBorder="1" applyAlignment="1">
      <alignment horizontal="right" vertical="center" wrapText="1"/>
    </xf>
    <xf numFmtId="177" fontId="4" fillId="0" borderId="99" xfId="0" applyNumberFormat="1" applyFont="1" applyFill="1" applyBorder="1" applyAlignment="1">
      <alignment horizontal="right" vertical="center" wrapText="1"/>
    </xf>
    <xf numFmtId="0" fontId="4" fillId="0" borderId="99" xfId="0" applyFont="1" applyFill="1" applyBorder="1" applyAlignment="1">
      <alignment horizontal="right" vertical="center" wrapText="1"/>
    </xf>
    <xf numFmtId="0" fontId="4" fillId="0" borderId="85" xfId="0" applyFont="1" applyFill="1" applyBorder="1" applyAlignment="1">
      <alignment horizontal="right" vertical="center" wrapText="1"/>
    </xf>
    <xf numFmtId="0" fontId="4" fillId="0" borderId="86" xfId="0" applyFont="1" applyFill="1" applyBorder="1" applyAlignment="1">
      <alignment horizontal="right" vertical="center" wrapText="1"/>
    </xf>
    <xf numFmtId="177" fontId="4" fillId="0" borderId="87" xfId="0" applyNumberFormat="1" applyFont="1" applyFill="1" applyBorder="1" applyAlignment="1">
      <alignment horizontal="right" vertical="center" wrapText="1"/>
    </xf>
    <xf numFmtId="41" fontId="4" fillId="0" borderId="108" xfId="1" applyFont="1" applyFill="1" applyBorder="1" applyAlignment="1">
      <alignment horizontal="right" vertical="center" wrapText="1"/>
    </xf>
    <xf numFmtId="176" fontId="4" fillId="0" borderId="109" xfId="1" applyNumberFormat="1" applyFont="1" applyFill="1" applyBorder="1" applyAlignment="1">
      <alignment horizontal="right" vertical="center" wrapText="1"/>
    </xf>
    <xf numFmtId="177" fontId="4" fillId="0" borderId="110" xfId="0" applyNumberFormat="1" applyFont="1" applyFill="1" applyBorder="1" applyAlignment="1">
      <alignment horizontal="right" vertical="center" wrapText="1"/>
    </xf>
    <xf numFmtId="177" fontId="4" fillId="0" borderId="86" xfId="0" applyNumberFormat="1" applyFont="1" applyFill="1" applyBorder="1" applyAlignment="1">
      <alignment horizontal="right" vertical="center" wrapText="1"/>
    </xf>
    <xf numFmtId="0" fontId="14" fillId="2" borderId="113" xfId="0" applyFont="1" applyFill="1" applyBorder="1" applyAlignment="1">
      <alignment horizontal="right" vertical="center" wrapText="1"/>
    </xf>
    <xf numFmtId="0" fontId="4" fillId="0" borderId="114" xfId="0" applyFont="1" applyFill="1" applyBorder="1" applyAlignment="1">
      <alignment horizontal="right" vertical="center" wrapText="1"/>
    </xf>
    <xf numFmtId="177" fontId="4" fillId="0" borderId="115" xfId="0" applyNumberFormat="1" applyFont="1" applyFill="1" applyBorder="1" applyAlignment="1">
      <alignment horizontal="right" vertical="center" wrapText="1"/>
    </xf>
    <xf numFmtId="3" fontId="14" fillId="2" borderId="113" xfId="0" applyNumberFormat="1" applyFont="1" applyFill="1" applyBorder="1" applyAlignment="1">
      <alignment horizontal="right" vertical="center" wrapText="1"/>
    </xf>
    <xf numFmtId="41" fontId="14" fillId="2" borderId="113" xfId="1" applyFont="1" applyFill="1" applyBorder="1" applyAlignment="1">
      <alignment horizontal="right" vertical="center" wrapText="1"/>
    </xf>
    <xf numFmtId="176" fontId="4" fillId="0" borderId="114" xfId="1" applyNumberFormat="1" applyFont="1" applyFill="1" applyBorder="1" applyAlignment="1">
      <alignment horizontal="right" vertical="center" wrapText="1"/>
    </xf>
    <xf numFmtId="0" fontId="14" fillId="0" borderId="113" xfId="0" applyFont="1" applyFill="1" applyBorder="1" applyAlignment="1">
      <alignment horizontal="right" vertical="center" wrapText="1"/>
    </xf>
    <xf numFmtId="177" fontId="14" fillId="0" borderId="114" xfId="0" applyNumberFormat="1" applyFont="1" applyFill="1" applyBorder="1" applyAlignment="1">
      <alignment horizontal="right" vertical="center" wrapText="1"/>
    </xf>
    <xf numFmtId="0" fontId="14" fillId="0" borderId="114" xfId="0" applyFont="1" applyFill="1" applyBorder="1" applyAlignment="1">
      <alignment horizontal="right" vertical="center" wrapText="1"/>
    </xf>
    <xf numFmtId="177" fontId="14" fillId="0" borderId="115" xfId="0" applyNumberFormat="1" applyFont="1" applyFill="1" applyBorder="1" applyAlignment="1">
      <alignment horizontal="right" vertical="center" wrapText="1"/>
    </xf>
    <xf numFmtId="176" fontId="4" fillId="0" borderId="69" xfId="0" applyNumberFormat="1" applyFont="1" applyFill="1" applyBorder="1" applyAlignment="1">
      <alignment horizontal="right" vertical="center"/>
    </xf>
    <xf numFmtId="176" fontId="4" fillId="0" borderId="70" xfId="0" applyNumberFormat="1" applyFont="1" applyFill="1" applyBorder="1" applyAlignment="1">
      <alignment horizontal="right" vertical="center"/>
    </xf>
    <xf numFmtId="176" fontId="4" fillId="0" borderId="70" xfId="0" applyNumberFormat="1" applyFont="1" applyBorder="1" applyAlignment="1">
      <alignment horizontal="right" vertical="center"/>
    </xf>
    <xf numFmtId="177" fontId="4" fillId="0" borderId="71" xfId="0" applyNumberFormat="1" applyFont="1" applyBorder="1" applyAlignment="1">
      <alignment horizontal="right" vertical="center"/>
    </xf>
    <xf numFmtId="176" fontId="4" fillId="0" borderId="74" xfId="0" applyNumberFormat="1" applyFont="1" applyFill="1" applyBorder="1" applyAlignment="1">
      <alignment horizontal="right" vertical="center"/>
    </xf>
    <xf numFmtId="176" fontId="4" fillId="0" borderId="6" xfId="0" applyNumberFormat="1" applyFont="1" applyFill="1" applyBorder="1" applyAlignment="1">
      <alignment horizontal="right" vertical="center"/>
    </xf>
    <xf numFmtId="176" fontId="4" fillId="6" borderId="6" xfId="0" applyNumberFormat="1" applyFont="1" applyFill="1" applyBorder="1" applyAlignment="1">
      <alignment horizontal="right" vertical="center"/>
    </xf>
    <xf numFmtId="176" fontId="4" fillId="0" borderId="19" xfId="0" applyNumberFormat="1" applyFont="1" applyBorder="1" applyAlignment="1">
      <alignment horizontal="right" vertical="center"/>
    </xf>
    <xf numFmtId="176" fontId="4" fillId="0" borderId="55" xfId="0" applyNumberFormat="1" applyFont="1" applyBorder="1" applyAlignment="1">
      <alignment horizontal="right" vertical="center"/>
    </xf>
    <xf numFmtId="176" fontId="4" fillId="0" borderId="20" xfId="0" applyNumberFormat="1" applyFont="1" applyBorder="1" applyAlignment="1">
      <alignment horizontal="right" vertical="center"/>
    </xf>
    <xf numFmtId="176" fontId="14" fillId="2" borderId="60" xfId="0" applyNumberFormat="1" applyFont="1" applyFill="1" applyBorder="1" applyAlignment="1">
      <alignment horizontal="right" vertical="center"/>
    </xf>
    <xf numFmtId="176" fontId="4" fillId="0" borderId="29" xfId="0" applyNumberFormat="1" applyFont="1" applyBorder="1" applyAlignment="1">
      <alignment horizontal="right" vertical="center"/>
    </xf>
    <xf numFmtId="177" fontId="4" fillId="0" borderId="35" xfId="0" applyNumberFormat="1" applyFont="1" applyBorder="1" applyAlignment="1">
      <alignment horizontal="right" vertical="center"/>
    </xf>
    <xf numFmtId="178" fontId="14" fillId="0" borderId="9" xfId="1" applyNumberFormat="1" applyFont="1" applyFill="1" applyBorder="1" applyAlignment="1">
      <alignment horizontal="right" vertical="center" wrapText="1"/>
    </xf>
    <xf numFmtId="178" fontId="14" fillId="0" borderId="29" xfId="1" applyNumberFormat="1" applyFont="1" applyBorder="1" applyAlignment="1">
      <alignment horizontal="right" vertical="center" wrapText="1"/>
    </xf>
    <xf numFmtId="177" fontId="14" fillId="0" borderId="29" xfId="3" applyNumberFormat="1" applyFont="1" applyBorder="1" applyAlignment="1">
      <alignment horizontal="right" vertical="center" wrapText="1"/>
    </xf>
    <xf numFmtId="177" fontId="14" fillId="0" borderId="13" xfId="0" applyNumberFormat="1" applyFont="1" applyFill="1" applyBorder="1" applyAlignment="1">
      <alignment horizontal="right" vertical="center" wrapText="1"/>
    </xf>
    <xf numFmtId="0" fontId="14" fillId="2" borderId="9" xfId="5" applyNumberFormat="1" applyFont="1" applyFill="1" applyBorder="1" applyAlignment="1">
      <alignment horizontal="right" vertical="center" wrapText="1"/>
    </xf>
    <xf numFmtId="0" fontId="4" fillId="0" borderId="9" xfId="5" applyNumberFormat="1" applyFont="1" applyFill="1" applyBorder="1" applyAlignment="1">
      <alignment horizontal="right" vertical="center" wrapText="1"/>
    </xf>
    <xf numFmtId="177" fontId="4" fillId="0" borderId="29" xfId="6" applyNumberFormat="1" applyFont="1" applyFill="1" applyBorder="1" applyAlignment="1">
      <alignment horizontal="right" vertical="center" wrapText="1"/>
    </xf>
    <xf numFmtId="0" fontId="4" fillId="0" borderId="29" xfId="5" applyNumberFormat="1" applyFont="1" applyFill="1" applyBorder="1" applyAlignment="1">
      <alignment horizontal="right" vertical="center" wrapText="1"/>
    </xf>
    <xf numFmtId="177" fontId="4" fillId="0" borderId="35" xfId="3" applyNumberFormat="1" applyFont="1" applyFill="1" applyBorder="1" applyAlignment="1">
      <alignment horizontal="right" vertical="center" wrapText="1"/>
    </xf>
    <xf numFmtId="0" fontId="14" fillId="2" borderId="9" xfId="0" applyFont="1" applyFill="1" applyBorder="1" applyAlignment="1">
      <alignment horizontal="right" vertical="center"/>
    </xf>
    <xf numFmtId="0" fontId="14" fillId="2" borderId="13" xfId="0" applyFont="1" applyFill="1" applyBorder="1" applyAlignment="1">
      <alignment horizontal="right" vertical="center"/>
    </xf>
    <xf numFmtId="0" fontId="4" fillId="0" borderId="14" xfId="0" applyFont="1" applyFill="1" applyBorder="1" applyAlignment="1">
      <alignment horizontal="right" vertical="center"/>
    </xf>
    <xf numFmtId="0" fontId="4" fillId="0" borderId="23" xfId="0" applyFont="1" applyFill="1" applyBorder="1" applyAlignment="1">
      <alignment horizontal="right" vertical="center"/>
    </xf>
    <xf numFmtId="0" fontId="4" fillId="0" borderId="34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 vertical="center"/>
    </xf>
    <xf numFmtId="0" fontId="4" fillId="0" borderId="19" xfId="0" applyFont="1" applyFill="1" applyBorder="1" applyAlignment="1">
      <alignment horizontal="right" vertical="center"/>
    </xf>
    <xf numFmtId="0" fontId="4" fillId="0" borderId="31" xfId="0" applyFont="1" applyFill="1" applyBorder="1" applyAlignment="1">
      <alignment horizontal="right" vertical="center"/>
    </xf>
    <xf numFmtId="0" fontId="4" fillId="0" borderId="33" xfId="0" applyFont="1" applyFill="1" applyBorder="1" applyAlignment="1">
      <alignment horizontal="right" vertical="center"/>
    </xf>
    <xf numFmtId="0" fontId="4" fillId="0" borderId="30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0" fontId="4" fillId="2" borderId="62" xfId="0" applyFont="1" applyFill="1" applyBorder="1" applyAlignment="1">
      <alignment horizontal="right" vertical="center"/>
    </xf>
    <xf numFmtId="0" fontId="4" fillId="2" borderId="27" xfId="0" applyFont="1" applyFill="1" applyBorder="1" applyAlignment="1">
      <alignment horizontal="right" vertical="center"/>
    </xf>
    <xf numFmtId="0" fontId="4" fillId="2" borderId="35" xfId="0" applyFont="1" applyFill="1" applyBorder="1" applyAlignment="1">
      <alignment horizontal="right" vertical="center"/>
    </xf>
    <xf numFmtId="0" fontId="4" fillId="0" borderId="46" xfId="0" applyFont="1" applyFill="1" applyBorder="1" applyAlignment="1">
      <alignment horizontal="right" vertical="center"/>
    </xf>
    <xf numFmtId="0" fontId="4" fillId="2" borderId="60" xfId="0" applyFont="1" applyFill="1" applyBorder="1" applyAlignment="1">
      <alignment horizontal="right" vertical="center"/>
    </xf>
    <xf numFmtId="176" fontId="25" fillId="0" borderId="0" xfId="0" applyNumberFormat="1" applyFont="1">
      <alignment vertical="center"/>
    </xf>
    <xf numFmtId="0" fontId="25" fillId="0" borderId="0" xfId="0" applyFont="1">
      <alignment vertical="center"/>
    </xf>
    <xf numFmtId="176" fontId="4" fillId="0" borderId="52" xfId="0" applyNumberFormat="1" applyFont="1" applyBorder="1" applyAlignment="1">
      <alignment horizontal="right" vertical="center"/>
    </xf>
    <xf numFmtId="0" fontId="4" fillId="0" borderId="52" xfId="0" applyNumberFormat="1" applyFont="1" applyBorder="1" applyAlignment="1">
      <alignment horizontal="right" vertical="center"/>
    </xf>
    <xf numFmtId="177" fontId="4" fillId="0" borderId="52" xfId="0" applyNumberFormat="1" applyFont="1" applyBorder="1" applyAlignment="1">
      <alignment horizontal="right" vertical="center"/>
    </xf>
    <xf numFmtId="177" fontId="4" fillId="0" borderId="122" xfId="0" applyNumberFormat="1" applyFont="1" applyBorder="1" applyAlignment="1">
      <alignment horizontal="right" vertical="center"/>
    </xf>
    <xf numFmtId="177" fontId="4" fillId="0" borderId="7" xfId="0" applyNumberFormat="1" applyFont="1" applyFill="1" applyBorder="1" applyAlignment="1">
      <alignment horizontal="right" vertical="center"/>
    </xf>
    <xf numFmtId="177" fontId="4" fillId="0" borderId="52" xfId="0" applyNumberFormat="1" applyFont="1" applyFill="1" applyBorder="1" applyAlignment="1">
      <alignment horizontal="right" vertical="center"/>
    </xf>
    <xf numFmtId="0" fontId="4" fillId="0" borderId="52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52" xfId="0" applyNumberFormat="1" applyFont="1" applyFill="1" applyBorder="1" applyAlignment="1">
      <alignment horizontal="right" vertical="center"/>
    </xf>
    <xf numFmtId="49" fontId="4" fillId="0" borderId="7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right" vertical="center"/>
    </xf>
    <xf numFmtId="49" fontId="4" fillId="0" borderId="52" xfId="0" applyNumberFormat="1" applyFont="1" applyFill="1" applyBorder="1" applyAlignment="1">
      <alignment horizontal="right" vertical="center"/>
    </xf>
    <xf numFmtId="49" fontId="4" fillId="0" borderId="122" xfId="0" applyNumberFormat="1" applyFont="1" applyFill="1" applyBorder="1" applyAlignment="1">
      <alignment horizontal="right" vertical="center"/>
    </xf>
    <xf numFmtId="176" fontId="4" fillId="0" borderId="59" xfId="0" applyNumberFormat="1" applyFont="1" applyBorder="1" applyAlignment="1">
      <alignment horizontal="right" vertical="center"/>
    </xf>
    <xf numFmtId="177" fontId="4" fillId="0" borderId="61" xfId="0" applyNumberFormat="1" applyFont="1" applyBorder="1" applyAlignment="1">
      <alignment horizontal="right" vertical="center"/>
    </xf>
    <xf numFmtId="0" fontId="4" fillId="0" borderId="59" xfId="0" applyNumberFormat="1" applyFont="1" applyBorder="1" applyAlignment="1">
      <alignment horizontal="right" vertical="center"/>
    </xf>
    <xf numFmtId="176" fontId="4" fillId="0" borderId="8" xfId="0" applyNumberFormat="1" applyFont="1" applyBorder="1" applyAlignment="1">
      <alignment horizontal="right" vertical="center"/>
    </xf>
    <xf numFmtId="177" fontId="4" fillId="0" borderId="124" xfId="0" applyNumberFormat="1" applyFont="1" applyBorder="1" applyAlignment="1">
      <alignment horizontal="right" vertical="center"/>
    </xf>
    <xf numFmtId="176" fontId="14" fillId="0" borderId="3" xfId="0" applyNumberFormat="1" applyFont="1" applyFill="1" applyBorder="1" applyAlignment="1">
      <alignment horizontal="right" vertical="center"/>
    </xf>
    <xf numFmtId="176" fontId="4" fillId="0" borderId="125" xfId="0" applyNumberFormat="1" applyFont="1" applyBorder="1" applyAlignment="1">
      <alignment horizontal="right" vertical="center"/>
    </xf>
    <xf numFmtId="177" fontId="4" fillId="0" borderId="125" xfId="0" applyNumberFormat="1" applyFont="1" applyBorder="1" applyAlignment="1">
      <alignment horizontal="right" vertical="center"/>
    </xf>
    <xf numFmtId="177" fontId="4" fillId="0" borderId="126" xfId="0" applyNumberFormat="1" applyFont="1" applyBorder="1" applyAlignment="1">
      <alignment horizontal="right" vertical="center"/>
    </xf>
    <xf numFmtId="176" fontId="4" fillId="0" borderId="45" xfId="0" applyNumberFormat="1" applyFont="1" applyBorder="1" applyAlignment="1">
      <alignment horizontal="right" vertical="center"/>
    </xf>
    <xf numFmtId="176" fontId="4" fillId="0" borderId="50" xfId="0" applyNumberFormat="1" applyFont="1" applyBorder="1" applyAlignment="1">
      <alignment horizontal="right" vertical="center"/>
    </xf>
    <xf numFmtId="176" fontId="4" fillId="0" borderId="50" xfId="0" applyNumberFormat="1" applyFont="1" applyFill="1" applyBorder="1" applyAlignment="1">
      <alignment horizontal="right" vertical="center"/>
    </xf>
    <xf numFmtId="176" fontId="4" fillId="0" borderId="127" xfId="0" applyNumberFormat="1" applyFont="1" applyBorder="1" applyAlignment="1">
      <alignment horizontal="right" vertical="center"/>
    </xf>
    <xf numFmtId="176" fontId="4" fillId="0" borderId="51" xfId="0" applyNumberFormat="1" applyFont="1" applyBorder="1" applyAlignment="1">
      <alignment horizontal="right" vertical="center"/>
    </xf>
    <xf numFmtId="176" fontId="4" fillId="0" borderId="51" xfId="0" applyNumberFormat="1" applyFont="1" applyFill="1" applyBorder="1" applyAlignment="1">
      <alignment horizontal="right" vertical="center"/>
    </xf>
    <xf numFmtId="176" fontId="4" fillId="0" borderId="128" xfId="0" applyNumberFormat="1" applyFont="1" applyBorder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8" fontId="14" fillId="4" borderId="125" xfId="0" applyNumberFormat="1" applyFont="1" applyFill="1" applyBorder="1" applyAlignment="1">
      <alignment horizontal="right" vertical="center"/>
    </xf>
    <xf numFmtId="178" fontId="14" fillId="0" borderId="1" xfId="0" applyNumberFormat="1" applyFont="1" applyFill="1" applyBorder="1" applyAlignment="1">
      <alignment horizontal="right" vertical="center"/>
    </xf>
    <xf numFmtId="178" fontId="4" fillId="0" borderId="1" xfId="0" applyNumberFormat="1" applyFont="1" applyFill="1" applyBorder="1" applyAlignment="1">
      <alignment horizontal="right" vertical="center"/>
    </xf>
    <xf numFmtId="178" fontId="4" fillId="0" borderId="7" xfId="0" applyNumberFormat="1" applyFont="1" applyFill="1" applyBorder="1" applyAlignment="1">
      <alignment horizontal="right" vertical="center"/>
    </xf>
    <xf numFmtId="178" fontId="14" fillId="0" borderId="7" xfId="0" applyNumberFormat="1" applyFont="1" applyFill="1" applyBorder="1" applyAlignment="1">
      <alignment horizontal="right" vertical="center"/>
    </xf>
    <xf numFmtId="178" fontId="14" fillId="0" borderId="7" xfId="0" applyNumberFormat="1" applyFont="1" applyBorder="1" applyAlignment="1">
      <alignment horizontal="right" vertical="center"/>
    </xf>
    <xf numFmtId="178" fontId="4" fillId="0" borderId="7" xfId="0" applyNumberFormat="1" applyFont="1" applyBorder="1" applyAlignment="1">
      <alignment horizontal="right" vertical="center"/>
    </xf>
    <xf numFmtId="178" fontId="11" fillId="0" borderId="7" xfId="0" applyNumberFormat="1" applyFont="1" applyBorder="1" applyAlignment="1">
      <alignment horizontal="right" vertical="center"/>
    </xf>
    <xf numFmtId="178" fontId="4" fillId="0" borderId="31" xfId="0" applyNumberFormat="1" applyFont="1" applyFill="1" applyBorder="1" applyAlignment="1">
      <alignment horizontal="right" vertical="center"/>
    </xf>
    <xf numFmtId="178" fontId="4" fillId="0" borderId="61" xfId="0" applyNumberFormat="1" applyFont="1" applyBorder="1" applyAlignment="1">
      <alignment horizontal="right" vertical="center"/>
    </xf>
    <xf numFmtId="49" fontId="7" fillId="7" borderId="1" xfId="0" applyNumberFormat="1" applyFont="1" applyFill="1" applyBorder="1" applyAlignment="1">
      <alignment vertical="center"/>
    </xf>
    <xf numFmtId="0" fontId="0" fillId="0" borderId="3" xfId="0" applyFill="1" applyBorder="1">
      <alignment vertical="center"/>
    </xf>
    <xf numFmtId="0" fontId="9" fillId="3" borderId="2" xfId="0" applyNumberFormat="1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vertical="center"/>
    </xf>
    <xf numFmtId="0" fontId="26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49" fontId="7" fillId="8" borderId="45" xfId="0" applyNumberFormat="1" applyFont="1" applyFill="1" applyBorder="1" applyAlignment="1">
      <alignment horizontal="center" vertical="center"/>
    </xf>
    <xf numFmtId="49" fontId="7" fillId="8" borderId="24" xfId="0" applyNumberFormat="1" applyFont="1" applyFill="1" applyBorder="1" applyAlignment="1">
      <alignment horizontal="center" vertical="center"/>
    </xf>
    <xf numFmtId="49" fontId="7" fillId="8" borderId="24" xfId="0" applyNumberFormat="1" applyFont="1" applyFill="1" applyBorder="1" applyAlignment="1">
      <alignment vertical="center"/>
    </xf>
    <xf numFmtId="178" fontId="7" fillId="8" borderId="24" xfId="0" applyNumberFormat="1" applyFont="1" applyFill="1" applyBorder="1" applyAlignment="1">
      <alignment horizontal="center" vertical="center"/>
    </xf>
    <xf numFmtId="178" fontId="7" fillId="8" borderId="24" xfId="1" applyNumberFormat="1" applyFont="1" applyFill="1" applyBorder="1" applyAlignment="1">
      <alignment horizontal="center" vertical="center"/>
    </xf>
    <xf numFmtId="180" fontId="7" fillId="8" borderId="24" xfId="0" applyNumberFormat="1" applyFont="1" applyFill="1" applyBorder="1" applyAlignment="1">
      <alignment horizontal="center" vertical="center"/>
    </xf>
    <xf numFmtId="14" fontId="7" fillId="8" borderId="24" xfId="0" applyNumberFormat="1" applyFont="1" applyFill="1" applyBorder="1" applyAlignment="1">
      <alignment horizontal="center" vertical="center"/>
    </xf>
    <xf numFmtId="0" fontId="7" fillId="8" borderId="24" xfId="0" applyNumberFormat="1" applyFont="1" applyFill="1" applyBorder="1" applyAlignment="1">
      <alignment vertical="center"/>
    </xf>
    <xf numFmtId="0" fontId="7" fillId="8" borderId="1" xfId="0" applyNumberFormat="1" applyFont="1" applyFill="1" applyBorder="1" applyAlignment="1">
      <alignment horizontal="left" vertical="center"/>
    </xf>
    <xf numFmtId="49" fontId="7" fillId="8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178" fontId="14" fillId="0" borderId="0" xfId="0" applyNumberFormat="1" applyFont="1" applyFill="1" applyBorder="1" applyAlignment="1">
      <alignment horizontal="right" vertical="center"/>
    </xf>
    <xf numFmtId="178" fontId="9" fillId="0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Border="1" applyAlignment="1">
      <alignment horizontal="right" vertical="center"/>
    </xf>
    <xf numFmtId="177" fontId="4" fillId="0" borderId="0" xfId="0" applyNumberFormat="1" applyFont="1" applyFill="1" applyBorder="1" applyAlignment="1">
      <alignment horizontal="right" vertical="center"/>
    </xf>
    <xf numFmtId="176" fontId="7" fillId="0" borderId="0" xfId="0" applyNumberFormat="1" applyFont="1" applyFill="1" applyBorder="1" applyAlignment="1">
      <alignment horizontal="right" vertical="center"/>
    </xf>
    <xf numFmtId="177" fontId="7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176" fontId="4" fillId="0" borderId="0" xfId="0" applyNumberFormat="1" applyFont="1" applyFill="1" applyBorder="1" applyAlignment="1">
      <alignment horizontal="right" vertical="center"/>
    </xf>
    <xf numFmtId="180" fontId="9" fillId="3" borderId="2" xfId="0" applyNumberFormat="1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9" fillId="3" borderId="1" xfId="4" applyFont="1" applyFill="1" applyBorder="1" applyAlignment="1">
      <alignment horizontal="center" vertical="center" wrapText="1"/>
    </xf>
    <xf numFmtId="0" fontId="9" fillId="3" borderId="7" xfId="4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shrinkToFit="1"/>
    </xf>
    <xf numFmtId="178" fontId="9" fillId="3" borderId="2" xfId="0" applyNumberFormat="1" applyFont="1" applyFill="1" applyBorder="1" applyAlignment="1">
      <alignment horizontal="center" vertical="center" wrapText="1"/>
    </xf>
    <xf numFmtId="49" fontId="9" fillId="3" borderId="15" xfId="0" applyNumberFormat="1" applyFont="1" applyFill="1" applyBorder="1" applyAlignment="1">
      <alignment horizontal="center" vertical="center"/>
    </xf>
    <xf numFmtId="180" fontId="9" fillId="3" borderId="15" xfId="0" applyNumberFormat="1" applyFont="1" applyFill="1" applyBorder="1" applyAlignment="1">
      <alignment horizontal="center" vertical="center" wrapText="1"/>
    </xf>
    <xf numFmtId="0" fontId="9" fillId="3" borderId="15" xfId="0" applyNumberFormat="1" applyFont="1" applyFill="1" applyBorder="1" applyAlignment="1">
      <alignment horizontal="center" vertical="center" wrapText="1"/>
    </xf>
    <xf numFmtId="178" fontId="9" fillId="3" borderId="15" xfId="0" applyNumberFormat="1" applyFont="1" applyFill="1" applyBorder="1" applyAlignment="1">
      <alignment horizontal="center" vertical="center" wrapText="1"/>
    </xf>
    <xf numFmtId="0" fontId="9" fillId="3" borderId="92" xfId="0" applyFont="1" applyFill="1" applyBorder="1" applyAlignment="1">
      <alignment horizontal="center" vertical="center" wrapText="1"/>
    </xf>
    <xf numFmtId="0" fontId="9" fillId="3" borderId="93" xfId="0" applyFont="1" applyFill="1" applyBorder="1" applyAlignment="1">
      <alignment horizontal="center" vertical="center" wrapText="1"/>
    </xf>
    <xf numFmtId="0" fontId="9" fillId="3" borderId="9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23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>
      <alignment vertical="center"/>
    </xf>
    <xf numFmtId="0" fontId="23" fillId="0" borderId="0" xfId="0" applyFont="1" applyAlignment="1">
      <alignment horizontal="left" vertical="center"/>
    </xf>
    <xf numFmtId="0" fontId="7" fillId="0" borderId="3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7" fillId="7" borderId="1" xfId="0" applyNumberFormat="1" applyFont="1" applyFill="1" applyBorder="1" applyAlignment="1">
      <alignment horizontal="center" vertical="center"/>
    </xf>
    <xf numFmtId="180" fontId="7" fillId="8" borderId="1" xfId="0" applyNumberFormat="1" applyFont="1" applyFill="1" applyBorder="1" applyAlignment="1">
      <alignment horizontal="center" vertical="center"/>
    </xf>
    <xf numFmtId="0" fontId="7" fillId="8" borderId="1" xfId="0" applyNumberFormat="1" applyFont="1" applyFill="1" applyBorder="1" applyAlignment="1">
      <alignment horizontal="center" vertical="center"/>
    </xf>
    <xf numFmtId="0" fontId="7" fillId="8" borderId="24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 wrapText="1"/>
    </xf>
    <xf numFmtId="178" fontId="9" fillId="3" borderId="2" xfId="1" applyNumberFormat="1" applyFont="1" applyFill="1" applyBorder="1" applyAlignment="1">
      <alignment horizontal="center" vertical="center"/>
    </xf>
    <xf numFmtId="178" fontId="9" fillId="3" borderId="2" xfId="0" applyNumberFormat="1" applyFont="1" applyFill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178" fontId="7" fillId="0" borderId="3" xfId="0" applyNumberFormat="1" applyFont="1" applyFill="1" applyBorder="1" applyAlignment="1">
      <alignment horizontal="center" vertical="center"/>
    </xf>
    <xf numFmtId="178" fontId="7" fillId="0" borderId="3" xfId="1" applyNumberFormat="1" applyFont="1" applyFill="1" applyBorder="1" applyAlignment="1">
      <alignment horizontal="center" vertical="center"/>
    </xf>
    <xf numFmtId="180" fontId="7" fillId="0" borderId="3" xfId="0" applyNumberFormat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3" fillId="0" borderId="0" xfId="0" applyFont="1" applyFill="1" applyBorder="1">
      <alignment vertical="center"/>
    </xf>
    <xf numFmtId="0" fontId="7" fillId="0" borderId="0" xfId="0" applyFont="1" applyAlignment="1">
      <alignment horizontal="center" vertical="center"/>
    </xf>
    <xf numFmtId="0" fontId="7" fillId="7" borderId="50" xfId="0" applyNumberFormat="1" applyFont="1" applyFill="1" applyBorder="1" applyAlignment="1">
      <alignment horizontal="center" vertical="center"/>
    </xf>
    <xf numFmtId="180" fontId="7" fillId="7" borderId="1" xfId="0" applyNumberFormat="1" applyFont="1" applyFill="1" applyBorder="1" applyAlignment="1">
      <alignment horizontal="center" vertical="center"/>
    </xf>
    <xf numFmtId="178" fontId="7" fillId="7" borderId="1" xfId="1" applyNumberFormat="1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vertical="center"/>
    </xf>
    <xf numFmtId="49" fontId="7" fillId="7" borderId="50" xfId="0" applyNumberFormat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49" fontId="7" fillId="8" borderId="1" xfId="0" applyNumberFormat="1" applyFont="1" applyFill="1" applyBorder="1" applyAlignment="1">
      <alignment horizontal="center" vertical="center"/>
    </xf>
    <xf numFmtId="49" fontId="7" fillId="8" borderId="1" xfId="0" applyNumberFormat="1" applyFont="1" applyFill="1" applyBorder="1">
      <alignment vertical="center"/>
    </xf>
    <xf numFmtId="178" fontId="7" fillId="8" borderId="1" xfId="0" applyNumberFormat="1" applyFont="1" applyFill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center" vertical="center"/>
    </xf>
    <xf numFmtId="49" fontId="7" fillId="8" borderId="1" xfId="0" applyNumberFormat="1" applyFont="1" applyFill="1" applyBorder="1" applyAlignment="1">
      <alignment horizontal="left" vertical="center"/>
    </xf>
    <xf numFmtId="0" fontId="7" fillId="8" borderId="50" xfId="0" applyNumberFormat="1" applyFont="1" applyFill="1" applyBorder="1" applyAlignment="1">
      <alignment horizontal="center" vertical="center"/>
    </xf>
    <xf numFmtId="178" fontId="7" fillId="8" borderId="1" xfId="1" applyNumberFormat="1" applyFont="1" applyFill="1" applyBorder="1" applyAlignment="1">
      <alignment horizontal="center" vertical="center"/>
    </xf>
    <xf numFmtId="0" fontId="7" fillId="8" borderId="1" xfId="0" applyNumberFormat="1" applyFont="1" applyFill="1" applyBorder="1" applyAlignment="1">
      <alignment horizontal="center" vertical="center" wrapText="1" shrinkToFit="1"/>
    </xf>
    <xf numFmtId="0" fontId="23" fillId="8" borderId="24" xfId="0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8" fontId="7" fillId="0" borderId="0" xfId="1" applyNumberFormat="1" applyFont="1" applyFill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78" fontId="23" fillId="0" borderId="0" xfId="0" applyNumberFormat="1" applyFont="1" applyAlignment="1">
      <alignment horizontal="center" vertical="center"/>
    </xf>
    <xf numFmtId="0" fontId="9" fillId="3" borderId="15" xfId="0" applyNumberFormat="1" applyFont="1" applyFill="1" applyBorder="1" applyAlignment="1">
      <alignment horizontal="center" vertical="center"/>
    </xf>
    <xf numFmtId="178" fontId="9" fillId="3" borderId="15" xfId="1" applyNumberFormat="1" applyFont="1" applyFill="1" applyBorder="1" applyAlignment="1">
      <alignment horizontal="center" vertical="center"/>
    </xf>
    <xf numFmtId="178" fontId="9" fillId="3" borderId="15" xfId="0" applyNumberFormat="1" applyFont="1" applyFill="1" applyBorder="1" applyAlignment="1">
      <alignment horizontal="center" vertical="center"/>
    </xf>
    <xf numFmtId="14" fontId="9" fillId="3" borderId="15" xfId="0" applyNumberFormat="1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24" xfId="0" applyNumberFormat="1" applyFont="1" applyFill="1" applyBorder="1" applyAlignment="1">
      <alignment horizontal="center" vertical="center"/>
    </xf>
    <xf numFmtId="0" fontId="7" fillId="0" borderId="24" xfId="0" applyNumberFormat="1" applyFont="1" applyFill="1" applyBorder="1" applyAlignment="1">
      <alignment horizontal="left" vertical="center"/>
    </xf>
    <xf numFmtId="178" fontId="7" fillId="0" borderId="24" xfId="0" applyNumberFormat="1" applyFont="1" applyFill="1" applyBorder="1" applyAlignment="1">
      <alignment horizontal="center" vertical="center"/>
    </xf>
    <xf numFmtId="178" fontId="7" fillId="0" borderId="24" xfId="1" applyNumberFormat="1" applyFont="1" applyFill="1" applyBorder="1" applyAlignment="1">
      <alignment horizontal="center" vertical="center"/>
    </xf>
    <xf numFmtId="180" fontId="7" fillId="0" borderId="24" xfId="0" applyNumberFormat="1" applyFont="1" applyFill="1" applyBorder="1" applyAlignment="1">
      <alignment horizontal="center" vertical="center"/>
    </xf>
    <xf numFmtId="49" fontId="7" fillId="0" borderId="24" xfId="0" applyNumberFormat="1" applyFont="1" applyFill="1" applyBorder="1" applyAlignment="1">
      <alignment horizontal="center" vertical="center"/>
    </xf>
    <xf numFmtId="14" fontId="7" fillId="0" borderId="24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79" fontId="7" fillId="0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78" fontId="4" fillId="0" borderId="15" xfId="0" applyNumberFormat="1" applyFont="1" applyBorder="1" applyAlignment="1">
      <alignment horizontal="right" vertic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9" fillId="3" borderId="89" xfId="0" applyFont="1" applyFill="1" applyBorder="1" applyAlignment="1">
      <alignment horizontal="center" vertical="center" wrapText="1"/>
    </xf>
    <xf numFmtId="0" fontId="9" fillId="3" borderId="96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3" borderId="78" xfId="0" applyFont="1" applyFill="1" applyBorder="1" applyAlignment="1">
      <alignment horizontal="center" vertical="center" wrapText="1"/>
    </xf>
    <xf numFmtId="0" fontId="9" fillId="3" borderId="84" xfId="0" applyFont="1" applyFill="1" applyBorder="1" applyAlignment="1">
      <alignment horizontal="center" vertical="center" wrapText="1"/>
    </xf>
    <xf numFmtId="0" fontId="9" fillId="3" borderId="91" xfId="0" applyFont="1" applyFill="1" applyBorder="1" applyAlignment="1">
      <alignment horizontal="center" vertical="center" wrapText="1"/>
    </xf>
    <xf numFmtId="0" fontId="9" fillId="3" borderId="79" xfId="0" applyFont="1" applyFill="1" applyBorder="1" applyAlignment="1">
      <alignment horizontal="center" vertical="center" wrapText="1"/>
    </xf>
    <xf numFmtId="0" fontId="9" fillId="3" borderId="80" xfId="0" applyFont="1" applyFill="1" applyBorder="1" applyAlignment="1">
      <alignment horizontal="center" vertical="center" wrapText="1"/>
    </xf>
    <xf numFmtId="0" fontId="9" fillId="3" borderId="81" xfId="0" applyFont="1" applyFill="1" applyBorder="1" applyAlignment="1">
      <alignment horizontal="center" vertical="center" wrapText="1"/>
    </xf>
    <xf numFmtId="0" fontId="9" fillId="3" borderId="82" xfId="0" applyFont="1" applyFill="1" applyBorder="1" applyAlignment="1">
      <alignment horizontal="center" vertical="center" wrapText="1"/>
    </xf>
    <xf numFmtId="0" fontId="9" fillId="3" borderId="83" xfId="0" applyFont="1" applyFill="1" applyBorder="1" applyAlignment="1">
      <alignment horizontal="center" vertical="center" wrapText="1"/>
    </xf>
    <xf numFmtId="0" fontId="9" fillId="3" borderId="85" xfId="0" applyFont="1" applyFill="1" applyBorder="1" applyAlignment="1">
      <alignment horizontal="center" vertical="center" wrapText="1"/>
    </xf>
    <xf numFmtId="0" fontId="9" fillId="3" borderId="92" xfId="0" applyFont="1" applyFill="1" applyBorder="1" applyAlignment="1">
      <alignment horizontal="center" vertical="center" wrapText="1"/>
    </xf>
    <xf numFmtId="0" fontId="9" fillId="3" borderId="86" xfId="0" applyFont="1" applyFill="1" applyBorder="1" applyAlignment="1">
      <alignment horizontal="center" vertical="center" wrapText="1"/>
    </xf>
    <xf numFmtId="0" fontId="9" fillId="3" borderId="93" xfId="0" applyFont="1" applyFill="1" applyBorder="1" applyAlignment="1">
      <alignment horizontal="center" vertical="center" wrapText="1"/>
    </xf>
    <xf numFmtId="0" fontId="9" fillId="3" borderId="87" xfId="0" applyFont="1" applyFill="1" applyBorder="1" applyAlignment="1">
      <alignment horizontal="center" vertical="center" wrapText="1"/>
    </xf>
    <xf numFmtId="0" fontId="9" fillId="3" borderId="94" xfId="0" applyFont="1" applyFill="1" applyBorder="1" applyAlignment="1">
      <alignment horizontal="center" vertical="center" wrapText="1"/>
    </xf>
    <xf numFmtId="0" fontId="9" fillId="3" borderId="90" xfId="0" applyFont="1" applyFill="1" applyBorder="1" applyAlignment="1">
      <alignment horizontal="center" vertical="center" wrapText="1"/>
    </xf>
    <xf numFmtId="0" fontId="9" fillId="3" borderId="97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8" xfId="0" applyFont="1" applyFill="1" applyBorder="1" applyAlignment="1">
      <alignment horizontal="center" vertical="center" wrapText="1"/>
    </xf>
    <xf numFmtId="0" fontId="9" fillId="3" borderId="95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center" vertical="center"/>
    </xf>
    <xf numFmtId="0" fontId="9" fillId="3" borderId="21" xfId="4" applyFont="1" applyFill="1" applyBorder="1" applyAlignment="1">
      <alignment horizontal="center" vertical="center" wrapText="1"/>
    </xf>
    <xf numFmtId="0" fontId="9" fillId="3" borderId="23" xfId="4" applyFont="1" applyFill="1" applyBorder="1" applyAlignment="1">
      <alignment horizontal="center" vertical="center" wrapText="1"/>
    </xf>
    <xf numFmtId="0" fontId="9" fillId="3" borderId="22" xfId="4" applyFont="1" applyFill="1" applyBorder="1" applyAlignment="1">
      <alignment horizontal="center" vertical="center" wrapText="1"/>
    </xf>
    <xf numFmtId="0" fontId="9" fillId="3" borderId="24" xfId="4" applyFont="1" applyFill="1" applyBorder="1" applyAlignment="1">
      <alignment horizontal="center" vertical="center" wrapText="1"/>
    </xf>
    <xf numFmtId="0" fontId="9" fillId="3" borderId="28" xfId="4" applyFont="1" applyFill="1" applyBorder="1" applyAlignment="1">
      <alignment horizontal="center" vertical="center" wrapText="1"/>
    </xf>
    <xf numFmtId="0" fontId="9" fillId="3" borderId="32" xfId="4" applyFont="1" applyFill="1" applyBorder="1" applyAlignment="1">
      <alignment horizontal="center" vertical="center" wrapText="1"/>
    </xf>
    <xf numFmtId="0" fontId="9" fillId="3" borderId="37" xfId="4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</cellXfs>
  <cellStyles count="7">
    <cellStyle name="백분율" xfId="3" builtinId="5"/>
    <cellStyle name="백분율 2" xfId="6"/>
    <cellStyle name="보통" xfId="2" builtinId="28"/>
    <cellStyle name="쉼표 [0]" xfId="1" builtinId="6"/>
    <cellStyle name="쉼표 [0] 2" xfId="5"/>
    <cellStyle name="표준" xfId="0" builtinId="0"/>
    <cellStyle name="표준 2" xfId="4"/>
  </cellStyles>
  <dxfs count="0"/>
  <tableStyles count="0" defaultTableStyle="TableStyleMedium2" defaultPivotStyle="PivotStyleLight16"/>
  <colors>
    <mruColors>
      <color rgb="FF0000FF"/>
      <color rgb="FF99FFCC"/>
      <color rgb="FF66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26" sqref="Q26"/>
    </sheetView>
  </sheetViews>
  <sheetFormatPr defaultRowHeight="16.5" x14ac:dyDescent="0.3"/>
  <cols>
    <col min="21" max="21" width="10" customWidth="1"/>
  </cols>
  <sheetData>
    <row r="1" spans="1:22" ht="27" thickBot="1" x14ac:dyDescent="0.35">
      <c r="A1" s="585" t="s">
        <v>3143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</row>
    <row r="2" spans="1:22" ht="40.5" x14ac:dyDescent="0.3">
      <c r="A2" s="146" t="s">
        <v>1322</v>
      </c>
      <c r="B2" s="237" t="s">
        <v>3154</v>
      </c>
      <c r="C2" s="223" t="s">
        <v>3151</v>
      </c>
      <c r="D2" s="207" t="s">
        <v>1323</v>
      </c>
      <c r="E2" s="224" t="s">
        <v>1324</v>
      </c>
      <c r="F2" s="222" t="s">
        <v>3155</v>
      </c>
      <c r="G2" s="223" t="s">
        <v>3152</v>
      </c>
      <c r="H2" s="207" t="s">
        <v>1325</v>
      </c>
      <c r="I2" s="224" t="s">
        <v>1326</v>
      </c>
      <c r="J2" s="222" t="s">
        <v>3156</v>
      </c>
      <c r="K2" s="135" t="s">
        <v>3153</v>
      </c>
      <c r="L2" s="147" t="s">
        <v>1327</v>
      </c>
      <c r="M2" s="134" t="s">
        <v>1328</v>
      </c>
      <c r="N2" s="206" t="s">
        <v>1329</v>
      </c>
      <c r="O2" s="246" t="s">
        <v>1330</v>
      </c>
      <c r="P2" s="206" t="s">
        <v>1331</v>
      </c>
      <c r="Q2" s="246" t="s">
        <v>1332</v>
      </c>
      <c r="R2" s="148" t="s">
        <v>1333</v>
      </c>
      <c r="S2" s="137" t="s">
        <v>1334</v>
      </c>
      <c r="T2" s="249" t="s">
        <v>3449</v>
      </c>
      <c r="U2" s="224" t="s">
        <v>1335</v>
      </c>
      <c r="V2" s="246" t="s">
        <v>1336</v>
      </c>
    </row>
    <row r="3" spans="1:22" ht="17.25" thickBot="1" x14ac:dyDescent="0.35">
      <c r="A3" s="149" t="s">
        <v>191</v>
      </c>
      <c r="B3" s="238">
        <v>90</v>
      </c>
      <c r="C3" s="226">
        <v>89</v>
      </c>
      <c r="D3" s="227">
        <f>B3-C3</f>
        <v>1</v>
      </c>
      <c r="E3" s="228">
        <f>(B3-C3)/C3</f>
        <v>1.1235955056179775E-2</v>
      </c>
      <c r="F3" s="225">
        <v>591</v>
      </c>
      <c r="G3" s="226">
        <v>588</v>
      </c>
      <c r="H3" s="584">
        <f>F3-G3</f>
        <v>3</v>
      </c>
      <c r="I3" s="228">
        <f>(F3-G3)/G3</f>
        <v>5.1020408163265302E-3</v>
      </c>
      <c r="J3" s="225">
        <v>94487</v>
      </c>
      <c r="K3" s="344">
        <v>96058</v>
      </c>
      <c r="L3" s="345">
        <f>J3-K3</f>
        <v>-1571</v>
      </c>
      <c r="M3" s="228">
        <f>(J3-K3)/K3</f>
        <v>-1.6354702367319743E-2</v>
      </c>
      <c r="N3" s="405">
        <v>2</v>
      </c>
      <c r="O3" s="247">
        <v>7</v>
      </c>
      <c r="P3" s="405">
        <v>0</v>
      </c>
      <c r="Q3" s="247">
        <v>3</v>
      </c>
      <c r="R3" s="405">
        <v>1</v>
      </c>
      <c r="S3" s="410">
        <v>7</v>
      </c>
      <c r="T3" s="250">
        <v>119</v>
      </c>
      <c r="U3" s="251">
        <v>35</v>
      </c>
      <c r="V3" s="252">
        <v>0</v>
      </c>
    </row>
    <row r="4" spans="1:22" ht="17.25" thickTop="1" x14ac:dyDescent="0.3">
      <c r="A4" s="153" t="s">
        <v>192</v>
      </c>
      <c r="B4" s="239">
        <v>29</v>
      </c>
      <c r="C4" s="230">
        <v>29</v>
      </c>
      <c r="D4" s="231">
        <f t="shared" ref="D4:D21" si="0">B4-C4</f>
        <v>0</v>
      </c>
      <c r="E4" s="232">
        <f t="shared" ref="E4:E21" si="1">(B4-C4)/C4</f>
        <v>0</v>
      </c>
      <c r="F4" s="229">
        <v>228</v>
      </c>
      <c r="G4" s="230">
        <v>223</v>
      </c>
      <c r="H4" s="231">
        <f t="shared" ref="H4:H21" si="2">F4-G4</f>
        <v>5</v>
      </c>
      <c r="I4" s="232">
        <f t="shared" ref="I4:I21" si="3">(F4-G4)/G4</f>
        <v>2.2421524663677129E-2</v>
      </c>
      <c r="J4" s="229">
        <v>34053</v>
      </c>
      <c r="K4" s="346">
        <v>33927</v>
      </c>
      <c r="L4" s="347">
        <f t="shared" ref="L4:L21" si="4">J4-K4</f>
        <v>126</v>
      </c>
      <c r="M4" s="232">
        <f t="shared" ref="M4:M21" si="5">(J4-K4)/K4</f>
        <v>3.7138562207091699E-3</v>
      </c>
      <c r="N4" s="406">
        <v>1</v>
      </c>
      <c r="O4" s="407">
        <v>1</v>
      </c>
      <c r="P4" s="406">
        <v>0</v>
      </c>
      <c r="Q4" s="407">
        <v>0</v>
      </c>
      <c r="R4" s="406">
        <v>1</v>
      </c>
      <c r="S4" s="417">
        <v>6</v>
      </c>
      <c r="T4" s="253">
        <v>33</v>
      </c>
      <c r="U4" s="254">
        <v>8</v>
      </c>
      <c r="V4" s="255">
        <v>0</v>
      </c>
    </row>
    <row r="5" spans="1:22" x14ac:dyDescent="0.3">
      <c r="A5" s="156" t="s">
        <v>193</v>
      </c>
      <c r="B5" s="240">
        <v>22</v>
      </c>
      <c r="C5" s="234">
        <v>23</v>
      </c>
      <c r="D5" s="235">
        <f t="shared" si="0"/>
        <v>-1</v>
      </c>
      <c r="E5" s="236">
        <f t="shared" si="1"/>
        <v>-4.3478260869565216E-2</v>
      </c>
      <c r="F5" s="233">
        <v>145</v>
      </c>
      <c r="G5" s="234">
        <v>148</v>
      </c>
      <c r="H5" s="235">
        <f t="shared" si="2"/>
        <v>-3</v>
      </c>
      <c r="I5" s="236">
        <f t="shared" si="3"/>
        <v>-2.0270270270270271E-2</v>
      </c>
      <c r="J5" s="233">
        <v>20912</v>
      </c>
      <c r="K5" s="348">
        <v>21521</v>
      </c>
      <c r="L5" s="349">
        <f t="shared" si="4"/>
        <v>-609</v>
      </c>
      <c r="M5" s="236">
        <f t="shared" si="5"/>
        <v>-2.8297941545467217E-2</v>
      </c>
      <c r="N5" s="408">
        <v>1</v>
      </c>
      <c r="O5" s="248">
        <v>1</v>
      </c>
      <c r="P5" s="408">
        <v>0</v>
      </c>
      <c r="Q5" s="248">
        <v>0</v>
      </c>
      <c r="R5" s="408">
        <v>0</v>
      </c>
      <c r="S5" s="248">
        <v>0</v>
      </c>
      <c r="T5" s="256">
        <v>22</v>
      </c>
      <c r="U5" s="257">
        <v>2</v>
      </c>
      <c r="V5" s="258">
        <v>0</v>
      </c>
    </row>
    <row r="6" spans="1:22" x14ac:dyDescent="0.3">
      <c r="A6" s="156" t="s">
        <v>194</v>
      </c>
      <c r="B6" s="240">
        <v>27</v>
      </c>
      <c r="C6" s="234">
        <v>24</v>
      </c>
      <c r="D6" s="235">
        <f t="shared" si="0"/>
        <v>3</v>
      </c>
      <c r="E6" s="236">
        <f t="shared" si="1"/>
        <v>0.125</v>
      </c>
      <c r="F6" s="233">
        <v>172</v>
      </c>
      <c r="G6" s="234">
        <v>155</v>
      </c>
      <c r="H6" s="235">
        <f t="shared" si="2"/>
        <v>17</v>
      </c>
      <c r="I6" s="236">
        <f t="shared" si="3"/>
        <v>0.10967741935483871</v>
      </c>
      <c r="J6" s="233">
        <v>25920</v>
      </c>
      <c r="K6" s="348">
        <v>23518</v>
      </c>
      <c r="L6" s="349">
        <f t="shared" si="4"/>
        <v>2402</v>
      </c>
      <c r="M6" s="236">
        <f t="shared" si="5"/>
        <v>0.10213453524959605</v>
      </c>
      <c r="N6" s="408">
        <v>1</v>
      </c>
      <c r="O6" s="248">
        <v>7</v>
      </c>
      <c r="P6" s="408">
        <v>1</v>
      </c>
      <c r="Q6" s="248">
        <v>2</v>
      </c>
      <c r="R6" s="408">
        <v>2</v>
      </c>
      <c r="S6" s="248">
        <v>13</v>
      </c>
      <c r="T6" s="256">
        <v>12</v>
      </c>
      <c r="U6" s="257">
        <v>7</v>
      </c>
      <c r="V6" s="258">
        <v>1</v>
      </c>
    </row>
    <row r="7" spans="1:22" x14ac:dyDescent="0.3">
      <c r="A7" s="156" t="s">
        <v>195</v>
      </c>
      <c r="B7" s="240">
        <v>17</v>
      </c>
      <c r="C7" s="234">
        <v>17</v>
      </c>
      <c r="D7" s="235">
        <f t="shared" si="0"/>
        <v>0</v>
      </c>
      <c r="E7" s="236">
        <f t="shared" si="1"/>
        <v>0</v>
      </c>
      <c r="F7" s="233">
        <v>128</v>
      </c>
      <c r="G7" s="234">
        <v>128</v>
      </c>
      <c r="H7" s="235">
        <f t="shared" si="2"/>
        <v>0</v>
      </c>
      <c r="I7" s="236">
        <f t="shared" si="3"/>
        <v>0</v>
      </c>
      <c r="J7" s="233">
        <v>17473</v>
      </c>
      <c r="K7" s="348">
        <v>17473</v>
      </c>
      <c r="L7" s="349">
        <f t="shared" si="4"/>
        <v>0</v>
      </c>
      <c r="M7" s="236">
        <f t="shared" si="5"/>
        <v>0</v>
      </c>
      <c r="N7" s="408">
        <v>0</v>
      </c>
      <c r="O7" s="248">
        <v>0</v>
      </c>
      <c r="P7" s="408">
        <v>0</v>
      </c>
      <c r="Q7" s="248">
        <v>0</v>
      </c>
      <c r="R7" s="408">
        <v>0</v>
      </c>
      <c r="S7" s="248">
        <v>0</v>
      </c>
      <c r="T7" s="256">
        <v>36</v>
      </c>
      <c r="U7" s="257">
        <v>3</v>
      </c>
      <c r="V7" s="258">
        <v>0</v>
      </c>
    </row>
    <row r="8" spans="1:22" x14ac:dyDescent="0.3">
      <c r="A8" s="156" t="s">
        <v>196</v>
      </c>
      <c r="B8" s="240">
        <v>16</v>
      </c>
      <c r="C8" s="234">
        <v>17</v>
      </c>
      <c r="D8" s="235">
        <f t="shared" si="0"/>
        <v>-1</v>
      </c>
      <c r="E8" s="236">
        <f t="shared" si="1"/>
        <v>-5.8823529411764705E-2</v>
      </c>
      <c r="F8" s="233">
        <v>107</v>
      </c>
      <c r="G8" s="234">
        <v>108</v>
      </c>
      <c r="H8" s="235">
        <f t="shared" si="2"/>
        <v>-1</v>
      </c>
      <c r="I8" s="236">
        <f t="shared" si="3"/>
        <v>-9.2592592592592587E-3</v>
      </c>
      <c r="J8" s="233">
        <v>17805</v>
      </c>
      <c r="K8" s="348">
        <v>17955</v>
      </c>
      <c r="L8" s="349">
        <f t="shared" si="4"/>
        <v>-150</v>
      </c>
      <c r="M8" s="236">
        <f t="shared" si="5"/>
        <v>-8.3542188805346695E-3</v>
      </c>
      <c r="N8" s="408">
        <v>1</v>
      </c>
      <c r="O8" s="248">
        <v>1</v>
      </c>
      <c r="P8" s="408">
        <v>0</v>
      </c>
      <c r="Q8" s="248">
        <v>0</v>
      </c>
      <c r="R8" s="408">
        <v>0</v>
      </c>
      <c r="S8" s="248">
        <v>0</v>
      </c>
      <c r="T8" s="256">
        <v>21</v>
      </c>
      <c r="U8" s="257">
        <v>1</v>
      </c>
      <c r="V8" s="258">
        <v>0</v>
      </c>
    </row>
    <row r="9" spans="1:22" x14ac:dyDescent="0.3">
      <c r="A9" s="156" t="s">
        <v>197</v>
      </c>
      <c r="B9" s="240">
        <v>9</v>
      </c>
      <c r="C9" s="234">
        <v>8</v>
      </c>
      <c r="D9" s="235">
        <f t="shared" si="0"/>
        <v>1</v>
      </c>
      <c r="E9" s="236">
        <f t="shared" si="1"/>
        <v>0.125</v>
      </c>
      <c r="F9" s="233">
        <v>56</v>
      </c>
      <c r="G9" s="234">
        <v>50</v>
      </c>
      <c r="H9" s="235">
        <f t="shared" si="2"/>
        <v>6</v>
      </c>
      <c r="I9" s="236">
        <f t="shared" si="3"/>
        <v>0.12</v>
      </c>
      <c r="J9" s="233">
        <v>8583</v>
      </c>
      <c r="K9" s="348">
        <v>8173</v>
      </c>
      <c r="L9" s="349">
        <f t="shared" si="4"/>
        <v>410</v>
      </c>
      <c r="M9" s="236">
        <f t="shared" si="5"/>
        <v>5.016517802520494E-2</v>
      </c>
      <c r="N9" s="408">
        <v>0</v>
      </c>
      <c r="O9" s="248">
        <v>0</v>
      </c>
      <c r="P9" s="408">
        <v>0</v>
      </c>
      <c r="Q9" s="248">
        <v>0</v>
      </c>
      <c r="R9" s="408">
        <v>1</v>
      </c>
      <c r="S9" s="248">
        <v>6</v>
      </c>
      <c r="T9" s="256">
        <v>8</v>
      </c>
      <c r="U9" s="257">
        <v>0</v>
      </c>
      <c r="V9" s="258">
        <v>1</v>
      </c>
    </row>
    <row r="10" spans="1:22" x14ac:dyDescent="0.3">
      <c r="A10" s="160" t="s">
        <v>1337</v>
      </c>
      <c r="B10" s="240">
        <v>4</v>
      </c>
      <c r="C10" s="234">
        <v>4</v>
      </c>
      <c r="D10" s="235">
        <f t="shared" si="0"/>
        <v>0</v>
      </c>
      <c r="E10" s="236">
        <f t="shared" si="1"/>
        <v>0</v>
      </c>
      <c r="F10" s="233">
        <v>23</v>
      </c>
      <c r="G10" s="234">
        <v>23</v>
      </c>
      <c r="H10" s="235">
        <f t="shared" si="2"/>
        <v>0</v>
      </c>
      <c r="I10" s="236">
        <f t="shared" si="3"/>
        <v>0</v>
      </c>
      <c r="J10" s="233">
        <v>3284</v>
      </c>
      <c r="K10" s="348">
        <v>3284</v>
      </c>
      <c r="L10" s="349">
        <f t="shared" si="4"/>
        <v>0</v>
      </c>
      <c r="M10" s="236">
        <f t="shared" si="5"/>
        <v>0</v>
      </c>
      <c r="N10" s="408">
        <v>0</v>
      </c>
      <c r="O10" s="248">
        <v>0</v>
      </c>
      <c r="P10" s="408">
        <v>0</v>
      </c>
      <c r="Q10" s="248">
        <v>0</v>
      </c>
      <c r="R10" s="408">
        <v>0</v>
      </c>
      <c r="S10" s="248">
        <v>0</v>
      </c>
      <c r="T10" s="256">
        <v>7</v>
      </c>
      <c r="U10" s="257">
        <v>0</v>
      </c>
      <c r="V10" s="258">
        <v>0</v>
      </c>
    </row>
    <row r="11" spans="1:22" x14ac:dyDescent="0.3">
      <c r="A11" s="156" t="s">
        <v>198</v>
      </c>
      <c r="B11" s="240">
        <v>139</v>
      </c>
      <c r="C11" s="234">
        <v>132</v>
      </c>
      <c r="D11" s="235">
        <f t="shared" si="0"/>
        <v>7</v>
      </c>
      <c r="E11" s="236">
        <f t="shared" si="1"/>
        <v>5.3030303030303032E-2</v>
      </c>
      <c r="F11" s="233">
        <v>854</v>
      </c>
      <c r="G11" s="234">
        <v>830</v>
      </c>
      <c r="H11" s="235">
        <f t="shared" si="2"/>
        <v>24</v>
      </c>
      <c r="I11" s="236">
        <f t="shared" si="3"/>
        <v>2.891566265060241E-2</v>
      </c>
      <c r="J11" s="233">
        <v>116306</v>
      </c>
      <c r="K11" s="158">
        <v>118406</v>
      </c>
      <c r="L11" s="159">
        <f t="shared" si="4"/>
        <v>-2100</v>
      </c>
      <c r="M11" s="157">
        <f t="shared" si="5"/>
        <v>-1.7735587723595087E-2</v>
      </c>
      <c r="N11" s="408">
        <v>4</v>
      </c>
      <c r="O11" s="248">
        <v>27</v>
      </c>
      <c r="P11" s="408">
        <v>0</v>
      </c>
      <c r="Q11" s="248">
        <v>1</v>
      </c>
      <c r="R11" s="408">
        <v>10</v>
      </c>
      <c r="S11" s="248">
        <v>47</v>
      </c>
      <c r="T11" s="259">
        <v>151</v>
      </c>
      <c r="U11" s="257">
        <v>3</v>
      </c>
      <c r="V11" s="258">
        <v>4</v>
      </c>
    </row>
    <row r="12" spans="1:22" x14ac:dyDescent="0.3">
      <c r="A12" s="156" t="s">
        <v>199</v>
      </c>
      <c r="B12" s="240">
        <v>28</v>
      </c>
      <c r="C12" s="234">
        <v>24</v>
      </c>
      <c r="D12" s="235">
        <f t="shared" si="0"/>
        <v>4</v>
      </c>
      <c r="E12" s="236">
        <f t="shared" si="1"/>
        <v>0.16666666666666666</v>
      </c>
      <c r="F12" s="233">
        <v>127</v>
      </c>
      <c r="G12" s="234">
        <v>116</v>
      </c>
      <c r="H12" s="235">
        <f t="shared" si="2"/>
        <v>11</v>
      </c>
      <c r="I12" s="236">
        <f t="shared" si="3"/>
        <v>9.4827586206896547E-2</v>
      </c>
      <c r="J12" s="233">
        <v>14980</v>
      </c>
      <c r="K12" s="158">
        <v>14836</v>
      </c>
      <c r="L12" s="159">
        <f t="shared" si="4"/>
        <v>144</v>
      </c>
      <c r="M12" s="157">
        <f t="shared" si="5"/>
        <v>9.7061202480452947E-3</v>
      </c>
      <c r="N12" s="408">
        <v>0</v>
      </c>
      <c r="O12" s="248">
        <v>0</v>
      </c>
      <c r="P12" s="408">
        <v>0</v>
      </c>
      <c r="Q12" s="248">
        <v>0</v>
      </c>
      <c r="R12" s="408">
        <v>3</v>
      </c>
      <c r="S12" s="248">
        <v>9</v>
      </c>
      <c r="T12" s="256">
        <v>26</v>
      </c>
      <c r="U12" s="257">
        <v>2</v>
      </c>
      <c r="V12" s="258">
        <v>13</v>
      </c>
    </row>
    <row r="13" spans="1:22" x14ac:dyDescent="0.3">
      <c r="A13" s="156" t="s">
        <v>200</v>
      </c>
      <c r="B13" s="240">
        <v>21</v>
      </c>
      <c r="C13" s="234">
        <v>20</v>
      </c>
      <c r="D13" s="235">
        <f t="shared" si="0"/>
        <v>1</v>
      </c>
      <c r="E13" s="236">
        <f t="shared" si="1"/>
        <v>0.05</v>
      </c>
      <c r="F13" s="233">
        <v>119</v>
      </c>
      <c r="G13" s="234">
        <v>119</v>
      </c>
      <c r="H13" s="235">
        <f t="shared" si="2"/>
        <v>0</v>
      </c>
      <c r="I13" s="236">
        <f t="shared" si="3"/>
        <v>0</v>
      </c>
      <c r="J13" s="233">
        <v>15981</v>
      </c>
      <c r="K13" s="348">
        <v>16456</v>
      </c>
      <c r="L13" s="159">
        <f t="shared" si="4"/>
        <v>-475</v>
      </c>
      <c r="M13" s="157">
        <f t="shared" si="5"/>
        <v>-2.8864851725814291E-2</v>
      </c>
      <c r="N13" s="408">
        <v>1</v>
      </c>
      <c r="O13" s="248">
        <v>8</v>
      </c>
      <c r="P13" s="408">
        <v>0</v>
      </c>
      <c r="Q13" s="248">
        <v>0</v>
      </c>
      <c r="R13" s="408">
        <v>2</v>
      </c>
      <c r="S13" s="248">
        <v>8</v>
      </c>
      <c r="T13" s="256">
        <v>4</v>
      </c>
      <c r="U13" s="257">
        <v>1</v>
      </c>
      <c r="V13" s="258">
        <v>4</v>
      </c>
    </row>
    <row r="14" spans="1:22" x14ac:dyDescent="0.3">
      <c r="A14" s="156" t="s">
        <v>201</v>
      </c>
      <c r="B14" s="240">
        <v>29</v>
      </c>
      <c r="C14" s="234">
        <v>28</v>
      </c>
      <c r="D14" s="235">
        <f t="shared" si="0"/>
        <v>1</v>
      </c>
      <c r="E14" s="236">
        <f t="shared" si="1"/>
        <v>3.5714285714285712E-2</v>
      </c>
      <c r="F14" s="233">
        <v>149</v>
      </c>
      <c r="G14" s="234">
        <v>142</v>
      </c>
      <c r="H14" s="235">
        <f t="shared" si="2"/>
        <v>7</v>
      </c>
      <c r="I14" s="236">
        <f t="shared" si="3"/>
        <v>4.9295774647887321E-2</v>
      </c>
      <c r="J14" s="233">
        <v>18068</v>
      </c>
      <c r="K14" s="158">
        <v>17478</v>
      </c>
      <c r="L14" s="159">
        <f t="shared" si="4"/>
        <v>590</v>
      </c>
      <c r="M14" s="157">
        <f t="shared" si="5"/>
        <v>3.3756722737155284E-2</v>
      </c>
      <c r="N14" s="408">
        <v>0</v>
      </c>
      <c r="O14" s="248">
        <v>0</v>
      </c>
      <c r="P14" s="408">
        <v>2</v>
      </c>
      <c r="Q14" s="248">
        <v>2</v>
      </c>
      <c r="R14" s="408">
        <v>1</v>
      </c>
      <c r="S14" s="248">
        <v>6</v>
      </c>
      <c r="T14" s="256">
        <v>15</v>
      </c>
      <c r="U14" s="257">
        <v>2</v>
      </c>
      <c r="V14" s="258">
        <v>5</v>
      </c>
    </row>
    <row r="15" spans="1:22" x14ac:dyDescent="0.3">
      <c r="A15" s="156" t="s">
        <v>202</v>
      </c>
      <c r="B15" s="240">
        <v>29</v>
      </c>
      <c r="C15" s="234">
        <v>28</v>
      </c>
      <c r="D15" s="235">
        <f t="shared" si="0"/>
        <v>1</v>
      </c>
      <c r="E15" s="236">
        <f t="shared" si="1"/>
        <v>3.5714285714285712E-2</v>
      </c>
      <c r="F15" s="233">
        <v>139</v>
      </c>
      <c r="G15" s="234">
        <v>138</v>
      </c>
      <c r="H15" s="235">
        <f t="shared" si="2"/>
        <v>1</v>
      </c>
      <c r="I15" s="236">
        <f t="shared" si="3"/>
        <v>7.246376811594203E-3</v>
      </c>
      <c r="J15" s="233">
        <v>19277</v>
      </c>
      <c r="K15" s="158">
        <v>19298</v>
      </c>
      <c r="L15" s="159">
        <f t="shared" si="4"/>
        <v>-21</v>
      </c>
      <c r="M15" s="157">
        <f t="shared" si="5"/>
        <v>-1.0881956679448647E-3</v>
      </c>
      <c r="N15" s="408">
        <v>1</v>
      </c>
      <c r="O15" s="248">
        <v>2</v>
      </c>
      <c r="P15" s="408">
        <v>0</v>
      </c>
      <c r="Q15" s="248">
        <v>0</v>
      </c>
      <c r="R15" s="408">
        <v>1</v>
      </c>
      <c r="S15" s="248">
        <v>2</v>
      </c>
      <c r="T15" s="256">
        <v>17</v>
      </c>
      <c r="U15" s="257">
        <v>1</v>
      </c>
      <c r="V15" s="258">
        <v>8</v>
      </c>
    </row>
    <row r="16" spans="1:22" x14ac:dyDescent="0.3">
      <c r="A16" s="156" t="s">
        <v>1338</v>
      </c>
      <c r="B16" s="240">
        <v>23</v>
      </c>
      <c r="C16" s="234">
        <v>23</v>
      </c>
      <c r="D16" s="235">
        <f t="shared" si="0"/>
        <v>0</v>
      </c>
      <c r="E16" s="236">
        <f t="shared" si="1"/>
        <v>0</v>
      </c>
      <c r="F16" s="233">
        <v>101</v>
      </c>
      <c r="G16" s="234">
        <v>101</v>
      </c>
      <c r="H16" s="235">
        <f t="shared" si="2"/>
        <v>0</v>
      </c>
      <c r="I16" s="236">
        <f t="shared" si="3"/>
        <v>0</v>
      </c>
      <c r="J16" s="233">
        <v>12704</v>
      </c>
      <c r="K16" s="158">
        <v>12944</v>
      </c>
      <c r="L16" s="159">
        <f t="shared" si="4"/>
        <v>-240</v>
      </c>
      <c r="M16" s="157">
        <f t="shared" si="5"/>
        <v>-1.8541409147095178E-2</v>
      </c>
      <c r="N16" s="408">
        <v>1</v>
      </c>
      <c r="O16" s="248">
        <v>2</v>
      </c>
      <c r="P16" s="408">
        <v>0</v>
      </c>
      <c r="Q16" s="248">
        <v>0</v>
      </c>
      <c r="R16" s="408">
        <v>1</v>
      </c>
      <c r="S16" s="248">
        <v>2</v>
      </c>
      <c r="T16" s="256">
        <v>0</v>
      </c>
      <c r="U16" s="257">
        <v>0</v>
      </c>
      <c r="V16" s="258">
        <v>11</v>
      </c>
    </row>
    <row r="17" spans="1:22" x14ac:dyDescent="0.3">
      <c r="A17" s="156" t="s">
        <v>203</v>
      </c>
      <c r="B17" s="240">
        <v>33</v>
      </c>
      <c r="C17" s="234">
        <v>32</v>
      </c>
      <c r="D17" s="235">
        <f t="shared" si="0"/>
        <v>1</v>
      </c>
      <c r="E17" s="236">
        <f t="shared" si="1"/>
        <v>3.125E-2</v>
      </c>
      <c r="F17" s="233">
        <v>152</v>
      </c>
      <c r="G17" s="234">
        <v>155</v>
      </c>
      <c r="H17" s="235">
        <f t="shared" si="2"/>
        <v>-3</v>
      </c>
      <c r="I17" s="236">
        <f t="shared" si="3"/>
        <v>-1.935483870967742E-2</v>
      </c>
      <c r="J17" s="233">
        <v>17422</v>
      </c>
      <c r="K17" s="158">
        <v>19437</v>
      </c>
      <c r="L17" s="159">
        <f t="shared" si="4"/>
        <v>-2015</v>
      </c>
      <c r="M17" s="157">
        <f t="shared" si="5"/>
        <v>-0.10366826156299841</v>
      </c>
      <c r="N17" s="408">
        <v>0</v>
      </c>
      <c r="O17" s="248">
        <v>0</v>
      </c>
      <c r="P17" s="408">
        <v>2</v>
      </c>
      <c r="Q17" s="248">
        <v>15</v>
      </c>
      <c r="R17" s="408">
        <v>3</v>
      </c>
      <c r="S17" s="248">
        <v>12</v>
      </c>
      <c r="T17" s="256">
        <v>28</v>
      </c>
      <c r="U17" s="257">
        <v>2</v>
      </c>
      <c r="V17" s="258">
        <v>7</v>
      </c>
    </row>
    <row r="18" spans="1:22" x14ac:dyDescent="0.3">
      <c r="A18" s="156" t="s">
        <v>1339</v>
      </c>
      <c r="B18" s="240">
        <v>38</v>
      </c>
      <c r="C18" s="234">
        <v>38</v>
      </c>
      <c r="D18" s="235">
        <f t="shared" si="0"/>
        <v>0</v>
      </c>
      <c r="E18" s="236">
        <f t="shared" si="1"/>
        <v>0</v>
      </c>
      <c r="F18" s="233">
        <v>192</v>
      </c>
      <c r="G18" s="234">
        <v>197</v>
      </c>
      <c r="H18" s="235">
        <f t="shared" si="2"/>
        <v>-5</v>
      </c>
      <c r="I18" s="236">
        <f t="shared" si="3"/>
        <v>-2.5380710659898477E-2</v>
      </c>
      <c r="J18" s="233">
        <v>25260</v>
      </c>
      <c r="K18" s="158">
        <v>26032</v>
      </c>
      <c r="L18" s="159">
        <f t="shared" si="4"/>
        <v>-772</v>
      </c>
      <c r="M18" s="157">
        <f t="shared" si="5"/>
        <v>-2.9655808236017208E-2</v>
      </c>
      <c r="N18" s="408">
        <v>0</v>
      </c>
      <c r="O18" s="248">
        <v>0</v>
      </c>
      <c r="P18" s="408">
        <v>1</v>
      </c>
      <c r="Q18" s="248">
        <v>6</v>
      </c>
      <c r="R18" s="408">
        <v>1</v>
      </c>
      <c r="S18" s="248">
        <v>1</v>
      </c>
      <c r="T18" s="256">
        <v>38</v>
      </c>
      <c r="U18" s="257">
        <v>1</v>
      </c>
      <c r="V18" s="258">
        <v>6</v>
      </c>
    </row>
    <row r="19" spans="1:22" ht="17.25" thickBot="1" x14ac:dyDescent="0.35">
      <c r="A19" s="161" t="s">
        <v>204</v>
      </c>
      <c r="B19" s="238">
        <v>7</v>
      </c>
      <c r="C19" s="226">
        <v>6</v>
      </c>
      <c r="D19" s="227">
        <f t="shared" si="0"/>
        <v>1</v>
      </c>
      <c r="E19" s="241">
        <f t="shared" si="1"/>
        <v>0.16666666666666666</v>
      </c>
      <c r="F19" s="225">
        <v>39</v>
      </c>
      <c r="G19" s="226">
        <v>33</v>
      </c>
      <c r="H19" s="227">
        <f t="shared" si="2"/>
        <v>6</v>
      </c>
      <c r="I19" s="241">
        <f t="shared" si="3"/>
        <v>0.18181818181818182</v>
      </c>
      <c r="J19" s="225">
        <v>4165</v>
      </c>
      <c r="K19" s="151">
        <v>3584</v>
      </c>
      <c r="L19" s="152">
        <f t="shared" si="4"/>
        <v>581</v>
      </c>
      <c r="M19" s="162">
        <f t="shared" si="5"/>
        <v>0.162109375</v>
      </c>
      <c r="N19" s="409">
        <v>0</v>
      </c>
      <c r="O19" s="410">
        <v>0</v>
      </c>
      <c r="P19" s="409">
        <v>0</v>
      </c>
      <c r="Q19" s="410">
        <v>0</v>
      </c>
      <c r="R19" s="409">
        <v>0</v>
      </c>
      <c r="S19" s="410">
        <v>0</v>
      </c>
      <c r="T19" s="260">
        <v>10</v>
      </c>
      <c r="U19" s="251">
        <v>0</v>
      </c>
      <c r="V19" s="252">
        <v>1</v>
      </c>
    </row>
    <row r="20" spans="1:22" ht="18" thickTop="1" thickBot="1" x14ac:dyDescent="0.35">
      <c r="A20" s="163" t="s">
        <v>1295</v>
      </c>
      <c r="B20" s="242">
        <f>SUM(B4:B19)</f>
        <v>471</v>
      </c>
      <c r="C20" s="243">
        <v>453</v>
      </c>
      <c r="D20" s="227">
        <f t="shared" si="0"/>
        <v>18</v>
      </c>
      <c r="E20" s="228">
        <f t="shared" si="1"/>
        <v>3.9735099337748346E-2</v>
      </c>
      <c r="F20" s="244">
        <f>SUM(F4:F19)</f>
        <v>2731</v>
      </c>
      <c r="G20" s="243">
        <v>2666</v>
      </c>
      <c r="H20" s="227">
        <f t="shared" si="2"/>
        <v>65</v>
      </c>
      <c r="I20" s="228">
        <f t="shared" si="3"/>
        <v>2.4381095273818456E-2</v>
      </c>
      <c r="J20" s="245">
        <f>SUM(J4:J19)</f>
        <v>372193</v>
      </c>
      <c r="K20" s="164">
        <f>SUM(K4:K19)</f>
        <v>374322</v>
      </c>
      <c r="L20" s="152">
        <f t="shared" si="4"/>
        <v>-2129</v>
      </c>
      <c r="M20" s="150">
        <f t="shared" si="5"/>
        <v>-5.6876165440449666E-3</v>
      </c>
      <c r="N20" s="411">
        <f>SUM(N4:N19)</f>
        <v>11</v>
      </c>
      <c r="O20" s="412">
        <f>SUM(O4:O19)</f>
        <v>49</v>
      </c>
      <c r="P20" s="411">
        <f t="shared" ref="P20:U20" si="6">SUM(P4:P19)</f>
        <v>6</v>
      </c>
      <c r="Q20" s="412">
        <f t="shared" si="6"/>
        <v>26</v>
      </c>
      <c r="R20" s="411">
        <f>SUM(R4:R19)</f>
        <v>26</v>
      </c>
      <c r="S20" s="412">
        <f>SUM(S4:S19)</f>
        <v>112</v>
      </c>
      <c r="T20" s="261">
        <f t="shared" si="6"/>
        <v>428</v>
      </c>
      <c r="U20" s="262">
        <f t="shared" si="6"/>
        <v>33</v>
      </c>
      <c r="V20" s="263">
        <f>SUM(V4:V19)</f>
        <v>61</v>
      </c>
    </row>
    <row r="21" spans="1:22" ht="18" thickTop="1" thickBot="1" x14ac:dyDescent="0.35">
      <c r="A21" s="165" t="s">
        <v>1340</v>
      </c>
      <c r="B21" s="350">
        <f>B3+B20</f>
        <v>561</v>
      </c>
      <c r="C21" s="351">
        <f>C3+C20</f>
        <v>542</v>
      </c>
      <c r="D21" s="352">
        <f t="shared" si="0"/>
        <v>19</v>
      </c>
      <c r="E21" s="353">
        <f t="shared" si="1"/>
        <v>3.5055350553505532E-2</v>
      </c>
      <c r="F21" s="354">
        <f>F3+F20</f>
        <v>3322</v>
      </c>
      <c r="G21" s="351">
        <f>G3+G20</f>
        <v>3254</v>
      </c>
      <c r="H21" s="352">
        <f t="shared" si="2"/>
        <v>68</v>
      </c>
      <c r="I21" s="353">
        <f t="shared" si="3"/>
        <v>2.0897357098955131E-2</v>
      </c>
      <c r="J21" s="354">
        <f>J3+J20</f>
        <v>466680</v>
      </c>
      <c r="K21" s="166">
        <f>K3+K20</f>
        <v>470380</v>
      </c>
      <c r="L21" s="167">
        <f t="shared" si="4"/>
        <v>-3700</v>
      </c>
      <c r="M21" s="168">
        <f t="shared" si="5"/>
        <v>-7.8659806964581826E-3</v>
      </c>
      <c r="N21" s="413">
        <f>N3+N20</f>
        <v>13</v>
      </c>
      <c r="O21" s="414">
        <f>O3+O20</f>
        <v>56</v>
      </c>
      <c r="P21" s="415">
        <f t="shared" ref="P21:V21" si="7">P3+P20</f>
        <v>6</v>
      </c>
      <c r="Q21" s="416">
        <f t="shared" si="7"/>
        <v>29</v>
      </c>
      <c r="R21" s="418">
        <f>R3+R20</f>
        <v>27</v>
      </c>
      <c r="S21" s="266">
        <f>S3+S20</f>
        <v>119</v>
      </c>
      <c r="T21" s="264">
        <f t="shared" si="7"/>
        <v>547</v>
      </c>
      <c r="U21" s="265">
        <f t="shared" si="7"/>
        <v>68</v>
      </c>
      <c r="V21" s="266">
        <f t="shared" si="7"/>
        <v>61</v>
      </c>
    </row>
    <row r="22" spans="1:22" s="4" customFormat="1" x14ac:dyDescent="0.3">
      <c r="A22" s="48"/>
      <c r="B22" s="479"/>
      <c r="C22" s="479"/>
      <c r="D22" s="481"/>
      <c r="E22" s="482"/>
      <c r="F22" s="479"/>
      <c r="G22" s="479"/>
      <c r="H22" s="481"/>
      <c r="I22" s="482"/>
      <c r="J22" s="479"/>
      <c r="K22" s="480"/>
      <c r="L22" s="483"/>
      <c r="M22" s="484"/>
      <c r="N22" s="485"/>
      <c r="O22" s="485"/>
      <c r="P22" s="485"/>
      <c r="Q22" s="485"/>
      <c r="R22" s="485"/>
      <c r="S22" s="485"/>
      <c r="T22" s="486"/>
      <c r="U22" s="486"/>
      <c r="V22" s="485"/>
    </row>
    <row r="23" spans="1:22" x14ac:dyDescent="0.3">
      <c r="A23" s="169" t="s">
        <v>1341</v>
      </c>
      <c r="B23" s="170"/>
      <c r="C23" s="171"/>
      <c r="G23" s="171"/>
    </row>
    <row r="24" spans="1:22" x14ac:dyDescent="0.3">
      <c r="A24" s="116" t="s">
        <v>1342</v>
      </c>
      <c r="B24" s="170"/>
      <c r="C24" s="171"/>
      <c r="G24" s="171"/>
    </row>
    <row r="25" spans="1:22" x14ac:dyDescent="0.3">
      <c r="A25" s="117" t="s">
        <v>3157</v>
      </c>
      <c r="B25" s="170"/>
      <c r="C25" s="171"/>
      <c r="G25" s="171"/>
    </row>
    <row r="26" spans="1:22" x14ac:dyDescent="0.3">
      <c r="A26" s="117" t="s">
        <v>1343</v>
      </c>
      <c r="B26" s="170"/>
      <c r="C26" s="171"/>
      <c r="G26" s="171"/>
    </row>
    <row r="27" spans="1:22" x14ac:dyDescent="0.3">
      <c r="A27" s="172" t="s">
        <v>3144</v>
      </c>
      <c r="B27" s="170"/>
      <c r="C27" s="171"/>
      <c r="G27" s="171"/>
    </row>
    <row r="28" spans="1:22" x14ac:dyDescent="0.3">
      <c r="A28" s="44" t="s">
        <v>3450</v>
      </c>
      <c r="B28" s="170"/>
      <c r="C28" s="171"/>
      <c r="G28" s="171"/>
    </row>
    <row r="29" spans="1:22" x14ac:dyDescent="0.3">
      <c r="A29" s="173" t="s">
        <v>1344</v>
      </c>
      <c r="B29" s="170"/>
      <c r="C29" s="171"/>
      <c r="G29" s="171"/>
    </row>
    <row r="30" spans="1:22" x14ac:dyDescent="0.3">
      <c r="A30" s="174" t="s">
        <v>1345</v>
      </c>
      <c r="B30" s="170"/>
      <c r="C30" s="171"/>
      <c r="G30" s="171"/>
    </row>
  </sheetData>
  <mergeCells count="1">
    <mergeCell ref="A1:V1"/>
  </mergeCells>
  <phoneticPr fontId="2" type="noConversion"/>
  <pageMargins left="0.7" right="0.7" top="0.75" bottom="0.75" header="0.3" footer="0.3"/>
  <pageSetup paperSize="9" orientation="portrait" horizontalDpi="360" verticalDpi="360" r:id="rId1"/>
  <ignoredErrors>
    <ignoredError sqref="B20 F20 J20:K20 N20:Q20 R20:V20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1"/>
  <sheetViews>
    <sheetView workbookViewId="0">
      <pane xSplit="3" ySplit="2" topLeftCell="D231" activePane="bottomRight" state="frozen"/>
      <selection pane="topRight" activeCell="D1" sqref="D1"/>
      <selection pane="bottomLeft" activeCell="A3" sqref="A3"/>
      <selection pane="bottomRight" activeCell="I253" sqref="I253"/>
    </sheetView>
  </sheetViews>
  <sheetFormatPr defaultRowHeight="16.5" x14ac:dyDescent="0.3"/>
  <cols>
    <col min="1" max="1" width="12" customWidth="1"/>
    <col min="3" max="3" width="10.875" style="451" bestFit="1" customWidth="1"/>
    <col min="4" max="4" width="8.75" style="420"/>
    <col min="8" max="8" width="8.75" style="420"/>
    <col min="12" max="12" width="8.75" style="420"/>
    <col min="16" max="16" width="12" style="7" customWidth="1"/>
    <col min="17" max="17" width="10.625" style="7" customWidth="1"/>
  </cols>
  <sheetData>
    <row r="1" spans="1:19" ht="27" thickBot="1" x14ac:dyDescent="0.35">
      <c r="A1" s="585" t="s">
        <v>3171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6"/>
      <c r="M1" s="586"/>
      <c r="N1" s="586"/>
      <c r="O1" s="586"/>
      <c r="P1" s="585"/>
      <c r="Q1" s="585"/>
      <c r="R1" s="585"/>
      <c r="S1" s="205"/>
    </row>
    <row r="2" spans="1:19" ht="41.25" thickBot="1" x14ac:dyDescent="0.35">
      <c r="A2" s="309" t="s">
        <v>891</v>
      </c>
      <c r="B2" s="310" t="s">
        <v>1389</v>
      </c>
      <c r="C2" s="311" t="s">
        <v>3175</v>
      </c>
      <c r="D2" s="312" t="s">
        <v>3176</v>
      </c>
      <c r="E2" s="313" t="s">
        <v>3172</v>
      </c>
      <c r="F2" s="311" t="s">
        <v>1391</v>
      </c>
      <c r="G2" s="314" t="s">
        <v>1392</v>
      </c>
      <c r="H2" s="312" t="s">
        <v>3177</v>
      </c>
      <c r="I2" s="315" t="s">
        <v>3173</v>
      </c>
      <c r="J2" s="316" t="s">
        <v>1390</v>
      </c>
      <c r="K2" s="317" t="s">
        <v>1393</v>
      </c>
      <c r="L2" s="312" t="s">
        <v>3178</v>
      </c>
      <c r="M2" s="313" t="s">
        <v>1479</v>
      </c>
      <c r="N2" s="318" t="s">
        <v>1391</v>
      </c>
      <c r="O2" s="314" t="s">
        <v>1394</v>
      </c>
      <c r="P2" s="208" t="s">
        <v>3179</v>
      </c>
      <c r="Q2" s="305" t="s">
        <v>3174</v>
      </c>
      <c r="R2" s="209" t="s">
        <v>1395</v>
      </c>
    </row>
    <row r="3" spans="1:19" ht="17.25" thickTop="1" x14ac:dyDescent="0.25">
      <c r="A3" s="319" t="s">
        <v>1396</v>
      </c>
      <c r="B3" s="320" t="s">
        <v>3</v>
      </c>
      <c r="C3" s="452">
        <f>C4+C30+C47+C56+C67+C73+C79+C85+C86+C118+C137+C149+C165+C180+C203+C227+C246</f>
        <v>51439038</v>
      </c>
      <c r="D3" s="321">
        <f>D4+D30+D47+D56+D67+D73+D79+D85+D86+D118+D137+D149+D165+D180+D203+D227+D246</f>
        <v>561</v>
      </c>
      <c r="E3" s="439">
        <f>E4+E30+E47+E56+E67+E73+E79+E85+E86+E118+E137+E149+E165+E180+E203+E227+E246</f>
        <v>542</v>
      </c>
      <c r="F3" s="440">
        <f>D3-E3</f>
        <v>19</v>
      </c>
      <c r="G3" s="232">
        <f>F3/E3</f>
        <v>3.5055350553505532E-2</v>
      </c>
      <c r="H3" s="322">
        <f>H4+H30+H47+H56+H67+H73+H79+H85+H86+H118+H137+H149+H165+H180+H203+H227+H246</f>
        <v>3322</v>
      </c>
      <c r="I3" s="439">
        <f>I4+I30+I47+I56+I67+I73+I79+I85+I86+I118+I137+I149+I165+I180+I203+I227+I246</f>
        <v>3254</v>
      </c>
      <c r="J3" s="231">
        <f>H3-I3</f>
        <v>68</v>
      </c>
      <c r="K3" s="441">
        <f>J3/I3</f>
        <v>2.0897357098955131E-2</v>
      </c>
      <c r="L3" s="322">
        <f>L4+L30+L47+L56+L67+L73+L79+L85+L86+L118+L137+L149+L165+L180+L203+L227+L246</f>
        <v>466680</v>
      </c>
      <c r="M3" s="439">
        <f>M4+M30+M47+M56+M67+M73+M79+M85+M86+M118+M137+M149+M165+M180+M203+M227+M246</f>
        <v>470380</v>
      </c>
      <c r="N3" s="347">
        <f>L3-M3</f>
        <v>-3700</v>
      </c>
      <c r="O3" s="442">
        <f>N3/M3</f>
        <v>-7.8659806964581826E-3</v>
      </c>
      <c r="P3" s="323">
        <f>(H3/C3)*100000</f>
        <v>6.4581301073321002</v>
      </c>
      <c r="Q3" s="324">
        <v>6.3</v>
      </c>
      <c r="R3" s="325">
        <f>P3-Q3</f>
        <v>0.15813010733210042</v>
      </c>
    </row>
    <row r="4" spans="1:19" x14ac:dyDescent="0.25">
      <c r="A4" s="210" t="s">
        <v>1397</v>
      </c>
      <c r="B4" s="211" t="s">
        <v>3</v>
      </c>
      <c r="C4" s="453">
        <v>9428372</v>
      </c>
      <c r="D4" s="267">
        <f>SUM(D5:D29)</f>
        <v>90</v>
      </c>
      <c r="E4" s="428">
        <f>SUM(E5:E29)</f>
        <v>89</v>
      </c>
      <c r="F4" s="421">
        <f t="shared" ref="F4:F67" si="0">D4-E4</f>
        <v>1</v>
      </c>
      <c r="G4" s="236">
        <f t="shared" ref="G4:G67" si="1">F4/E4</f>
        <v>1.1235955056179775E-2</v>
      </c>
      <c r="H4" s="269">
        <f>SUM(H5:H29)</f>
        <v>591</v>
      </c>
      <c r="I4" s="429">
        <f>SUM(I5:I29)</f>
        <v>588</v>
      </c>
      <c r="J4" s="235">
        <f t="shared" ref="J4:J67" si="2">H4-I4</f>
        <v>3</v>
      </c>
      <c r="K4" s="423">
        <f t="shared" ref="K4:K67" si="3">J4/I4</f>
        <v>5.1020408163265302E-3</v>
      </c>
      <c r="L4" s="269">
        <f>SUM(L5:L29)</f>
        <v>94487</v>
      </c>
      <c r="M4" s="428">
        <f>SUM(M5:M29)</f>
        <v>96058</v>
      </c>
      <c r="N4" s="349">
        <f t="shared" ref="N4:N67" si="4">L4-M4</f>
        <v>-1571</v>
      </c>
      <c r="O4" s="424">
        <f t="shared" ref="O4:O67" si="5">N4/M4</f>
        <v>-1.6354702367319743E-2</v>
      </c>
      <c r="P4" s="271">
        <f t="shared" ref="P4:P67" si="6">(H4/C4)*100000</f>
        <v>6.2683144025288779</v>
      </c>
      <c r="Q4" s="306">
        <v>6.2</v>
      </c>
      <c r="R4" s="212">
        <f t="shared" ref="R4:R67" si="7">P4-Q4</f>
        <v>6.8314402528877771E-2</v>
      </c>
    </row>
    <row r="5" spans="1:19" x14ac:dyDescent="0.25">
      <c r="A5" s="213" t="s">
        <v>1398</v>
      </c>
      <c r="B5" s="214" t="s">
        <v>4</v>
      </c>
      <c r="C5" s="454">
        <v>141379</v>
      </c>
      <c r="D5" s="268">
        <v>6</v>
      </c>
      <c r="E5" s="443">
        <v>8</v>
      </c>
      <c r="F5" s="421">
        <f t="shared" si="0"/>
        <v>-2</v>
      </c>
      <c r="G5" s="236">
        <f t="shared" si="1"/>
        <v>-0.25</v>
      </c>
      <c r="H5" s="268">
        <v>20</v>
      </c>
      <c r="I5" s="447">
        <v>22</v>
      </c>
      <c r="J5" s="422">
        <f t="shared" si="2"/>
        <v>-2</v>
      </c>
      <c r="K5" s="423">
        <f t="shared" si="3"/>
        <v>-9.0909090909090912E-2</v>
      </c>
      <c r="L5" s="268">
        <v>2911</v>
      </c>
      <c r="M5" s="447">
        <v>3323</v>
      </c>
      <c r="N5" s="349">
        <f t="shared" si="4"/>
        <v>-412</v>
      </c>
      <c r="O5" s="424">
        <f t="shared" si="5"/>
        <v>-0.12398435148961781</v>
      </c>
      <c r="P5" s="272">
        <f t="shared" si="6"/>
        <v>14.146372516427475</v>
      </c>
      <c r="Q5" s="307">
        <v>15.2</v>
      </c>
      <c r="R5" s="212">
        <f t="shared" si="7"/>
        <v>-1.0536274835725248</v>
      </c>
    </row>
    <row r="6" spans="1:19" x14ac:dyDescent="0.25">
      <c r="A6" s="213" t="s">
        <v>1398</v>
      </c>
      <c r="B6" s="214" t="s">
        <v>5</v>
      </c>
      <c r="C6" s="455">
        <v>120437</v>
      </c>
      <c r="D6" s="268">
        <v>8</v>
      </c>
      <c r="E6" s="444">
        <v>8</v>
      </c>
      <c r="F6" s="421">
        <f t="shared" si="0"/>
        <v>0</v>
      </c>
      <c r="G6" s="236">
        <f t="shared" si="1"/>
        <v>0</v>
      </c>
      <c r="H6" s="268">
        <v>42</v>
      </c>
      <c r="I6" s="447">
        <v>42</v>
      </c>
      <c r="J6" s="422">
        <f t="shared" si="2"/>
        <v>0</v>
      </c>
      <c r="K6" s="423">
        <f t="shared" si="3"/>
        <v>0</v>
      </c>
      <c r="L6" s="268">
        <v>7762</v>
      </c>
      <c r="M6" s="447">
        <v>7732</v>
      </c>
      <c r="N6" s="349">
        <f t="shared" si="4"/>
        <v>30</v>
      </c>
      <c r="O6" s="424">
        <f t="shared" si="5"/>
        <v>3.8799793067770304E-3</v>
      </c>
      <c r="P6" s="272">
        <f t="shared" si="6"/>
        <v>34.873004143245012</v>
      </c>
      <c r="Q6" s="307">
        <v>34.299999999999997</v>
      </c>
      <c r="R6" s="212">
        <f t="shared" si="7"/>
        <v>0.57300414324501503</v>
      </c>
    </row>
    <row r="7" spans="1:19" x14ac:dyDescent="0.25">
      <c r="A7" s="213" t="s">
        <v>1398</v>
      </c>
      <c r="B7" s="214" t="s">
        <v>6</v>
      </c>
      <c r="C7" s="455">
        <v>218650</v>
      </c>
      <c r="D7" s="268">
        <v>2</v>
      </c>
      <c r="E7" s="444">
        <v>2</v>
      </c>
      <c r="F7" s="421">
        <f t="shared" si="0"/>
        <v>0</v>
      </c>
      <c r="G7" s="236">
        <f t="shared" si="1"/>
        <v>0</v>
      </c>
      <c r="H7" s="268">
        <v>28</v>
      </c>
      <c r="I7" s="447">
        <v>28</v>
      </c>
      <c r="J7" s="422">
        <f t="shared" si="2"/>
        <v>0</v>
      </c>
      <c r="K7" s="423">
        <f t="shared" si="3"/>
        <v>0</v>
      </c>
      <c r="L7" s="268">
        <v>5355</v>
      </c>
      <c r="M7" s="447">
        <v>5361</v>
      </c>
      <c r="N7" s="349">
        <f t="shared" si="4"/>
        <v>-6</v>
      </c>
      <c r="O7" s="424">
        <f t="shared" si="5"/>
        <v>-1.1191941801902631E-3</v>
      </c>
      <c r="P7" s="272">
        <f t="shared" si="6"/>
        <v>12.805854104733593</v>
      </c>
      <c r="Q7" s="307">
        <v>12.6</v>
      </c>
      <c r="R7" s="212">
        <f t="shared" si="7"/>
        <v>0.20585410473359289</v>
      </c>
    </row>
    <row r="8" spans="1:19" x14ac:dyDescent="0.25">
      <c r="A8" s="213" t="s">
        <v>1398</v>
      </c>
      <c r="B8" s="214" t="s">
        <v>7</v>
      </c>
      <c r="C8" s="455">
        <v>281000</v>
      </c>
      <c r="D8" s="268">
        <v>2</v>
      </c>
      <c r="E8" s="444">
        <v>2</v>
      </c>
      <c r="F8" s="421">
        <f t="shared" si="0"/>
        <v>0</v>
      </c>
      <c r="G8" s="236">
        <f t="shared" si="1"/>
        <v>0</v>
      </c>
      <c r="H8" s="268">
        <v>17</v>
      </c>
      <c r="I8" s="447">
        <v>17</v>
      </c>
      <c r="J8" s="422">
        <f t="shared" si="2"/>
        <v>0</v>
      </c>
      <c r="K8" s="423">
        <f t="shared" si="3"/>
        <v>0</v>
      </c>
      <c r="L8" s="268">
        <v>2811</v>
      </c>
      <c r="M8" s="447">
        <v>2811</v>
      </c>
      <c r="N8" s="349">
        <f t="shared" si="4"/>
        <v>0</v>
      </c>
      <c r="O8" s="424">
        <f t="shared" si="5"/>
        <v>0</v>
      </c>
      <c r="P8" s="272">
        <f t="shared" si="6"/>
        <v>6.04982206405694</v>
      </c>
      <c r="Q8" s="307">
        <v>5.9</v>
      </c>
      <c r="R8" s="212">
        <f t="shared" si="7"/>
        <v>0.14982206405693965</v>
      </c>
    </row>
    <row r="9" spans="1:19" x14ac:dyDescent="0.25">
      <c r="A9" s="213" t="s">
        <v>1398</v>
      </c>
      <c r="B9" s="214" t="s">
        <v>8</v>
      </c>
      <c r="C9" s="455">
        <v>337416</v>
      </c>
      <c r="D9" s="268">
        <v>5</v>
      </c>
      <c r="E9" s="444">
        <v>5</v>
      </c>
      <c r="F9" s="421">
        <f t="shared" si="0"/>
        <v>0</v>
      </c>
      <c r="G9" s="236">
        <f t="shared" si="1"/>
        <v>0</v>
      </c>
      <c r="H9" s="268">
        <v>37</v>
      </c>
      <c r="I9" s="447">
        <v>38</v>
      </c>
      <c r="J9" s="422">
        <f t="shared" si="2"/>
        <v>-1</v>
      </c>
      <c r="K9" s="423">
        <f t="shared" si="3"/>
        <v>-2.6315789473684209E-2</v>
      </c>
      <c r="L9" s="268">
        <v>5669</v>
      </c>
      <c r="M9" s="447">
        <v>5698</v>
      </c>
      <c r="N9" s="349">
        <f t="shared" si="4"/>
        <v>-29</v>
      </c>
      <c r="O9" s="424">
        <f t="shared" si="5"/>
        <v>-5.0895050895050893E-3</v>
      </c>
      <c r="P9" s="272">
        <f t="shared" si="6"/>
        <v>10.965692201910993</v>
      </c>
      <c r="Q9" s="307">
        <v>11.2</v>
      </c>
      <c r="R9" s="212">
        <f t="shared" si="7"/>
        <v>-0.23430779808900581</v>
      </c>
    </row>
    <row r="10" spans="1:19" x14ac:dyDescent="0.25">
      <c r="A10" s="213" t="s">
        <v>1398</v>
      </c>
      <c r="B10" s="214" t="s">
        <v>9</v>
      </c>
      <c r="C10" s="455">
        <v>336644</v>
      </c>
      <c r="D10" s="268">
        <v>1</v>
      </c>
      <c r="E10" s="444">
        <v>1</v>
      </c>
      <c r="F10" s="421">
        <f t="shared" si="0"/>
        <v>0</v>
      </c>
      <c r="G10" s="236">
        <f t="shared" si="1"/>
        <v>0</v>
      </c>
      <c r="H10" s="268">
        <v>8</v>
      </c>
      <c r="I10" s="447">
        <v>8</v>
      </c>
      <c r="J10" s="422">
        <f t="shared" si="2"/>
        <v>0</v>
      </c>
      <c r="K10" s="423">
        <f t="shared" si="3"/>
        <v>0</v>
      </c>
      <c r="L10" s="268">
        <v>1737</v>
      </c>
      <c r="M10" s="447">
        <v>1737</v>
      </c>
      <c r="N10" s="349">
        <f t="shared" si="4"/>
        <v>0</v>
      </c>
      <c r="O10" s="424">
        <f t="shared" si="5"/>
        <v>0</v>
      </c>
      <c r="P10" s="272">
        <f t="shared" si="6"/>
        <v>2.3763976188495857</v>
      </c>
      <c r="Q10" s="307">
        <v>2.4</v>
      </c>
      <c r="R10" s="212">
        <f t="shared" si="7"/>
        <v>-2.3602381150414242E-2</v>
      </c>
    </row>
    <row r="11" spans="1:19" x14ac:dyDescent="0.25">
      <c r="A11" s="213" t="s">
        <v>1398</v>
      </c>
      <c r="B11" s="214" t="s">
        <v>10</v>
      </c>
      <c r="C11" s="455">
        <v>385318</v>
      </c>
      <c r="D11" s="268">
        <v>3</v>
      </c>
      <c r="E11" s="444">
        <v>3</v>
      </c>
      <c r="F11" s="421">
        <f t="shared" si="0"/>
        <v>0</v>
      </c>
      <c r="G11" s="236">
        <f t="shared" si="1"/>
        <v>0</v>
      </c>
      <c r="H11" s="268">
        <v>22</v>
      </c>
      <c r="I11" s="447">
        <v>22</v>
      </c>
      <c r="J11" s="422">
        <f t="shared" si="2"/>
        <v>0</v>
      </c>
      <c r="K11" s="423">
        <f t="shared" si="3"/>
        <v>0</v>
      </c>
      <c r="L11" s="268">
        <v>3064</v>
      </c>
      <c r="M11" s="447">
        <v>3064</v>
      </c>
      <c r="N11" s="349">
        <f t="shared" si="4"/>
        <v>0</v>
      </c>
      <c r="O11" s="424">
        <f t="shared" si="5"/>
        <v>0</v>
      </c>
      <c r="P11" s="272">
        <f t="shared" si="6"/>
        <v>5.7095697579661477</v>
      </c>
      <c r="Q11" s="307">
        <v>5.7</v>
      </c>
      <c r="R11" s="212">
        <f t="shared" si="7"/>
        <v>9.5697579661475629E-3</v>
      </c>
    </row>
    <row r="12" spans="1:19" x14ac:dyDescent="0.25">
      <c r="A12" s="213" t="s">
        <v>1398</v>
      </c>
      <c r="B12" s="214" t="s">
        <v>11</v>
      </c>
      <c r="C12" s="455">
        <v>430397</v>
      </c>
      <c r="D12" s="268">
        <v>2</v>
      </c>
      <c r="E12" s="444">
        <v>2</v>
      </c>
      <c r="F12" s="421">
        <f t="shared" si="0"/>
        <v>0</v>
      </c>
      <c r="G12" s="236">
        <f t="shared" si="1"/>
        <v>0</v>
      </c>
      <c r="H12" s="268">
        <v>8</v>
      </c>
      <c r="I12" s="447">
        <v>8</v>
      </c>
      <c r="J12" s="422">
        <f t="shared" si="2"/>
        <v>0</v>
      </c>
      <c r="K12" s="423">
        <f t="shared" si="3"/>
        <v>0</v>
      </c>
      <c r="L12" s="268">
        <v>1240</v>
      </c>
      <c r="M12" s="447">
        <v>1240</v>
      </c>
      <c r="N12" s="349">
        <f t="shared" si="4"/>
        <v>0</v>
      </c>
      <c r="O12" s="424">
        <f t="shared" si="5"/>
        <v>0</v>
      </c>
      <c r="P12" s="272">
        <f t="shared" si="6"/>
        <v>1.858749015443881</v>
      </c>
      <c r="Q12" s="307">
        <v>1.9</v>
      </c>
      <c r="R12" s="212">
        <f t="shared" si="7"/>
        <v>-4.1250984556118864E-2</v>
      </c>
    </row>
    <row r="13" spans="1:19" x14ac:dyDescent="0.25">
      <c r="A13" s="213" t="s">
        <v>1398</v>
      </c>
      <c r="B13" s="214" t="s">
        <v>12</v>
      </c>
      <c r="C13" s="455">
        <v>293660</v>
      </c>
      <c r="D13" s="268">
        <v>3</v>
      </c>
      <c r="E13" s="444">
        <v>3</v>
      </c>
      <c r="F13" s="421">
        <f t="shared" si="0"/>
        <v>0</v>
      </c>
      <c r="G13" s="236">
        <f t="shared" si="1"/>
        <v>0</v>
      </c>
      <c r="H13" s="268">
        <v>21</v>
      </c>
      <c r="I13" s="447">
        <v>21</v>
      </c>
      <c r="J13" s="422">
        <f t="shared" si="2"/>
        <v>0</v>
      </c>
      <c r="K13" s="423">
        <f t="shared" si="3"/>
        <v>0</v>
      </c>
      <c r="L13" s="268">
        <v>2516</v>
      </c>
      <c r="M13" s="447">
        <v>2516</v>
      </c>
      <c r="N13" s="349">
        <f t="shared" si="4"/>
        <v>0</v>
      </c>
      <c r="O13" s="424">
        <f t="shared" si="5"/>
        <v>0</v>
      </c>
      <c r="P13" s="272">
        <f t="shared" si="6"/>
        <v>7.1511271538513927</v>
      </c>
      <c r="Q13" s="307">
        <v>7</v>
      </c>
      <c r="R13" s="212">
        <f t="shared" si="7"/>
        <v>0.15112715385139275</v>
      </c>
    </row>
    <row r="14" spans="1:19" x14ac:dyDescent="0.25">
      <c r="A14" s="213" t="s">
        <v>1398</v>
      </c>
      <c r="B14" s="214" t="s">
        <v>13</v>
      </c>
      <c r="C14" s="455">
        <v>311694</v>
      </c>
      <c r="D14" s="268">
        <v>2</v>
      </c>
      <c r="E14" s="444">
        <v>1</v>
      </c>
      <c r="F14" s="421">
        <f t="shared" si="0"/>
        <v>1</v>
      </c>
      <c r="G14" s="236">
        <f t="shared" si="1"/>
        <v>1</v>
      </c>
      <c r="H14" s="268">
        <v>12</v>
      </c>
      <c r="I14" s="447">
        <v>5</v>
      </c>
      <c r="J14" s="422">
        <f t="shared" si="2"/>
        <v>7</v>
      </c>
      <c r="K14" s="423">
        <f t="shared" si="3"/>
        <v>1.4</v>
      </c>
      <c r="L14" s="268">
        <v>1550</v>
      </c>
      <c r="M14" s="447">
        <v>680</v>
      </c>
      <c r="N14" s="349">
        <f t="shared" si="4"/>
        <v>870</v>
      </c>
      <c r="O14" s="424">
        <f t="shared" si="5"/>
        <v>1.2794117647058822</v>
      </c>
      <c r="P14" s="272">
        <f t="shared" si="6"/>
        <v>3.8499297387822673</v>
      </c>
      <c r="Q14" s="307">
        <v>1.6</v>
      </c>
      <c r="R14" s="212">
        <f t="shared" si="7"/>
        <v>2.2499297387822672</v>
      </c>
    </row>
    <row r="15" spans="1:19" x14ac:dyDescent="0.25">
      <c r="A15" s="213" t="s">
        <v>1398</v>
      </c>
      <c r="B15" s="214" t="s">
        <v>14</v>
      </c>
      <c r="C15" s="455">
        <v>503734</v>
      </c>
      <c r="D15" s="268">
        <v>5</v>
      </c>
      <c r="E15" s="444">
        <v>5</v>
      </c>
      <c r="F15" s="421">
        <f t="shared" si="0"/>
        <v>0</v>
      </c>
      <c r="G15" s="236">
        <f t="shared" si="1"/>
        <v>0</v>
      </c>
      <c r="H15" s="268">
        <v>28</v>
      </c>
      <c r="I15" s="447">
        <v>28</v>
      </c>
      <c r="J15" s="422">
        <f t="shared" si="2"/>
        <v>0</v>
      </c>
      <c r="K15" s="423">
        <f t="shared" si="3"/>
        <v>0</v>
      </c>
      <c r="L15" s="268">
        <v>4559</v>
      </c>
      <c r="M15" s="447">
        <v>4590</v>
      </c>
      <c r="N15" s="349">
        <f t="shared" si="4"/>
        <v>-31</v>
      </c>
      <c r="O15" s="424">
        <f t="shared" si="5"/>
        <v>-6.7538126361655773E-3</v>
      </c>
      <c r="P15" s="272">
        <f t="shared" si="6"/>
        <v>5.5584892026347239</v>
      </c>
      <c r="Q15" s="307">
        <v>5.5</v>
      </c>
      <c r="R15" s="212">
        <f t="shared" si="7"/>
        <v>5.8489202634723902E-2</v>
      </c>
    </row>
    <row r="16" spans="1:19" x14ac:dyDescent="0.25">
      <c r="A16" s="213" t="s">
        <v>1398</v>
      </c>
      <c r="B16" s="214" t="s">
        <v>15</v>
      </c>
      <c r="C16" s="455">
        <v>466746</v>
      </c>
      <c r="D16" s="268">
        <v>2</v>
      </c>
      <c r="E16" s="444">
        <v>2</v>
      </c>
      <c r="F16" s="421">
        <f t="shared" si="0"/>
        <v>0</v>
      </c>
      <c r="G16" s="236">
        <f t="shared" si="1"/>
        <v>0</v>
      </c>
      <c r="H16" s="268">
        <v>17</v>
      </c>
      <c r="I16" s="447">
        <v>17</v>
      </c>
      <c r="J16" s="422">
        <f t="shared" si="2"/>
        <v>0</v>
      </c>
      <c r="K16" s="423">
        <f t="shared" si="3"/>
        <v>0</v>
      </c>
      <c r="L16" s="268">
        <v>2956</v>
      </c>
      <c r="M16" s="447">
        <v>2956</v>
      </c>
      <c r="N16" s="349">
        <f t="shared" si="4"/>
        <v>0</v>
      </c>
      <c r="O16" s="424">
        <f t="shared" si="5"/>
        <v>0</v>
      </c>
      <c r="P16" s="272">
        <f t="shared" si="6"/>
        <v>3.6422379624035344</v>
      </c>
      <c r="Q16" s="307">
        <v>3.6</v>
      </c>
      <c r="R16" s="212">
        <f t="shared" si="7"/>
        <v>4.2237962403534279E-2</v>
      </c>
    </row>
    <row r="17" spans="1:18" x14ac:dyDescent="0.25">
      <c r="A17" s="213" t="s">
        <v>1398</v>
      </c>
      <c r="B17" s="214" t="s">
        <v>16</v>
      </c>
      <c r="C17" s="455">
        <v>306337</v>
      </c>
      <c r="D17" s="268">
        <v>5</v>
      </c>
      <c r="E17" s="444">
        <v>5</v>
      </c>
      <c r="F17" s="421">
        <f t="shared" si="0"/>
        <v>0</v>
      </c>
      <c r="G17" s="236">
        <f t="shared" si="1"/>
        <v>0</v>
      </c>
      <c r="H17" s="268">
        <v>23</v>
      </c>
      <c r="I17" s="447">
        <v>23</v>
      </c>
      <c r="J17" s="422">
        <f t="shared" si="2"/>
        <v>0</v>
      </c>
      <c r="K17" s="423">
        <f t="shared" si="3"/>
        <v>0</v>
      </c>
      <c r="L17" s="268">
        <v>3712</v>
      </c>
      <c r="M17" s="447">
        <v>3712</v>
      </c>
      <c r="N17" s="349">
        <f t="shared" si="4"/>
        <v>0</v>
      </c>
      <c r="O17" s="424">
        <f t="shared" si="5"/>
        <v>0</v>
      </c>
      <c r="P17" s="272">
        <f t="shared" si="6"/>
        <v>7.5080711765147532</v>
      </c>
      <c r="Q17" s="307">
        <v>7.5</v>
      </c>
      <c r="R17" s="212">
        <f t="shared" si="7"/>
        <v>8.0711765147531978E-3</v>
      </c>
    </row>
    <row r="18" spans="1:18" x14ac:dyDescent="0.25">
      <c r="A18" s="213" t="s">
        <v>1398</v>
      </c>
      <c r="B18" s="214" t="s">
        <v>17</v>
      </c>
      <c r="C18" s="455">
        <v>364638</v>
      </c>
      <c r="D18" s="268">
        <v>8</v>
      </c>
      <c r="E18" s="444">
        <v>6</v>
      </c>
      <c r="F18" s="421">
        <f t="shared" si="0"/>
        <v>2</v>
      </c>
      <c r="G18" s="236">
        <f t="shared" si="1"/>
        <v>0.33333333333333331</v>
      </c>
      <c r="H18" s="268">
        <v>38</v>
      </c>
      <c r="I18" s="447">
        <v>36</v>
      </c>
      <c r="J18" s="422">
        <f t="shared" si="2"/>
        <v>2</v>
      </c>
      <c r="K18" s="423">
        <f t="shared" si="3"/>
        <v>5.5555555555555552E-2</v>
      </c>
      <c r="L18" s="268">
        <v>6033</v>
      </c>
      <c r="M18" s="447">
        <v>5771</v>
      </c>
      <c r="N18" s="349">
        <f t="shared" si="4"/>
        <v>262</v>
      </c>
      <c r="O18" s="424">
        <f t="shared" si="5"/>
        <v>4.5399410847340151E-2</v>
      </c>
      <c r="P18" s="272">
        <f t="shared" si="6"/>
        <v>10.421294544178062</v>
      </c>
      <c r="Q18" s="307">
        <v>9.8000000000000007</v>
      </c>
      <c r="R18" s="212">
        <f t="shared" si="7"/>
        <v>0.62129454417806151</v>
      </c>
    </row>
    <row r="19" spans="1:18" x14ac:dyDescent="0.25">
      <c r="A19" s="213" t="s">
        <v>1398</v>
      </c>
      <c r="B19" s="214" t="s">
        <v>18</v>
      </c>
      <c r="C19" s="455">
        <v>440881</v>
      </c>
      <c r="D19" s="268">
        <v>2</v>
      </c>
      <c r="E19" s="444">
        <v>2</v>
      </c>
      <c r="F19" s="421">
        <f t="shared" si="0"/>
        <v>0</v>
      </c>
      <c r="G19" s="236">
        <f t="shared" si="1"/>
        <v>0</v>
      </c>
      <c r="H19" s="268">
        <v>17</v>
      </c>
      <c r="I19" s="447">
        <v>17</v>
      </c>
      <c r="J19" s="422">
        <f t="shared" si="2"/>
        <v>0</v>
      </c>
      <c r="K19" s="423">
        <f t="shared" si="3"/>
        <v>0</v>
      </c>
      <c r="L19" s="268">
        <v>2467</v>
      </c>
      <c r="M19" s="447">
        <v>3053</v>
      </c>
      <c r="N19" s="349">
        <f t="shared" si="4"/>
        <v>-586</v>
      </c>
      <c r="O19" s="424">
        <f t="shared" si="5"/>
        <v>-0.19194235178512939</v>
      </c>
      <c r="P19" s="272">
        <f t="shared" si="6"/>
        <v>3.855915768654127</v>
      </c>
      <c r="Q19" s="307">
        <v>3.8</v>
      </c>
      <c r="R19" s="212">
        <f t="shared" si="7"/>
        <v>5.5915768654127174E-2</v>
      </c>
    </row>
    <row r="20" spans="1:18" x14ac:dyDescent="0.25">
      <c r="A20" s="213" t="s">
        <v>1398</v>
      </c>
      <c r="B20" s="214" t="s">
        <v>19</v>
      </c>
      <c r="C20" s="455">
        <v>569166</v>
      </c>
      <c r="D20" s="268">
        <v>5</v>
      </c>
      <c r="E20" s="444">
        <v>5</v>
      </c>
      <c r="F20" s="421">
        <f t="shared" si="0"/>
        <v>0</v>
      </c>
      <c r="G20" s="236">
        <f t="shared" si="1"/>
        <v>0</v>
      </c>
      <c r="H20" s="268">
        <v>33</v>
      </c>
      <c r="I20" s="447">
        <v>35</v>
      </c>
      <c r="J20" s="422">
        <f t="shared" si="2"/>
        <v>-2</v>
      </c>
      <c r="K20" s="423">
        <f t="shared" si="3"/>
        <v>-5.7142857142857141E-2</v>
      </c>
      <c r="L20" s="268">
        <v>5171</v>
      </c>
      <c r="M20" s="447">
        <v>5849</v>
      </c>
      <c r="N20" s="349">
        <f t="shared" si="4"/>
        <v>-678</v>
      </c>
      <c r="O20" s="424">
        <f t="shared" si="5"/>
        <v>-0.11591725081210463</v>
      </c>
      <c r="P20" s="272">
        <f t="shared" si="6"/>
        <v>5.7979570107841996</v>
      </c>
      <c r="Q20" s="307">
        <v>6.1</v>
      </c>
      <c r="R20" s="212">
        <f t="shared" si="7"/>
        <v>-0.30204298921580008</v>
      </c>
    </row>
    <row r="21" spans="1:18" x14ac:dyDescent="0.25">
      <c r="A21" s="213" t="s">
        <v>1398</v>
      </c>
      <c r="B21" s="214" t="s">
        <v>20</v>
      </c>
      <c r="C21" s="455">
        <v>395315</v>
      </c>
      <c r="D21" s="268">
        <v>3</v>
      </c>
      <c r="E21" s="444">
        <v>3</v>
      </c>
      <c r="F21" s="421">
        <f t="shared" si="0"/>
        <v>0</v>
      </c>
      <c r="G21" s="236">
        <f t="shared" si="1"/>
        <v>0</v>
      </c>
      <c r="H21" s="268">
        <v>23</v>
      </c>
      <c r="I21" s="447">
        <v>25</v>
      </c>
      <c r="J21" s="422">
        <f t="shared" si="2"/>
        <v>-2</v>
      </c>
      <c r="K21" s="423">
        <f t="shared" si="3"/>
        <v>-0.08</v>
      </c>
      <c r="L21" s="268">
        <v>2907</v>
      </c>
      <c r="M21" s="447">
        <v>3358</v>
      </c>
      <c r="N21" s="349">
        <f t="shared" si="4"/>
        <v>-451</v>
      </c>
      <c r="O21" s="424">
        <f t="shared" si="5"/>
        <v>-0.1343061346039309</v>
      </c>
      <c r="P21" s="272">
        <f t="shared" si="6"/>
        <v>5.8181450235887837</v>
      </c>
      <c r="Q21" s="307">
        <v>6.3</v>
      </c>
      <c r="R21" s="212">
        <f t="shared" si="7"/>
        <v>-0.48185497641121611</v>
      </c>
    </row>
    <row r="22" spans="1:18" x14ac:dyDescent="0.25">
      <c r="A22" s="213" t="s">
        <v>1398</v>
      </c>
      <c r="B22" s="214" t="s">
        <v>21</v>
      </c>
      <c r="C22" s="455">
        <v>229642</v>
      </c>
      <c r="D22" s="268">
        <v>2</v>
      </c>
      <c r="E22" s="444">
        <v>2</v>
      </c>
      <c r="F22" s="421">
        <f t="shared" si="0"/>
        <v>0</v>
      </c>
      <c r="G22" s="236">
        <f t="shared" si="1"/>
        <v>0</v>
      </c>
      <c r="H22" s="268">
        <v>14</v>
      </c>
      <c r="I22" s="447">
        <v>14</v>
      </c>
      <c r="J22" s="422">
        <f t="shared" si="2"/>
        <v>0</v>
      </c>
      <c r="K22" s="423">
        <f t="shared" si="3"/>
        <v>0</v>
      </c>
      <c r="L22" s="268">
        <v>2660</v>
      </c>
      <c r="M22" s="447">
        <v>2660</v>
      </c>
      <c r="N22" s="349">
        <f t="shared" si="4"/>
        <v>0</v>
      </c>
      <c r="O22" s="424">
        <f t="shared" si="5"/>
        <v>0</v>
      </c>
      <c r="P22" s="272">
        <f t="shared" si="6"/>
        <v>6.0964457721148566</v>
      </c>
      <c r="Q22" s="307">
        <v>6.1</v>
      </c>
      <c r="R22" s="212">
        <f t="shared" si="7"/>
        <v>-3.5542278851430353E-3</v>
      </c>
    </row>
    <row r="23" spans="1:18" x14ac:dyDescent="0.25">
      <c r="A23" s="213" t="s">
        <v>1398</v>
      </c>
      <c r="B23" s="214" t="s">
        <v>22</v>
      </c>
      <c r="C23" s="455">
        <v>375675</v>
      </c>
      <c r="D23" s="268">
        <v>3</v>
      </c>
      <c r="E23" s="444">
        <v>3</v>
      </c>
      <c r="F23" s="421">
        <f t="shared" si="0"/>
        <v>0</v>
      </c>
      <c r="G23" s="236">
        <f t="shared" si="1"/>
        <v>0</v>
      </c>
      <c r="H23" s="268">
        <v>28</v>
      </c>
      <c r="I23" s="447">
        <v>28</v>
      </c>
      <c r="J23" s="422">
        <f t="shared" si="2"/>
        <v>0</v>
      </c>
      <c r="K23" s="423">
        <f t="shared" si="3"/>
        <v>0</v>
      </c>
      <c r="L23" s="268">
        <v>5175</v>
      </c>
      <c r="M23" s="447">
        <v>5308</v>
      </c>
      <c r="N23" s="349">
        <f t="shared" si="4"/>
        <v>-133</v>
      </c>
      <c r="O23" s="424">
        <f t="shared" si="5"/>
        <v>-2.5056518462697814E-2</v>
      </c>
      <c r="P23" s="272">
        <f t="shared" si="6"/>
        <v>7.4532508151993087</v>
      </c>
      <c r="Q23" s="307">
        <v>7.4</v>
      </c>
      <c r="R23" s="212">
        <f t="shared" si="7"/>
        <v>5.3250815199308299E-2</v>
      </c>
    </row>
    <row r="24" spans="1:18" x14ac:dyDescent="0.25">
      <c r="A24" s="213" t="s">
        <v>1398</v>
      </c>
      <c r="B24" s="214" t="s">
        <v>23</v>
      </c>
      <c r="C24" s="455">
        <v>380596</v>
      </c>
      <c r="D24" s="268">
        <v>2</v>
      </c>
      <c r="E24" s="444">
        <v>2</v>
      </c>
      <c r="F24" s="421">
        <f t="shared" si="0"/>
        <v>0</v>
      </c>
      <c r="G24" s="236">
        <f t="shared" si="1"/>
        <v>0</v>
      </c>
      <c r="H24" s="268">
        <v>8</v>
      </c>
      <c r="I24" s="447">
        <v>8</v>
      </c>
      <c r="J24" s="422">
        <f t="shared" si="2"/>
        <v>0</v>
      </c>
      <c r="K24" s="423">
        <f t="shared" si="3"/>
        <v>0</v>
      </c>
      <c r="L24" s="268">
        <v>1038</v>
      </c>
      <c r="M24" s="447">
        <v>1038</v>
      </c>
      <c r="N24" s="349">
        <f t="shared" si="4"/>
        <v>0</v>
      </c>
      <c r="O24" s="424">
        <f t="shared" si="5"/>
        <v>0</v>
      </c>
      <c r="P24" s="272">
        <f t="shared" si="6"/>
        <v>2.1019663895574308</v>
      </c>
      <c r="Q24" s="307">
        <v>2.1</v>
      </c>
      <c r="R24" s="212">
        <f t="shared" si="7"/>
        <v>1.96638955743067E-3</v>
      </c>
    </row>
    <row r="25" spans="1:18" x14ac:dyDescent="0.25">
      <c r="A25" s="213" t="s">
        <v>1398</v>
      </c>
      <c r="B25" s="214" t="s">
        <v>24</v>
      </c>
      <c r="C25" s="455">
        <v>486752</v>
      </c>
      <c r="D25" s="268">
        <v>2</v>
      </c>
      <c r="E25" s="444">
        <v>2</v>
      </c>
      <c r="F25" s="421">
        <f t="shared" si="0"/>
        <v>0</v>
      </c>
      <c r="G25" s="236">
        <f t="shared" si="1"/>
        <v>0</v>
      </c>
      <c r="H25" s="268">
        <v>13</v>
      </c>
      <c r="I25" s="447">
        <v>13</v>
      </c>
      <c r="J25" s="422">
        <f t="shared" si="2"/>
        <v>0</v>
      </c>
      <c r="K25" s="423">
        <f t="shared" si="3"/>
        <v>0</v>
      </c>
      <c r="L25" s="268">
        <v>2181</v>
      </c>
      <c r="M25" s="447">
        <v>2181</v>
      </c>
      <c r="N25" s="349">
        <f t="shared" si="4"/>
        <v>0</v>
      </c>
      <c r="O25" s="424">
        <f t="shared" si="5"/>
        <v>0</v>
      </c>
      <c r="P25" s="272">
        <f t="shared" si="6"/>
        <v>2.6707645782657288</v>
      </c>
      <c r="Q25" s="307">
        <v>2.7</v>
      </c>
      <c r="R25" s="212">
        <f t="shared" si="7"/>
        <v>-2.9235421734271405E-2</v>
      </c>
    </row>
    <row r="26" spans="1:18" x14ac:dyDescent="0.25">
      <c r="A26" s="213" t="s">
        <v>1398</v>
      </c>
      <c r="B26" s="214" t="s">
        <v>25</v>
      </c>
      <c r="C26" s="455">
        <v>404325</v>
      </c>
      <c r="D26" s="268">
        <v>3</v>
      </c>
      <c r="E26" s="444">
        <v>3</v>
      </c>
      <c r="F26" s="421">
        <f t="shared" si="0"/>
        <v>0</v>
      </c>
      <c r="G26" s="236">
        <f t="shared" si="1"/>
        <v>0</v>
      </c>
      <c r="H26" s="268">
        <v>13</v>
      </c>
      <c r="I26" s="447">
        <v>13</v>
      </c>
      <c r="J26" s="422">
        <f t="shared" si="2"/>
        <v>0</v>
      </c>
      <c r="K26" s="423">
        <f t="shared" si="3"/>
        <v>0</v>
      </c>
      <c r="L26" s="268">
        <v>1679</v>
      </c>
      <c r="M26" s="447">
        <v>1679</v>
      </c>
      <c r="N26" s="349">
        <f t="shared" si="4"/>
        <v>0</v>
      </c>
      <c r="O26" s="424">
        <f t="shared" si="5"/>
        <v>0</v>
      </c>
      <c r="P26" s="272">
        <f t="shared" si="6"/>
        <v>3.2152352686576395</v>
      </c>
      <c r="Q26" s="307">
        <v>3.2</v>
      </c>
      <c r="R26" s="212">
        <f t="shared" si="7"/>
        <v>1.5235268657639356E-2</v>
      </c>
    </row>
    <row r="27" spans="1:18" x14ac:dyDescent="0.25">
      <c r="A27" s="213" t="s">
        <v>1398</v>
      </c>
      <c r="B27" s="214" t="s">
        <v>26</v>
      </c>
      <c r="C27" s="455">
        <v>529102</v>
      </c>
      <c r="D27" s="268">
        <v>8</v>
      </c>
      <c r="E27" s="444">
        <v>8</v>
      </c>
      <c r="F27" s="421">
        <f t="shared" si="0"/>
        <v>0</v>
      </c>
      <c r="G27" s="236">
        <f t="shared" si="1"/>
        <v>0</v>
      </c>
      <c r="H27" s="268">
        <v>57</v>
      </c>
      <c r="I27" s="447">
        <v>56</v>
      </c>
      <c r="J27" s="422">
        <f t="shared" si="2"/>
        <v>1</v>
      </c>
      <c r="K27" s="423">
        <f t="shared" si="3"/>
        <v>1.7857142857142856E-2</v>
      </c>
      <c r="L27" s="268">
        <v>8212</v>
      </c>
      <c r="M27" s="447">
        <v>8286</v>
      </c>
      <c r="N27" s="349">
        <f t="shared" si="4"/>
        <v>-74</v>
      </c>
      <c r="O27" s="424">
        <f t="shared" si="5"/>
        <v>-8.9307265266714946E-3</v>
      </c>
      <c r="P27" s="272">
        <f t="shared" si="6"/>
        <v>10.772970051143258</v>
      </c>
      <c r="Q27" s="307">
        <v>10.5</v>
      </c>
      <c r="R27" s="212">
        <f t="shared" si="7"/>
        <v>0.27297005114325756</v>
      </c>
    </row>
    <row r="28" spans="1:18" x14ac:dyDescent="0.25">
      <c r="A28" s="213" t="s">
        <v>1398</v>
      </c>
      <c r="B28" s="214" t="s">
        <v>27</v>
      </c>
      <c r="C28" s="455">
        <v>658801</v>
      </c>
      <c r="D28" s="268">
        <v>3</v>
      </c>
      <c r="E28" s="444">
        <v>3</v>
      </c>
      <c r="F28" s="421">
        <f t="shared" si="0"/>
        <v>0</v>
      </c>
      <c r="G28" s="236">
        <f t="shared" si="1"/>
        <v>0</v>
      </c>
      <c r="H28" s="268">
        <v>38</v>
      </c>
      <c r="I28" s="447">
        <v>38</v>
      </c>
      <c r="J28" s="422">
        <f t="shared" si="2"/>
        <v>0</v>
      </c>
      <c r="K28" s="423">
        <f t="shared" si="3"/>
        <v>0</v>
      </c>
      <c r="L28" s="268">
        <v>6684</v>
      </c>
      <c r="M28" s="447">
        <v>7017</v>
      </c>
      <c r="N28" s="349">
        <f t="shared" si="4"/>
        <v>-333</v>
      </c>
      <c r="O28" s="424">
        <f t="shared" si="5"/>
        <v>-4.7456177853783671E-2</v>
      </c>
      <c r="P28" s="272">
        <f t="shared" si="6"/>
        <v>5.7680543897170766</v>
      </c>
      <c r="Q28" s="307">
        <v>5.8</v>
      </c>
      <c r="R28" s="212">
        <f t="shared" si="7"/>
        <v>-3.1945610282923198E-2</v>
      </c>
    </row>
    <row r="29" spans="1:18" x14ac:dyDescent="0.25">
      <c r="A29" s="213" t="s">
        <v>1398</v>
      </c>
      <c r="B29" s="214" t="s">
        <v>28</v>
      </c>
      <c r="C29" s="455">
        <v>460067</v>
      </c>
      <c r="D29" s="268">
        <v>3</v>
      </c>
      <c r="E29" s="444">
        <v>3</v>
      </c>
      <c r="F29" s="421">
        <f t="shared" si="0"/>
        <v>0</v>
      </c>
      <c r="G29" s="236">
        <f t="shared" si="1"/>
        <v>0</v>
      </c>
      <c r="H29" s="268">
        <v>26</v>
      </c>
      <c r="I29" s="447">
        <v>26</v>
      </c>
      <c r="J29" s="422">
        <f t="shared" si="2"/>
        <v>0</v>
      </c>
      <c r="K29" s="423">
        <f t="shared" si="3"/>
        <v>0</v>
      </c>
      <c r="L29" s="268">
        <v>4438</v>
      </c>
      <c r="M29" s="447">
        <v>4438</v>
      </c>
      <c r="N29" s="349">
        <f t="shared" si="4"/>
        <v>0</v>
      </c>
      <c r="O29" s="424">
        <f t="shared" si="5"/>
        <v>0</v>
      </c>
      <c r="P29" s="272">
        <f t="shared" si="6"/>
        <v>5.6513507815166051</v>
      </c>
      <c r="Q29" s="307">
        <v>5.6</v>
      </c>
      <c r="R29" s="212">
        <f t="shared" si="7"/>
        <v>5.1350781516605437E-2</v>
      </c>
    </row>
    <row r="30" spans="1:18" x14ac:dyDescent="0.25">
      <c r="A30" s="210" t="s">
        <v>1399</v>
      </c>
      <c r="B30" s="211" t="s">
        <v>3</v>
      </c>
      <c r="C30" s="456">
        <v>3317812</v>
      </c>
      <c r="D30" s="267">
        <f>SUM(D31:D46)</f>
        <v>29</v>
      </c>
      <c r="E30" s="445">
        <f>SUM(E31:E46)</f>
        <v>29</v>
      </c>
      <c r="F30" s="421">
        <f t="shared" si="0"/>
        <v>0</v>
      </c>
      <c r="G30" s="236">
        <f t="shared" si="1"/>
        <v>0</v>
      </c>
      <c r="H30" s="267">
        <f>SUM(H31:H46)</f>
        <v>228</v>
      </c>
      <c r="I30" s="448">
        <f>SUM(I31:I46)</f>
        <v>223</v>
      </c>
      <c r="J30" s="422">
        <f t="shared" si="2"/>
        <v>5</v>
      </c>
      <c r="K30" s="423">
        <f t="shared" si="3"/>
        <v>2.2421524663677129E-2</v>
      </c>
      <c r="L30" s="267">
        <f>SUM(L31:L46)</f>
        <v>34053</v>
      </c>
      <c r="M30" s="445">
        <f>SUM(M31:M46)</f>
        <v>33927</v>
      </c>
      <c r="N30" s="349">
        <f t="shared" si="4"/>
        <v>126</v>
      </c>
      <c r="O30" s="424">
        <f t="shared" si="5"/>
        <v>3.7138562207091699E-3</v>
      </c>
      <c r="P30" s="271">
        <f t="shared" si="6"/>
        <v>6.8719987750963583</v>
      </c>
      <c r="Q30" s="306">
        <v>6.7</v>
      </c>
      <c r="R30" s="212">
        <f t="shared" si="7"/>
        <v>0.17199877509635808</v>
      </c>
    </row>
    <row r="31" spans="1:18" x14ac:dyDescent="0.25">
      <c r="A31" s="213" t="s">
        <v>1398</v>
      </c>
      <c r="B31" s="214" t="s">
        <v>5</v>
      </c>
      <c r="C31" s="455">
        <v>39689</v>
      </c>
      <c r="D31" s="268">
        <v>3</v>
      </c>
      <c r="E31" s="444">
        <v>3</v>
      </c>
      <c r="F31" s="421">
        <f t="shared" si="0"/>
        <v>0</v>
      </c>
      <c r="G31" s="236">
        <f t="shared" si="1"/>
        <v>0</v>
      </c>
      <c r="H31" s="268">
        <v>26</v>
      </c>
      <c r="I31" s="447">
        <v>26</v>
      </c>
      <c r="J31" s="422">
        <f t="shared" si="2"/>
        <v>0</v>
      </c>
      <c r="K31" s="423">
        <f t="shared" si="3"/>
        <v>0</v>
      </c>
      <c r="L31" s="268">
        <v>4763</v>
      </c>
      <c r="M31" s="447">
        <v>4763</v>
      </c>
      <c r="N31" s="349">
        <f t="shared" si="4"/>
        <v>0</v>
      </c>
      <c r="O31" s="424">
        <f t="shared" si="5"/>
        <v>0</v>
      </c>
      <c r="P31" s="272">
        <f t="shared" si="6"/>
        <v>65.509335080248931</v>
      </c>
      <c r="Q31" s="307">
        <v>64.2</v>
      </c>
      <c r="R31" s="212">
        <f t="shared" si="7"/>
        <v>1.3093350802489283</v>
      </c>
    </row>
    <row r="32" spans="1:18" x14ac:dyDescent="0.25">
      <c r="A32" s="213" t="s">
        <v>1398</v>
      </c>
      <c r="B32" s="214" t="s">
        <v>29</v>
      </c>
      <c r="C32" s="455">
        <v>105192</v>
      </c>
      <c r="D32" s="268">
        <v>0</v>
      </c>
      <c r="E32" s="444">
        <v>0</v>
      </c>
      <c r="F32" s="421">
        <f t="shared" si="0"/>
        <v>0</v>
      </c>
      <c r="G32" s="425" t="s">
        <v>1400</v>
      </c>
      <c r="H32" s="268">
        <v>0</v>
      </c>
      <c r="I32" s="447">
        <v>0</v>
      </c>
      <c r="J32" s="422">
        <f t="shared" si="2"/>
        <v>0</v>
      </c>
      <c r="K32" s="426" t="s">
        <v>1400</v>
      </c>
      <c r="L32" s="268">
        <v>0</v>
      </c>
      <c r="M32" s="447">
        <v>0</v>
      </c>
      <c r="N32" s="349">
        <f t="shared" si="4"/>
        <v>0</v>
      </c>
      <c r="O32" s="424" t="s">
        <v>1400</v>
      </c>
      <c r="P32" s="272">
        <f t="shared" si="6"/>
        <v>0</v>
      </c>
      <c r="Q32" s="307">
        <v>0</v>
      </c>
      <c r="R32" s="212">
        <f t="shared" si="7"/>
        <v>0</v>
      </c>
    </row>
    <row r="33" spans="1:18" x14ac:dyDescent="0.25">
      <c r="A33" s="213" t="s">
        <v>1398</v>
      </c>
      <c r="B33" s="214" t="s">
        <v>30</v>
      </c>
      <c r="C33" s="455">
        <v>86462</v>
      </c>
      <c r="D33" s="268">
        <v>0</v>
      </c>
      <c r="E33" s="444">
        <v>0</v>
      </c>
      <c r="F33" s="421">
        <f t="shared" si="0"/>
        <v>0</v>
      </c>
      <c r="G33" s="425" t="s">
        <v>1400</v>
      </c>
      <c r="H33" s="268">
        <v>0</v>
      </c>
      <c r="I33" s="447">
        <v>0</v>
      </c>
      <c r="J33" s="422">
        <f t="shared" si="2"/>
        <v>0</v>
      </c>
      <c r="K33" s="426" t="s">
        <v>1400</v>
      </c>
      <c r="L33" s="268">
        <v>0</v>
      </c>
      <c r="M33" s="447">
        <v>0</v>
      </c>
      <c r="N33" s="349">
        <f t="shared" si="4"/>
        <v>0</v>
      </c>
      <c r="O33" s="424" t="s">
        <v>1400</v>
      </c>
      <c r="P33" s="272">
        <f t="shared" si="6"/>
        <v>0</v>
      </c>
      <c r="Q33" s="307">
        <v>0</v>
      </c>
      <c r="R33" s="212">
        <f t="shared" si="7"/>
        <v>0</v>
      </c>
    </row>
    <row r="34" spans="1:18" x14ac:dyDescent="0.25">
      <c r="A34" s="213" t="s">
        <v>1398</v>
      </c>
      <c r="B34" s="214" t="s">
        <v>1401</v>
      </c>
      <c r="C34" s="455">
        <v>108156</v>
      </c>
      <c r="D34" s="268">
        <v>0</v>
      </c>
      <c r="E34" s="444">
        <v>0</v>
      </c>
      <c r="F34" s="421">
        <f t="shared" si="0"/>
        <v>0</v>
      </c>
      <c r="G34" s="425" t="s">
        <v>1400</v>
      </c>
      <c r="H34" s="268">
        <v>0</v>
      </c>
      <c r="I34" s="447">
        <v>0</v>
      </c>
      <c r="J34" s="422">
        <f t="shared" si="2"/>
        <v>0</v>
      </c>
      <c r="K34" s="426" t="s">
        <v>1400</v>
      </c>
      <c r="L34" s="268">
        <v>0</v>
      </c>
      <c r="M34" s="447">
        <v>0</v>
      </c>
      <c r="N34" s="349">
        <f t="shared" si="4"/>
        <v>0</v>
      </c>
      <c r="O34" s="424" t="s">
        <v>1400</v>
      </c>
      <c r="P34" s="272">
        <f t="shared" si="6"/>
        <v>0</v>
      </c>
      <c r="Q34" s="307">
        <v>0</v>
      </c>
      <c r="R34" s="212">
        <f t="shared" si="7"/>
        <v>0</v>
      </c>
    </row>
    <row r="35" spans="1:18" x14ac:dyDescent="0.25">
      <c r="A35" s="213" t="s">
        <v>1398</v>
      </c>
      <c r="B35" s="214" t="s">
        <v>31</v>
      </c>
      <c r="C35" s="455">
        <v>355917</v>
      </c>
      <c r="D35" s="268">
        <v>5</v>
      </c>
      <c r="E35" s="444">
        <v>5</v>
      </c>
      <c r="F35" s="421">
        <f t="shared" si="0"/>
        <v>0</v>
      </c>
      <c r="G35" s="236">
        <f t="shared" si="1"/>
        <v>0</v>
      </c>
      <c r="H35" s="268">
        <v>43</v>
      </c>
      <c r="I35" s="447">
        <v>43</v>
      </c>
      <c r="J35" s="422">
        <f t="shared" si="2"/>
        <v>0</v>
      </c>
      <c r="K35" s="423">
        <f t="shared" si="3"/>
        <v>0</v>
      </c>
      <c r="L35" s="268">
        <v>7478</v>
      </c>
      <c r="M35" s="447">
        <v>7478</v>
      </c>
      <c r="N35" s="349">
        <f t="shared" si="4"/>
        <v>0</v>
      </c>
      <c r="O35" s="424">
        <f t="shared" si="5"/>
        <v>0</v>
      </c>
      <c r="P35" s="272">
        <f t="shared" si="6"/>
        <v>12.081468432246844</v>
      </c>
      <c r="Q35" s="307">
        <v>12.2</v>
      </c>
      <c r="R35" s="212">
        <f t="shared" si="7"/>
        <v>-0.11853156775315554</v>
      </c>
    </row>
    <row r="36" spans="1:18" x14ac:dyDescent="0.25">
      <c r="A36" s="213" t="s">
        <v>1398</v>
      </c>
      <c r="B36" s="214" t="s">
        <v>32</v>
      </c>
      <c r="C36" s="455">
        <v>273226</v>
      </c>
      <c r="D36" s="268">
        <v>2</v>
      </c>
      <c r="E36" s="444">
        <v>2</v>
      </c>
      <c r="F36" s="421">
        <f t="shared" si="0"/>
        <v>0</v>
      </c>
      <c r="G36" s="236">
        <f t="shared" si="1"/>
        <v>0</v>
      </c>
      <c r="H36" s="268">
        <v>18</v>
      </c>
      <c r="I36" s="447">
        <v>18</v>
      </c>
      <c r="J36" s="422">
        <f t="shared" si="2"/>
        <v>0</v>
      </c>
      <c r="K36" s="423">
        <f t="shared" si="3"/>
        <v>0</v>
      </c>
      <c r="L36" s="268">
        <v>2966</v>
      </c>
      <c r="M36" s="447">
        <v>2966</v>
      </c>
      <c r="N36" s="349">
        <f t="shared" si="4"/>
        <v>0</v>
      </c>
      <c r="O36" s="424">
        <f t="shared" si="5"/>
        <v>0</v>
      </c>
      <c r="P36" s="272">
        <f t="shared" si="6"/>
        <v>6.5879528302577359</v>
      </c>
      <c r="Q36" s="307">
        <v>6.7</v>
      </c>
      <c r="R36" s="212">
        <f t="shared" si="7"/>
        <v>-0.11204716974226425</v>
      </c>
    </row>
    <row r="37" spans="1:18" x14ac:dyDescent="0.25">
      <c r="A37" s="213" t="s">
        <v>1398</v>
      </c>
      <c r="B37" s="214" t="s">
        <v>33</v>
      </c>
      <c r="C37" s="455">
        <v>256333</v>
      </c>
      <c r="D37" s="268">
        <v>1</v>
      </c>
      <c r="E37" s="444">
        <v>1</v>
      </c>
      <c r="F37" s="421">
        <f t="shared" si="0"/>
        <v>0</v>
      </c>
      <c r="G37" s="236">
        <f t="shared" si="1"/>
        <v>0</v>
      </c>
      <c r="H37" s="268">
        <v>8</v>
      </c>
      <c r="I37" s="447">
        <v>8</v>
      </c>
      <c r="J37" s="422">
        <f t="shared" si="2"/>
        <v>0</v>
      </c>
      <c r="K37" s="423">
        <f t="shared" si="3"/>
        <v>0</v>
      </c>
      <c r="L37" s="268">
        <v>1171</v>
      </c>
      <c r="M37" s="447">
        <v>1171</v>
      </c>
      <c r="N37" s="349">
        <f t="shared" si="4"/>
        <v>0</v>
      </c>
      <c r="O37" s="424">
        <f t="shared" si="5"/>
        <v>0</v>
      </c>
      <c r="P37" s="272">
        <f t="shared" si="6"/>
        <v>3.1209403393242385</v>
      </c>
      <c r="Q37" s="307">
        <v>3.1</v>
      </c>
      <c r="R37" s="212">
        <f t="shared" si="7"/>
        <v>2.0940339324238444E-2</v>
      </c>
    </row>
    <row r="38" spans="1:18" x14ac:dyDescent="0.25">
      <c r="A38" s="213" t="s">
        <v>1398</v>
      </c>
      <c r="B38" s="214" t="s">
        <v>34</v>
      </c>
      <c r="C38" s="455">
        <v>278857</v>
      </c>
      <c r="D38" s="268">
        <v>2</v>
      </c>
      <c r="E38" s="444">
        <v>2</v>
      </c>
      <c r="F38" s="421">
        <f t="shared" si="0"/>
        <v>0</v>
      </c>
      <c r="G38" s="236">
        <f t="shared" si="1"/>
        <v>0</v>
      </c>
      <c r="H38" s="268">
        <v>16</v>
      </c>
      <c r="I38" s="447">
        <v>16</v>
      </c>
      <c r="J38" s="422">
        <f t="shared" si="2"/>
        <v>0</v>
      </c>
      <c r="K38" s="423">
        <f t="shared" si="3"/>
        <v>0</v>
      </c>
      <c r="L38" s="268">
        <v>1446</v>
      </c>
      <c r="M38" s="447">
        <v>1446</v>
      </c>
      <c r="N38" s="349">
        <f t="shared" si="4"/>
        <v>0</v>
      </c>
      <c r="O38" s="424">
        <f t="shared" si="5"/>
        <v>0</v>
      </c>
      <c r="P38" s="272">
        <f t="shared" si="6"/>
        <v>5.7377078574323042</v>
      </c>
      <c r="Q38" s="307">
        <v>5.6</v>
      </c>
      <c r="R38" s="212">
        <f t="shared" si="7"/>
        <v>0.13770785743230451</v>
      </c>
    </row>
    <row r="39" spans="1:18" x14ac:dyDescent="0.25">
      <c r="A39" s="213" t="s">
        <v>1398</v>
      </c>
      <c r="B39" s="214" t="s">
        <v>35</v>
      </c>
      <c r="C39" s="455">
        <v>386785</v>
      </c>
      <c r="D39" s="268">
        <v>6</v>
      </c>
      <c r="E39" s="444">
        <v>6</v>
      </c>
      <c r="F39" s="421">
        <f t="shared" si="0"/>
        <v>0</v>
      </c>
      <c r="G39" s="236">
        <f t="shared" si="1"/>
        <v>0</v>
      </c>
      <c r="H39" s="268">
        <v>47</v>
      </c>
      <c r="I39" s="447">
        <v>47</v>
      </c>
      <c r="J39" s="422">
        <f t="shared" si="2"/>
        <v>0</v>
      </c>
      <c r="K39" s="423">
        <f t="shared" si="3"/>
        <v>0</v>
      </c>
      <c r="L39" s="268">
        <v>7038</v>
      </c>
      <c r="M39" s="447">
        <v>7038</v>
      </c>
      <c r="N39" s="349">
        <f t="shared" si="4"/>
        <v>0</v>
      </c>
      <c r="O39" s="424">
        <f t="shared" si="5"/>
        <v>0</v>
      </c>
      <c r="P39" s="272">
        <f t="shared" si="6"/>
        <v>12.151453649960573</v>
      </c>
      <c r="Q39" s="307">
        <v>11.9</v>
      </c>
      <c r="R39" s="212">
        <f t="shared" si="7"/>
        <v>0.25145364996057218</v>
      </c>
    </row>
    <row r="40" spans="1:18" x14ac:dyDescent="0.25">
      <c r="A40" s="213" t="s">
        <v>1398</v>
      </c>
      <c r="B40" s="214" t="s">
        <v>36</v>
      </c>
      <c r="C40" s="455">
        <v>301987</v>
      </c>
      <c r="D40" s="268">
        <v>1</v>
      </c>
      <c r="E40" s="444">
        <v>1</v>
      </c>
      <c r="F40" s="421">
        <f t="shared" si="0"/>
        <v>0</v>
      </c>
      <c r="G40" s="236">
        <f t="shared" si="1"/>
        <v>0</v>
      </c>
      <c r="H40" s="268">
        <v>7</v>
      </c>
      <c r="I40" s="447">
        <v>7</v>
      </c>
      <c r="J40" s="422">
        <f t="shared" si="2"/>
        <v>0</v>
      </c>
      <c r="K40" s="423">
        <f t="shared" si="3"/>
        <v>0</v>
      </c>
      <c r="L40" s="268">
        <v>888</v>
      </c>
      <c r="M40" s="447">
        <v>888</v>
      </c>
      <c r="N40" s="349">
        <f t="shared" si="4"/>
        <v>0</v>
      </c>
      <c r="O40" s="424">
        <f t="shared" si="5"/>
        <v>0</v>
      </c>
      <c r="P40" s="272">
        <f t="shared" si="6"/>
        <v>2.3179805753227787</v>
      </c>
      <c r="Q40" s="307">
        <v>2.2999999999999998</v>
      </c>
      <c r="R40" s="212">
        <f t="shared" si="7"/>
        <v>1.7980575322778858E-2</v>
      </c>
    </row>
    <row r="41" spans="1:18" x14ac:dyDescent="0.25">
      <c r="A41" s="213" t="s">
        <v>1398</v>
      </c>
      <c r="B41" s="214" t="s">
        <v>37</v>
      </c>
      <c r="C41" s="455">
        <v>221256</v>
      </c>
      <c r="D41" s="268">
        <v>2</v>
      </c>
      <c r="E41" s="444">
        <v>2</v>
      </c>
      <c r="F41" s="421">
        <f t="shared" si="0"/>
        <v>0</v>
      </c>
      <c r="G41" s="236">
        <f t="shared" si="1"/>
        <v>0</v>
      </c>
      <c r="H41" s="268">
        <v>14</v>
      </c>
      <c r="I41" s="447">
        <v>14</v>
      </c>
      <c r="J41" s="422">
        <f t="shared" si="2"/>
        <v>0</v>
      </c>
      <c r="K41" s="423">
        <f t="shared" si="3"/>
        <v>0</v>
      </c>
      <c r="L41" s="268">
        <v>2114</v>
      </c>
      <c r="M41" s="447">
        <v>2114</v>
      </c>
      <c r="N41" s="349">
        <f t="shared" si="4"/>
        <v>0</v>
      </c>
      <c r="O41" s="424">
        <f t="shared" si="5"/>
        <v>0</v>
      </c>
      <c r="P41" s="272">
        <f t="shared" si="6"/>
        <v>6.3275120222728427</v>
      </c>
      <c r="Q41" s="307">
        <v>6.1</v>
      </c>
      <c r="R41" s="212">
        <f t="shared" si="7"/>
        <v>0.22751202227284306</v>
      </c>
    </row>
    <row r="42" spans="1:18" x14ac:dyDescent="0.25">
      <c r="A42" s="213" t="s">
        <v>1398</v>
      </c>
      <c r="B42" s="214" t="s">
        <v>19</v>
      </c>
      <c r="C42" s="455">
        <v>143207</v>
      </c>
      <c r="D42" s="268">
        <v>2</v>
      </c>
      <c r="E42" s="444">
        <v>1</v>
      </c>
      <c r="F42" s="421">
        <f t="shared" si="0"/>
        <v>1</v>
      </c>
      <c r="G42" s="236">
        <f t="shared" si="1"/>
        <v>1</v>
      </c>
      <c r="H42" s="386">
        <v>13</v>
      </c>
      <c r="I42" s="448">
        <v>7</v>
      </c>
      <c r="J42" s="427">
        <f t="shared" si="2"/>
        <v>6</v>
      </c>
      <c r="K42" s="423">
        <f t="shared" si="3"/>
        <v>0.8571428571428571</v>
      </c>
      <c r="L42" s="386">
        <v>1241</v>
      </c>
      <c r="M42" s="448">
        <v>810</v>
      </c>
      <c r="N42" s="428">
        <f t="shared" si="4"/>
        <v>431</v>
      </c>
      <c r="O42" s="424">
        <f t="shared" si="5"/>
        <v>0.53209876543209877</v>
      </c>
      <c r="P42" s="272">
        <f t="shared" si="6"/>
        <v>9.0777685448337024</v>
      </c>
      <c r="Q42" s="307">
        <v>4.9000000000000004</v>
      </c>
      <c r="R42" s="212">
        <f t="shared" si="7"/>
        <v>4.1777685448337021</v>
      </c>
    </row>
    <row r="43" spans="1:18" x14ac:dyDescent="0.25">
      <c r="A43" s="213" t="s">
        <v>1398</v>
      </c>
      <c r="B43" s="214" t="s">
        <v>38</v>
      </c>
      <c r="C43" s="455">
        <v>203536</v>
      </c>
      <c r="D43" s="268">
        <v>1</v>
      </c>
      <c r="E43" s="444">
        <v>1</v>
      </c>
      <c r="F43" s="421">
        <f t="shared" si="0"/>
        <v>0</v>
      </c>
      <c r="G43" s="236">
        <f t="shared" si="1"/>
        <v>0</v>
      </c>
      <c r="H43" s="268">
        <v>8</v>
      </c>
      <c r="I43" s="447">
        <v>8</v>
      </c>
      <c r="J43" s="422">
        <f t="shared" si="2"/>
        <v>0</v>
      </c>
      <c r="K43" s="423">
        <f t="shared" si="3"/>
        <v>0</v>
      </c>
      <c r="L43" s="268">
        <v>1383</v>
      </c>
      <c r="M43" s="447">
        <v>1383</v>
      </c>
      <c r="N43" s="349">
        <f t="shared" si="4"/>
        <v>0</v>
      </c>
      <c r="O43" s="424">
        <f t="shared" si="5"/>
        <v>0</v>
      </c>
      <c r="P43" s="272">
        <f t="shared" si="6"/>
        <v>3.9305086078138509</v>
      </c>
      <c r="Q43" s="307">
        <v>3.9</v>
      </c>
      <c r="R43" s="212">
        <f t="shared" si="7"/>
        <v>3.0508607813851008E-2</v>
      </c>
    </row>
    <row r="44" spans="1:18" x14ac:dyDescent="0.25">
      <c r="A44" s="213" t="s">
        <v>1398</v>
      </c>
      <c r="B44" s="214" t="s">
        <v>1403</v>
      </c>
      <c r="C44" s="455">
        <v>174806</v>
      </c>
      <c r="D44" s="268">
        <v>0</v>
      </c>
      <c r="E44" s="444">
        <v>0</v>
      </c>
      <c r="F44" s="421">
        <f t="shared" si="0"/>
        <v>0</v>
      </c>
      <c r="G44" s="425" t="s">
        <v>1404</v>
      </c>
      <c r="H44" s="268">
        <v>0</v>
      </c>
      <c r="I44" s="447">
        <v>0</v>
      </c>
      <c r="J44" s="422">
        <f t="shared" si="2"/>
        <v>0</v>
      </c>
      <c r="K44" s="426" t="s">
        <v>1404</v>
      </c>
      <c r="L44" s="268">
        <v>0</v>
      </c>
      <c r="M44" s="447">
        <v>0</v>
      </c>
      <c r="N44" s="349">
        <f t="shared" si="4"/>
        <v>0</v>
      </c>
      <c r="O44" s="424" t="s">
        <v>1404</v>
      </c>
      <c r="P44" s="272">
        <f t="shared" si="6"/>
        <v>0</v>
      </c>
      <c r="Q44" s="307">
        <v>0</v>
      </c>
      <c r="R44" s="212">
        <f t="shared" si="7"/>
        <v>0</v>
      </c>
    </row>
    <row r="45" spans="1:18" x14ac:dyDescent="0.25">
      <c r="A45" s="213" t="s">
        <v>1398</v>
      </c>
      <c r="B45" s="214" t="s">
        <v>39</v>
      </c>
      <c r="C45" s="455">
        <v>203789</v>
      </c>
      <c r="D45" s="268">
        <v>1</v>
      </c>
      <c r="E45" s="444">
        <v>1</v>
      </c>
      <c r="F45" s="421">
        <f t="shared" si="0"/>
        <v>0</v>
      </c>
      <c r="G45" s="236">
        <f t="shared" si="1"/>
        <v>0</v>
      </c>
      <c r="H45" s="268">
        <v>7</v>
      </c>
      <c r="I45" s="447">
        <v>7</v>
      </c>
      <c r="J45" s="422">
        <f t="shared" si="2"/>
        <v>0</v>
      </c>
      <c r="K45" s="423">
        <f t="shared" si="3"/>
        <v>0</v>
      </c>
      <c r="L45" s="268">
        <v>1319</v>
      </c>
      <c r="M45" s="447">
        <v>1550</v>
      </c>
      <c r="N45" s="349">
        <f t="shared" si="4"/>
        <v>-231</v>
      </c>
      <c r="O45" s="424">
        <f t="shared" si="5"/>
        <v>-0.14903225806451612</v>
      </c>
      <c r="P45" s="272">
        <f t="shared" si="6"/>
        <v>3.434925339444229</v>
      </c>
      <c r="Q45" s="307">
        <v>3.4</v>
      </c>
      <c r="R45" s="212">
        <f t="shared" si="7"/>
        <v>3.4925339444229042E-2</v>
      </c>
    </row>
    <row r="46" spans="1:18" x14ac:dyDescent="0.25">
      <c r="A46" s="213" t="s">
        <v>1398</v>
      </c>
      <c r="B46" s="214" t="s">
        <v>40</v>
      </c>
      <c r="C46" s="455">
        <v>178614</v>
      </c>
      <c r="D46" s="268">
        <v>3</v>
      </c>
      <c r="E46" s="444">
        <v>4</v>
      </c>
      <c r="F46" s="421">
        <f t="shared" si="0"/>
        <v>-1</v>
      </c>
      <c r="G46" s="236">
        <f t="shared" si="1"/>
        <v>-0.25</v>
      </c>
      <c r="H46" s="268">
        <v>21</v>
      </c>
      <c r="I46" s="447">
        <v>22</v>
      </c>
      <c r="J46" s="422">
        <f t="shared" si="2"/>
        <v>-1</v>
      </c>
      <c r="K46" s="423">
        <f t="shared" si="3"/>
        <v>-4.5454545454545456E-2</v>
      </c>
      <c r="L46" s="268">
        <v>2246</v>
      </c>
      <c r="M46" s="447">
        <v>2320</v>
      </c>
      <c r="N46" s="349">
        <f t="shared" si="4"/>
        <v>-74</v>
      </c>
      <c r="O46" s="424">
        <f t="shared" si="5"/>
        <v>-3.1896551724137932E-2</v>
      </c>
      <c r="P46" s="272">
        <f t="shared" si="6"/>
        <v>11.757197084215123</v>
      </c>
      <c r="Q46" s="307">
        <v>12.4</v>
      </c>
      <c r="R46" s="212">
        <f t="shared" si="7"/>
        <v>-0.64280291578487692</v>
      </c>
    </row>
    <row r="47" spans="1:18" x14ac:dyDescent="0.25">
      <c r="A47" s="210" t="s">
        <v>1405</v>
      </c>
      <c r="B47" s="211" t="s">
        <v>3</v>
      </c>
      <c r="C47" s="457">
        <v>2363691</v>
      </c>
      <c r="D47" s="267">
        <f>SUM(D48:D55)</f>
        <v>22</v>
      </c>
      <c r="E47" s="445">
        <f>SUM(E48:E55)</f>
        <v>23</v>
      </c>
      <c r="F47" s="421">
        <f t="shared" si="0"/>
        <v>-1</v>
      </c>
      <c r="G47" s="236">
        <f t="shared" si="1"/>
        <v>-4.3478260869565216E-2</v>
      </c>
      <c r="H47" s="267">
        <f>SUM(H48:H55)</f>
        <v>145</v>
      </c>
      <c r="I47" s="448">
        <f>SUM(I48:I55)</f>
        <v>148</v>
      </c>
      <c r="J47" s="422">
        <f t="shared" si="2"/>
        <v>-3</v>
      </c>
      <c r="K47" s="423">
        <f t="shared" si="3"/>
        <v>-2.0270270270270271E-2</v>
      </c>
      <c r="L47" s="267">
        <f>SUM(L48:L55)</f>
        <v>20912</v>
      </c>
      <c r="M47" s="445">
        <f>SUM(M48:M55)</f>
        <v>21521</v>
      </c>
      <c r="N47" s="349">
        <f t="shared" si="4"/>
        <v>-609</v>
      </c>
      <c r="O47" s="424">
        <f t="shared" si="5"/>
        <v>-2.8297941545467217E-2</v>
      </c>
      <c r="P47" s="271">
        <f t="shared" si="6"/>
        <v>6.13447358389908</v>
      </c>
      <c r="Q47" s="306">
        <v>6.2</v>
      </c>
      <c r="R47" s="212">
        <f t="shared" si="7"/>
        <v>-6.5526416100920137E-2</v>
      </c>
    </row>
    <row r="48" spans="1:18" x14ac:dyDescent="0.25">
      <c r="A48" s="213" t="s">
        <v>1398</v>
      </c>
      <c r="B48" s="214" t="s">
        <v>5</v>
      </c>
      <c r="C48" s="458">
        <v>80199</v>
      </c>
      <c r="D48" s="268">
        <v>6</v>
      </c>
      <c r="E48" s="444">
        <v>7</v>
      </c>
      <c r="F48" s="421">
        <f t="shared" si="0"/>
        <v>-1</v>
      </c>
      <c r="G48" s="236">
        <f t="shared" si="1"/>
        <v>-0.14285714285714285</v>
      </c>
      <c r="H48" s="268">
        <v>37</v>
      </c>
      <c r="I48" s="447">
        <v>38</v>
      </c>
      <c r="J48" s="422">
        <f t="shared" si="2"/>
        <v>-1</v>
      </c>
      <c r="K48" s="423">
        <f t="shared" si="3"/>
        <v>-2.6315789473684209E-2</v>
      </c>
      <c r="L48" s="268">
        <v>4720</v>
      </c>
      <c r="M48" s="447">
        <v>4846</v>
      </c>
      <c r="N48" s="349">
        <f t="shared" si="4"/>
        <v>-126</v>
      </c>
      <c r="O48" s="424">
        <f t="shared" si="5"/>
        <v>-2.6000825423029301E-2</v>
      </c>
      <c r="P48" s="272">
        <f t="shared" si="6"/>
        <v>46.135238593997428</v>
      </c>
      <c r="Q48" s="307">
        <v>50.8</v>
      </c>
      <c r="R48" s="212">
        <f t="shared" si="7"/>
        <v>-4.6647614060025688</v>
      </c>
    </row>
    <row r="49" spans="1:18" x14ac:dyDescent="0.25">
      <c r="A49" s="213" t="s">
        <v>1398</v>
      </c>
      <c r="B49" s="214" t="s">
        <v>30</v>
      </c>
      <c r="C49" s="458">
        <v>339530</v>
      </c>
      <c r="D49" s="268">
        <v>4</v>
      </c>
      <c r="E49" s="444">
        <v>4</v>
      </c>
      <c r="F49" s="421">
        <f t="shared" si="0"/>
        <v>0</v>
      </c>
      <c r="G49" s="236">
        <f t="shared" si="1"/>
        <v>0</v>
      </c>
      <c r="H49" s="268">
        <v>26</v>
      </c>
      <c r="I49" s="447">
        <v>26</v>
      </c>
      <c r="J49" s="422">
        <f t="shared" si="2"/>
        <v>0</v>
      </c>
      <c r="K49" s="423">
        <f t="shared" si="3"/>
        <v>0</v>
      </c>
      <c r="L49" s="268">
        <v>3441</v>
      </c>
      <c r="M49" s="447">
        <v>3441</v>
      </c>
      <c r="N49" s="349">
        <f t="shared" si="4"/>
        <v>0</v>
      </c>
      <c r="O49" s="424">
        <f t="shared" si="5"/>
        <v>0</v>
      </c>
      <c r="P49" s="272">
        <f t="shared" si="6"/>
        <v>7.6576443907754843</v>
      </c>
      <c r="Q49" s="307">
        <v>7.6</v>
      </c>
      <c r="R49" s="212">
        <f t="shared" si="7"/>
        <v>5.7644390775484666E-2</v>
      </c>
    </row>
    <row r="50" spans="1:18" x14ac:dyDescent="0.25">
      <c r="A50" s="213" t="s">
        <v>1398</v>
      </c>
      <c r="B50" s="214" t="s">
        <v>29</v>
      </c>
      <c r="C50" s="458">
        <v>159827</v>
      </c>
      <c r="D50" s="268">
        <v>1</v>
      </c>
      <c r="E50" s="444">
        <v>1</v>
      </c>
      <c r="F50" s="421">
        <f t="shared" si="0"/>
        <v>0</v>
      </c>
      <c r="G50" s="236">
        <f t="shared" si="1"/>
        <v>0</v>
      </c>
      <c r="H50" s="268">
        <v>7</v>
      </c>
      <c r="I50" s="447">
        <v>7</v>
      </c>
      <c r="J50" s="422">
        <f t="shared" si="2"/>
        <v>0</v>
      </c>
      <c r="K50" s="423">
        <f t="shared" si="3"/>
        <v>0</v>
      </c>
      <c r="L50" s="268">
        <v>1300</v>
      </c>
      <c r="M50" s="447">
        <v>1300</v>
      </c>
      <c r="N50" s="349">
        <f t="shared" si="4"/>
        <v>0</v>
      </c>
      <c r="O50" s="424">
        <f t="shared" si="5"/>
        <v>0</v>
      </c>
      <c r="P50" s="272">
        <f t="shared" si="6"/>
        <v>4.3797355891057208</v>
      </c>
      <c r="Q50" s="307">
        <v>4.3</v>
      </c>
      <c r="R50" s="212">
        <f t="shared" si="7"/>
        <v>7.9735589105720983E-2</v>
      </c>
    </row>
    <row r="51" spans="1:18" x14ac:dyDescent="0.25">
      <c r="A51" s="213" t="s">
        <v>1398</v>
      </c>
      <c r="B51" s="214" t="s">
        <v>33</v>
      </c>
      <c r="C51" s="458">
        <v>141519</v>
      </c>
      <c r="D51" s="268">
        <v>0</v>
      </c>
      <c r="E51" s="444">
        <v>0</v>
      </c>
      <c r="F51" s="421">
        <f t="shared" si="0"/>
        <v>0</v>
      </c>
      <c r="G51" s="425" t="s">
        <v>1406</v>
      </c>
      <c r="H51" s="268">
        <v>0</v>
      </c>
      <c r="I51" s="447">
        <v>0</v>
      </c>
      <c r="J51" s="422">
        <f t="shared" si="2"/>
        <v>0</v>
      </c>
      <c r="K51" s="426" t="s">
        <v>1406</v>
      </c>
      <c r="L51" s="268">
        <v>0</v>
      </c>
      <c r="M51" s="447">
        <v>0</v>
      </c>
      <c r="N51" s="349">
        <f t="shared" si="4"/>
        <v>0</v>
      </c>
      <c r="O51" s="424" t="s">
        <v>1406</v>
      </c>
      <c r="P51" s="272">
        <f t="shared" si="6"/>
        <v>0</v>
      </c>
      <c r="Q51" s="307">
        <v>0</v>
      </c>
      <c r="R51" s="212">
        <f t="shared" si="7"/>
        <v>0</v>
      </c>
    </row>
    <row r="52" spans="1:18" x14ac:dyDescent="0.25">
      <c r="A52" s="213" t="s">
        <v>1398</v>
      </c>
      <c r="B52" s="214" t="s">
        <v>34</v>
      </c>
      <c r="C52" s="458">
        <v>430912</v>
      </c>
      <c r="D52" s="268">
        <v>5</v>
      </c>
      <c r="E52" s="444">
        <v>5</v>
      </c>
      <c r="F52" s="421">
        <f t="shared" si="0"/>
        <v>0</v>
      </c>
      <c r="G52" s="236">
        <f t="shared" si="1"/>
        <v>0</v>
      </c>
      <c r="H52" s="268">
        <v>33</v>
      </c>
      <c r="I52" s="447">
        <v>35</v>
      </c>
      <c r="J52" s="422">
        <f t="shared" si="2"/>
        <v>-2</v>
      </c>
      <c r="K52" s="423">
        <f t="shared" si="3"/>
        <v>-5.7142857142857141E-2</v>
      </c>
      <c r="L52" s="268">
        <v>4493</v>
      </c>
      <c r="M52" s="447">
        <v>4976</v>
      </c>
      <c r="N52" s="349">
        <f t="shared" si="4"/>
        <v>-483</v>
      </c>
      <c r="O52" s="424">
        <f t="shared" si="5"/>
        <v>-9.7065916398713828E-2</v>
      </c>
      <c r="P52" s="272">
        <f t="shared" si="6"/>
        <v>7.6581761473340269</v>
      </c>
      <c r="Q52" s="307">
        <v>8</v>
      </c>
      <c r="R52" s="212">
        <f t="shared" si="7"/>
        <v>-0.34182385266597315</v>
      </c>
    </row>
    <row r="53" spans="1:18" x14ac:dyDescent="0.25">
      <c r="A53" s="213" t="s">
        <v>1398</v>
      </c>
      <c r="B53" s="214" t="s">
        <v>41</v>
      </c>
      <c r="C53" s="458">
        <v>411553</v>
      </c>
      <c r="D53" s="268">
        <v>2</v>
      </c>
      <c r="E53" s="444">
        <v>2</v>
      </c>
      <c r="F53" s="421">
        <f t="shared" si="0"/>
        <v>0</v>
      </c>
      <c r="G53" s="236">
        <f t="shared" si="1"/>
        <v>0</v>
      </c>
      <c r="H53" s="268">
        <v>14</v>
      </c>
      <c r="I53" s="447">
        <v>14</v>
      </c>
      <c r="J53" s="422">
        <f t="shared" si="2"/>
        <v>0</v>
      </c>
      <c r="K53" s="423">
        <f t="shared" si="3"/>
        <v>0</v>
      </c>
      <c r="L53" s="268">
        <v>2262</v>
      </c>
      <c r="M53" s="447">
        <v>2262</v>
      </c>
      <c r="N53" s="349">
        <f t="shared" si="4"/>
        <v>0</v>
      </c>
      <c r="O53" s="424">
        <f t="shared" si="5"/>
        <v>0</v>
      </c>
      <c r="P53" s="272">
        <f t="shared" si="6"/>
        <v>3.4017489849424014</v>
      </c>
      <c r="Q53" s="307">
        <v>3.4</v>
      </c>
      <c r="R53" s="212">
        <f t="shared" si="7"/>
        <v>1.7489849424014992E-3</v>
      </c>
    </row>
    <row r="54" spans="1:18" x14ac:dyDescent="0.25">
      <c r="A54" s="213" t="s">
        <v>1398</v>
      </c>
      <c r="B54" s="214" t="s">
        <v>42</v>
      </c>
      <c r="C54" s="458">
        <v>536989</v>
      </c>
      <c r="D54" s="268">
        <v>3</v>
      </c>
      <c r="E54" s="444">
        <v>3</v>
      </c>
      <c r="F54" s="421">
        <f t="shared" si="0"/>
        <v>0</v>
      </c>
      <c r="G54" s="236">
        <f t="shared" si="1"/>
        <v>0</v>
      </c>
      <c r="H54" s="268">
        <v>22</v>
      </c>
      <c r="I54" s="447">
        <v>22</v>
      </c>
      <c r="J54" s="422">
        <f t="shared" si="2"/>
        <v>0</v>
      </c>
      <c r="K54" s="423">
        <f t="shared" si="3"/>
        <v>0</v>
      </c>
      <c r="L54" s="268">
        <v>3962</v>
      </c>
      <c r="M54" s="447">
        <v>3962</v>
      </c>
      <c r="N54" s="349">
        <f t="shared" si="4"/>
        <v>0</v>
      </c>
      <c r="O54" s="424">
        <f t="shared" si="5"/>
        <v>0</v>
      </c>
      <c r="P54" s="272">
        <f t="shared" si="6"/>
        <v>4.0969181864060529</v>
      </c>
      <c r="Q54" s="307">
        <v>4</v>
      </c>
      <c r="R54" s="212">
        <f t="shared" si="7"/>
        <v>9.6918186406052875E-2</v>
      </c>
    </row>
    <row r="55" spans="1:18" x14ac:dyDescent="0.25">
      <c r="A55" s="213" t="s">
        <v>1398</v>
      </c>
      <c r="B55" s="214" t="s">
        <v>43</v>
      </c>
      <c r="C55" s="458">
        <v>263162</v>
      </c>
      <c r="D55" s="268">
        <v>1</v>
      </c>
      <c r="E55" s="444">
        <v>1</v>
      </c>
      <c r="F55" s="421">
        <f t="shared" si="0"/>
        <v>0</v>
      </c>
      <c r="G55" s="236">
        <f t="shared" si="1"/>
        <v>0</v>
      </c>
      <c r="H55" s="268">
        <v>6</v>
      </c>
      <c r="I55" s="447">
        <v>6</v>
      </c>
      <c r="J55" s="422">
        <f t="shared" si="2"/>
        <v>0</v>
      </c>
      <c r="K55" s="423">
        <f t="shared" si="3"/>
        <v>0</v>
      </c>
      <c r="L55" s="268">
        <v>734</v>
      </c>
      <c r="M55" s="447">
        <v>734</v>
      </c>
      <c r="N55" s="349">
        <f t="shared" si="4"/>
        <v>0</v>
      </c>
      <c r="O55" s="424">
        <f t="shared" si="5"/>
        <v>0</v>
      </c>
      <c r="P55" s="272">
        <f t="shared" si="6"/>
        <v>2.279964432554852</v>
      </c>
      <c r="Q55" s="307">
        <v>2.2999999999999998</v>
      </c>
      <c r="R55" s="212">
        <f t="shared" si="7"/>
        <v>-2.0035567445147784E-2</v>
      </c>
    </row>
    <row r="56" spans="1:18" x14ac:dyDescent="0.25">
      <c r="A56" s="210" t="s">
        <v>1407</v>
      </c>
      <c r="B56" s="211" t="s">
        <v>3</v>
      </c>
      <c r="C56" s="456">
        <v>2967314</v>
      </c>
      <c r="D56" s="267">
        <f>SUM(D57:D66)</f>
        <v>27</v>
      </c>
      <c r="E56" s="445">
        <f>SUM(E57:E66)</f>
        <v>24</v>
      </c>
      <c r="F56" s="421">
        <f t="shared" si="0"/>
        <v>3</v>
      </c>
      <c r="G56" s="236">
        <f t="shared" si="1"/>
        <v>0.125</v>
      </c>
      <c r="H56" s="267">
        <f>SUM(H57:H66)</f>
        <v>172</v>
      </c>
      <c r="I56" s="448">
        <f>SUM(I57:I66)</f>
        <v>155</v>
      </c>
      <c r="J56" s="422">
        <f t="shared" si="2"/>
        <v>17</v>
      </c>
      <c r="K56" s="423">
        <f t="shared" si="3"/>
        <v>0.10967741935483871</v>
      </c>
      <c r="L56" s="267">
        <f>SUM(L57:L66)</f>
        <v>25920</v>
      </c>
      <c r="M56" s="445">
        <f>SUM(M57:M66)</f>
        <v>23518</v>
      </c>
      <c r="N56" s="349">
        <f t="shared" si="4"/>
        <v>2402</v>
      </c>
      <c r="O56" s="424">
        <f t="shared" si="5"/>
        <v>0.10213453524959605</v>
      </c>
      <c r="P56" s="271">
        <f t="shared" si="6"/>
        <v>5.7964880022808503</v>
      </c>
      <c r="Q56" s="306">
        <v>5.3</v>
      </c>
      <c r="R56" s="212">
        <f t="shared" si="7"/>
        <v>0.49648800228085044</v>
      </c>
    </row>
    <row r="57" spans="1:18" x14ac:dyDescent="0.25">
      <c r="A57" s="213" t="s">
        <v>1398</v>
      </c>
      <c r="B57" s="214" t="s">
        <v>5</v>
      </c>
      <c r="C57" s="455">
        <v>152931</v>
      </c>
      <c r="D57" s="268">
        <v>3</v>
      </c>
      <c r="E57" s="444">
        <v>3</v>
      </c>
      <c r="F57" s="421">
        <f t="shared" si="0"/>
        <v>0</v>
      </c>
      <c r="G57" s="236">
        <f t="shared" si="1"/>
        <v>0</v>
      </c>
      <c r="H57" s="268">
        <v>14</v>
      </c>
      <c r="I57" s="447">
        <v>14</v>
      </c>
      <c r="J57" s="422">
        <f t="shared" si="2"/>
        <v>0</v>
      </c>
      <c r="K57" s="423">
        <f t="shared" si="3"/>
        <v>0</v>
      </c>
      <c r="L57" s="268">
        <v>1756</v>
      </c>
      <c r="M57" s="447">
        <v>1756</v>
      </c>
      <c r="N57" s="349">
        <f t="shared" si="4"/>
        <v>0</v>
      </c>
      <c r="O57" s="424">
        <f t="shared" si="5"/>
        <v>0</v>
      </c>
      <c r="P57" s="272">
        <f t="shared" si="6"/>
        <v>9.1544552772165222</v>
      </c>
      <c r="Q57" s="307">
        <v>9.6999999999999993</v>
      </c>
      <c r="R57" s="212">
        <f t="shared" si="7"/>
        <v>-0.5455447227834771</v>
      </c>
    </row>
    <row r="58" spans="1:18" x14ac:dyDescent="0.25">
      <c r="A58" s="213" t="s">
        <v>1398</v>
      </c>
      <c r="B58" s="214" t="s">
        <v>30</v>
      </c>
      <c r="C58" s="455">
        <v>58999</v>
      </c>
      <c r="D58" s="268">
        <v>1</v>
      </c>
      <c r="E58" s="444">
        <v>1</v>
      </c>
      <c r="F58" s="421">
        <f t="shared" si="0"/>
        <v>0</v>
      </c>
      <c r="G58" s="236">
        <f t="shared" si="1"/>
        <v>0</v>
      </c>
      <c r="H58" s="268">
        <v>1</v>
      </c>
      <c r="I58" s="447">
        <v>1</v>
      </c>
      <c r="J58" s="422">
        <f t="shared" si="2"/>
        <v>0</v>
      </c>
      <c r="K58" s="423">
        <f t="shared" si="3"/>
        <v>0</v>
      </c>
      <c r="L58" s="268">
        <v>253</v>
      </c>
      <c r="M58" s="447">
        <v>283</v>
      </c>
      <c r="N58" s="349">
        <f t="shared" si="4"/>
        <v>-30</v>
      </c>
      <c r="O58" s="424">
        <f t="shared" si="5"/>
        <v>-0.10600706713780919</v>
      </c>
      <c r="P58" s="272">
        <f t="shared" si="6"/>
        <v>1.6949439821013916</v>
      </c>
      <c r="Q58" s="307">
        <v>1.6</v>
      </c>
      <c r="R58" s="212">
        <f t="shared" si="7"/>
        <v>9.4943982101391544E-2</v>
      </c>
    </row>
    <row r="59" spans="1:18" x14ac:dyDescent="0.25">
      <c r="A59" s="213" t="s">
        <v>1398</v>
      </c>
      <c r="B59" s="214" t="s">
        <v>1408</v>
      </c>
      <c r="C59" s="455">
        <v>406004</v>
      </c>
      <c r="D59" s="268">
        <v>5</v>
      </c>
      <c r="E59" s="444">
        <v>5</v>
      </c>
      <c r="F59" s="421">
        <f t="shared" si="0"/>
        <v>0</v>
      </c>
      <c r="G59" s="236">
        <f t="shared" si="1"/>
        <v>0</v>
      </c>
      <c r="H59" s="268">
        <v>29</v>
      </c>
      <c r="I59" s="447">
        <v>29</v>
      </c>
      <c r="J59" s="422">
        <f t="shared" si="2"/>
        <v>0</v>
      </c>
      <c r="K59" s="423">
        <f t="shared" si="3"/>
        <v>0</v>
      </c>
      <c r="L59" s="268">
        <v>3586</v>
      </c>
      <c r="M59" s="447">
        <v>3586</v>
      </c>
      <c r="N59" s="349">
        <f t="shared" si="4"/>
        <v>0</v>
      </c>
      <c r="O59" s="424">
        <f t="shared" si="5"/>
        <v>0</v>
      </c>
      <c r="P59" s="272">
        <f t="shared" si="6"/>
        <v>7.1427867705736885</v>
      </c>
      <c r="Q59" s="307">
        <v>7.1</v>
      </c>
      <c r="R59" s="212">
        <f t="shared" si="7"/>
        <v>4.2786770573688848E-2</v>
      </c>
    </row>
    <row r="60" spans="1:18" x14ac:dyDescent="0.25">
      <c r="A60" s="213" t="s">
        <v>1398</v>
      </c>
      <c r="B60" s="214" t="s">
        <v>44</v>
      </c>
      <c r="C60" s="458">
        <v>385796</v>
      </c>
      <c r="D60" s="268">
        <v>4</v>
      </c>
      <c r="E60" s="444">
        <v>3</v>
      </c>
      <c r="F60" s="421">
        <f t="shared" si="0"/>
        <v>1</v>
      </c>
      <c r="G60" s="236">
        <f t="shared" si="1"/>
        <v>0.33333333333333331</v>
      </c>
      <c r="H60" s="268">
        <v>30</v>
      </c>
      <c r="I60" s="447">
        <v>21</v>
      </c>
      <c r="J60" s="422">
        <f t="shared" si="2"/>
        <v>9</v>
      </c>
      <c r="K60" s="423">
        <f t="shared" si="3"/>
        <v>0.42857142857142855</v>
      </c>
      <c r="L60" s="268">
        <v>4947</v>
      </c>
      <c r="M60" s="447">
        <v>3564</v>
      </c>
      <c r="N60" s="349">
        <f t="shared" si="4"/>
        <v>1383</v>
      </c>
      <c r="O60" s="424">
        <f t="shared" si="5"/>
        <v>0.38804713804713803</v>
      </c>
      <c r="P60" s="272">
        <f t="shared" si="6"/>
        <v>7.7761303901543828</v>
      </c>
      <c r="Q60" s="307">
        <v>5.4</v>
      </c>
      <c r="R60" s="212">
        <f t="shared" si="7"/>
        <v>2.3761303901543824</v>
      </c>
    </row>
    <row r="61" spans="1:18" x14ac:dyDescent="0.25">
      <c r="A61" s="213" t="s">
        <v>1398</v>
      </c>
      <c r="B61" s="214" t="s">
        <v>45</v>
      </c>
      <c r="C61" s="458">
        <v>506181</v>
      </c>
      <c r="D61" s="268">
        <v>3</v>
      </c>
      <c r="E61" s="444">
        <v>3</v>
      </c>
      <c r="F61" s="421">
        <f t="shared" si="0"/>
        <v>0</v>
      </c>
      <c r="G61" s="236">
        <f t="shared" si="1"/>
        <v>0</v>
      </c>
      <c r="H61" s="268">
        <v>27</v>
      </c>
      <c r="I61" s="447">
        <v>27</v>
      </c>
      <c r="J61" s="422">
        <f t="shared" si="2"/>
        <v>0</v>
      </c>
      <c r="K61" s="423">
        <f t="shared" si="3"/>
        <v>0</v>
      </c>
      <c r="L61" s="268">
        <v>4605</v>
      </c>
      <c r="M61" s="447">
        <v>4679</v>
      </c>
      <c r="N61" s="349">
        <f t="shared" si="4"/>
        <v>-74</v>
      </c>
      <c r="O61" s="424">
        <f t="shared" si="5"/>
        <v>-1.5815345159222057E-2</v>
      </c>
      <c r="P61" s="272">
        <f t="shared" si="6"/>
        <v>5.3340603460027145</v>
      </c>
      <c r="Q61" s="307">
        <v>5.2</v>
      </c>
      <c r="R61" s="212">
        <f t="shared" si="7"/>
        <v>0.13406034600271433</v>
      </c>
    </row>
    <row r="62" spans="1:18" x14ac:dyDescent="0.25">
      <c r="A62" s="213" t="s">
        <v>1398</v>
      </c>
      <c r="B62" s="214" t="s">
        <v>46</v>
      </c>
      <c r="C62" s="458">
        <v>489118</v>
      </c>
      <c r="D62" s="268">
        <v>5</v>
      </c>
      <c r="E62" s="444">
        <v>4</v>
      </c>
      <c r="F62" s="421">
        <f t="shared" si="0"/>
        <v>1</v>
      </c>
      <c r="G62" s="236">
        <f t="shared" si="1"/>
        <v>0.25</v>
      </c>
      <c r="H62" s="268">
        <v>37</v>
      </c>
      <c r="I62" s="447">
        <v>30</v>
      </c>
      <c r="J62" s="422">
        <f t="shared" si="2"/>
        <v>7</v>
      </c>
      <c r="K62" s="423">
        <f t="shared" si="3"/>
        <v>0.23333333333333334</v>
      </c>
      <c r="L62" s="268">
        <v>5644</v>
      </c>
      <c r="M62" s="447">
        <v>4610</v>
      </c>
      <c r="N62" s="349">
        <f t="shared" si="4"/>
        <v>1034</v>
      </c>
      <c r="O62" s="424">
        <f t="shared" si="5"/>
        <v>0.22429501084598699</v>
      </c>
      <c r="P62" s="272">
        <f t="shared" si="6"/>
        <v>7.5646367543210422</v>
      </c>
      <c r="Q62" s="307">
        <v>6.2</v>
      </c>
      <c r="R62" s="212">
        <f t="shared" si="7"/>
        <v>1.364636754321042</v>
      </c>
    </row>
    <row r="63" spans="1:18" x14ac:dyDescent="0.25">
      <c r="A63" s="213" t="s">
        <v>1398</v>
      </c>
      <c r="B63" s="214" t="s">
        <v>47</v>
      </c>
      <c r="C63" s="458">
        <v>288856</v>
      </c>
      <c r="D63" s="268">
        <v>1</v>
      </c>
      <c r="E63" s="444">
        <v>1</v>
      </c>
      <c r="F63" s="421">
        <f t="shared" si="0"/>
        <v>0</v>
      </c>
      <c r="G63" s="236">
        <f t="shared" si="1"/>
        <v>0</v>
      </c>
      <c r="H63" s="268">
        <v>8</v>
      </c>
      <c r="I63" s="447">
        <v>8</v>
      </c>
      <c r="J63" s="422">
        <f t="shared" si="2"/>
        <v>0</v>
      </c>
      <c r="K63" s="423">
        <f t="shared" si="3"/>
        <v>0</v>
      </c>
      <c r="L63" s="268">
        <v>1257</v>
      </c>
      <c r="M63" s="447">
        <v>1257</v>
      </c>
      <c r="N63" s="349">
        <f t="shared" si="4"/>
        <v>0</v>
      </c>
      <c r="O63" s="424">
        <f t="shared" si="5"/>
        <v>0</v>
      </c>
      <c r="P63" s="272">
        <f t="shared" si="6"/>
        <v>2.7695460713988975</v>
      </c>
      <c r="Q63" s="307">
        <v>2.7</v>
      </c>
      <c r="R63" s="212">
        <f t="shared" si="7"/>
        <v>6.9546071398897347E-2</v>
      </c>
    </row>
    <row r="64" spans="1:18" x14ac:dyDescent="0.25">
      <c r="A64" s="213" t="s">
        <v>1398</v>
      </c>
      <c r="B64" s="214" t="s">
        <v>29</v>
      </c>
      <c r="C64" s="458">
        <v>589013</v>
      </c>
      <c r="D64" s="268">
        <v>4</v>
      </c>
      <c r="E64" s="444">
        <v>4</v>
      </c>
      <c r="F64" s="421">
        <f t="shared" si="0"/>
        <v>0</v>
      </c>
      <c r="G64" s="236">
        <f t="shared" si="1"/>
        <v>0</v>
      </c>
      <c r="H64" s="268">
        <v>25</v>
      </c>
      <c r="I64" s="447">
        <v>25</v>
      </c>
      <c r="J64" s="422">
        <f t="shared" si="2"/>
        <v>0</v>
      </c>
      <c r="K64" s="423">
        <f t="shared" si="3"/>
        <v>0</v>
      </c>
      <c r="L64" s="268">
        <v>3783</v>
      </c>
      <c r="M64" s="447">
        <v>3783</v>
      </c>
      <c r="N64" s="349">
        <f t="shared" si="4"/>
        <v>0</v>
      </c>
      <c r="O64" s="424">
        <f t="shared" si="5"/>
        <v>0</v>
      </c>
      <c r="P64" s="272">
        <f t="shared" si="6"/>
        <v>4.244388493972119</v>
      </c>
      <c r="Q64" s="307">
        <v>4.5</v>
      </c>
      <c r="R64" s="212">
        <f t="shared" si="7"/>
        <v>-0.25561150602788096</v>
      </c>
    </row>
    <row r="65" spans="1:18" x14ac:dyDescent="0.25">
      <c r="A65" s="213" t="s">
        <v>1398</v>
      </c>
      <c r="B65" s="214" t="s">
        <v>1409</v>
      </c>
      <c r="C65" s="458">
        <v>69803</v>
      </c>
      <c r="D65" s="268">
        <v>1</v>
      </c>
      <c r="E65" s="444">
        <v>0</v>
      </c>
      <c r="F65" s="421">
        <f t="shared" si="0"/>
        <v>1</v>
      </c>
      <c r="G65" s="425" t="s">
        <v>897</v>
      </c>
      <c r="H65" s="268">
        <v>1</v>
      </c>
      <c r="I65" s="447">
        <v>0</v>
      </c>
      <c r="J65" s="422">
        <f t="shared" si="2"/>
        <v>1</v>
      </c>
      <c r="K65" s="425" t="s">
        <v>897</v>
      </c>
      <c r="L65" s="268">
        <v>89</v>
      </c>
      <c r="M65" s="447">
        <v>0</v>
      </c>
      <c r="N65" s="349">
        <f t="shared" si="4"/>
        <v>89</v>
      </c>
      <c r="O65" s="425" t="s">
        <v>897</v>
      </c>
      <c r="P65" s="272">
        <f t="shared" si="6"/>
        <v>1.4326031832442732</v>
      </c>
      <c r="Q65" s="307">
        <v>0</v>
      </c>
      <c r="R65" s="212">
        <f t="shared" si="7"/>
        <v>1.4326031832442732</v>
      </c>
    </row>
    <row r="66" spans="1:18" x14ac:dyDescent="0.25">
      <c r="A66" s="213" t="s">
        <v>1398</v>
      </c>
      <c r="B66" s="214" t="s">
        <v>1410</v>
      </c>
      <c r="C66" s="458">
        <v>20613</v>
      </c>
      <c r="D66" s="268">
        <v>0</v>
      </c>
      <c r="E66" s="444">
        <v>0</v>
      </c>
      <c r="F66" s="421">
        <f t="shared" si="0"/>
        <v>0</v>
      </c>
      <c r="G66" s="425" t="s">
        <v>1402</v>
      </c>
      <c r="H66" s="268">
        <v>0</v>
      </c>
      <c r="I66" s="447">
        <v>0</v>
      </c>
      <c r="J66" s="422">
        <f t="shared" si="2"/>
        <v>0</v>
      </c>
      <c r="K66" s="426" t="s">
        <v>1404</v>
      </c>
      <c r="L66" s="268">
        <v>0</v>
      </c>
      <c r="M66" s="447">
        <v>0</v>
      </c>
      <c r="N66" s="349">
        <f t="shared" si="4"/>
        <v>0</v>
      </c>
      <c r="O66" s="424" t="s">
        <v>1404</v>
      </c>
      <c r="P66" s="272">
        <f t="shared" si="6"/>
        <v>0</v>
      </c>
      <c r="Q66" s="307">
        <v>0</v>
      </c>
      <c r="R66" s="212">
        <f t="shared" si="7"/>
        <v>0</v>
      </c>
    </row>
    <row r="67" spans="1:18" x14ac:dyDescent="0.25">
      <c r="A67" s="210" t="s">
        <v>1411</v>
      </c>
      <c r="B67" s="211" t="s">
        <v>3</v>
      </c>
      <c r="C67" s="457">
        <v>1431050</v>
      </c>
      <c r="D67" s="267">
        <f>SUM(D68:D72)</f>
        <v>17</v>
      </c>
      <c r="E67" s="445">
        <f>SUM(E68:E72)</f>
        <v>17</v>
      </c>
      <c r="F67" s="421">
        <f t="shared" si="0"/>
        <v>0</v>
      </c>
      <c r="G67" s="236">
        <f t="shared" si="1"/>
        <v>0</v>
      </c>
      <c r="H67" s="267">
        <f>SUM(H68:H72)</f>
        <v>128</v>
      </c>
      <c r="I67" s="448">
        <f>SUM(I68:I72)</f>
        <v>128</v>
      </c>
      <c r="J67" s="422">
        <f t="shared" si="2"/>
        <v>0</v>
      </c>
      <c r="K67" s="423">
        <f t="shared" si="3"/>
        <v>0</v>
      </c>
      <c r="L67" s="267">
        <f>SUM(L68:L72)</f>
        <v>17473</v>
      </c>
      <c r="M67" s="445">
        <f>SUM(M68:M72)</f>
        <v>17473</v>
      </c>
      <c r="N67" s="349">
        <f t="shared" si="4"/>
        <v>0</v>
      </c>
      <c r="O67" s="424">
        <f t="shared" si="5"/>
        <v>0</v>
      </c>
      <c r="P67" s="271">
        <f t="shared" si="6"/>
        <v>8.9444813249012967</v>
      </c>
      <c r="Q67" s="306">
        <v>8.9</v>
      </c>
      <c r="R67" s="212">
        <f t="shared" si="7"/>
        <v>4.4481324901296304E-2</v>
      </c>
    </row>
    <row r="68" spans="1:18" x14ac:dyDescent="0.25">
      <c r="A68" s="213" t="s">
        <v>1398</v>
      </c>
      <c r="B68" s="214" t="s">
        <v>30</v>
      </c>
      <c r="C68" s="458">
        <v>105909</v>
      </c>
      <c r="D68" s="268">
        <v>6</v>
      </c>
      <c r="E68" s="444">
        <v>6</v>
      </c>
      <c r="F68" s="421">
        <f t="shared" ref="F68:F131" si="8">D68-E68</f>
        <v>0</v>
      </c>
      <c r="G68" s="236">
        <f t="shared" ref="G68:G134" si="9">F68/E68</f>
        <v>0</v>
      </c>
      <c r="H68" s="268">
        <v>31</v>
      </c>
      <c r="I68" s="447">
        <v>31</v>
      </c>
      <c r="J68" s="422">
        <f t="shared" ref="J68:J131" si="10">H68-I68</f>
        <v>0</v>
      </c>
      <c r="K68" s="423">
        <f t="shared" ref="K68:K134" si="11">J68/I68</f>
        <v>0</v>
      </c>
      <c r="L68" s="268">
        <v>4352</v>
      </c>
      <c r="M68" s="447">
        <v>4352</v>
      </c>
      <c r="N68" s="349">
        <f t="shared" ref="N68:N131" si="12">L68-M68</f>
        <v>0</v>
      </c>
      <c r="O68" s="424">
        <f t="shared" ref="O68:O134" si="13">N68/M68</f>
        <v>0</v>
      </c>
      <c r="P68" s="272">
        <f t="shared" ref="P68:P131" si="14">(H68/C68)*100000</f>
        <v>29.270411390911061</v>
      </c>
      <c r="Q68" s="307">
        <v>30</v>
      </c>
      <c r="R68" s="212">
        <f t="shared" ref="R68:R131" si="15">P68-Q68</f>
        <v>-0.72958860908893897</v>
      </c>
    </row>
    <row r="69" spans="1:18" x14ac:dyDescent="0.25">
      <c r="A69" s="213" t="s">
        <v>1398</v>
      </c>
      <c r="B69" s="214" t="s">
        <v>29</v>
      </c>
      <c r="C69" s="458">
        <v>287401</v>
      </c>
      <c r="D69" s="268">
        <v>3</v>
      </c>
      <c r="E69" s="444">
        <v>3</v>
      </c>
      <c r="F69" s="421">
        <f t="shared" si="8"/>
        <v>0</v>
      </c>
      <c r="G69" s="236">
        <f t="shared" si="9"/>
        <v>0</v>
      </c>
      <c r="H69" s="268">
        <v>31</v>
      </c>
      <c r="I69" s="447">
        <v>31</v>
      </c>
      <c r="J69" s="422">
        <f t="shared" si="10"/>
        <v>0</v>
      </c>
      <c r="K69" s="423">
        <f t="shared" si="11"/>
        <v>0</v>
      </c>
      <c r="L69" s="268">
        <v>4439</v>
      </c>
      <c r="M69" s="447">
        <v>4439</v>
      </c>
      <c r="N69" s="349">
        <f t="shared" si="12"/>
        <v>0</v>
      </c>
      <c r="O69" s="424">
        <f t="shared" si="13"/>
        <v>0</v>
      </c>
      <c r="P69" s="272">
        <f t="shared" si="14"/>
        <v>10.7863229425089</v>
      </c>
      <c r="Q69" s="307">
        <v>10.6</v>
      </c>
      <c r="R69" s="212">
        <f t="shared" si="15"/>
        <v>0.18632294250889991</v>
      </c>
    </row>
    <row r="70" spans="1:18" x14ac:dyDescent="0.25">
      <c r="A70" s="213" t="s">
        <v>1398</v>
      </c>
      <c r="B70" s="214" t="s">
        <v>33</v>
      </c>
      <c r="C70" s="458">
        <v>212379</v>
      </c>
      <c r="D70" s="268">
        <v>0</v>
      </c>
      <c r="E70" s="444">
        <v>0</v>
      </c>
      <c r="F70" s="421">
        <f t="shared" si="8"/>
        <v>0</v>
      </c>
      <c r="G70" s="425" t="s">
        <v>1404</v>
      </c>
      <c r="H70" s="268">
        <v>0</v>
      </c>
      <c r="I70" s="447">
        <v>0</v>
      </c>
      <c r="J70" s="422">
        <f t="shared" si="10"/>
        <v>0</v>
      </c>
      <c r="K70" s="426" t="s">
        <v>1404</v>
      </c>
      <c r="L70" s="268">
        <v>0</v>
      </c>
      <c r="M70" s="447">
        <v>0</v>
      </c>
      <c r="N70" s="349">
        <f t="shared" si="12"/>
        <v>0</v>
      </c>
      <c r="O70" s="424" t="s">
        <v>1402</v>
      </c>
      <c r="P70" s="272">
        <f t="shared" si="14"/>
        <v>0</v>
      </c>
      <c r="Q70" s="307">
        <v>0</v>
      </c>
      <c r="R70" s="212">
        <f t="shared" si="15"/>
        <v>0</v>
      </c>
    </row>
    <row r="71" spans="1:18" x14ac:dyDescent="0.25">
      <c r="A71" s="213" t="s">
        <v>1398</v>
      </c>
      <c r="B71" s="214" t="s">
        <v>34</v>
      </c>
      <c r="C71" s="458">
        <v>424707</v>
      </c>
      <c r="D71" s="268">
        <v>2</v>
      </c>
      <c r="E71" s="444">
        <v>2</v>
      </c>
      <c r="F71" s="421">
        <f t="shared" si="8"/>
        <v>0</v>
      </c>
      <c r="G71" s="236">
        <f t="shared" si="9"/>
        <v>0</v>
      </c>
      <c r="H71" s="268">
        <v>17</v>
      </c>
      <c r="I71" s="447">
        <v>17</v>
      </c>
      <c r="J71" s="422">
        <f t="shared" si="10"/>
        <v>0</v>
      </c>
      <c r="K71" s="423">
        <f t="shared" si="11"/>
        <v>0</v>
      </c>
      <c r="L71" s="268">
        <v>2423</v>
      </c>
      <c r="M71" s="447">
        <v>2423</v>
      </c>
      <c r="N71" s="349">
        <f t="shared" si="12"/>
        <v>0</v>
      </c>
      <c r="O71" s="424">
        <f t="shared" si="13"/>
        <v>0</v>
      </c>
      <c r="P71" s="272">
        <f t="shared" si="14"/>
        <v>4.0027595495247308</v>
      </c>
      <c r="Q71" s="307">
        <v>4</v>
      </c>
      <c r="R71" s="212">
        <f t="shared" si="15"/>
        <v>2.7595495247307866E-3</v>
      </c>
    </row>
    <row r="72" spans="1:18" x14ac:dyDescent="0.25">
      <c r="A72" s="213" t="s">
        <v>1398</v>
      </c>
      <c r="B72" s="214" t="s">
        <v>48</v>
      </c>
      <c r="C72" s="458">
        <v>400654</v>
      </c>
      <c r="D72" s="268">
        <v>6</v>
      </c>
      <c r="E72" s="444">
        <v>6</v>
      </c>
      <c r="F72" s="421">
        <f t="shared" si="8"/>
        <v>0</v>
      </c>
      <c r="G72" s="236">
        <f t="shared" si="9"/>
        <v>0</v>
      </c>
      <c r="H72" s="268">
        <v>49</v>
      </c>
      <c r="I72" s="447">
        <v>49</v>
      </c>
      <c r="J72" s="422">
        <f t="shared" si="10"/>
        <v>0</v>
      </c>
      <c r="K72" s="423">
        <f t="shared" si="11"/>
        <v>0</v>
      </c>
      <c r="L72" s="268">
        <v>6259</v>
      </c>
      <c r="M72" s="447">
        <v>6259</v>
      </c>
      <c r="N72" s="349">
        <f t="shared" si="12"/>
        <v>0</v>
      </c>
      <c r="O72" s="424">
        <f t="shared" si="13"/>
        <v>0</v>
      </c>
      <c r="P72" s="272">
        <f t="shared" si="14"/>
        <v>12.230003943552292</v>
      </c>
      <c r="Q72" s="307">
        <v>12.1</v>
      </c>
      <c r="R72" s="212">
        <f t="shared" si="15"/>
        <v>0.13000394355229261</v>
      </c>
    </row>
    <row r="73" spans="1:18" x14ac:dyDescent="0.25">
      <c r="A73" s="210" t="s">
        <v>1412</v>
      </c>
      <c r="B73" s="211" t="s">
        <v>3</v>
      </c>
      <c r="C73" s="457">
        <v>1446072</v>
      </c>
      <c r="D73" s="267">
        <f>SUM(D74:D78)</f>
        <v>16</v>
      </c>
      <c r="E73" s="445">
        <f>SUM(E74:E78)</f>
        <v>17</v>
      </c>
      <c r="F73" s="421">
        <f t="shared" si="8"/>
        <v>-1</v>
      </c>
      <c r="G73" s="236">
        <f t="shared" si="9"/>
        <v>-5.8823529411764705E-2</v>
      </c>
      <c r="H73" s="267">
        <f>SUM(H74:H78)</f>
        <v>107</v>
      </c>
      <c r="I73" s="448">
        <f>SUM(I74:I78)</f>
        <v>108</v>
      </c>
      <c r="J73" s="235">
        <f t="shared" si="10"/>
        <v>-1</v>
      </c>
      <c r="K73" s="423">
        <f t="shared" si="11"/>
        <v>-9.2592592592592587E-3</v>
      </c>
      <c r="L73" s="267">
        <f>SUM(L74:L78)</f>
        <v>17805</v>
      </c>
      <c r="M73" s="445">
        <f>SUM(M74:M78)</f>
        <v>17955</v>
      </c>
      <c r="N73" s="349">
        <f t="shared" si="12"/>
        <v>-150</v>
      </c>
      <c r="O73" s="424">
        <f t="shared" si="13"/>
        <v>-8.3542188805346695E-3</v>
      </c>
      <c r="P73" s="271">
        <f t="shared" si="14"/>
        <v>7.3993549422158793</v>
      </c>
      <c r="Q73" s="306">
        <v>7.4</v>
      </c>
      <c r="R73" s="212">
        <f t="shared" si="15"/>
        <v>-6.450577841210503E-4</v>
      </c>
    </row>
    <row r="74" spans="1:18" x14ac:dyDescent="0.25">
      <c r="A74" s="213" t="s">
        <v>1398</v>
      </c>
      <c r="B74" s="214" t="s">
        <v>30</v>
      </c>
      <c r="C74" s="458">
        <v>219751</v>
      </c>
      <c r="D74" s="268">
        <v>2</v>
      </c>
      <c r="E74" s="444">
        <v>3</v>
      </c>
      <c r="F74" s="421">
        <f t="shared" si="8"/>
        <v>-1</v>
      </c>
      <c r="G74" s="236">
        <f t="shared" si="9"/>
        <v>-0.33333333333333331</v>
      </c>
      <c r="H74" s="268">
        <v>14</v>
      </c>
      <c r="I74" s="447">
        <v>15</v>
      </c>
      <c r="J74" s="235">
        <f t="shared" si="10"/>
        <v>-1</v>
      </c>
      <c r="K74" s="423">
        <f t="shared" si="11"/>
        <v>-6.6666666666666666E-2</v>
      </c>
      <c r="L74" s="268">
        <v>2627</v>
      </c>
      <c r="M74" s="447">
        <v>2777</v>
      </c>
      <c r="N74" s="349">
        <f t="shared" si="12"/>
        <v>-150</v>
      </c>
      <c r="O74" s="424">
        <f t="shared" si="13"/>
        <v>-5.4015124234785737E-2</v>
      </c>
      <c r="P74" s="272">
        <f t="shared" si="14"/>
        <v>6.3708470041091969</v>
      </c>
      <c r="Q74" s="307">
        <v>6.8</v>
      </c>
      <c r="R74" s="212">
        <f t="shared" si="15"/>
        <v>-0.42915299589080291</v>
      </c>
    </row>
    <row r="75" spans="1:18" x14ac:dyDescent="0.25">
      <c r="A75" s="213" t="s">
        <v>1398</v>
      </c>
      <c r="B75" s="214" t="s">
        <v>5</v>
      </c>
      <c r="C75" s="458">
        <v>227108</v>
      </c>
      <c r="D75" s="268">
        <v>3</v>
      </c>
      <c r="E75" s="444">
        <v>3</v>
      </c>
      <c r="F75" s="421">
        <f t="shared" si="8"/>
        <v>0</v>
      </c>
      <c r="G75" s="236">
        <f t="shared" si="9"/>
        <v>0</v>
      </c>
      <c r="H75" s="268">
        <v>18</v>
      </c>
      <c r="I75" s="447">
        <v>18</v>
      </c>
      <c r="J75" s="235">
        <f t="shared" si="10"/>
        <v>0</v>
      </c>
      <c r="K75" s="423">
        <f t="shared" si="11"/>
        <v>0</v>
      </c>
      <c r="L75" s="268">
        <v>3076</v>
      </c>
      <c r="M75" s="447">
        <v>3076</v>
      </c>
      <c r="N75" s="349">
        <f t="shared" si="12"/>
        <v>0</v>
      </c>
      <c r="O75" s="424">
        <f t="shared" si="13"/>
        <v>0</v>
      </c>
      <c r="P75" s="272">
        <f t="shared" si="14"/>
        <v>7.9257445796713455</v>
      </c>
      <c r="Q75" s="307">
        <v>7.8</v>
      </c>
      <c r="R75" s="212">
        <f t="shared" si="15"/>
        <v>0.12574457967134567</v>
      </c>
    </row>
    <row r="76" spans="1:18" x14ac:dyDescent="0.25">
      <c r="A76" s="213" t="s">
        <v>1398</v>
      </c>
      <c r="B76" s="214" t="s">
        <v>29</v>
      </c>
      <c r="C76" s="458">
        <v>470374</v>
      </c>
      <c r="D76" s="268">
        <v>7</v>
      </c>
      <c r="E76" s="444">
        <v>7</v>
      </c>
      <c r="F76" s="421">
        <f t="shared" si="8"/>
        <v>0</v>
      </c>
      <c r="G76" s="236">
        <f t="shared" si="9"/>
        <v>0</v>
      </c>
      <c r="H76" s="268">
        <v>51</v>
      </c>
      <c r="I76" s="447">
        <v>51</v>
      </c>
      <c r="J76" s="235">
        <f t="shared" si="10"/>
        <v>0</v>
      </c>
      <c r="K76" s="423">
        <f t="shared" si="11"/>
        <v>0</v>
      </c>
      <c r="L76" s="268">
        <v>8058</v>
      </c>
      <c r="M76" s="447">
        <v>8058</v>
      </c>
      <c r="N76" s="349">
        <f t="shared" si="12"/>
        <v>0</v>
      </c>
      <c r="O76" s="424">
        <f t="shared" si="13"/>
        <v>0</v>
      </c>
      <c r="P76" s="272">
        <f t="shared" si="14"/>
        <v>10.842436018997649</v>
      </c>
      <c r="Q76" s="307">
        <v>10.8</v>
      </c>
      <c r="R76" s="212">
        <f t="shared" si="15"/>
        <v>4.2436018997648262E-2</v>
      </c>
    </row>
    <row r="77" spans="1:18" x14ac:dyDescent="0.25">
      <c r="A77" s="213" t="s">
        <v>1398</v>
      </c>
      <c r="B77" s="214" t="s">
        <v>49</v>
      </c>
      <c r="C77" s="458">
        <v>356093</v>
      </c>
      <c r="D77" s="268">
        <v>4</v>
      </c>
      <c r="E77" s="444">
        <v>4</v>
      </c>
      <c r="F77" s="421">
        <f t="shared" si="8"/>
        <v>0</v>
      </c>
      <c r="G77" s="236">
        <f t="shared" si="9"/>
        <v>0</v>
      </c>
      <c r="H77" s="268">
        <v>24</v>
      </c>
      <c r="I77" s="447">
        <v>24</v>
      </c>
      <c r="J77" s="235">
        <f t="shared" si="10"/>
        <v>0</v>
      </c>
      <c r="K77" s="423">
        <f t="shared" si="11"/>
        <v>0</v>
      </c>
      <c r="L77" s="268">
        <v>4044</v>
      </c>
      <c r="M77" s="447">
        <v>4044</v>
      </c>
      <c r="N77" s="349">
        <f t="shared" si="12"/>
        <v>0</v>
      </c>
      <c r="O77" s="424">
        <f t="shared" si="13"/>
        <v>0</v>
      </c>
      <c r="P77" s="272">
        <f t="shared" si="14"/>
        <v>6.7398123523910884</v>
      </c>
      <c r="Q77" s="307">
        <v>6.8</v>
      </c>
      <c r="R77" s="212">
        <f t="shared" si="15"/>
        <v>-6.0187647608911377E-2</v>
      </c>
    </row>
    <row r="78" spans="1:18" x14ac:dyDescent="0.25">
      <c r="A78" s="213" t="s">
        <v>1398</v>
      </c>
      <c r="B78" s="214" t="s">
        <v>1413</v>
      </c>
      <c r="C78" s="458">
        <v>172746</v>
      </c>
      <c r="D78" s="268">
        <v>0</v>
      </c>
      <c r="E78" s="444">
        <v>0</v>
      </c>
      <c r="F78" s="421">
        <f t="shared" si="8"/>
        <v>0</v>
      </c>
      <c r="G78" s="425" t="s">
        <v>1402</v>
      </c>
      <c r="H78" s="268">
        <v>0</v>
      </c>
      <c r="I78" s="447">
        <v>0</v>
      </c>
      <c r="J78" s="235">
        <f t="shared" si="10"/>
        <v>0</v>
      </c>
      <c r="K78" s="426" t="s">
        <v>1404</v>
      </c>
      <c r="L78" s="268">
        <v>0</v>
      </c>
      <c r="M78" s="447">
        <v>0</v>
      </c>
      <c r="N78" s="349">
        <f t="shared" si="12"/>
        <v>0</v>
      </c>
      <c r="O78" s="424" t="s">
        <v>897</v>
      </c>
      <c r="P78" s="272">
        <f t="shared" si="14"/>
        <v>0</v>
      </c>
      <c r="Q78" s="307">
        <v>0</v>
      </c>
      <c r="R78" s="212">
        <f t="shared" si="15"/>
        <v>0</v>
      </c>
    </row>
    <row r="79" spans="1:18" x14ac:dyDescent="0.25">
      <c r="A79" s="210" t="s">
        <v>1414</v>
      </c>
      <c r="B79" s="211" t="s">
        <v>3</v>
      </c>
      <c r="C79" s="459">
        <v>1110663</v>
      </c>
      <c r="D79" s="267">
        <f>SUM(D80:D84)</f>
        <v>9</v>
      </c>
      <c r="E79" s="445">
        <f>SUM(E80:E84)</f>
        <v>8</v>
      </c>
      <c r="F79" s="421">
        <f t="shared" si="8"/>
        <v>1</v>
      </c>
      <c r="G79" s="236">
        <f t="shared" si="9"/>
        <v>0.125</v>
      </c>
      <c r="H79" s="267">
        <f>SUM(H80:H84)</f>
        <v>56</v>
      </c>
      <c r="I79" s="448">
        <f>SUM(I80:I84)</f>
        <v>50</v>
      </c>
      <c r="J79" s="235">
        <f t="shared" si="10"/>
        <v>6</v>
      </c>
      <c r="K79" s="423">
        <f t="shared" si="11"/>
        <v>0.12</v>
      </c>
      <c r="L79" s="267">
        <f>SUM(L80:L84)</f>
        <v>8583</v>
      </c>
      <c r="M79" s="445">
        <f>SUM(M80:M84)</f>
        <v>8173</v>
      </c>
      <c r="N79" s="349">
        <f t="shared" si="12"/>
        <v>410</v>
      </c>
      <c r="O79" s="424">
        <f t="shared" si="13"/>
        <v>5.016517802520494E-2</v>
      </c>
      <c r="P79" s="271">
        <f t="shared" si="14"/>
        <v>5.0420334520912284</v>
      </c>
      <c r="Q79" s="306">
        <v>4.5</v>
      </c>
      <c r="R79" s="212">
        <f t="shared" si="15"/>
        <v>0.54203345209122844</v>
      </c>
    </row>
    <row r="80" spans="1:18" x14ac:dyDescent="0.25">
      <c r="A80" s="213" t="s">
        <v>1398</v>
      </c>
      <c r="B80" s="214" t="s">
        <v>5</v>
      </c>
      <c r="C80" s="458">
        <v>208132</v>
      </c>
      <c r="D80" s="268">
        <v>2</v>
      </c>
      <c r="E80" s="444">
        <v>2</v>
      </c>
      <c r="F80" s="421">
        <f t="shared" si="8"/>
        <v>0</v>
      </c>
      <c r="G80" s="236">
        <f t="shared" si="9"/>
        <v>0</v>
      </c>
      <c r="H80" s="268">
        <v>15</v>
      </c>
      <c r="I80" s="447">
        <v>15</v>
      </c>
      <c r="J80" s="235">
        <f t="shared" si="10"/>
        <v>0</v>
      </c>
      <c r="K80" s="423">
        <f t="shared" si="11"/>
        <v>0</v>
      </c>
      <c r="L80" s="268">
        <v>2264</v>
      </c>
      <c r="M80" s="447">
        <v>2264</v>
      </c>
      <c r="N80" s="349">
        <f t="shared" si="12"/>
        <v>0</v>
      </c>
      <c r="O80" s="424">
        <f t="shared" si="13"/>
        <v>0</v>
      </c>
      <c r="P80" s="272">
        <f t="shared" si="14"/>
        <v>7.2069648107931501</v>
      </c>
      <c r="Q80" s="307">
        <v>7</v>
      </c>
      <c r="R80" s="212">
        <f t="shared" si="15"/>
        <v>0.2069648107931501</v>
      </c>
    </row>
    <row r="81" spans="1:18" x14ac:dyDescent="0.25">
      <c r="A81" s="213" t="s">
        <v>1398</v>
      </c>
      <c r="B81" s="214" t="s">
        <v>33</v>
      </c>
      <c r="C81" s="458">
        <v>310638</v>
      </c>
      <c r="D81" s="268">
        <v>2</v>
      </c>
      <c r="E81" s="444">
        <v>2</v>
      </c>
      <c r="F81" s="421">
        <f t="shared" si="8"/>
        <v>0</v>
      </c>
      <c r="G81" s="236">
        <f t="shared" si="9"/>
        <v>0</v>
      </c>
      <c r="H81" s="268">
        <v>20</v>
      </c>
      <c r="I81" s="447">
        <v>20</v>
      </c>
      <c r="J81" s="235">
        <f t="shared" si="10"/>
        <v>0</v>
      </c>
      <c r="K81" s="423">
        <f t="shared" si="11"/>
        <v>0</v>
      </c>
      <c r="L81" s="268">
        <v>3967</v>
      </c>
      <c r="M81" s="447">
        <v>3967</v>
      </c>
      <c r="N81" s="349">
        <f t="shared" si="12"/>
        <v>0</v>
      </c>
      <c r="O81" s="424">
        <f t="shared" si="13"/>
        <v>0</v>
      </c>
      <c r="P81" s="272">
        <f t="shared" si="14"/>
        <v>6.4383623381556667</v>
      </c>
      <c r="Q81" s="307">
        <v>6.4</v>
      </c>
      <c r="R81" s="212">
        <f t="shared" si="15"/>
        <v>3.8362338155666365E-2</v>
      </c>
    </row>
    <row r="82" spans="1:18" x14ac:dyDescent="0.25">
      <c r="A82" s="213" t="s">
        <v>1398</v>
      </c>
      <c r="B82" s="214" t="s">
        <v>30</v>
      </c>
      <c r="C82" s="458">
        <v>151711</v>
      </c>
      <c r="D82" s="268">
        <v>2</v>
      </c>
      <c r="E82" s="444">
        <v>1</v>
      </c>
      <c r="F82" s="421">
        <f t="shared" si="8"/>
        <v>1</v>
      </c>
      <c r="G82" s="236">
        <f t="shared" si="9"/>
        <v>1</v>
      </c>
      <c r="H82" s="386">
        <v>8</v>
      </c>
      <c r="I82" s="448">
        <v>2</v>
      </c>
      <c r="J82" s="431">
        <f t="shared" si="10"/>
        <v>6</v>
      </c>
      <c r="K82" s="423">
        <f t="shared" si="11"/>
        <v>3</v>
      </c>
      <c r="L82" s="386">
        <v>622</v>
      </c>
      <c r="M82" s="448">
        <v>210</v>
      </c>
      <c r="N82" s="428">
        <f t="shared" si="12"/>
        <v>412</v>
      </c>
      <c r="O82" s="424">
        <f t="shared" si="13"/>
        <v>1.9619047619047618</v>
      </c>
      <c r="P82" s="272">
        <f t="shared" si="14"/>
        <v>5.2731838825134627</v>
      </c>
      <c r="Q82" s="307">
        <v>1.3</v>
      </c>
      <c r="R82" s="212">
        <f t="shared" si="15"/>
        <v>3.9731838825134629</v>
      </c>
    </row>
    <row r="83" spans="1:18" x14ac:dyDescent="0.25">
      <c r="A83" s="213" t="s">
        <v>1398</v>
      </c>
      <c r="B83" s="214" t="s">
        <v>34</v>
      </c>
      <c r="C83" s="458">
        <v>218670</v>
      </c>
      <c r="D83" s="268">
        <v>2</v>
      </c>
      <c r="E83" s="444">
        <v>2</v>
      </c>
      <c r="F83" s="421">
        <f t="shared" si="8"/>
        <v>0</v>
      </c>
      <c r="G83" s="236">
        <f t="shared" si="9"/>
        <v>0</v>
      </c>
      <c r="H83" s="268">
        <v>11</v>
      </c>
      <c r="I83" s="447">
        <v>11</v>
      </c>
      <c r="J83" s="235">
        <f t="shared" si="10"/>
        <v>0</v>
      </c>
      <c r="K83" s="423">
        <f t="shared" si="11"/>
        <v>0</v>
      </c>
      <c r="L83" s="268">
        <v>1429</v>
      </c>
      <c r="M83" s="447">
        <v>1429</v>
      </c>
      <c r="N83" s="349">
        <f t="shared" si="12"/>
        <v>0</v>
      </c>
      <c r="O83" s="424">
        <f t="shared" si="13"/>
        <v>0</v>
      </c>
      <c r="P83" s="272">
        <f t="shared" si="14"/>
        <v>5.0304111217816798</v>
      </c>
      <c r="Q83" s="307">
        <v>5</v>
      </c>
      <c r="R83" s="212">
        <f t="shared" si="15"/>
        <v>3.0411121781679817E-2</v>
      </c>
    </row>
    <row r="84" spans="1:18" x14ac:dyDescent="0.25">
      <c r="A84" s="213" t="s">
        <v>1398</v>
      </c>
      <c r="B84" s="214" t="s">
        <v>50</v>
      </c>
      <c r="C84" s="458">
        <v>221512</v>
      </c>
      <c r="D84" s="268">
        <v>1</v>
      </c>
      <c r="E84" s="444">
        <v>1</v>
      </c>
      <c r="F84" s="421">
        <f t="shared" si="8"/>
        <v>0</v>
      </c>
      <c r="G84" s="236">
        <f t="shared" si="9"/>
        <v>0</v>
      </c>
      <c r="H84" s="268">
        <v>2</v>
      </c>
      <c r="I84" s="447">
        <v>2</v>
      </c>
      <c r="J84" s="235">
        <f t="shared" si="10"/>
        <v>0</v>
      </c>
      <c r="K84" s="423">
        <f t="shared" si="11"/>
        <v>0</v>
      </c>
      <c r="L84" s="268">
        <v>301</v>
      </c>
      <c r="M84" s="447">
        <v>303</v>
      </c>
      <c r="N84" s="349">
        <f t="shared" si="12"/>
        <v>-2</v>
      </c>
      <c r="O84" s="424">
        <f t="shared" si="13"/>
        <v>-6.6006600660066007E-3</v>
      </c>
      <c r="P84" s="272">
        <f t="shared" si="14"/>
        <v>0.90288562244934811</v>
      </c>
      <c r="Q84" s="307">
        <v>0.9</v>
      </c>
      <c r="R84" s="212">
        <f t="shared" si="15"/>
        <v>2.8856224493480909E-3</v>
      </c>
    </row>
    <row r="85" spans="1:18" x14ac:dyDescent="0.25">
      <c r="A85" s="210" t="s">
        <v>1415</v>
      </c>
      <c r="B85" s="211" t="s">
        <v>3</v>
      </c>
      <c r="C85" s="456">
        <v>383591</v>
      </c>
      <c r="D85" s="267">
        <v>4</v>
      </c>
      <c r="E85" s="445">
        <v>4</v>
      </c>
      <c r="F85" s="421">
        <f t="shared" si="8"/>
        <v>0</v>
      </c>
      <c r="G85" s="236">
        <f t="shared" si="9"/>
        <v>0</v>
      </c>
      <c r="H85" s="267">
        <v>23</v>
      </c>
      <c r="I85" s="448">
        <v>23</v>
      </c>
      <c r="J85" s="235">
        <f t="shared" si="10"/>
        <v>0</v>
      </c>
      <c r="K85" s="423">
        <f t="shared" si="11"/>
        <v>0</v>
      </c>
      <c r="L85" s="267">
        <v>3284</v>
      </c>
      <c r="M85" s="445">
        <v>3284</v>
      </c>
      <c r="N85" s="349">
        <f t="shared" si="12"/>
        <v>0</v>
      </c>
      <c r="O85" s="424">
        <f t="shared" si="13"/>
        <v>0</v>
      </c>
      <c r="P85" s="271">
        <f t="shared" si="14"/>
        <v>5.9959696656073787</v>
      </c>
      <c r="Q85" s="306">
        <v>6.2</v>
      </c>
      <c r="R85" s="212">
        <f t="shared" si="15"/>
        <v>-0.20403033439262153</v>
      </c>
    </row>
    <row r="86" spans="1:18" x14ac:dyDescent="0.25">
      <c r="A86" s="210" t="s">
        <v>52</v>
      </c>
      <c r="B86" s="211" t="s">
        <v>3</v>
      </c>
      <c r="C86" s="457">
        <v>13589432</v>
      </c>
      <c r="D86" s="267">
        <f>SUM(D87:D117)</f>
        <v>139</v>
      </c>
      <c r="E86" s="445">
        <f>SUM(E87:E117)</f>
        <v>132</v>
      </c>
      <c r="F86" s="421">
        <f t="shared" si="8"/>
        <v>7</v>
      </c>
      <c r="G86" s="236">
        <f t="shared" si="9"/>
        <v>5.3030303030303032E-2</v>
      </c>
      <c r="H86" s="267">
        <f>SUM(H87:H117)</f>
        <v>854</v>
      </c>
      <c r="I86" s="448">
        <f>SUM(I87:I117)</f>
        <v>830</v>
      </c>
      <c r="J86" s="235">
        <f t="shared" si="10"/>
        <v>24</v>
      </c>
      <c r="K86" s="423">
        <f t="shared" si="11"/>
        <v>2.891566265060241E-2</v>
      </c>
      <c r="L86" s="267">
        <f>SUM(L87:L117)</f>
        <v>116306</v>
      </c>
      <c r="M86" s="445">
        <f>SUM(M87:M117)</f>
        <v>118406</v>
      </c>
      <c r="N86" s="349">
        <f t="shared" si="12"/>
        <v>-2100</v>
      </c>
      <c r="O86" s="424">
        <f t="shared" si="13"/>
        <v>-1.7735587723595087E-2</v>
      </c>
      <c r="P86" s="271">
        <f t="shared" si="14"/>
        <v>6.2842950316098563</v>
      </c>
      <c r="Q86" s="306">
        <v>6.1</v>
      </c>
      <c r="R86" s="212">
        <f t="shared" si="15"/>
        <v>0.18429503160985661</v>
      </c>
    </row>
    <row r="87" spans="1:18" x14ac:dyDescent="0.25">
      <c r="A87" s="213" t="s">
        <v>1398</v>
      </c>
      <c r="B87" s="214" t="s">
        <v>53</v>
      </c>
      <c r="C87" s="455">
        <v>1190964</v>
      </c>
      <c r="D87" s="268">
        <v>12</v>
      </c>
      <c r="E87" s="444">
        <v>11</v>
      </c>
      <c r="F87" s="421">
        <f t="shared" si="8"/>
        <v>1</v>
      </c>
      <c r="G87" s="236">
        <f t="shared" si="9"/>
        <v>9.0909090909090912E-2</v>
      </c>
      <c r="H87" s="268">
        <v>80</v>
      </c>
      <c r="I87" s="447">
        <v>75</v>
      </c>
      <c r="J87" s="422">
        <f t="shared" si="10"/>
        <v>5</v>
      </c>
      <c r="K87" s="423">
        <f t="shared" si="11"/>
        <v>6.6666666666666666E-2</v>
      </c>
      <c r="L87" s="268">
        <v>14056</v>
      </c>
      <c r="M87" s="447">
        <v>13651</v>
      </c>
      <c r="N87" s="349">
        <f t="shared" si="12"/>
        <v>405</v>
      </c>
      <c r="O87" s="424">
        <f t="shared" si="13"/>
        <v>2.9668156179034504E-2</v>
      </c>
      <c r="P87" s="272">
        <f t="shared" si="14"/>
        <v>6.7172475406477439</v>
      </c>
      <c r="Q87" s="307">
        <v>6.3</v>
      </c>
      <c r="R87" s="212">
        <f t="shared" si="15"/>
        <v>0.41724754064774405</v>
      </c>
    </row>
    <row r="88" spans="1:18" x14ac:dyDescent="0.25">
      <c r="A88" s="213" t="s">
        <v>1398</v>
      </c>
      <c r="B88" s="214" t="s">
        <v>54</v>
      </c>
      <c r="C88" s="460">
        <v>922518</v>
      </c>
      <c r="D88" s="268">
        <v>8</v>
      </c>
      <c r="E88" s="444">
        <v>9</v>
      </c>
      <c r="F88" s="421">
        <f t="shared" si="8"/>
        <v>-1</v>
      </c>
      <c r="G88" s="236">
        <f t="shared" si="9"/>
        <v>-0.1111111111111111</v>
      </c>
      <c r="H88" s="268">
        <v>54</v>
      </c>
      <c r="I88" s="447">
        <v>64</v>
      </c>
      <c r="J88" s="422">
        <f t="shared" si="10"/>
        <v>-10</v>
      </c>
      <c r="K88" s="423">
        <f t="shared" si="11"/>
        <v>-0.15625</v>
      </c>
      <c r="L88" s="268">
        <v>7884</v>
      </c>
      <c r="M88" s="447">
        <v>9624</v>
      </c>
      <c r="N88" s="349">
        <f t="shared" si="12"/>
        <v>-1740</v>
      </c>
      <c r="O88" s="424">
        <f t="shared" si="13"/>
        <v>-0.18079800498753118</v>
      </c>
      <c r="P88" s="272">
        <f t="shared" si="14"/>
        <v>5.8535443210864173</v>
      </c>
      <c r="Q88" s="307">
        <v>6.9</v>
      </c>
      <c r="R88" s="212">
        <f t="shared" si="15"/>
        <v>-1.046455678913583</v>
      </c>
    </row>
    <row r="89" spans="1:18" x14ac:dyDescent="0.25">
      <c r="A89" s="213" t="s">
        <v>1398</v>
      </c>
      <c r="B89" s="214" t="s">
        <v>55</v>
      </c>
      <c r="C89" s="460">
        <v>463724</v>
      </c>
      <c r="D89" s="268">
        <v>4</v>
      </c>
      <c r="E89" s="444">
        <v>4</v>
      </c>
      <c r="F89" s="421">
        <f t="shared" si="8"/>
        <v>0</v>
      </c>
      <c r="G89" s="236">
        <f t="shared" si="9"/>
        <v>0</v>
      </c>
      <c r="H89" s="268">
        <v>30</v>
      </c>
      <c r="I89" s="447">
        <v>30</v>
      </c>
      <c r="J89" s="422">
        <f t="shared" si="10"/>
        <v>0</v>
      </c>
      <c r="K89" s="423">
        <f t="shared" si="11"/>
        <v>0</v>
      </c>
      <c r="L89" s="268">
        <v>4885</v>
      </c>
      <c r="M89" s="447">
        <v>4885</v>
      </c>
      <c r="N89" s="349">
        <f t="shared" si="12"/>
        <v>0</v>
      </c>
      <c r="O89" s="424">
        <f t="shared" si="13"/>
        <v>0</v>
      </c>
      <c r="P89" s="272">
        <f t="shared" si="14"/>
        <v>6.4693653983835206</v>
      </c>
      <c r="Q89" s="307">
        <v>6.5</v>
      </c>
      <c r="R89" s="212">
        <f t="shared" si="15"/>
        <v>-3.0634601616479351E-2</v>
      </c>
    </row>
    <row r="90" spans="1:18" x14ac:dyDescent="0.25">
      <c r="A90" s="213" t="s">
        <v>1398</v>
      </c>
      <c r="B90" s="214" t="s">
        <v>56</v>
      </c>
      <c r="C90" s="460">
        <v>548228</v>
      </c>
      <c r="D90" s="268">
        <v>6</v>
      </c>
      <c r="E90" s="444">
        <v>6</v>
      </c>
      <c r="F90" s="421">
        <f t="shared" si="8"/>
        <v>0</v>
      </c>
      <c r="G90" s="236">
        <f t="shared" si="9"/>
        <v>0</v>
      </c>
      <c r="H90" s="268">
        <v>45</v>
      </c>
      <c r="I90" s="447">
        <v>45</v>
      </c>
      <c r="J90" s="422">
        <f t="shared" si="10"/>
        <v>0</v>
      </c>
      <c r="K90" s="423">
        <f t="shared" si="11"/>
        <v>0</v>
      </c>
      <c r="L90" s="268">
        <v>6291</v>
      </c>
      <c r="M90" s="447">
        <v>6291</v>
      </c>
      <c r="N90" s="349">
        <f t="shared" si="12"/>
        <v>0</v>
      </c>
      <c r="O90" s="424">
        <f t="shared" si="13"/>
        <v>0</v>
      </c>
      <c r="P90" s="272">
        <f t="shared" si="14"/>
        <v>8.2082637150966384</v>
      </c>
      <c r="Q90" s="307">
        <v>8.1999999999999993</v>
      </c>
      <c r="R90" s="212">
        <f t="shared" si="15"/>
        <v>8.2637150966391459E-3</v>
      </c>
    </row>
    <row r="91" spans="1:18" x14ac:dyDescent="0.25">
      <c r="A91" s="213" t="s">
        <v>1398</v>
      </c>
      <c r="B91" s="214" t="s">
        <v>57</v>
      </c>
      <c r="C91" s="460">
        <v>790128</v>
      </c>
      <c r="D91" s="268">
        <v>10</v>
      </c>
      <c r="E91" s="444">
        <v>10</v>
      </c>
      <c r="F91" s="421">
        <f t="shared" si="8"/>
        <v>0</v>
      </c>
      <c r="G91" s="236">
        <f t="shared" si="9"/>
        <v>0</v>
      </c>
      <c r="H91" s="268">
        <v>63</v>
      </c>
      <c r="I91" s="447">
        <v>63</v>
      </c>
      <c r="J91" s="422">
        <f t="shared" si="10"/>
        <v>0</v>
      </c>
      <c r="K91" s="423">
        <f t="shared" si="11"/>
        <v>0</v>
      </c>
      <c r="L91" s="268">
        <v>8691</v>
      </c>
      <c r="M91" s="447">
        <v>8776</v>
      </c>
      <c r="N91" s="349">
        <f t="shared" si="12"/>
        <v>-85</v>
      </c>
      <c r="O91" s="424">
        <f t="shared" si="13"/>
        <v>-9.6855059252506839E-3</v>
      </c>
      <c r="P91" s="272">
        <f t="shared" si="14"/>
        <v>7.9733916529979956</v>
      </c>
      <c r="Q91" s="307">
        <v>7.8</v>
      </c>
      <c r="R91" s="212">
        <f t="shared" si="15"/>
        <v>0.17339165299799575</v>
      </c>
    </row>
    <row r="92" spans="1:18" x14ac:dyDescent="0.25">
      <c r="A92" s="213" t="s">
        <v>1398</v>
      </c>
      <c r="B92" s="214" t="s">
        <v>58</v>
      </c>
      <c r="C92" s="460">
        <v>287945</v>
      </c>
      <c r="D92" s="268">
        <v>6</v>
      </c>
      <c r="E92" s="444">
        <v>4</v>
      </c>
      <c r="F92" s="421">
        <f t="shared" si="8"/>
        <v>2</v>
      </c>
      <c r="G92" s="236">
        <f t="shared" si="9"/>
        <v>0.5</v>
      </c>
      <c r="H92" s="268">
        <v>32</v>
      </c>
      <c r="I92" s="447">
        <v>25</v>
      </c>
      <c r="J92" s="422">
        <f t="shared" si="10"/>
        <v>7</v>
      </c>
      <c r="K92" s="423">
        <f t="shared" si="11"/>
        <v>0.28000000000000003</v>
      </c>
      <c r="L92" s="268">
        <v>4340</v>
      </c>
      <c r="M92" s="447">
        <v>3531</v>
      </c>
      <c r="N92" s="349">
        <f t="shared" si="12"/>
        <v>809</v>
      </c>
      <c r="O92" s="424">
        <f t="shared" si="13"/>
        <v>0.2291135655621637</v>
      </c>
      <c r="P92" s="272">
        <f t="shared" si="14"/>
        <v>11.113233429995311</v>
      </c>
      <c r="Q92" s="307">
        <v>8.5</v>
      </c>
      <c r="R92" s="212">
        <f t="shared" si="15"/>
        <v>2.6132334299953115</v>
      </c>
    </row>
    <row r="93" spans="1:18" x14ac:dyDescent="0.25">
      <c r="A93" s="213" t="s">
        <v>1398</v>
      </c>
      <c r="B93" s="214" t="s">
        <v>59</v>
      </c>
      <c r="C93" s="460">
        <v>578529</v>
      </c>
      <c r="D93" s="268">
        <v>5</v>
      </c>
      <c r="E93" s="444">
        <v>4</v>
      </c>
      <c r="F93" s="421">
        <f t="shared" si="8"/>
        <v>1</v>
      </c>
      <c r="G93" s="236">
        <f t="shared" si="9"/>
        <v>0.25</v>
      </c>
      <c r="H93" s="268">
        <v>32</v>
      </c>
      <c r="I93" s="447">
        <v>24</v>
      </c>
      <c r="J93" s="422">
        <f t="shared" si="10"/>
        <v>8</v>
      </c>
      <c r="K93" s="423">
        <f t="shared" si="11"/>
        <v>0.33333333333333331</v>
      </c>
      <c r="L93" s="268">
        <v>3855</v>
      </c>
      <c r="M93" s="447">
        <v>3320</v>
      </c>
      <c r="N93" s="349">
        <f t="shared" si="12"/>
        <v>535</v>
      </c>
      <c r="O93" s="424">
        <f t="shared" si="13"/>
        <v>0.16114457831325302</v>
      </c>
      <c r="P93" s="272">
        <f t="shared" si="14"/>
        <v>5.5312698239846236</v>
      </c>
      <c r="Q93" s="307">
        <v>4.3</v>
      </c>
      <c r="R93" s="212">
        <f t="shared" si="15"/>
        <v>1.2312698239846238</v>
      </c>
    </row>
    <row r="94" spans="1:18" x14ac:dyDescent="0.25">
      <c r="A94" s="213" t="s">
        <v>1398</v>
      </c>
      <c r="B94" s="214" t="s">
        <v>60</v>
      </c>
      <c r="C94" s="460">
        <v>91546</v>
      </c>
      <c r="D94" s="268">
        <v>2</v>
      </c>
      <c r="E94" s="444">
        <v>2</v>
      </c>
      <c r="F94" s="421">
        <f t="shared" si="8"/>
        <v>0</v>
      </c>
      <c r="G94" s="236">
        <f t="shared" si="9"/>
        <v>0</v>
      </c>
      <c r="H94" s="268">
        <v>3</v>
      </c>
      <c r="I94" s="447">
        <v>3</v>
      </c>
      <c r="J94" s="422">
        <f t="shared" si="10"/>
        <v>0</v>
      </c>
      <c r="K94" s="423">
        <f t="shared" si="11"/>
        <v>0</v>
      </c>
      <c r="L94" s="268">
        <v>573</v>
      </c>
      <c r="M94" s="447">
        <v>576</v>
      </c>
      <c r="N94" s="349">
        <f t="shared" si="12"/>
        <v>-3</v>
      </c>
      <c r="O94" s="424">
        <f t="shared" si="13"/>
        <v>-5.208333333333333E-3</v>
      </c>
      <c r="P94" s="272">
        <f t="shared" si="14"/>
        <v>3.2770410504008911</v>
      </c>
      <c r="Q94" s="307">
        <v>3.2</v>
      </c>
      <c r="R94" s="212">
        <f t="shared" si="15"/>
        <v>7.7041050400890931E-2</v>
      </c>
    </row>
    <row r="95" spans="1:18" x14ac:dyDescent="0.25">
      <c r="A95" s="213" t="s">
        <v>1398</v>
      </c>
      <c r="B95" s="214" t="s">
        <v>61</v>
      </c>
      <c r="C95" s="460">
        <v>641660</v>
      </c>
      <c r="D95" s="268">
        <v>6</v>
      </c>
      <c r="E95" s="444">
        <v>6</v>
      </c>
      <c r="F95" s="421">
        <f t="shared" si="8"/>
        <v>0</v>
      </c>
      <c r="G95" s="236">
        <f t="shared" si="9"/>
        <v>0</v>
      </c>
      <c r="H95" s="268">
        <v>39</v>
      </c>
      <c r="I95" s="447">
        <v>39</v>
      </c>
      <c r="J95" s="422">
        <f t="shared" si="10"/>
        <v>0</v>
      </c>
      <c r="K95" s="423">
        <f t="shared" si="11"/>
        <v>0</v>
      </c>
      <c r="L95" s="268">
        <v>7002</v>
      </c>
      <c r="M95" s="447">
        <v>7275</v>
      </c>
      <c r="N95" s="349">
        <f t="shared" si="12"/>
        <v>-273</v>
      </c>
      <c r="O95" s="424">
        <f t="shared" si="13"/>
        <v>-3.7525773195876286E-2</v>
      </c>
      <c r="P95" s="272">
        <f t="shared" si="14"/>
        <v>6.0779852258205285</v>
      </c>
      <c r="Q95" s="307">
        <v>6</v>
      </c>
      <c r="R95" s="212">
        <f t="shared" si="15"/>
        <v>7.798522582052847E-2</v>
      </c>
    </row>
    <row r="96" spans="1:18" x14ac:dyDescent="0.25">
      <c r="A96" s="213" t="s">
        <v>1398</v>
      </c>
      <c r="B96" s="214" t="s">
        <v>62</v>
      </c>
      <c r="C96" s="460">
        <v>1076535</v>
      </c>
      <c r="D96" s="268">
        <v>11</v>
      </c>
      <c r="E96" s="444">
        <v>10</v>
      </c>
      <c r="F96" s="421">
        <f t="shared" si="8"/>
        <v>1</v>
      </c>
      <c r="G96" s="236">
        <f t="shared" si="9"/>
        <v>0.1</v>
      </c>
      <c r="H96" s="268">
        <v>75</v>
      </c>
      <c r="I96" s="447">
        <v>74</v>
      </c>
      <c r="J96" s="422">
        <f t="shared" si="10"/>
        <v>1</v>
      </c>
      <c r="K96" s="423">
        <f t="shared" si="11"/>
        <v>1.3513513513513514E-2</v>
      </c>
      <c r="L96" s="268">
        <v>10338</v>
      </c>
      <c r="M96" s="447">
        <v>11032</v>
      </c>
      <c r="N96" s="349">
        <f t="shared" si="12"/>
        <v>-694</v>
      </c>
      <c r="O96" s="424">
        <f t="shared" si="13"/>
        <v>-6.2907904278462656E-2</v>
      </c>
      <c r="P96" s="272">
        <f t="shared" si="14"/>
        <v>6.9667962490768991</v>
      </c>
      <c r="Q96" s="307">
        <v>6.9</v>
      </c>
      <c r="R96" s="212">
        <f t="shared" si="15"/>
        <v>6.6796249076898739E-2</v>
      </c>
    </row>
    <row r="97" spans="1:18" x14ac:dyDescent="0.25">
      <c r="A97" s="213" t="s">
        <v>1398</v>
      </c>
      <c r="B97" s="214" t="s">
        <v>1416</v>
      </c>
      <c r="C97" s="460">
        <v>78137</v>
      </c>
      <c r="D97" s="268">
        <v>0</v>
      </c>
      <c r="E97" s="444">
        <v>0</v>
      </c>
      <c r="F97" s="421">
        <f t="shared" si="8"/>
        <v>0</v>
      </c>
      <c r="G97" s="425" t="s">
        <v>1404</v>
      </c>
      <c r="H97" s="268">
        <v>0</v>
      </c>
      <c r="I97" s="447">
        <v>0</v>
      </c>
      <c r="J97" s="422">
        <f t="shared" si="10"/>
        <v>0</v>
      </c>
      <c r="K97" s="426" t="s">
        <v>1402</v>
      </c>
      <c r="L97" s="268">
        <v>0</v>
      </c>
      <c r="M97" s="447">
        <v>0</v>
      </c>
      <c r="N97" s="349">
        <f t="shared" si="12"/>
        <v>0</v>
      </c>
      <c r="O97" s="424" t="s">
        <v>1406</v>
      </c>
      <c r="P97" s="272">
        <f t="shared" si="14"/>
        <v>0</v>
      </c>
      <c r="Q97" s="307">
        <v>0</v>
      </c>
      <c r="R97" s="212">
        <f t="shared" si="15"/>
        <v>0</v>
      </c>
    </row>
    <row r="98" spans="1:18" x14ac:dyDescent="0.25">
      <c r="A98" s="213" t="s">
        <v>1398</v>
      </c>
      <c r="B98" s="214" t="s">
        <v>63</v>
      </c>
      <c r="C98" s="460">
        <v>188701</v>
      </c>
      <c r="D98" s="268">
        <v>2</v>
      </c>
      <c r="E98" s="444">
        <v>2</v>
      </c>
      <c r="F98" s="421">
        <f t="shared" si="8"/>
        <v>0</v>
      </c>
      <c r="G98" s="236">
        <f t="shared" si="9"/>
        <v>0</v>
      </c>
      <c r="H98" s="268">
        <v>14</v>
      </c>
      <c r="I98" s="447">
        <v>14</v>
      </c>
      <c r="J98" s="422">
        <f t="shared" si="10"/>
        <v>0</v>
      </c>
      <c r="K98" s="423">
        <f t="shared" si="11"/>
        <v>0</v>
      </c>
      <c r="L98" s="268">
        <v>2280</v>
      </c>
      <c r="M98" s="447">
        <v>2280</v>
      </c>
      <c r="N98" s="349">
        <f t="shared" si="12"/>
        <v>0</v>
      </c>
      <c r="O98" s="424">
        <f t="shared" si="13"/>
        <v>0</v>
      </c>
      <c r="P98" s="272">
        <f t="shared" si="14"/>
        <v>7.4191445726307759</v>
      </c>
      <c r="Q98" s="307">
        <v>7.3</v>
      </c>
      <c r="R98" s="212">
        <f t="shared" si="15"/>
        <v>0.11914457263077605</v>
      </c>
    </row>
    <row r="99" spans="1:18" x14ac:dyDescent="0.25">
      <c r="A99" s="213" t="s">
        <v>1398</v>
      </c>
      <c r="B99" s="214" t="s">
        <v>64</v>
      </c>
      <c r="C99" s="460">
        <v>737353</v>
      </c>
      <c r="D99" s="268">
        <v>7</v>
      </c>
      <c r="E99" s="444">
        <v>6</v>
      </c>
      <c r="F99" s="421">
        <f t="shared" si="8"/>
        <v>1</v>
      </c>
      <c r="G99" s="236">
        <f t="shared" si="9"/>
        <v>0.16666666666666666</v>
      </c>
      <c r="H99" s="268">
        <v>42</v>
      </c>
      <c r="I99" s="447">
        <v>32</v>
      </c>
      <c r="J99" s="422">
        <f t="shared" si="10"/>
        <v>10</v>
      </c>
      <c r="K99" s="423">
        <f t="shared" si="11"/>
        <v>0.3125</v>
      </c>
      <c r="L99" s="268">
        <v>4544</v>
      </c>
      <c r="M99" s="447">
        <v>4093</v>
      </c>
      <c r="N99" s="349">
        <f t="shared" si="12"/>
        <v>451</v>
      </c>
      <c r="O99" s="424">
        <f t="shared" si="13"/>
        <v>0.11018812606889812</v>
      </c>
      <c r="P99" s="272">
        <f t="shared" si="14"/>
        <v>5.696050602628592</v>
      </c>
      <c r="Q99" s="307">
        <v>4.4000000000000004</v>
      </c>
      <c r="R99" s="212">
        <f t="shared" si="15"/>
        <v>1.2960506026285916</v>
      </c>
    </row>
    <row r="100" spans="1:18" x14ac:dyDescent="0.25">
      <c r="A100" s="213" t="s">
        <v>1398</v>
      </c>
      <c r="B100" s="214" t="s">
        <v>65</v>
      </c>
      <c r="C100" s="460">
        <v>229849</v>
      </c>
      <c r="D100" s="268">
        <v>3</v>
      </c>
      <c r="E100" s="444">
        <v>3</v>
      </c>
      <c r="F100" s="421">
        <f t="shared" si="8"/>
        <v>0</v>
      </c>
      <c r="G100" s="236">
        <f t="shared" si="9"/>
        <v>0</v>
      </c>
      <c r="H100" s="268">
        <v>19</v>
      </c>
      <c r="I100" s="447">
        <v>19</v>
      </c>
      <c r="J100" s="422">
        <f t="shared" si="10"/>
        <v>0</v>
      </c>
      <c r="K100" s="423">
        <f t="shared" si="11"/>
        <v>0</v>
      </c>
      <c r="L100" s="268">
        <v>1290</v>
      </c>
      <c r="M100" s="447">
        <v>1290</v>
      </c>
      <c r="N100" s="349">
        <f t="shared" si="12"/>
        <v>0</v>
      </c>
      <c r="O100" s="424">
        <f t="shared" si="13"/>
        <v>0</v>
      </c>
      <c r="P100" s="272">
        <f t="shared" si="14"/>
        <v>8.266296568616788</v>
      </c>
      <c r="Q100" s="307">
        <v>8.3000000000000007</v>
      </c>
      <c r="R100" s="212">
        <f t="shared" si="15"/>
        <v>-3.3703431383212745E-2</v>
      </c>
    </row>
    <row r="101" spans="1:18" x14ac:dyDescent="0.25">
      <c r="A101" s="213" t="s">
        <v>1398</v>
      </c>
      <c r="B101" s="214" t="s">
        <v>66</v>
      </c>
      <c r="C101" s="460">
        <v>512912</v>
      </c>
      <c r="D101" s="268">
        <v>6</v>
      </c>
      <c r="E101" s="444">
        <v>6</v>
      </c>
      <c r="F101" s="421">
        <f t="shared" si="8"/>
        <v>0</v>
      </c>
      <c r="G101" s="236">
        <f t="shared" si="9"/>
        <v>0</v>
      </c>
      <c r="H101" s="268">
        <v>34</v>
      </c>
      <c r="I101" s="447">
        <v>32</v>
      </c>
      <c r="J101" s="422">
        <f t="shared" si="10"/>
        <v>2</v>
      </c>
      <c r="K101" s="423">
        <f t="shared" si="11"/>
        <v>6.25E-2</v>
      </c>
      <c r="L101" s="268">
        <v>4166</v>
      </c>
      <c r="M101" s="447">
        <v>4601</v>
      </c>
      <c r="N101" s="349">
        <f t="shared" si="12"/>
        <v>-435</v>
      </c>
      <c r="O101" s="424">
        <f t="shared" si="13"/>
        <v>-9.4544664203434034E-2</v>
      </c>
      <c r="P101" s="272">
        <f t="shared" si="14"/>
        <v>6.6288174189724547</v>
      </c>
      <c r="Q101" s="307">
        <v>6.2</v>
      </c>
      <c r="R101" s="212">
        <f t="shared" si="15"/>
        <v>0.42881741897245451</v>
      </c>
    </row>
    <row r="102" spans="1:18" x14ac:dyDescent="0.25">
      <c r="A102" s="213" t="s">
        <v>1398</v>
      </c>
      <c r="B102" s="214" t="s">
        <v>67</v>
      </c>
      <c r="C102" s="460">
        <v>266213</v>
      </c>
      <c r="D102" s="268">
        <v>3</v>
      </c>
      <c r="E102" s="444">
        <v>2</v>
      </c>
      <c r="F102" s="421">
        <f t="shared" si="8"/>
        <v>1</v>
      </c>
      <c r="G102" s="236">
        <f t="shared" si="9"/>
        <v>0.5</v>
      </c>
      <c r="H102" s="268">
        <v>20</v>
      </c>
      <c r="I102" s="447">
        <v>13</v>
      </c>
      <c r="J102" s="422">
        <f t="shared" si="10"/>
        <v>7</v>
      </c>
      <c r="K102" s="423">
        <f t="shared" si="11"/>
        <v>0.53846153846153844</v>
      </c>
      <c r="L102" s="268">
        <v>2288</v>
      </c>
      <c r="M102" s="447">
        <v>1675</v>
      </c>
      <c r="N102" s="349">
        <f t="shared" si="12"/>
        <v>613</v>
      </c>
      <c r="O102" s="424">
        <f t="shared" si="13"/>
        <v>0.36597014925373134</v>
      </c>
      <c r="P102" s="272">
        <f t="shared" si="14"/>
        <v>7.5127811188784914</v>
      </c>
      <c r="Q102" s="307">
        <v>4.8</v>
      </c>
      <c r="R102" s="212">
        <f t="shared" si="15"/>
        <v>2.7127811188784916</v>
      </c>
    </row>
    <row r="103" spans="1:18" x14ac:dyDescent="0.25">
      <c r="A103" s="213" t="s">
        <v>1398</v>
      </c>
      <c r="B103" s="214" t="s">
        <v>1417</v>
      </c>
      <c r="C103" s="460">
        <v>160221</v>
      </c>
      <c r="D103" s="268">
        <v>0</v>
      </c>
      <c r="E103" s="444">
        <v>0</v>
      </c>
      <c r="F103" s="421">
        <f t="shared" si="8"/>
        <v>0</v>
      </c>
      <c r="G103" s="425" t="s">
        <v>1404</v>
      </c>
      <c r="H103" s="268">
        <v>0</v>
      </c>
      <c r="I103" s="447">
        <v>0</v>
      </c>
      <c r="J103" s="422">
        <f t="shared" si="10"/>
        <v>0</v>
      </c>
      <c r="K103" s="426" t="s">
        <v>1406</v>
      </c>
      <c r="L103" s="268">
        <v>0</v>
      </c>
      <c r="M103" s="447">
        <v>0</v>
      </c>
      <c r="N103" s="349">
        <f t="shared" si="12"/>
        <v>0</v>
      </c>
      <c r="O103" s="424" t="s">
        <v>1404</v>
      </c>
      <c r="P103" s="272">
        <f t="shared" si="14"/>
        <v>0</v>
      </c>
      <c r="Q103" s="307">
        <v>0</v>
      </c>
      <c r="R103" s="212">
        <f t="shared" si="15"/>
        <v>0</v>
      </c>
    </row>
    <row r="104" spans="1:18" x14ac:dyDescent="0.25">
      <c r="A104" s="213" t="s">
        <v>1398</v>
      </c>
      <c r="B104" s="214" t="s">
        <v>68</v>
      </c>
      <c r="C104" s="460">
        <v>326059</v>
      </c>
      <c r="D104" s="268">
        <v>5</v>
      </c>
      <c r="E104" s="444">
        <v>6</v>
      </c>
      <c r="F104" s="421">
        <f t="shared" si="8"/>
        <v>-1</v>
      </c>
      <c r="G104" s="236">
        <f t="shared" si="9"/>
        <v>-0.16666666666666666</v>
      </c>
      <c r="H104" s="268">
        <v>37</v>
      </c>
      <c r="I104" s="447">
        <v>40</v>
      </c>
      <c r="J104" s="422">
        <f t="shared" si="10"/>
        <v>-3</v>
      </c>
      <c r="K104" s="423">
        <f t="shared" si="11"/>
        <v>-7.4999999999999997E-2</v>
      </c>
      <c r="L104" s="268">
        <v>4419</v>
      </c>
      <c r="M104" s="447">
        <v>4449</v>
      </c>
      <c r="N104" s="349">
        <f t="shared" si="12"/>
        <v>-30</v>
      </c>
      <c r="O104" s="424">
        <f t="shared" si="13"/>
        <v>-6.7430883344571811E-3</v>
      </c>
      <c r="P104" s="272">
        <f t="shared" si="14"/>
        <v>11.347639537629693</v>
      </c>
      <c r="Q104" s="307">
        <v>12.5</v>
      </c>
      <c r="R104" s="212">
        <f t="shared" si="15"/>
        <v>-1.1523604623703072</v>
      </c>
    </row>
    <row r="105" spans="1:18" x14ac:dyDescent="0.25">
      <c r="A105" s="213" t="s">
        <v>1398</v>
      </c>
      <c r="B105" s="214" t="s">
        <v>69</v>
      </c>
      <c r="C105" s="460">
        <v>1074971</v>
      </c>
      <c r="D105" s="268">
        <v>9</v>
      </c>
      <c r="E105" s="444">
        <v>10</v>
      </c>
      <c r="F105" s="421">
        <f t="shared" si="8"/>
        <v>-1</v>
      </c>
      <c r="G105" s="236">
        <f t="shared" si="9"/>
        <v>-0.1</v>
      </c>
      <c r="H105" s="268">
        <v>60</v>
      </c>
      <c r="I105" s="447">
        <v>68</v>
      </c>
      <c r="J105" s="422">
        <f t="shared" si="10"/>
        <v>-8</v>
      </c>
      <c r="K105" s="423">
        <f t="shared" si="11"/>
        <v>-0.11764705882352941</v>
      </c>
      <c r="L105" s="268">
        <v>7254</v>
      </c>
      <c r="M105" s="447">
        <v>9144</v>
      </c>
      <c r="N105" s="349">
        <f t="shared" si="12"/>
        <v>-1890</v>
      </c>
      <c r="O105" s="424">
        <f t="shared" si="13"/>
        <v>-0.20669291338582677</v>
      </c>
      <c r="P105" s="272">
        <f t="shared" si="14"/>
        <v>5.5815459207736762</v>
      </c>
      <c r="Q105" s="307">
        <v>6.3</v>
      </c>
      <c r="R105" s="212">
        <f t="shared" si="15"/>
        <v>-0.71845407922632365</v>
      </c>
    </row>
    <row r="106" spans="1:18" x14ac:dyDescent="0.25">
      <c r="A106" s="213" t="s">
        <v>1398</v>
      </c>
      <c r="B106" s="214" t="s">
        <v>70</v>
      </c>
      <c r="C106" s="460">
        <v>495315</v>
      </c>
      <c r="D106" s="268">
        <v>7</v>
      </c>
      <c r="E106" s="444">
        <v>7</v>
      </c>
      <c r="F106" s="421">
        <f t="shared" si="8"/>
        <v>0</v>
      </c>
      <c r="G106" s="236">
        <f t="shared" si="9"/>
        <v>0</v>
      </c>
      <c r="H106" s="268">
        <v>39</v>
      </c>
      <c r="I106" s="447">
        <v>39</v>
      </c>
      <c r="J106" s="422">
        <f t="shared" si="10"/>
        <v>0</v>
      </c>
      <c r="K106" s="423">
        <f t="shared" si="11"/>
        <v>0</v>
      </c>
      <c r="L106" s="268">
        <v>5479</v>
      </c>
      <c r="M106" s="447">
        <v>5462</v>
      </c>
      <c r="N106" s="349">
        <f t="shared" si="12"/>
        <v>17</v>
      </c>
      <c r="O106" s="424">
        <f t="shared" si="13"/>
        <v>3.1124130355181254E-3</v>
      </c>
      <c r="P106" s="272">
        <f t="shared" si="14"/>
        <v>7.8737772932376364</v>
      </c>
      <c r="Q106" s="307">
        <v>8.1</v>
      </c>
      <c r="R106" s="212">
        <f t="shared" si="15"/>
        <v>-0.22622270676236322</v>
      </c>
    </row>
    <row r="107" spans="1:18" x14ac:dyDescent="0.25">
      <c r="A107" s="213" t="s">
        <v>1398</v>
      </c>
      <c r="B107" s="214" t="s">
        <v>71</v>
      </c>
      <c r="C107" s="460">
        <v>222721</v>
      </c>
      <c r="D107" s="268">
        <v>1</v>
      </c>
      <c r="E107" s="444">
        <v>1</v>
      </c>
      <c r="F107" s="421">
        <f t="shared" si="8"/>
        <v>0</v>
      </c>
      <c r="G107" s="236">
        <f t="shared" si="9"/>
        <v>0</v>
      </c>
      <c r="H107" s="268">
        <v>10</v>
      </c>
      <c r="I107" s="447">
        <v>10</v>
      </c>
      <c r="J107" s="422">
        <f t="shared" si="10"/>
        <v>0</v>
      </c>
      <c r="K107" s="423">
        <f t="shared" si="11"/>
        <v>0</v>
      </c>
      <c r="L107" s="268">
        <v>1143</v>
      </c>
      <c r="M107" s="447">
        <v>1143</v>
      </c>
      <c r="N107" s="349">
        <f t="shared" si="12"/>
        <v>0</v>
      </c>
      <c r="O107" s="424">
        <f t="shared" si="13"/>
        <v>0</v>
      </c>
      <c r="P107" s="272">
        <f t="shared" si="14"/>
        <v>4.4899223692422359</v>
      </c>
      <c r="Q107" s="307">
        <v>4.5</v>
      </c>
      <c r="R107" s="212">
        <f t="shared" si="15"/>
        <v>-1.0077630757764133E-2</v>
      </c>
    </row>
    <row r="108" spans="1:18" x14ac:dyDescent="0.25">
      <c r="A108" s="213" t="s">
        <v>1398</v>
      </c>
      <c r="B108" s="214" t="s">
        <v>72</v>
      </c>
      <c r="C108" s="460">
        <v>188842</v>
      </c>
      <c r="D108" s="268">
        <v>3</v>
      </c>
      <c r="E108" s="444">
        <v>3</v>
      </c>
      <c r="F108" s="421">
        <f t="shared" si="8"/>
        <v>0</v>
      </c>
      <c r="G108" s="236">
        <f t="shared" si="9"/>
        <v>0</v>
      </c>
      <c r="H108" s="268">
        <v>17</v>
      </c>
      <c r="I108" s="447">
        <v>17</v>
      </c>
      <c r="J108" s="422">
        <f t="shared" si="10"/>
        <v>0</v>
      </c>
      <c r="K108" s="423">
        <f t="shared" si="11"/>
        <v>0</v>
      </c>
      <c r="L108" s="268">
        <v>2421</v>
      </c>
      <c r="M108" s="447">
        <v>2421</v>
      </c>
      <c r="N108" s="349">
        <f t="shared" si="12"/>
        <v>0</v>
      </c>
      <c r="O108" s="424">
        <f t="shared" si="13"/>
        <v>0</v>
      </c>
      <c r="P108" s="272">
        <f t="shared" si="14"/>
        <v>9.0022346723716122</v>
      </c>
      <c r="Q108" s="307">
        <v>9</v>
      </c>
      <c r="R108" s="212">
        <f t="shared" si="15"/>
        <v>2.2346723716122341E-3</v>
      </c>
    </row>
    <row r="109" spans="1:18" x14ac:dyDescent="0.25">
      <c r="A109" s="213" t="s">
        <v>1398</v>
      </c>
      <c r="B109" s="214" t="s">
        <v>73</v>
      </c>
      <c r="C109" s="460">
        <v>484267</v>
      </c>
      <c r="D109" s="268">
        <v>4</v>
      </c>
      <c r="E109" s="444">
        <v>4</v>
      </c>
      <c r="F109" s="421">
        <f t="shared" si="8"/>
        <v>0</v>
      </c>
      <c r="G109" s="236">
        <f t="shared" si="9"/>
        <v>0</v>
      </c>
      <c r="H109" s="268">
        <v>19</v>
      </c>
      <c r="I109" s="447">
        <v>19</v>
      </c>
      <c r="J109" s="422">
        <f t="shared" si="10"/>
        <v>0</v>
      </c>
      <c r="K109" s="423">
        <f t="shared" si="11"/>
        <v>0</v>
      </c>
      <c r="L109" s="268">
        <v>2420</v>
      </c>
      <c r="M109" s="447">
        <v>2420</v>
      </c>
      <c r="N109" s="349">
        <f t="shared" si="12"/>
        <v>0</v>
      </c>
      <c r="O109" s="424">
        <f t="shared" si="13"/>
        <v>0</v>
      </c>
      <c r="P109" s="272">
        <f t="shared" si="14"/>
        <v>3.9234554491633746</v>
      </c>
      <c r="Q109" s="307">
        <v>3.9</v>
      </c>
      <c r="R109" s="212">
        <f t="shared" si="15"/>
        <v>2.345544916337472E-2</v>
      </c>
    </row>
    <row r="110" spans="1:18" x14ac:dyDescent="0.25">
      <c r="A110" s="213" t="s">
        <v>1398</v>
      </c>
      <c r="B110" s="214" t="s">
        <v>74</v>
      </c>
      <c r="C110" s="460">
        <v>910814</v>
      </c>
      <c r="D110" s="268">
        <v>10</v>
      </c>
      <c r="E110" s="444">
        <v>8</v>
      </c>
      <c r="F110" s="421">
        <f t="shared" si="8"/>
        <v>2</v>
      </c>
      <c r="G110" s="236">
        <f t="shared" si="9"/>
        <v>0.25</v>
      </c>
      <c r="H110" s="268">
        <v>56</v>
      </c>
      <c r="I110" s="447">
        <v>53</v>
      </c>
      <c r="J110" s="422">
        <f t="shared" si="10"/>
        <v>3</v>
      </c>
      <c r="K110" s="423">
        <f t="shared" si="11"/>
        <v>5.6603773584905662E-2</v>
      </c>
      <c r="L110" s="268">
        <v>7292</v>
      </c>
      <c r="M110" s="447">
        <v>7171</v>
      </c>
      <c r="N110" s="349">
        <f t="shared" si="12"/>
        <v>121</v>
      </c>
      <c r="O110" s="424">
        <f t="shared" si="13"/>
        <v>1.6873518337749267E-2</v>
      </c>
      <c r="P110" s="272">
        <f t="shared" si="14"/>
        <v>6.1483464241875945</v>
      </c>
      <c r="Q110" s="307">
        <v>6</v>
      </c>
      <c r="R110" s="212">
        <f t="shared" si="15"/>
        <v>0.14834642418759447</v>
      </c>
    </row>
    <row r="111" spans="1:18" x14ac:dyDescent="0.25">
      <c r="A111" s="213" t="s">
        <v>1398</v>
      </c>
      <c r="B111" s="214" t="s">
        <v>75</v>
      </c>
      <c r="C111" s="460">
        <v>391462</v>
      </c>
      <c r="D111" s="268">
        <v>2</v>
      </c>
      <c r="E111" s="444">
        <v>2</v>
      </c>
      <c r="F111" s="421">
        <f t="shared" si="8"/>
        <v>0</v>
      </c>
      <c r="G111" s="236">
        <f t="shared" si="9"/>
        <v>0</v>
      </c>
      <c r="H111" s="268">
        <v>11</v>
      </c>
      <c r="I111" s="447">
        <v>11</v>
      </c>
      <c r="J111" s="422">
        <f t="shared" si="10"/>
        <v>0</v>
      </c>
      <c r="K111" s="423">
        <f t="shared" si="11"/>
        <v>0</v>
      </c>
      <c r="L111" s="268">
        <v>1433</v>
      </c>
      <c r="M111" s="447">
        <v>1433</v>
      </c>
      <c r="N111" s="349">
        <f t="shared" si="12"/>
        <v>0</v>
      </c>
      <c r="O111" s="424">
        <f t="shared" si="13"/>
        <v>0</v>
      </c>
      <c r="P111" s="272">
        <f t="shared" si="14"/>
        <v>2.8099790017932778</v>
      </c>
      <c r="Q111" s="307">
        <v>2.8</v>
      </c>
      <c r="R111" s="212">
        <f t="shared" si="15"/>
        <v>9.9790017932779307E-3</v>
      </c>
    </row>
    <row r="112" spans="1:18" x14ac:dyDescent="0.25">
      <c r="A112" s="213" t="s">
        <v>1398</v>
      </c>
      <c r="B112" s="214" t="s">
        <v>76</v>
      </c>
      <c r="C112" s="460">
        <v>243432</v>
      </c>
      <c r="D112" s="268">
        <v>2</v>
      </c>
      <c r="E112" s="444">
        <v>2</v>
      </c>
      <c r="F112" s="421">
        <f t="shared" si="8"/>
        <v>0</v>
      </c>
      <c r="G112" s="236">
        <f t="shared" si="9"/>
        <v>0</v>
      </c>
      <c r="H112" s="268">
        <v>11</v>
      </c>
      <c r="I112" s="447">
        <v>11</v>
      </c>
      <c r="J112" s="422">
        <f t="shared" si="10"/>
        <v>0</v>
      </c>
      <c r="K112" s="423">
        <f t="shared" si="11"/>
        <v>0</v>
      </c>
      <c r="L112" s="268">
        <v>1062</v>
      </c>
      <c r="M112" s="447">
        <v>1062</v>
      </c>
      <c r="N112" s="349">
        <f t="shared" si="12"/>
        <v>0</v>
      </c>
      <c r="O112" s="424">
        <f t="shared" si="13"/>
        <v>0</v>
      </c>
      <c r="P112" s="272">
        <f t="shared" si="14"/>
        <v>4.5187156988399222</v>
      </c>
      <c r="Q112" s="307">
        <v>4.7</v>
      </c>
      <c r="R112" s="212">
        <f t="shared" si="15"/>
        <v>-0.18128430116007799</v>
      </c>
    </row>
    <row r="113" spans="1:18" x14ac:dyDescent="0.25">
      <c r="A113" s="213" t="s">
        <v>1398</v>
      </c>
      <c r="B113" s="214" t="s">
        <v>1418</v>
      </c>
      <c r="C113" s="460">
        <v>146701</v>
      </c>
      <c r="D113" s="268">
        <v>2</v>
      </c>
      <c r="E113" s="444">
        <v>2</v>
      </c>
      <c r="F113" s="421">
        <f t="shared" si="8"/>
        <v>0</v>
      </c>
      <c r="G113" s="236">
        <f t="shared" si="9"/>
        <v>0</v>
      </c>
      <c r="H113" s="268">
        <v>7</v>
      </c>
      <c r="I113" s="447">
        <v>7</v>
      </c>
      <c r="J113" s="422">
        <f t="shared" si="10"/>
        <v>0</v>
      </c>
      <c r="K113" s="423">
        <f t="shared" si="11"/>
        <v>0</v>
      </c>
      <c r="L113" s="268">
        <v>513</v>
      </c>
      <c r="M113" s="447">
        <v>513</v>
      </c>
      <c r="N113" s="349">
        <f t="shared" si="12"/>
        <v>0</v>
      </c>
      <c r="O113" s="424">
        <f t="shared" si="13"/>
        <v>0</v>
      </c>
      <c r="P113" s="272">
        <f t="shared" si="14"/>
        <v>4.7716102821384991</v>
      </c>
      <c r="Q113" s="307">
        <v>4.7</v>
      </c>
      <c r="R113" s="212">
        <f t="shared" si="15"/>
        <v>7.161028213849896E-2</v>
      </c>
    </row>
    <row r="114" spans="1:18" x14ac:dyDescent="0.25">
      <c r="A114" s="213" t="s">
        <v>1398</v>
      </c>
      <c r="B114" s="214" t="s">
        <v>1419</v>
      </c>
      <c r="C114" s="460">
        <v>113150</v>
      </c>
      <c r="D114" s="268">
        <v>0</v>
      </c>
      <c r="E114" s="444">
        <v>0</v>
      </c>
      <c r="F114" s="421">
        <f t="shared" si="8"/>
        <v>0</v>
      </c>
      <c r="G114" s="425" t="s">
        <v>1406</v>
      </c>
      <c r="H114" s="268">
        <v>0</v>
      </c>
      <c r="I114" s="447">
        <v>0</v>
      </c>
      <c r="J114" s="422">
        <f t="shared" si="10"/>
        <v>0</v>
      </c>
      <c r="K114" s="426" t="s">
        <v>1406</v>
      </c>
      <c r="L114" s="268">
        <v>0</v>
      </c>
      <c r="M114" s="447">
        <v>0</v>
      </c>
      <c r="N114" s="349">
        <f t="shared" si="12"/>
        <v>0</v>
      </c>
      <c r="O114" s="424" t="s">
        <v>1404</v>
      </c>
      <c r="P114" s="272">
        <f t="shared" si="14"/>
        <v>0</v>
      </c>
      <c r="Q114" s="307">
        <v>0</v>
      </c>
      <c r="R114" s="212">
        <f t="shared" si="15"/>
        <v>0</v>
      </c>
    </row>
    <row r="115" spans="1:18" x14ac:dyDescent="0.25">
      <c r="A115" s="213" t="s">
        <v>1398</v>
      </c>
      <c r="B115" s="214" t="s">
        <v>1420</v>
      </c>
      <c r="C115" s="460">
        <v>42062</v>
      </c>
      <c r="D115" s="268">
        <v>0</v>
      </c>
      <c r="E115" s="444">
        <v>0</v>
      </c>
      <c r="F115" s="421">
        <f t="shared" si="8"/>
        <v>0</v>
      </c>
      <c r="G115" s="425" t="s">
        <v>1402</v>
      </c>
      <c r="H115" s="268">
        <v>0</v>
      </c>
      <c r="I115" s="447">
        <v>0</v>
      </c>
      <c r="J115" s="422">
        <f t="shared" si="10"/>
        <v>0</v>
      </c>
      <c r="K115" s="426" t="s">
        <v>1402</v>
      </c>
      <c r="L115" s="268">
        <v>0</v>
      </c>
      <c r="M115" s="447">
        <v>0</v>
      </c>
      <c r="N115" s="349">
        <f t="shared" si="12"/>
        <v>0</v>
      </c>
      <c r="O115" s="424" t="s">
        <v>1406</v>
      </c>
      <c r="P115" s="272">
        <f t="shared" si="14"/>
        <v>0</v>
      </c>
      <c r="Q115" s="307">
        <v>0</v>
      </c>
      <c r="R115" s="212">
        <f t="shared" si="15"/>
        <v>0</v>
      </c>
    </row>
    <row r="116" spans="1:18" x14ac:dyDescent="0.25">
      <c r="A116" s="213" t="s">
        <v>1398</v>
      </c>
      <c r="B116" s="214" t="s">
        <v>1421</v>
      </c>
      <c r="C116" s="460">
        <v>62150</v>
      </c>
      <c r="D116" s="268">
        <v>2</v>
      </c>
      <c r="E116" s="444">
        <v>1</v>
      </c>
      <c r="F116" s="421">
        <f t="shared" si="8"/>
        <v>1</v>
      </c>
      <c r="G116" s="236">
        <f t="shared" si="9"/>
        <v>1</v>
      </c>
      <c r="H116" s="386">
        <v>4</v>
      </c>
      <c r="I116" s="448">
        <v>2</v>
      </c>
      <c r="J116" s="427">
        <f t="shared" si="10"/>
        <v>2</v>
      </c>
      <c r="K116" s="423">
        <f t="shared" si="11"/>
        <v>1</v>
      </c>
      <c r="L116" s="386">
        <v>235</v>
      </c>
      <c r="M116" s="448">
        <v>136</v>
      </c>
      <c r="N116" s="428">
        <f t="shared" si="12"/>
        <v>99</v>
      </c>
      <c r="O116" s="424">
        <f t="shared" si="13"/>
        <v>0.7279411764705882</v>
      </c>
      <c r="P116" s="272">
        <f t="shared" si="14"/>
        <v>6.436041834271923</v>
      </c>
      <c r="Q116" s="307">
        <v>3.2</v>
      </c>
      <c r="R116" s="212">
        <f t="shared" si="15"/>
        <v>3.2360418342719228</v>
      </c>
    </row>
    <row r="117" spans="1:18" x14ac:dyDescent="0.25">
      <c r="A117" s="213" t="s">
        <v>1398</v>
      </c>
      <c r="B117" s="214" t="s">
        <v>77</v>
      </c>
      <c r="C117" s="460">
        <v>122323</v>
      </c>
      <c r="D117" s="268">
        <v>1</v>
      </c>
      <c r="E117" s="444">
        <v>1</v>
      </c>
      <c r="F117" s="421">
        <f t="shared" si="8"/>
        <v>0</v>
      </c>
      <c r="G117" s="236">
        <f t="shared" si="9"/>
        <v>0</v>
      </c>
      <c r="H117" s="268">
        <v>1</v>
      </c>
      <c r="I117" s="447">
        <v>1</v>
      </c>
      <c r="J117" s="422">
        <f t="shared" si="10"/>
        <v>0</v>
      </c>
      <c r="K117" s="423">
        <f t="shared" si="11"/>
        <v>0</v>
      </c>
      <c r="L117" s="268">
        <v>152</v>
      </c>
      <c r="M117" s="447">
        <v>152</v>
      </c>
      <c r="N117" s="349">
        <f t="shared" si="12"/>
        <v>0</v>
      </c>
      <c r="O117" s="424">
        <f t="shared" si="13"/>
        <v>0</v>
      </c>
      <c r="P117" s="272">
        <f t="shared" si="14"/>
        <v>0.81750774588589226</v>
      </c>
      <c r="Q117" s="307">
        <v>0.8</v>
      </c>
      <c r="R117" s="212">
        <f t="shared" si="15"/>
        <v>1.7507745885892212E-2</v>
      </c>
    </row>
    <row r="118" spans="1:18" x14ac:dyDescent="0.25">
      <c r="A118" s="210" t="s">
        <v>78</v>
      </c>
      <c r="B118" s="211" t="s">
        <v>3</v>
      </c>
      <c r="C118" s="457">
        <v>1536498</v>
      </c>
      <c r="D118" s="267">
        <f>SUM(D119:D136)</f>
        <v>28</v>
      </c>
      <c r="E118" s="445">
        <f>SUM(E119:E136)</f>
        <v>24</v>
      </c>
      <c r="F118" s="421">
        <f t="shared" si="8"/>
        <v>4</v>
      </c>
      <c r="G118" s="236">
        <f t="shared" si="9"/>
        <v>0.16666666666666666</v>
      </c>
      <c r="H118" s="267">
        <f>SUM(H119:H136)</f>
        <v>127</v>
      </c>
      <c r="I118" s="448">
        <f>SUM(I119:I136)</f>
        <v>116</v>
      </c>
      <c r="J118" s="422">
        <f t="shared" si="10"/>
        <v>11</v>
      </c>
      <c r="K118" s="423">
        <f t="shared" si="11"/>
        <v>9.4827586206896547E-2</v>
      </c>
      <c r="L118" s="267">
        <f>SUM(L119:L136)</f>
        <v>14980</v>
      </c>
      <c r="M118" s="445">
        <f>SUM(M119:M136)</f>
        <v>14836</v>
      </c>
      <c r="N118" s="349">
        <f t="shared" si="12"/>
        <v>144</v>
      </c>
      <c r="O118" s="424">
        <f t="shared" si="13"/>
        <v>9.7061202480452947E-3</v>
      </c>
      <c r="P118" s="271">
        <f t="shared" si="14"/>
        <v>8.2655493205978789</v>
      </c>
      <c r="Q118" s="306">
        <v>7.5</v>
      </c>
      <c r="R118" s="212">
        <f t="shared" si="15"/>
        <v>0.76554932059787895</v>
      </c>
    </row>
    <row r="119" spans="1:18" x14ac:dyDescent="0.25">
      <c r="A119" s="213" t="s">
        <v>1398</v>
      </c>
      <c r="B119" s="214" t="s">
        <v>79</v>
      </c>
      <c r="C119" s="458">
        <v>286664</v>
      </c>
      <c r="D119" s="268">
        <v>4</v>
      </c>
      <c r="E119" s="444">
        <v>3</v>
      </c>
      <c r="F119" s="421">
        <f t="shared" si="8"/>
        <v>1</v>
      </c>
      <c r="G119" s="236">
        <f t="shared" si="9"/>
        <v>0.33333333333333331</v>
      </c>
      <c r="H119" s="268">
        <v>31</v>
      </c>
      <c r="I119" s="447">
        <v>25</v>
      </c>
      <c r="J119" s="422">
        <f t="shared" si="10"/>
        <v>6</v>
      </c>
      <c r="K119" s="423">
        <f t="shared" si="11"/>
        <v>0.24</v>
      </c>
      <c r="L119" s="268">
        <v>4283</v>
      </c>
      <c r="M119" s="447">
        <v>3546</v>
      </c>
      <c r="N119" s="349">
        <f t="shared" si="12"/>
        <v>737</v>
      </c>
      <c r="O119" s="424">
        <f t="shared" si="13"/>
        <v>0.20783981951494643</v>
      </c>
      <c r="P119" s="272">
        <f t="shared" si="14"/>
        <v>10.81405408422404</v>
      </c>
      <c r="Q119" s="307">
        <v>8.8000000000000007</v>
      </c>
      <c r="R119" s="212">
        <f t="shared" si="15"/>
        <v>2.0140540842240391</v>
      </c>
    </row>
    <row r="120" spans="1:18" x14ac:dyDescent="0.25">
      <c r="A120" s="213" t="s">
        <v>1398</v>
      </c>
      <c r="B120" s="214" t="s">
        <v>80</v>
      </c>
      <c r="C120" s="458">
        <v>360807</v>
      </c>
      <c r="D120" s="268">
        <v>5</v>
      </c>
      <c r="E120" s="444">
        <v>5</v>
      </c>
      <c r="F120" s="421">
        <f t="shared" si="8"/>
        <v>0</v>
      </c>
      <c r="G120" s="236">
        <f t="shared" si="9"/>
        <v>0</v>
      </c>
      <c r="H120" s="268">
        <v>42</v>
      </c>
      <c r="I120" s="447">
        <v>42</v>
      </c>
      <c r="J120" s="422">
        <f t="shared" si="10"/>
        <v>0</v>
      </c>
      <c r="K120" s="423">
        <f t="shared" si="11"/>
        <v>0</v>
      </c>
      <c r="L120" s="268">
        <v>5277</v>
      </c>
      <c r="M120" s="447">
        <v>6252</v>
      </c>
      <c r="N120" s="349">
        <f t="shared" si="12"/>
        <v>-975</v>
      </c>
      <c r="O120" s="424">
        <f t="shared" si="13"/>
        <v>-0.15595009596928983</v>
      </c>
      <c r="P120" s="272">
        <f t="shared" si="14"/>
        <v>11.640572383573488</v>
      </c>
      <c r="Q120" s="307">
        <v>11.7</v>
      </c>
      <c r="R120" s="212">
        <f t="shared" si="15"/>
        <v>-5.9427616426511065E-2</v>
      </c>
    </row>
    <row r="121" spans="1:18" x14ac:dyDescent="0.25">
      <c r="A121" s="213" t="s">
        <v>1398</v>
      </c>
      <c r="B121" s="214" t="s">
        <v>81</v>
      </c>
      <c r="C121" s="458">
        <v>211381</v>
      </c>
      <c r="D121" s="268">
        <v>2</v>
      </c>
      <c r="E121" s="444">
        <v>2</v>
      </c>
      <c r="F121" s="421">
        <f t="shared" si="8"/>
        <v>0</v>
      </c>
      <c r="G121" s="236">
        <f t="shared" si="9"/>
        <v>0</v>
      </c>
      <c r="H121" s="268">
        <v>9</v>
      </c>
      <c r="I121" s="447">
        <v>9</v>
      </c>
      <c r="J121" s="422">
        <f t="shared" si="10"/>
        <v>0</v>
      </c>
      <c r="K121" s="423">
        <f t="shared" si="11"/>
        <v>0</v>
      </c>
      <c r="L121" s="268">
        <v>1507</v>
      </c>
      <c r="M121" s="447">
        <v>1511</v>
      </c>
      <c r="N121" s="349">
        <f t="shared" si="12"/>
        <v>-4</v>
      </c>
      <c r="O121" s="424">
        <f t="shared" si="13"/>
        <v>-2.6472534745201853E-3</v>
      </c>
      <c r="P121" s="272">
        <f t="shared" si="14"/>
        <v>4.2577147425738362</v>
      </c>
      <c r="Q121" s="307">
        <v>4.2</v>
      </c>
      <c r="R121" s="212">
        <f t="shared" si="15"/>
        <v>5.771474257383602E-2</v>
      </c>
    </row>
    <row r="122" spans="1:18" x14ac:dyDescent="0.25">
      <c r="A122" s="213" t="s">
        <v>1398</v>
      </c>
      <c r="B122" s="214" t="s">
        <v>82</v>
      </c>
      <c r="C122" s="458">
        <v>89426</v>
      </c>
      <c r="D122" s="268">
        <v>1</v>
      </c>
      <c r="E122" s="444">
        <v>1</v>
      </c>
      <c r="F122" s="421">
        <f t="shared" si="8"/>
        <v>0</v>
      </c>
      <c r="G122" s="236">
        <f t="shared" si="9"/>
        <v>0</v>
      </c>
      <c r="H122" s="268">
        <v>5</v>
      </c>
      <c r="I122" s="447">
        <v>5</v>
      </c>
      <c r="J122" s="422">
        <f t="shared" si="10"/>
        <v>0</v>
      </c>
      <c r="K122" s="423">
        <f t="shared" si="11"/>
        <v>0</v>
      </c>
      <c r="L122" s="268">
        <v>719</v>
      </c>
      <c r="M122" s="447">
        <v>719</v>
      </c>
      <c r="N122" s="349">
        <f t="shared" si="12"/>
        <v>0</v>
      </c>
      <c r="O122" s="424">
        <f t="shared" si="13"/>
        <v>0</v>
      </c>
      <c r="P122" s="272">
        <f t="shared" si="14"/>
        <v>5.5912150828618081</v>
      </c>
      <c r="Q122" s="307">
        <v>5.6</v>
      </c>
      <c r="R122" s="212">
        <f t="shared" si="15"/>
        <v>-8.784917138191517E-3</v>
      </c>
    </row>
    <row r="123" spans="1:18" x14ac:dyDescent="0.25">
      <c r="A123" s="213" t="s">
        <v>1398</v>
      </c>
      <c r="B123" s="214" t="s">
        <v>1422</v>
      </c>
      <c r="C123" s="458">
        <v>39428</v>
      </c>
      <c r="D123" s="268">
        <v>0</v>
      </c>
      <c r="E123" s="444">
        <v>0</v>
      </c>
      <c r="F123" s="421">
        <f t="shared" si="8"/>
        <v>0</v>
      </c>
      <c r="G123" s="425" t="s">
        <v>897</v>
      </c>
      <c r="H123" s="268">
        <v>0</v>
      </c>
      <c r="I123" s="447">
        <v>0</v>
      </c>
      <c r="J123" s="422">
        <f t="shared" si="10"/>
        <v>0</v>
      </c>
      <c r="K123" s="426" t="s">
        <v>897</v>
      </c>
      <c r="L123" s="268">
        <v>0</v>
      </c>
      <c r="M123" s="447">
        <v>0</v>
      </c>
      <c r="N123" s="349">
        <f t="shared" si="12"/>
        <v>0</v>
      </c>
      <c r="O123" s="424" t="s">
        <v>1402</v>
      </c>
      <c r="P123" s="272">
        <f t="shared" si="14"/>
        <v>0</v>
      </c>
      <c r="Q123" s="307">
        <v>0</v>
      </c>
      <c r="R123" s="212">
        <f t="shared" si="15"/>
        <v>0</v>
      </c>
    </row>
    <row r="124" spans="1:18" x14ac:dyDescent="0.25">
      <c r="A124" s="213" t="s">
        <v>1398</v>
      </c>
      <c r="B124" s="214" t="s">
        <v>83</v>
      </c>
      <c r="C124" s="458">
        <v>82806</v>
      </c>
      <c r="D124" s="268">
        <v>2</v>
      </c>
      <c r="E124" s="444">
        <v>2</v>
      </c>
      <c r="F124" s="421">
        <f t="shared" si="8"/>
        <v>0</v>
      </c>
      <c r="G124" s="236">
        <f t="shared" si="9"/>
        <v>0</v>
      </c>
      <c r="H124" s="268">
        <v>10</v>
      </c>
      <c r="I124" s="447">
        <v>10</v>
      </c>
      <c r="J124" s="422">
        <f t="shared" si="10"/>
        <v>0</v>
      </c>
      <c r="K124" s="423">
        <f t="shared" si="11"/>
        <v>0</v>
      </c>
      <c r="L124" s="268">
        <v>1101</v>
      </c>
      <c r="M124" s="447">
        <v>1101</v>
      </c>
      <c r="N124" s="349">
        <f t="shared" si="12"/>
        <v>0</v>
      </c>
      <c r="O124" s="424">
        <f t="shared" si="13"/>
        <v>0</v>
      </c>
      <c r="P124" s="272">
        <f t="shared" si="14"/>
        <v>12.076419583121996</v>
      </c>
      <c r="Q124" s="307">
        <v>12.1</v>
      </c>
      <c r="R124" s="212">
        <f t="shared" si="15"/>
        <v>-2.3580416878003163E-2</v>
      </c>
    </row>
    <row r="125" spans="1:18" x14ac:dyDescent="0.25">
      <c r="A125" s="213" t="s">
        <v>1398</v>
      </c>
      <c r="B125" s="214" t="s">
        <v>1423</v>
      </c>
      <c r="C125" s="458">
        <v>63455</v>
      </c>
      <c r="D125" s="268">
        <v>1</v>
      </c>
      <c r="E125" s="444">
        <v>1</v>
      </c>
      <c r="F125" s="421">
        <f t="shared" si="8"/>
        <v>0</v>
      </c>
      <c r="G125" s="236">
        <f t="shared" si="9"/>
        <v>0</v>
      </c>
      <c r="H125" s="386">
        <v>3</v>
      </c>
      <c r="I125" s="448">
        <v>3</v>
      </c>
      <c r="J125" s="427">
        <f t="shared" si="10"/>
        <v>0</v>
      </c>
      <c r="K125" s="423">
        <f t="shared" si="11"/>
        <v>0</v>
      </c>
      <c r="L125" s="386">
        <v>268</v>
      </c>
      <c r="M125" s="448">
        <v>268</v>
      </c>
      <c r="N125" s="428">
        <f t="shared" si="12"/>
        <v>0</v>
      </c>
      <c r="O125" s="424">
        <f t="shared" si="13"/>
        <v>0</v>
      </c>
      <c r="P125" s="272">
        <f t="shared" si="14"/>
        <v>4.7277598298006467</v>
      </c>
      <c r="Q125" s="307">
        <v>4.7</v>
      </c>
      <c r="R125" s="212">
        <f t="shared" si="15"/>
        <v>2.7759829800646507E-2</v>
      </c>
    </row>
    <row r="126" spans="1:18" x14ac:dyDescent="0.25">
      <c r="A126" s="213" t="s">
        <v>1398</v>
      </c>
      <c r="B126" s="214" t="s">
        <v>84</v>
      </c>
      <c r="C126" s="458">
        <v>67977</v>
      </c>
      <c r="D126" s="268">
        <v>1</v>
      </c>
      <c r="E126" s="444">
        <v>1</v>
      </c>
      <c r="F126" s="421">
        <f t="shared" si="8"/>
        <v>0</v>
      </c>
      <c r="G126" s="236">
        <f t="shared" si="9"/>
        <v>0</v>
      </c>
      <c r="H126" s="268">
        <v>2</v>
      </c>
      <c r="I126" s="447">
        <v>2</v>
      </c>
      <c r="J126" s="422">
        <f t="shared" si="10"/>
        <v>0</v>
      </c>
      <c r="K126" s="423">
        <f t="shared" si="11"/>
        <v>0</v>
      </c>
      <c r="L126" s="268">
        <v>98</v>
      </c>
      <c r="M126" s="447">
        <v>98</v>
      </c>
      <c r="N126" s="349">
        <f t="shared" si="12"/>
        <v>0</v>
      </c>
      <c r="O126" s="424">
        <f t="shared" si="13"/>
        <v>0</v>
      </c>
      <c r="P126" s="272">
        <f t="shared" si="14"/>
        <v>2.9421716168704122</v>
      </c>
      <c r="Q126" s="307">
        <v>2.9</v>
      </c>
      <c r="R126" s="212">
        <f t="shared" si="15"/>
        <v>4.2171616870412265E-2</v>
      </c>
    </row>
    <row r="127" spans="1:18" x14ac:dyDescent="0.25">
      <c r="A127" s="213" t="s">
        <v>1398</v>
      </c>
      <c r="B127" s="214" t="s">
        <v>85</v>
      </c>
      <c r="C127" s="458">
        <v>46532</v>
      </c>
      <c r="D127" s="268">
        <v>1</v>
      </c>
      <c r="E127" s="444">
        <v>1</v>
      </c>
      <c r="F127" s="421">
        <f t="shared" si="8"/>
        <v>0</v>
      </c>
      <c r="G127" s="236">
        <f t="shared" si="9"/>
        <v>0</v>
      </c>
      <c r="H127" s="268">
        <v>2</v>
      </c>
      <c r="I127" s="447">
        <v>2</v>
      </c>
      <c r="J127" s="422">
        <f t="shared" si="10"/>
        <v>0</v>
      </c>
      <c r="K127" s="423">
        <f t="shared" si="11"/>
        <v>0</v>
      </c>
      <c r="L127" s="268">
        <v>136</v>
      </c>
      <c r="M127" s="447">
        <v>136</v>
      </c>
      <c r="N127" s="349">
        <f t="shared" si="12"/>
        <v>0</v>
      </c>
      <c r="O127" s="424">
        <f t="shared" si="13"/>
        <v>0</v>
      </c>
      <c r="P127" s="272">
        <f t="shared" si="14"/>
        <v>4.2981174245680389</v>
      </c>
      <c r="Q127" s="307">
        <v>4.3</v>
      </c>
      <c r="R127" s="212">
        <f t="shared" si="15"/>
        <v>-1.8825754319609089E-3</v>
      </c>
    </row>
    <row r="128" spans="1:18" x14ac:dyDescent="0.25">
      <c r="A128" s="213" t="s">
        <v>1398</v>
      </c>
      <c r="B128" s="214" t="s">
        <v>1424</v>
      </c>
      <c r="C128" s="458">
        <v>37728</v>
      </c>
      <c r="D128" s="268">
        <v>1</v>
      </c>
      <c r="E128" s="444">
        <v>1</v>
      </c>
      <c r="F128" s="421">
        <f t="shared" si="8"/>
        <v>0</v>
      </c>
      <c r="G128" s="236">
        <f t="shared" si="9"/>
        <v>0</v>
      </c>
      <c r="H128" s="386">
        <v>2</v>
      </c>
      <c r="I128" s="448">
        <v>2</v>
      </c>
      <c r="J128" s="427">
        <f t="shared" si="10"/>
        <v>0</v>
      </c>
      <c r="K128" s="423">
        <f t="shared" si="11"/>
        <v>0</v>
      </c>
      <c r="L128" s="386">
        <v>149</v>
      </c>
      <c r="M128" s="448">
        <v>146</v>
      </c>
      <c r="N128" s="428">
        <f t="shared" si="12"/>
        <v>3</v>
      </c>
      <c r="O128" s="424">
        <f t="shared" si="13"/>
        <v>2.0547945205479451E-2</v>
      </c>
      <c r="P128" s="272">
        <f t="shared" si="14"/>
        <v>5.3011026293469037</v>
      </c>
      <c r="Q128" s="307">
        <v>5.3</v>
      </c>
      <c r="R128" s="212">
        <f t="shared" si="15"/>
        <v>1.1026293469038606E-3</v>
      </c>
    </row>
    <row r="129" spans="1:18" x14ac:dyDescent="0.25">
      <c r="A129" s="213" t="s">
        <v>1398</v>
      </c>
      <c r="B129" s="214" t="s">
        <v>86</v>
      </c>
      <c r="C129" s="458">
        <v>40990</v>
      </c>
      <c r="D129" s="268">
        <v>1</v>
      </c>
      <c r="E129" s="444">
        <v>1</v>
      </c>
      <c r="F129" s="421">
        <f t="shared" si="8"/>
        <v>0</v>
      </c>
      <c r="G129" s="236">
        <f t="shared" si="9"/>
        <v>0</v>
      </c>
      <c r="H129" s="268">
        <v>2</v>
      </c>
      <c r="I129" s="447">
        <v>2</v>
      </c>
      <c r="J129" s="422">
        <f t="shared" si="10"/>
        <v>0</v>
      </c>
      <c r="K129" s="423">
        <f t="shared" si="11"/>
        <v>0</v>
      </c>
      <c r="L129" s="268">
        <v>99</v>
      </c>
      <c r="M129" s="447">
        <v>99</v>
      </c>
      <c r="N129" s="349">
        <f t="shared" si="12"/>
        <v>0</v>
      </c>
      <c r="O129" s="424">
        <f t="shared" si="13"/>
        <v>0</v>
      </c>
      <c r="P129" s="272">
        <f t="shared" si="14"/>
        <v>4.8792388387411565</v>
      </c>
      <c r="Q129" s="307">
        <v>4.9000000000000004</v>
      </c>
      <c r="R129" s="212">
        <f t="shared" si="15"/>
        <v>-2.0761161258843863E-2</v>
      </c>
    </row>
    <row r="130" spans="1:18" x14ac:dyDescent="0.25">
      <c r="A130" s="213" t="s">
        <v>1398</v>
      </c>
      <c r="B130" s="214" t="s">
        <v>1425</v>
      </c>
      <c r="C130" s="458">
        <v>34931</v>
      </c>
      <c r="D130" s="268">
        <v>2</v>
      </c>
      <c r="E130" s="444">
        <v>2</v>
      </c>
      <c r="F130" s="421">
        <f t="shared" si="8"/>
        <v>0</v>
      </c>
      <c r="G130" s="236">
        <f t="shared" si="9"/>
        <v>0</v>
      </c>
      <c r="H130" s="386">
        <v>4</v>
      </c>
      <c r="I130" s="448">
        <v>4</v>
      </c>
      <c r="J130" s="427">
        <f t="shared" si="10"/>
        <v>0</v>
      </c>
      <c r="K130" s="423">
        <f t="shared" si="11"/>
        <v>0</v>
      </c>
      <c r="L130" s="386">
        <v>214</v>
      </c>
      <c r="M130" s="448">
        <v>214</v>
      </c>
      <c r="N130" s="428">
        <f t="shared" si="12"/>
        <v>0</v>
      </c>
      <c r="O130" s="424">
        <f t="shared" si="13"/>
        <v>0</v>
      </c>
      <c r="P130" s="272">
        <f t="shared" si="14"/>
        <v>11.451146546047923</v>
      </c>
      <c r="Q130" s="307">
        <v>11.2</v>
      </c>
      <c r="R130" s="212">
        <f t="shared" si="15"/>
        <v>0.25114654604792364</v>
      </c>
    </row>
    <row r="131" spans="1:18" x14ac:dyDescent="0.25">
      <c r="A131" s="213" t="s">
        <v>1398</v>
      </c>
      <c r="B131" s="214" t="s">
        <v>1426</v>
      </c>
      <c r="C131" s="458">
        <v>42256</v>
      </c>
      <c r="D131" s="268">
        <v>1</v>
      </c>
      <c r="E131" s="444">
        <v>1</v>
      </c>
      <c r="F131" s="421">
        <f t="shared" si="8"/>
        <v>0</v>
      </c>
      <c r="G131" s="236">
        <f t="shared" si="9"/>
        <v>0</v>
      </c>
      <c r="H131" s="386">
        <v>3</v>
      </c>
      <c r="I131" s="448">
        <v>3</v>
      </c>
      <c r="J131" s="427">
        <f t="shared" si="10"/>
        <v>0</v>
      </c>
      <c r="K131" s="423">
        <f t="shared" si="11"/>
        <v>0</v>
      </c>
      <c r="L131" s="386">
        <v>228</v>
      </c>
      <c r="M131" s="448">
        <v>231</v>
      </c>
      <c r="N131" s="428">
        <f t="shared" si="12"/>
        <v>-3</v>
      </c>
      <c r="O131" s="424">
        <f t="shared" si="13"/>
        <v>-1.2987012987012988E-2</v>
      </c>
      <c r="P131" s="272">
        <f t="shared" si="14"/>
        <v>7.099583491101856</v>
      </c>
      <c r="Q131" s="307">
        <v>6.9</v>
      </c>
      <c r="R131" s="212">
        <f t="shared" si="15"/>
        <v>0.19958349110185569</v>
      </c>
    </row>
    <row r="132" spans="1:18" x14ac:dyDescent="0.25">
      <c r="A132" s="213" t="s">
        <v>1398</v>
      </c>
      <c r="B132" s="214" t="s">
        <v>1427</v>
      </c>
      <c r="C132" s="458">
        <v>23388</v>
      </c>
      <c r="D132" s="268">
        <v>1</v>
      </c>
      <c r="E132" s="444">
        <v>1</v>
      </c>
      <c r="F132" s="421">
        <f t="shared" ref="F132:F195" si="16">D132-E132</f>
        <v>0</v>
      </c>
      <c r="G132" s="236">
        <f t="shared" si="9"/>
        <v>0</v>
      </c>
      <c r="H132" s="386">
        <v>3</v>
      </c>
      <c r="I132" s="448">
        <v>3</v>
      </c>
      <c r="J132" s="427">
        <f t="shared" ref="J132:J195" si="17">H132-I132</f>
        <v>0</v>
      </c>
      <c r="K132" s="423">
        <f t="shared" si="11"/>
        <v>0</v>
      </c>
      <c r="L132" s="386">
        <v>322</v>
      </c>
      <c r="M132" s="448">
        <v>322</v>
      </c>
      <c r="N132" s="428">
        <f t="shared" ref="N132:N195" si="18">L132-M132</f>
        <v>0</v>
      </c>
      <c r="O132" s="424">
        <f t="shared" si="13"/>
        <v>0</v>
      </c>
      <c r="P132" s="272">
        <f t="shared" ref="P132:P195" si="19">(H132/C132)*100000</f>
        <v>12.827090815802975</v>
      </c>
      <c r="Q132" s="307">
        <v>12.4</v>
      </c>
      <c r="R132" s="212">
        <f t="shared" ref="R132:R195" si="20">P132-Q132</f>
        <v>0.42709081580297514</v>
      </c>
    </row>
    <row r="133" spans="1:18" x14ac:dyDescent="0.25">
      <c r="A133" s="213" t="s">
        <v>1398</v>
      </c>
      <c r="B133" s="214" t="s">
        <v>1428</v>
      </c>
      <c r="C133" s="458">
        <v>21383</v>
      </c>
      <c r="D133" s="268">
        <v>1</v>
      </c>
      <c r="E133" s="444">
        <v>0</v>
      </c>
      <c r="F133" s="421">
        <f t="shared" si="16"/>
        <v>1</v>
      </c>
      <c r="G133" s="425" t="s">
        <v>897</v>
      </c>
      <c r="H133" s="268">
        <v>2</v>
      </c>
      <c r="I133" s="447">
        <v>0</v>
      </c>
      <c r="J133" s="422">
        <f t="shared" si="17"/>
        <v>2</v>
      </c>
      <c r="K133" s="425" t="s">
        <v>897</v>
      </c>
      <c r="L133" s="268">
        <v>201</v>
      </c>
      <c r="M133" s="447">
        <v>0</v>
      </c>
      <c r="N133" s="349">
        <f t="shared" si="18"/>
        <v>201</v>
      </c>
      <c r="O133" s="425" t="s">
        <v>897</v>
      </c>
      <c r="P133" s="272">
        <f t="shared" si="19"/>
        <v>9.3532245241547027</v>
      </c>
      <c r="Q133" s="307">
        <v>0</v>
      </c>
      <c r="R133" s="212">
        <f t="shared" si="20"/>
        <v>9.3532245241547027</v>
      </c>
    </row>
    <row r="134" spans="1:18" x14ac:dyDescent="0.25">
      <c r="A134" s="213" t="s">
        <v>1398</v>
      </c>
      <c r="B134" s="214" t="s">
        <v>87</v>
      </c>
      <c r="C134" s="458">
        <v>32206</v>
      </c>
      <c r="D134" s="268">
        <v>2</v>
      </c>
      <c r="E134" s="444">
        <v>1</v>
      </c>
      <c r="F134" s="421">
        <f t="shared" si="16"/>
        <v>1</v>
      </c>
      <c r="G134" s="236">
        <f t="shared" si="9"/>
        <v>1</v>
      </c>
      <c r="H134" s="386">
        <v>3</v>
      </c>
      <c r="I134" s="448">
        <v>2</v>
      </c>
      <c r="J134" s="427">
        <f t="shared" si="17"/>
        <v>1</v>
      </c>
      <c r="K134" s="423">
        <f t="shared" si="11"/>
        <v>0.5</v>
      </c>
      <c r="L134" s="386">
        <v>191</v>
      </c>
      <c r="M134" s="448">
        <v>99</v>
      </c>
      <c r="N134" s="428">
        <f t="shared" si="18"/>
        <v>92</v>
      </c>
      <c r="O134" s="424">
        <f t="shared" si="13"/>
        <v>0.92929292929292928</v>
      </c>
      <c r="P134" s="272">
        <f t="shared" si="19"/>
        <v>9.315034465627523</v>
      </c>
      <c r="Q134" s="307">
        <v>6.2</v>
      </c>
      <c r="R134" s="212">
        <f t="shared" si="20"/>
        <v>3.1150344656275228</v>
      </c>
    </row>
    <row r="135" spans="1:18" x14ac:dyDescent="0.25">
      <c r="A135" s="213" t="s">
        <v>1398</v>
      </c>
      <c r="B135" s="214" t="s">
        <v>1429</v>
      </c>
      <c r="C135" s="458">
        <v>27274</v>
      </c>
      <c r="D135" s="268">
        <v>1</v>
      </c>
      <c r="E135" s="444">
        <v>0</v>
      </c>
      <c r="F135" s="421">
        <f t="shared" si="16"/>
        <v>1</v>
      </c>
      <c r="G135" s="425" t="s">
        <v>1430</v>
      </c>
      <c r="H135" s="268">
        <v>2</v>
      </c>
      <c r="I135" s="447">
        <v>0</v>
      </c>
      <c r="J135" s="422">
        <f t="shared" si="17"/>
        <v>2</v>
      </c>
      <c r="K135" s="426" t="s">
        <v>1402</v>
      </c>
      <c r="L135" s="268">
        <v>93</v>
      </c>
      <c r="M135" s="447">
        <v>0</v>
      </c>
      <c r="N135" s="349">
        <f t="shared" si="18"/>
        <v>93</v>
      </c>
      <c r="O135" s="424" t="s">
        <v>897</v>
      </c>
      <c r="P135" s="272">
        <f t="shared" si="19"/>
        <v>7.3329911270807369</v>
      </c>
      <c r="Q135" s="307">
        <v>0</v>
      </c>
      <c r="R135" s="212">
        <f t="shared" si="20"/>
        <v>7.3329911270807369</v>
      </c>
    </row>
    <row r="136" spans="1:18" x14ac:dyDescent="0.25">
      <c r="A136" s="213" t="s">
        <v>1398</v>
      </c>
      <c r="B136" s="214" t="s">
        <v>88</v>
      </c>
      <c r="C136" s="458">
        <v>27866</v>
      </c>
      <c r="D136" s="268">
        <v>1</v>
      </c>
      <c r="E136" s="444">
        <v>1</v>
      </c>
      <c r="F136" s="421">
        <f t="shared" si="16"/>
        <v>0</v>
      </c>
      <c r="G136" s="425">
        <f>F136/E136</f>
        <v>0</v>
      </c>
      <c r="H136" s="268">
        <v>2</v>
      </c>
      <c r="I136" s="447">
        <v>2</v>
      </c>
      <c r="J136" s="422">
        <f t="shared" si="17"/>
        <v>0</v>
      </c>
      <c r="K136" s="426">
        <f>J136/I136</f>
        <v>0</v>
      </c>
      <c r="L136" s="268">
        <v>94</v>
      </c>
      <c r="M136" s="447">
        <v>94</v>
      </c>
      <c r="N136" s="349">
        <f t="shared" si="18"/>
        <v>0</v>
      </c>
      <c r="O136" s="424">
        <f>N136/M136</f>
        <v>0</v>
      </c>
      <c r="P136" s="272">
        <f t="shared" si="19"/>
        <v>7.177205196296562</v>
      </c>
      <c r="Q136" s="307">
        <v>7.2</v>
      </c>
      <c r="R136" s="212">
        <f t="shared" si="20"/>
        <v>-2.2794803703438227E-2</v>
      </c>
    </row>
    <row r="137" spans="1:18" x14ac:dyDescent="0.25">
      <c r="A137" s="210" t="s">
        <v>89</v>
      </c>
      <c r="B137" s="211" t="s">
        <v>3</v>
      </c>
      <c r="C137" s="457">
        <v>1595058</v>
      </c>
      <c r="D137" s="267">
        <f>SUM(D138:D148)</f>
        <v>21</v>
      </c>
      <c r="E137" s="445">
        <f>SUM(E138:E148)</f>
        <v>20</v>
      </c>
      <c r="F137" s="421">
        <f t="shared" si="16"/>
        <v>1</v>
      </c>
      <c r="G137" s="236">
        <f t="shared" ref="G137:G194" si="21">F137/E137</f>
        <v>0.05</v>
      </c>
      <c r="H137" s="267">
        <f>SUM(H138:H148)</f>
        <v>119</v>
      </c>
      <c r="I137" s="448">
        <f>SUM(I138:I148)</f>
        <v>119</v>
      </c>
      <c r="J137" s="422">
        <f t="shared" si="17"/>
        <v>0</v>
      </c>
      <c r="K137" s="423">
        <f t="shared" ref="K137:K194" si="22">J137/I137</f>
        <v>0</v>
      </c>
      <c r="L137" s="267">
        <f>SUM(L138:L148)</f>
        <v>15981</v>
      </c>
      <c r="M137" s="445">
        <f>SUM(M138:M148)</f>
        <v>16456</v>
      </c>
      <c r="N137" s="349">
        <f t="shared" si="18"/>
        <v>-475</v>
      </c>
      <c r="O137" s="424">
        <f t="shared" ref="O137:O194" si="23">N137/M137</f>
        <v>-2.8864851725814291E-2</v>
      </c>
      <c r="P137" s="271">
        <f t="shared" si="19"/>
        <v>7.4605437545217788</v>
      </c>
      <c r="Q137" s="306">
        <v>7.4</v>
      </c>
      <c r="R137" s="212">
        <f t="shared" si="20"/>
        <v>6.0543754521778403E-2</v>
      </c>
    </row>
    <row r="138" spans="1:18" x14ac:dyDescent="0.25">
      <c r="A138" s="213" t="s">
        <v>1398</v>
      </c>
      <c r="B138" s="214" t="s">
        <v>90</v>
      </c>
      <c r="C138" s="455">
        <v>849573</v>
      </c>
      <c r="D138" s="268">
        <v>9</v>
      </c>
      <c r="E138" s="444">
        <v>9</v>
      </c>
      <c r="F138" s="421">
        <f t="shared" si="16"/>
        <v>0</v>
      </c>
      <c r="G138" s="236">
        <f t="shared" si="21"/>
        <v>0</v>
      </c>
      <c r="H138" s="268">
        <v>71</v>
      </c>
      <c r="I138" s="447">
        <v>71</v>
      </c>
      <c r="J138" s="422">
        <f t="shared" si="17"/>
        <v>0</v>
      </c>
      <c r="K138" s="423">
        <f t="shared" si="22"/>
        <v>0</v>
      </c>
      <c r="L138" s="268">
        <v>10572</v>
      </c>
      <c r="M138" s="447">
        <v>10590</v>
      </c>
      <c r="N138" s="349">
        <f t="shared" si="18"/>
        <v>-18</v>
      </c>
      <c r="O138" s="424">
        <f t="shared" si="23"/>
        <v>-1.6997167138810198E-3</v>
      </c>
      <c r="P138" s="272">
        <f t="shared" si="19"/>
        <v>8.3571394100330405</v>
      </c>
      <c r="Q138" s="307">
        <v>8.4</v>
      </c>
      <c r="R138" s="212">
        <f t="shared" si="20"/>
        <v>-4.286058996695985E-2</v>
      </c>
    </row>
    <row r="139" spans="1:18" x14ac:dyDescent="0.25">
      <c r="A139" s="213" t="s">
        <v>1398</v>
      </c>
      <c r="B139" s="214" t="s">
        <v>91</v>
      </c>
      <c r="C139" s="460">
        <v>208277</v>
      </c>
      <c r="D139" s="268">
        <v>3</v>
      </c>
      <c r="E139" s="444">
        <v>4</v>
      </c>
      <c r="F139" s="421">
        <f t="shared" si="16"/>
        <v>-1</v>
      </c>
      <c r="G139" s="236">
        <f t="shared" si="21"/>
        <v>-0.25</v>
      </c>
      <c r="H139" s="268">
        <v>15</v>
      </c>
      <c r="I139" s="447">
        <v>23</v>
      </c>
      <c r="J139" s="422">
        <f t="shared" si="17"/>
        <v>-8</v>
      </c>
      <c r="K139" s="423">
        <f t="shared" si="22"/>
        <v>-0.34782608695652173</v>
      </c>
      <c r="L139" s="268">
        <v>1787</v>
      </c>
      <c r="M139" s="447">
        <v>2978</v>
      </c>
      <c r="N139" s="349">
        <f t="shared" si="18"/>
        <v>-1191</v>
      </c>
      <c r="O139" s="424">
        <f t="shared" si="23"/>
        <v>-0.3999328408327737</v>
      </c>
      <c r="P139" s="272">
        <f t="shared" si="19"/>
        <v>7.2019474065787392</v>
      </c>
      <c r="Q139" s="307">
        <v>11</v>
      </c>
      <c r="R139" s="212">
        <f t="shared" si="20"/>
        <v>-3.7980525934212608</v>
      </c>
    </row>
    <row r="140" spans="1:18" x14ac:dyDescent="0.25">
      <c r="A140" s="213" t="s">
        <v>1398</v>
      </c>
      <c r="B140" s="214" t="s">
        <v>92</v>
      </c>
      <c r="C140" s="458">
        <v>130988</v>
      </c>
      <c r="D140" s="268">
        <v>2</v>
      </c>
      <c r="E140" s="444">
        <v>1</v>
      </c>
      <c r="F140" s="421">
        <f t="shared" si="16"/>
        <v>1</v>
      </c>
      <c r="G140" s="236">
        <f t="shared" si="21"/>
        <v>1</v>
      </c>
      <c r="H140" s="268">
        <v>13</v>
      </c>
      <c r="I140" s="447">
        <v>7</v>
      </c>
      <c r="J140" s="422">
        <f t="shared" si="17"/>
        <v>6</v>
      </c>
      <c r="K140" s="423">
        <f t="shared" si="22"/>
        <v>0.8571428571428571</v>
      </c>
      <c r="L140" s="268">
        <v>1842</v>
      </c>
      <c r="M140" s="447">
        <v>1200</v>
      </c>
      <c r="N140" s="349">
        <f t="shared" si="18"/>
        <v>642</v>
      </c>
      <c r="O140" s="424">
        <f t="shared" si="23"/>
        <v>0.53500000000000003</v>
      </c>
      <c r="P140" s="272">
        <f t="shared" si="19"/>
        <v>9.9245732433505349</v>
      </c>
      <c r="Q140" s="307">
        <v>5.3</v>
      </c>
      <c r="R140" s="212">
        <f t="shared" si="20"/>
        <v>4.6245732433505351</v>
      </c>
    </row>
    <row r="141" spans="1:18" x14ac:dyDescent="0.25">
      <c r="A141" s="213" t="s">
        <v>1398</v>
      </c>
      <c r="B141" s="214" t="s">
        <v>1431</v>
      </c>
      <c r="C141" s="458">
        <v>31455</v>
      </c>
      <c r="D141" s="268">
        <v>1</v>
      </c>
      <c r="E141" s="444">
        <v>1</v>
      </c>
      <c r="F141" s="421">
        <f t="shared" si="16"/>
        <v>0</v>
      </c>
      <c r="G141" s="236">
        <f t="shared" si="21"/>
        <v>0</v>
      </c>
      <c r="H141" s="386">
        <v>2</v>
      </c>
      <c r="I141" s="448">
        <v>2</v>
      </c>
      <c r="J141" s="427">
        <f t="shared" si="17"/>
        <v>0</v>
      </c>
      <c r="K141" s="423">
        <f t="shared" si="22"/>
        <v>0</v>
      </c>
      <c r="L141" s="386">
        <v>91</v>
      </c>
      <c r="M141" s="448">
        <v>91</v>
      </c>
      <c r="N141" s="428">
        <f t="shared" si="18"/>
        <v>0</v>
      </c>
      <c r="O141" s="424">
        <f t="shared" si="23"/>
        <v>0</v>
      </c>
      <c r="P141" s="272">
        <f t="shared" si="19"/>
        <v>6.3582896200921946</v>
      </c>
      <c r="Q141" s="307">
        <v>6.3</v>
      </c>
      <c r="R141" s="212">
        <f t="shared" si="20"/>
        <v>5.8289620092194738E-2</v>
      </c>
    </row>
    <row r="142" spans="1:18" x14ac:dyDescent="0.25">
      <c r="A142" s="213" t="s">
        <v>1398</v>
      </c>
      <c r="B142" s="214" t="s">
        <v>1432</v>
      </c>
      <c r="C142" s="458">
        <v>49520</v>
      </c>
      <c r="D142" s="268">
        <v>1</v>
      </c>
      <c r="E142" s="444">
        <v>1</v>
      </c>
      <c r="F142" s="421">
        <f t="shared" si="16"/>
        <v>0</v>
      </c>
      <c r="G142" s="236">
        <f t="shared" si="21"/>
        <v>0</v>
      </c>
      <c r="H142" s="386">
        <v>2</v>
      </c>
      <c r="I142" s="448">
        <v>2</v>
      </c>
      <c r="J142" s="427">
        <f t="shared" si="17"/>
        <v>0</v>
      </c>
      <c r="K142" s="423">
        <f t="shared" si="22"/>
        <v>0</v>
      </c>
      <c r="L142" s="386">
        <v>95</v>
      </c>
      <c r="M142" s="448">
        <v>95</v>
      </c>
      <c r="N142" s="428">
        <f t="shared" si="18"/>
        <v>0</v>
      </c>
      <c r="O142" s="424">
        <f t="shared" si="23"/>
        <v>0</v>
      </c>
      <c r="P142" s="272">
        <f t="shared" si="19"/>
        <v>4.0387722132471735</v>
      </c>
      <c r="Q142" s="307">
        <v>4</v>
      </c>
      <c r="R142" s="212">
        <f t="shared" si="20"/>
        <v>3.8772213247173504E-2</v>
      </c>
    </row>
    <row r="143" spans="1:18" x14ac:dyDescent="0.25">
      <c r="A143" s="213" t="s">
        <v>1398</v>
      </c>
      <c r="B143" s="214" t="s">
        <v>1433</v>
      </c>
      <c r="C143" s="458">
        <v>44956</v>
      </c>
      <c r="D143" s="268">
        <v>1</v>
      </c>
      <c r="E143" s="444">
        <v>1</v>
      </c>
      <c r="F143" s="421">
        <f t="shared" si="16"/>
        <v>0</v>
      </c>
      <c r="G143" s="236">
        <f t="shared" si="21"/>
        <v>0</v>
      </c>
      <c r="H143" s="386">
        <v>2</v>
      </c>
      <c r="I143" s="448">
        <v>2</v>
      </c>
      <c r="J143" s="427">
        <f t="shared" si="17"/>
        <v>0</v>
      </c>
      <c r="K143" s="423">
        <f t="shared" si="22"/>
        <v>0</v>
      </c>
      <c r="L143" s="386">
        <v>97</v>
      </c>
      <c r="M143" s="448">
        <v>97</v>
      </c>
      <c r="N143" s="428">
        <f t="shared" si="18"/>
        <v>0</v>
      </c>
      <c r="O143" s="424">
        <f t="shared" si="23"/>
        <v>0</v>
      </c>
      <c r="P143" s="272">
        <f t="shared" si="19"/>
        <v>4.4487943767239075</v>
      </c>
      <c r="Q143" s="307">
        <v>4.4000000000000004</v>
      </c>
      <c r="R143" s="212">
        <f t="shared" si="20"/>
        <v>4.8794376723907185E-2</v>
      </c>
    </row>
    <row r="144" spans="1:18" x14ac:dyDescent="0.25">
      <c r="A144" s="213" t="s">
        <v>1398</v>
      </c>
      <c r="B144" s="214" t="s">
        <v>1434</v>
      </c>
      <c r="C144" s="458">
        <v>37262</v>
      </c>
      <c r="D144" s="268">
        <v>0</v>
      </c>
      <c r="E144" s="444">
        <v>0</v>
      </c>
      <c r="F144" s="421">
        <f t="shared" si="16"/>
        <v>0</v>
      </c>
      <c r="G144" s="425" t="s">
        <v>897</v>
      </c>
      <c r="H144" s="268">
        <v>0</v>
      </c>
      <c r="I144" s="447">
        <v>0</v>
      </c>
      <c r="J144" s="422">
        <f t="shared" si="17"/>
        <v>0</v>
      </c>
      <c r="K144" s="426" t="s">
        <v>1406</v>
      </c>
      <c r="L144" s="268">
        <v>0</v>
      </c>
      <c r="M144" s="447">
        <v>0</v>
      </c>
      <c r="N144" s="349">
        <f t="shared" si="18"/>
        <v>0</v>
      </c>
      <c r="O144" s="424" t="s">
        <v>897</v>
      </c>
      <c r="P144" s="272">
        <f t="shared" si="19"/>
        <v>0</v>
      </c>
      <c r="Q144" s="307">
        <v>0</v>
      </c>
      <c r="R144" s="212">
        <f t="shared" si="20"/>
        <v>0</v>
      </c>
    </row>
    <row r="145" spans="1:18" x14ac:dyDescent="0.25">
      <c r="A145" s="213" t="s">
        <v>1398</v>
      </c>
      <c r="B145" s="214" t="s">
        <v>93</v>
      </c>
      <c r="C145" s="458">
        <v>86147</v>
      </c>
      <c r="D145" s="268">
        <v>1</v>
      </c>
      <c r="E145" s="444">
        <v>1</v>
      </c>
      <c r="F145" s="421">
        <f t="shared" si="16"/>
        <v>0</v>
      </c>
      <c r="G145" s="236">
        <f t="shared" si="21"/>
        <v>0</v>
      </c>
      <c r="H145" s="268">
        <v>4</v>
      </c>
      <c r="I145" s="447">
        <v>4</v>
      </c>
      <c r="J145" s="422">
        <f t="shared" si="17"/>
        <v>0</v>
      </c>
      <c r="K145" s="423">
        <f t="shared" si="22"/>
        <v>0</v>
      </c>
      <c r="L145" s="268">
        <v>372</v>
      </c>
      <c r="M145" s="447">
        <v>372</v>
      </c>
      <c r="N145" s="349">
        <f t="shared" si="18"/>
        <v>0</v>
      </c>
      <c r="O145" s="424">
        <f t="shared" si="23"/>
        <v>0</v>
      </c>
      <c r="P145" s="272">
        <f t="shared" si="19"/>
        <v>4.6432261135036619</v>
      </c>
      <c r="Q145" s="307">
        <v>4.7</v>
      </c>
      <c r="R145" s="212">
        <f t="shared" si="20"/>
        <v>-5.6773886496338299E-2</v>
      </c>
    </row>
    <row r="146" spans="1:18" x14ac:dyDescent="0.25">
      <c r="A146" s="213" t="s">
        <v>1398</v>
      </c>
      <c r="B146" s="214" t="s">
        <v>94</v>
      </c>
      <c r="C146" s="458">
        <v>37055</v>
      </c>
      <c r="D146" s="268">
        <v>1</v>
      </c>
      <c r="E146" s="444">
        <v>1</v>
      </c>
      <c r="F146" s="421">
        <f t="shared" si="16"/>
        <v>0</v>
      </c>
      <c r="G146" s="236">
        <f t="shared" si="21"/>
        <v>0</v>
      </c>
      <c r="H146" s="268">
        <v>3</v>
      </c>
      <c r="I146" s="447">
        <v>3</v>
      </c>
      <c r="J146" s="422">
        <f t="shared" si="17"/>
        <v>0</v>
      </c>
      <c r="K146" s="423">
        <f t="shared" si="22"/>
        <v>0</v>
      </c>
      <c r="L146" s="268">
        <v>234</v>
      </c>
      <c r="M146" s="447">
        <v>234</v>
      </c>
      <c r="N146" s="349">
        <f t="shared" si="18"/>
        <v>0</v>
      </c>
      <c r="O146" s="424">
        <f t="shared" si="23"/>
        <v>0</v>
      </c>
      <c r="P146" s="272">
        <f t="shared" si="19"/>
        <v>8.0960734043988669</v>
      </c>
      <c r="Q146" s="307">
        <v>7.9</v>
      </c>
      <c r="R146" s="212">
        <f t="shared" si="20"/>
        <v>0.19607340439886656</v>
      </c>
    </row>
    <row r="147" spans="1:18" x14ac:dyDescent="0.25">
      <c r="A147" s="213" t="s">
        <v>1398</v>
      </c>
      <c r="B147" s="214" t="s">
        <v>95</v>
      </c>
      <c r="C147" s="458">
        <v>92058</v>
      </c>
      <c r="D147" s="268">
        <v>2</v>
      </c>
      <c r="E147" s="444">
        <v>1</v>
      </c>
      <c r="F147" s="421">
        <f t="shared" si="16"/>
        <v>1</v>
      </c>
      <c r="G147" s="236">
        <f t="shared" si="21"/>
        <v>1</v>
      </c>
      <c r="H147" s="268">
        <v>7</v>
      </c>
      <c r="I147" s="447">
        <v>5</v>
      </c>
      <c r="J147" s="422">
        <f t="shared" si="17"/>
        <v>2</v>
      </c>
      <c r="K147" s="423">
        <f t="shared" si="22"/>
        <v>0.4</v>
      </c>
      <c r="L147" s="268">
        <v>891</v>
      </c>
      <c r="M147" s="447">
        <v>799</v>
      </c>
      <c r="N147" s="349">
        <f t="shared" si="18"/>
        <v>92</v>
      </c>
      <c r="O147" s="424">
        <f t="shared" si="23"/>
        <v>0.11514392991239049</v>
      </c>
      <c r="P147" s="272">
        <f t="shared" si="19"/>
        <v>7.6039018879402116</v>
      </c>
      <c r="Q147" s="307">
        <v>5.4</v>
      </c>
      <c r="R147" s="212">
        <f t="shared" si="20"/>
        <v>2.2039018879402112</v>
      </c>
    </row>
    <row r="148" spans="1:18" x14ac:dyDescent="0.25">
      <c r="A148" s="213" t="s">
        <v>1398</v>
      </c>
      <c r="B148" s="214" t="s">
        <v>1435</v>
      </c>
      <c r="C148" s="458">
        <v>27767</v>
      </c>
      <c r="D148" s="268">
        <v>0</v>
      </c>
      <c r="E148" s="444">
        <v>0</v>
      </c>
      <c r="F148" s="421">
        <f t="shared" si="16"/>
        <v>0</v>
      </c>
      <c r="G148" s="425" t="s">
        <v>1406</v>
      </c>
      <c r="H148" s="268">
        <v>0</v>
      </c>
      <c r="I148" s="447">
        <v>0</v>
      </c>
      <c r="J148" s="422">
        <f t="shared" si="17"/>
        <v>0</v>
      </c>
      <c r="K148" s="426" t="s">
        <v>897</v>
      </c>
      <c r="L148" s="268">
        <v>0</v>
      </c>
      <c r="M148" s="447">
        <v>0</v>
      </c>
      <c r="N148" s="349">
        <f t="shared" si="18"/>
        <v>0</v>
      </c>
      <c r="O148" s="424" t="s">
        <v>897</v>
      </c>
      <c r="P148" s="272">
        <f t="shared" si="19"/>
        <v>0</v>
      </c>
      <c r="Q148" s="307">
        <v>0</v>
      </c>
      <c r="R148" s="212">
        <f t="shared" si="20"/>
        <v>0</v>
      </c>
    </row>
    <row r="149" spans="1:18" x14ac:dyDescent="0.25">
      <c r="A149" s="210" t="s">
        <v>96</v>
      </c>
      <c r="B149" s="211" t="s">
        <v>3</v>
      </c>
      <c r="C149" s="457">
        <v>2123037</v>
      </c>
      <c r="D149" s="267">
        <f>SUM(D150:D164)</f>
        <v>29</v>
      </c>
      <c r="E149" s="445">
        <f>SUM(E150:E164)</f>
        <v>28</v>
      </c>
      <c r="F149" s="421">
        <f t="shared" si="16"/>
        <v>1</v>
      </c>
      <c r="G149" s="236">
        <f t="shared" si="21"/>
        <v>3.5714285714285712E-2</v>
      </c>
      <c r="H149" s="267">
        <f>SUM(H150:H164)</f>
        <v>149</v>
      </c>
      <c r="I149" s="448">
        <f>SUM(I150:I164)</f>
        <v>142</v>
      </c>
      <c r="J149" s="422">
        <f t="shared" si="17"/>
        <v>7</v>
      </c>
      <c r="K149" s="423">
        <f t="shared" si="22"/>
        <v>4.9295774647887321E-2</v>
      </c>
      <c r="L149" s="267">
        <f>SUM(L150:L164)</f>
        <v>18068</v>
      </c>
      <c r="M149" s="445">
        <f>SUM(M150:M164)</f>
        <v>17478</v>
      </c>
      <c r="N149" s="349">
        <f t="shared" si="18"/>
        <v>590</v>
      </c>
      <c r="O149" s="424">
        <f t="shared" si="23"/>
        <v>3.3756722737155284E-2</v>
      </c>
      <c r="P149" s="271">
        <f t="shared" si="19"/>
        <v>7.0182479156039204</v>
      </c>
      <c r="Q149" s="306">
        <v>6.7</v>
      </c>
      <c r="R149" s="212">
        <f t="shared" si="20"/>
        <v>0.31824791560392018</v>
      </c>
    </row>
    <row r="150" spans="1:18" x14ac:dyDescent="0.25">
      <c r="A150" s="213" t="s">
        <v>1398</v>
      </c>
      <c r="B150" s="214" t="s">
        <v>97</v>
      </c>
      <c r="C150" s="460">
        <v>657559</v>
      </c>
      <c r="D150" s="268">
        <v>10</v>
      </c>
      <c r="E150" s="444">
        <v>8</v>
      </c>
      <c r="F150" s="421">
        <f t="shared" si="16"/>
        <v>2</v>
      </c>
      <c r="G150" s="236">
        <f t="shared" si="21"/>
        <v>0.25</v>
      </c>
      <c r="H150" s="268">
        <v>64</v>
      </c>
      <c r="I150" s="447">
        <v>57</v>
      </c>
      <c r="J150" s="422">
        <f t="shared" si="17"/>
        <v>7</v>
      </c>
      <c r="K150" s="423">
        <f t="shared" si="22"/>
        <v>0.12280701754385964</v>
      </c>
      <c r="L150" s="268">
        <v>8191</v>
      </c>
      <c r="M150" s="447">
        <v>7502</v>
      </c>
      <c r="N150" s="349">
        <f t="shared" si="18"/>
        <v>689</v>
      </c>
      <c r="O150" s="424">
        <f t="shared" si="23"/>
        <v>9.1842175419888025E-2</v>
      </c>
      <c r="P150" s="272">
        <f t="shared" si="19"/>
        <v>9.7329669276825364</v>
      </c>
      <c r="Q150" s="307">
        <v>8.6999999999999993</v>
      </c>
      <c r="R150" s="212">
        <f t="shared" si="20"/>
        <v>1.0329669276825371</v>
      </c>
    </row>
    <row r="151" spans="1:18" x14ac:dyDescent="0.25">
      <c r="A151" s="213" t="s">
        <v>1398</v>
      </c>
      <c r="B151" s="214" t="s">
        <v>98</v>
      </c>
      <c r="C151" s="460">
        <v>102571</v>
      </c>
      <c r="D151" s="268">
        <v>1</v>
      </c>
      <c r="E151" s="444">
        <v>1</v>
      </c>
      <c r="F151" s="421">
        <f t="shared" si="16"/>
        <v>0</v>
      </c>
      <c r="G151" s="236">
        <f t="shared" si="21"/>
        <v>0</v>
      </c>
      <c r="H151" s="268">
        <v>7</v>
      </c>
      <c r="I151" s="447">
        <v>7</v>
      </c>
      <c r="J151" s="422">
        <f t="shared" si="17"/>
        <v>0</v>
      </c>
      <c r="K151" s="423">
        <f t="shared" si="22"/>
        <v>0</v>
      </c>
      <c r="L151" s="268">
        <v>802</v>
      </c>
      <c r="M151" s="447">
        <v>802</v>
      </c>
      <c r="N151" s="349">
        <f t="shared" si="18"/>
        <v>0</v>
      </c>
      <c r="O151" s="424">
        <f t="shared" si="23"/>
        <v>0</v>
      </c>
      <c r="P151" s="272">
        <f t="shared" si="19"/>
        <v>6.8245410496144139</v>
      </c>
      <c r="Q151" s="307">
        <v>6.8</v>
      </c>
      <c r="R151" s="212">
        <f t="shared" si="20"/>
        <v>2.4541049614414057E-2</v>
      </c>
    </row>
    <row r="152" spans="1:18" x14ac:dyDescent="0.25">
      <c r="A152" s="213" t="s">
        <v>1398</v>
      </c>
      <c r="B152" s="214" t="s">
        <v>99</v>
      </c>
      <c r="C152" s="460">
        <v>97157</v>
      </c>
      <c r="D152" s="268">
        <v>2</v>
      </c>
      <c r="E152" s="444">
        <v>2</v>
      </c>
      <c r="F152" s="421">
        <f t="shared" si="16"/>
        <v>0</v>
      </c>
      <c r="G152" s="236">
        <f t="shared" si="21"/>
        <v>0</v>
      </c>
      <c r="H152" s="268">
        <v>8</v>
      </c>
      <c r="I152" s="447">
        <v>8</v>
      </c>
      <c r="J152" s="422">
        <f t="shared" si="17"/>
        <v>0</v>
      </c>
      <c r="K152" s="423">
        <f t="shared" si="22"/>
        <v>0</v>
      </c>
      <c r="L152" s="268">
        <v>999</v>
      </c>
      <c r="M152" s="447">
        <v>999</v>
      </c>
      <c r="N152" s="349">
        <f t="shared" si="18"/>
        <v>0</v>
      </c>
      <c r="O152" s="424">
        <f t="shared" si="23"/>
        <v>0</v>
      </c>
      <c r="P152" s="272">
        <f t="shared" si="19"/>
        <v>8.2340953302386861</v>
      </c>
      <c r="Q152" s="307">
        <v>8.1</v>
      </c>
      <c r="R152" s="212">
        <f t="shared" si="20"/>
        <v>0.13409533023868647</v>
      </c>
    </row>
    <row r="153" spans="1:18" x14ac:dyDescent="0.25">
      <c r="A153" s="213" t="s">
        <v>1398</v>
      </c>
      <c r="B153" s="214" t="s">
        <v>100</v>
      </c>
      <c r="C153" s="460">
        <v>334539</v>
      </c>
      <c r="D153" s="268">
        <v>1</v>
      </c>
      <c r="E153" s="444">
        <v>1</v>
      </c>
      <c r="F153" s="421">
        <f t="shared" si="16"/>
        <v>0</v>
      </c>
      <c r="G153" s="236">
        <f t="shared" si="21"/>
        <v>0</v>
      </c>
      <c r="H153" s="268">
        <v>6</v>
      </c>
      <c r="I153" s="447">
        <v>6</v>
      </c>
      <c r="J153" s="422">
        <f t="shared" si="17"/>
        <v>0</v>
      </c>
      <c r="K153" s="423">
        <f t="shared" si="22"/>
        <v>0</v>
      </c>
      <c r="L153" s="268">
        <v>1020</v>
      </c>
      <c r="M153" s="447">
        <v>1020</v>
      </c>
      <c r="N153" s="349">
        <f t="shared" si="18"/>
        <v>0</v>
      </c>
      <c r="O153" s="424">
        <f t="shared" si="23"/>
        <v>0</v>
      </c>
      <c r="P153" s="272">
        <f t="shared" si="19"/>
        <v>1.7935128639710167</v>
      </c>
      <c r="Q153" s="307">
        <v>1.8</v>
      </c>
      <c r="R153" s="212">
        <f t="shared" si="20"/>
        <v>-6.4871360289833202E-3</v>
      </c>
    </row>
    <row r="154" spans="1:18" x14ac:dyDescent="0.25">
      <c r="A154" s="213" t="s">
        <v>1398</v>
      </c>
      <c r="B154" s="214" t="s">
        <v>101</v>
      </c>
      <c r="C154" s="460">
        <v>176413</v>
      </c>
      <c r="D154" s="268">
        <v>2</v>
      </c>
      <c r="E154" s="444">
        <v>2</v>
      </c>
      <c r="F154" s="421">
        <f t="shared" si="16"/>
        <v>0</v>
      </c>
      <c r="G154" s="236">
        <f t="shared" si="21"/>
        <v>0</v>
      </c>
      <c r="H154" s="268">
        <v>15</v>
      </c>
      <c r="I154" s="447">
        <v>15</v>
      </c>
      <c r="J154" s="422">
        <f t="shared" si="17"/>
        <v>0</v>
      </c>
      <c r="K154" s="423">
        <f t="shared" si="22"/>
        <v>0</v>
      </c>
      <c r="L154" s="268">
        <v>1765</v>
      </c>
      <c r="M154" s="447">
        <v>1765</v>
      </c>
      <c r="N154" s="349">
        <f t="shared" si="18"/>
        <v>0</v>
      </c>
      <c r="O154" s="424">
        <f t="shared" si="23"/>
        <v>0</v>
      </c>
      <c r="P154" s="272">
        <f t="shared" si="19"/>
        <v>8.5027747388231028</v>
      </c>
      <c r="Q154" s="307">
        <v>8.5</v>
      </c>
      <c r="R154" s="212">
        <f t="shared" si="20"/>
        <v>2.7747388231027514E-3</v>
      </c>
    </row>
    <row r="155" spans="1:18" x14ac:dyDescent="0.25">
      <c r="A155" s="213" t="s">
        <v>1398</v>
      </c>
      <c r="B155" s="214" t="s">
        <v>102</v>
      </c>
      <c r="C155" s="460">
        <v>112617</v>
      </c>
      <c r="D155" s="268">
        <v>2</v>
      </c>
      <c r="E155" s="444">
        <v>2</v>
      </c>
      <c r="F155" s="421">
        <f t="shared" si="16"/>
        <v>0</v>
      </c>
      <c r="G155" s="236">
        <f t="shared" si="21"/>
        <v>0</v>
      </c>
      <c r="H155" s="268">
        <v>10</v>
      </c>
      <c r="I155" s="447">
        <v>10</v>
      </c>
      <c r="J155" s="422">
        <f t="shared" si="17"/>
        <v>0</v>
      </c>
      <c r="K155" s="423">
        <f t="shared" si="22"/>
        <v>0</v>
      </c>
      <c r="L155" s="268">
        <v>1112</v>
      </c>
      <c r="M155" s="447">
        <v>1102</v>
      </c>
      <c r="N155" s="349">
        <f t="shared" si="18"/>
        <v>10</v>
      </c>
      <c r="O155" s="424">
        <f t="shared" si="23"/>
        <v>9.0744101633393835E-3</v>
      </c>
      <c r="P155" s="272">
        <f t="shared" si="19"/>
        <v>8.8796540486782636</v>
      </c>
      <c r="Q155" s="307">
        <v>8.6999999999999993</v>
      </c>
      <c r="R155" s="212">
        <f t="shared" si="20"/>
        <v>0.17965404867826429</v>
      </c>
    </row>
    <row r="156" spans="1:18" x14ac:dyDescent="0.25">
      <c r="A156" s="213" t="s">
        <v>1398</v>
      </c>
      <c r="B156" s="214" t="s">
        <v>1436</v>
      </c>
      <c r="C156" s="460">
        <v>44475</v>
      </c>
      <c r="D156" s="268">
        <v>0</v>
      </c>
      <c r="E156" s="444">
        <v>0</v>
      </c>
      <c r="F156" s="421">
        <f t="shared" si="16"/>
        <v>0</v>
      </c>
      <c r="G156" s="425" t="s">
        <v>897</v>
      </c>
      <c r="H156" s="268">
        <v>0</v>
      </c>
      <c r="I156" s="447">
        <v>0</v>
      </c>
      <c r="J156" s="422">
        <f t="shared" si="17"/>
        <v>0</v>
      </c>
      <c r="K156" s="426" t="s">
        <v>1406</v>
      </c>
      <c r="L156" s="268">
        <v>0</v>
      </c>
      <c r="M156" s="447">
        <v>0</v>
      </c>
      <c r="N156" s="349">
        <f t="shared" si="18"/>
        <v>0</v>
      </c>
      <c r="O156" s="424" t="s">
        <v>1406</v>
      </c>
      <c r="P156" s="272">
        <f t="shared" si="19"/>
        <v>0</v>
      </c>
      <c r="Q156" s="307">
        <v>0</v>
      </c>
      <c r="R156" s="212">
        <f t="shared" si="20"/>
        <v>0</v>
      </c>
    </row>
    <row r="157" spans="1:18" x14ac:dyDescent="0.25">
      <c r="A157" s="213" t="s">
        <v>1398</v>
      </c>
      <c r="B157" s="214" t="s">
        <v>103</v>
      </c>
      <c r="C157" s="460">
        <v>168253</v>
      </c>
      <c r="D157" s="268">
        <v>2</v>
      </c>
      <c r="E157" s="444">
        <v>4</v>
      </c>
      <c r="F157" s="421">
        <f t="shared" si="16"/>
        <v>-2</v>
      </c>
      <c r="G157" s="236">
        <f t="shared" si="21"/>
        <v>-0.5</v>
      </c>
      <c r="H157" s="268">
        <v>14</v>
      </c>
      <c r="I157" s="447">
        <v>16</v>
      </c>
      <c r="J157" s="422">
        <f t="shared" si="17"/>
        <v>-2</v>
      </c>
      <c r="K157" s="423">
        <f t="shared" si="22"/>
        <v>-0.125</v>
      </c>
      <c r="L157" s="268">
        <v>1779</v>
      </c>
      <c r="M157" s="447">
        <v>2038</v>
      </c>
      <c r="N157" s="349">
        <f t="shared" si="18"/>
        <v>-259</v>
      </c>
      <c r="O157" s="424">
        <f t="shared" si="23"/>
        <v>-0.12708537782139354</v>
      </c>
      <c r="P157" s="272">
        <f t="shared" si="19"/>
        <v>8.3208026008451554</v>
      </c>
      <c r="Q157" s="307">
        <v>9.6</v>
      </c>
      <c r="R157" s="212">
        <f t="shared" si="20"/>
        <v>-1.2791973991548442</v>
      </c>
    </row>
    <row r="158" spans="1:18" x14ac:dyDescent="0.25">
      <c r="A158" s="213" t="s">
        <v>1398</v>
      </c>
      <c r="B158" s="214" t="s">
        <v>1437</v>
      </c>
      <c r="C158" s="458">
        <v>50092</v>
      </c>
      <c r="D158" s="268">
        <v>1</v>
      </c>
      <c r="E158" s="444">
        <v>0</v>
      </c>
      <c r="F158" s="421">
        <f t="shared" si="16"/>
        <v>1</v>
      </c>
      <c r="G158" s="430" t="s">
        <v>1481</v>
      </c>
      <c r="H158" s="386">
        <v>2</v>
      </c>
      <c r="I158" s="448">
        <v>0</v>
      </c>
      <c r="J158" s="427">
        <f t="shared" si="17"/>
        <v>2</v>
      </c>
      <c r="K158" s="432" t="s">
        <v>1480</v>
      </c>
      <c r="L158" s="386">
        <v>150</v>
      </c>
      <c r="M158" s="448">
        <v>0</v>
      </c>
      <c r="N158" s="428">
        <f t="shared" si="18"/>
        <v>150</v>
      </c>
      <c r="O158" s="433" t="s">
        <v>1481</v>
      </c>
      <c r="P158" s="272">
        <f t="shared" si="19"/>
        <v>3.9926535175277489</v>
      </c>
      <c r="Q158" s="307">
        <v>0</v>
      </c>
      <c r="R158" s="212">
        <f t="shared" si="20"/>
        <v>3.9926535175277489</v>
      </c>
    </row>
    <row r="159" spans="1:18" x14ac:dyDescent="0.25">
      <c r="A159" s="213" t="s">
        <v>1398</v>
      </c>
      <c r="B159" s="214" t="s">
        <v>104</v>
      </c>
      <c r="C159" s="458">
        <v>62343</v>
      </c>
      <c r="D159" s="268">
        <v>2</v>
      </c>
      <c r="E159" s="444">
        <v>2</v>
      </c>
      <c r="F159" s="421">
        <f t="shared" si="16"/>
        <v>0</v>
      </c>
      <c r="G159" s="236">
        <f t="shared" si="21"/>
        <v>0</v>
      </c>
      <c r="H159" s="268">
        <v>4</v>
      </c>
      <c r="I159" s="447">
        <v>4</v>
      </c>
      <c r="J159" s="422">
        <f t="shared" si="17"/>
        <v>0</v>
      </c>
      <c r="K159" s="423">
        <f t="shared" si="22"/>
        <v>0</v>
      </c>
      <c r="L159" s="268">
        <v>274</v>
      </c>
      <c r="M159" s="447">
        <v>274</v>
      </c>
      <c r="N159" s="349">
        <f t="shared" si="18"/>
        <v>0</v>
      </c>
      <c r="O159" s="424">
        <f t="shared" si="23"/>
        <v>0</v>
      </c>
      <c r="P159" s="272">
        <f t="shared" si="19"/>
        <v>6.4161172866239999</v>
      </c>
      <c r="Q159" s="307">
        <v>6.3</v>
      </c>
      <c r="R159" s="212">
        <f t="shared" si="20"/>
        <v>0.11611728662400012</v>
      </c>
    </row>
    <row r="160" spans="1:18" x14ac:dyDescent="0.25">
      <c r="A160" s="213" t="s">
        <v>1398</v>
      </c>
      <c r="B160" s="214" t="s">
        <v>1438</v>
      </c>
      <c r="C160" s="458">
        <v>49964</v>
      </c>
      <c r="D160" s="268">
        <v>1</v>
      </c>
      <c r="E160" s="444">
        <v>1</v>
      </c>
      <c r="F160" s="421">
        <f t="shared" si="16"/>
        <v>0</v>
      </c>
      <c r="G160" s="236">
        <f t="shared" si="21"/>
        <v>0</v>
      </c>
      <c r="H160" s="386">
        <v>2</v>
      </c>
      <c r="I160" s="448">
        <v>2</v>
      </c>
      <c r="J160" s="427">
        <f t="shared" si="17"/>
        <v>0</v>
      </c>
      <c r="K160" s="423">
        <f t="shared" si="22"/>
        <v>0</v>
      </c>
      <c r="L160" s="386">
        <v>154</v>
      </c>
      <c r="M160" s="448">
        <v>154</v>
      </c>
      <c r="N160" s="428">
        <f t="shared" si="18"/>
        <v>0</v>
      </c>
      <c r="O160" s="424">
        <f t="shared" si="23"/>
        <v>0</v>
      </c>
      <c r="P160" s="272">
        <f t="shared" si="19"/>
        <v>4.0028820750940675</v>
      </c>
      <c r="Q160" s="307">
        <v>3.9</v>
      </c>
      <c r="R160" s="212">
        <f t="shared" si="20"/>
        <v>0.10288207509406755</v>
      </c>
    </row>
    <row r="161" spans="1:18" x14ac:dyDescent="0.25">
      <c r="A161" s="213" t="s">
        <v>1398</v>
      </c>
      <c r="B161" s="214" t="s">
        <v>1439</v>
      </c>
      <c r="C161" s="458">
        <v>30266</v>
      </c>
      <c r="D161" s="268">
        <v>1</v>
      </c>
      <c r="E161" s="444">
        <v>1</v>
      </c>
      <c r="F161" s="421">
        <f t="shared" si="16"/>
        <v>0</v>
      </c>
      <c r="G161" s="236">
        <f t="shared" si="21"/>
        <v>0</v>
      </c>
      <c r="H161" s="386">
        <v>2</v>
      </c>
      <c r="I161" s="448">
        <v>2</v>
      </c>
      <c r="J161" s="427">
        <f t="shared" si="17"/>
        <v>0</v>
      </c>
      <c r="K161" s="423">
        <f t="shared" si="22"/>
        <v>0</v>
      </c>
      <c r="L161" s="386">
        <v>98</v>
      </c>
      <c r="M161" s="448">
        <v>98</v>
      </c>
      <c r="N161" s="428">
        <f t="shared" si="18"/>
        <v>0</v>
      </c>
      <c r="O161" s="424">
        <f t="shared" si="23"/>
        <v>0</v>
      </c>
      <c r="P161" s="272">
        <f t="shared" si="19"/>
        <v>6.6080750677327691</v>
      </c>
      <c r="Q161" s="307">
        <v>6.6</v>
      </c>
      <c r="R161" s="212">
        <f t="shared" si="20"/>
        <v>8.0750677327694476E-3</v>
      </c>
    </row>
    <row r="162" spans="1:18" x14ac:dyDescent="0.25">
      <c r="A162" s="213" t="s">
        <v>1398</v>
      </c>
      <c r="B162" s="214" t="s">
        <v>105</v>
      </c>
      <c r="C162" s="458">
        <v>98068</v>
      </c>
      <c r="D162" s="268">
        <v>2</v>
      </c>
      <c r="E162" s="444">
        <v>2</v>
      </c>
      <c r="F162" s="421">
        <f t="shared" si="16"/>
        <v>0</v>
      </c>
      <c r="G162" s="236">
        <f t="shared" si="21"/>
        <v>0</v>
      </c>
      <c r="H162" s="268">
        <v>11</v>
      </c>
      <c r="I162" s="447">
        <v>11</v>
      </c>
      <c r="J162" s="422">
        <f t="shared" si="17"/>
        <v>0</v>
      </c>
      <c r="K162" s="423">
        <f t="shared" si="22"/>
        <v>0</v>
      </c>
      <c r="L162" s="268">
        <v>1526</v>
      </c>
      <c r="M162" s="447">
        <v>1526</v>
      </c>
      <c r="N162" s="349">
        <f t="shared" si="18"/>
        <v>0</v>
      </c>
      <c r="O162" s="424">
        <f t="shared" si="23"/>
        <v>0</v>
      </c>
      <c r="P162" s="272">
        <f t="shared" si="19"/>
        <v>11.216706774890893</v>
      </c>
      <c r="Q162" s="307">
        <v>11.1</v>
      </c>
      <c r="R162" s="212">
        <f t="shared" si="20"/>
        <v>0.11670677489089343</v>
      </c>
    </row>
    <row r="163" spans="1:18" x14ac:dyDescent="0.25">
      <c r="A163" s="213" t="s">
        <v>1398</v>
      </c>
      <c r="B163" s="214" t="s">
        <v>106</v>
      </c>
      <c r="C163" s="458">
        <v>77385</v>
      </c>
      <c r="D163" s="268">
        <v>1</v>
      </c>
      <c r="E163" s="444">
        <v>1</v>
      </c>
      <c r="F163" s="421">
        <f t="shared" si="16"/>
        <v>0</v>
      </c>
      <c r="G163" s="236">
        <f t="shared" si="21"/>
        <v>0</v>
      </c>
      <c r="H163" s="268">
        <v>2</v>
      </c>
      <c r="I163" s="447">
        <v>2</v>
      </c>
      <c r="J163" s="422">
        <f t="shared" si="17"/>
        <v>0</v>
      </c>
      <c r="K163" s="423">
        <f t="shared" si="22"/>
        <v>0</v>
      </c>
      <c r="L163" s="268">
        <v>99</v>
      </c>
      <c r="M163" s="447">
        <v>99</v>
      </c>
      <c r="N163" s="349">
        <f t="shared" si="18"/>
        <v>0</v>
      </c>
      <c r="O163" s="424">
        <f t="shared" si="23"/>
        <v>0</v>
      </c>
      <c r="P163" s="272">
        <f t="shared" si="19"/>
        <v>2.5844801964204951</v>
      </c>
      <c r="Q163" s="307">
        <v>2.6</v>
      </c>
      <c r="R163" s="212">
        <f t="shared" si="20"/>
        <v>-1.5519803579504998E-2</v>
      </c>
    </row>
    <row r="164" spans="1:18" x14ac:dyDescent="0.25">
      <c r="A164" s="213" t="s">
        <v>1398</v>
      </c>
      <c r="B164" s="214" t="s">
        <v>107</v>
      </c>
      <c r="C164" s="458">
        <v>61335</v>
      </c>
      <c r="D164" s="268">
        <v>1</v>
      </c>
      <c r="E164" s="444">
        <v>1</v>
      </c>
      <c r="F164" s="421">
        <f t="shared" si="16"/>
        <v>0</v>
      </c>
      <c r="G164" s="236">
        <f t="shared" si="21"/>
        <v>0</v>
      </c>
      <c r="H164" s="268">
        <v>2</v>
      </c>
      <c r="I164" s="447">
        <v>2</v>
      </c>
      <c r="J164" s="422">
        <f t="shared" si="17"/>
        <v>0</v>
      </c>
      <c r="K164" s="423">
        <f t="shared" si="22"/>
        <v>0</v>
      </c>
      <c r="L164" s="268">
        <v>99</v>
      </c>
      <c r="M164" s="447">
        <v>99</v>
      </c>
      <c r="N164" s="349">
        <f t="shared" si="18"/>
        <v>0</v>
      </c>
      <c r="O164" s="424">
        <f t="shared" si="23"/>
        <v>0</v>
      </c>
      <c r="P164" s="272">
        <f t="shared" si="19"/>
        <v>3.260780957039211</v>
      </c>
      <c r="Q164" s="307">
        <v>3.3</v>
      </c>
      <c r="R164" s="212">
        <f t="shared" si="20"/>
        <v>-3.9219042960788819E-2</v>
      </c>
    </row>
    <row r="165" spans="1:18" x14ac:dyDescent="0.25">
      <c r="A165" s="210" t="s">
        <v>108</v>
      </c>
      <c r="B165" s="211" t="s">
        <v>3</v>
      </c>
      <c r="C165" s="457">
        <v>1769607</v>
      </c>
      <c r="D165" s="267">
        <f>SUM(D166:D179)</f>
        <v>29</v>
      </c>
      <c r="E165" s="445">
        <f>SUM(E166:E179)</f>
        <v>28</v>
      </c>
      <c r="F165" s="421">
        <f t="shared" si="16"/>
        <v>1</v>
      </c>
      <c r="G165" s="236">
        <f t="shared" si="21"/>
        <v>3.5714285714285712E-2</v>
      </c>
      <c r="H165" s="267">
        <f>SUM(H166:H179)</f>
        <v>139</v>
      </c>
      <c r="I165" s="448">
        <f>SUM(I166:I179)</f>
        <v>138</v>
      </c>
      <c r="J165" s="422">
        <f t="shared" si="17"/>
        <v>1</v>
      </c>
      <c r="K165" s="423">
        <f t="shared" si="22"/>
        <v>7.246376811594203E-3</v>
      </c>
      <c r="L165" s="267">
        <f>SUM(L166:L179)</f>
        <v>19277</v>
      </c>
      <c r="M165" s="445">
        <f>SUM(M166:M179)</f>
        <v>19298</v>
      </c>
      <c r="N165" s="349">
        <f t="shared" si="18"/>
        <v>-21</v>
      </c>
      <c r="O165" s="424">
        <f t="shared" si="23"/>
        <v>-1.0881956679448647E-3</v>
      </c>
      <c r="P165" s="271">
        <f t="shared" si="19"/>
        <v>7.8548513879070327</v>
      </c>
      <c r="Q165" s="306">
        <v>7.7</v>
      </c>
      <c r="R165" s="212">
        <f t="shared" si="20"/>
        <v>0.15485138790703257</v>
      </c>
    </row>
    <row r="166" spans="1:18" x14ac:dyDescent="0.25">
      <c r="A166" s="213" t="s">
        <v>1398</v>
      </c>
      <c r="B166" s="214" t="s">
        <v>109</v>
      </c>
      <c r="C166" s="455">
        <v>651495</v>
      </c>
      <c r="D166" s="268">
        <v>14</v>
      </c>
      <c r="E166" s="444">
        <v>13</v>
      </c>
      <c r="F166" s="421">
        <f t="shared" si="16"/>
        <v>1</v>
      </c>
      <c r="G166" s="236">
        <f t="shared" si="21"/>
        <v>7.6923076923076927E-2</v>
      </c>
      <c r="H166" s="268">
        <v>83</v>
      </c>
      <c r="I166" s="447">
        <v>82</v>
      </c>
      <c r="J166" s="422">
        <f t="shared" si="17"/>
        <v>1</v>
      </c>
      <c r="K166" s="423">
        <f t="shared" si="22"/>
        <v>1.2195121951219513E-2</v>
      </c>
      <c r="L166" s="268">
        <v>12208</v>
      </c>
      <c r="M166" s="447">
        <v>12232</v>
      </c>
      <c r="N166" s="349">
        <f t="shared" si="18"/>
        <v>-24</v>
      </c>
      <c r="O166" s="424">
        <f t="shared" si="23"/>
        <v>-1.9620667102681491E-3</v>
      </c>
      <c r="P166" s="272">
        <f t="shared" si="19"/>
        <v>12.739928932685592</v>
      </c>
      <c r="Q166" s="307">
        <v>12.5</v>
      </c>
      <c r="R166" s="212">
        <f t="shared" si="20"/>
        <v>0.23992893268559179</v>
      </c>
    </row>
    <row r="167" spans="1:18" x14ac:dyDescent="0.25">
      <c r="A167" s="213" t="s">
        <v>1398</v>
      </c>
      <c r="B167" s="214" t="s">
        <v>110</v>
      </c>
      <c r="C167" s="460">
        <v>262467</v>
      </c>
      <c r="D167" s="268">
        <v>3</v>
      </c>
      <c r="E167" s="444">
        <v>3</v>
      </c>
      <c r="F167" s="421">
        <f t="shared" si="16"/>
        <v>0</v>
      </c>
      <c r="G167" s="236">
        <f t="shared" si="21"/>
        <v>0</v>
      </c>
      <c r="H167" s="268">
        <v>19</v>
      </c>
      <c r="I167" s="447">
        <v>19</v>
      </c>
      <c r="J167" s="422">
        <f t="shared" si="17"/>
        <v>0</v>
      </c>
      <c r="K167" s="423">
        <f t="shared" si="22"/>
        <v>0</v>
      </c>
      <c r="L167" s="268">
        <v>3074</v>
      </c>
      <c r="M167" s="447">
        <v>3074</v>
      </c>
      <c r="N167" s="349">
        <f t="shared" si="18"/>
        <v>0</v>
      </c>
      <c r="O167" s="424">
        <f t="shared" si="23"/>
        <v>0</v>
      </c>
      <c r="P167" s="272">
        <f t="shared" si="19"/>
        <v>7.2390052844738575</v>
      </c>
      <c r="Q167" s="307">
        <v>7.2</v>
      </c>
      <c r="R167" s="212">
        <f t="shared" si="20"/>
        <v>3.9005284473857316E-2</v>
      </c>
    </row>
    <row r="168" spans="1:18" x14ac:dyDescent="0.25">
      <c r="A168" s="213" t="s">
        <v>1398</v>
      </c>
      <c r="B168" s="214" t="s">
        <v>111</v>
      </c>
      <c r="C168" s="460">
        <v>273697</v>
      </c>
      <c r="D168" s="268">
        <v>2</v>
      </c>
      <c r="E168" s="444">
        <v>2</v>
      </c>
      <c r="F168" s="421">
        <f t="shared" si="16"/>
        <v>0</v>
      </c>
      <c r="G168" s="236">
        <f t="shared" si="21"/>
        <v>0</v>
      </c>
      <c r="H168" s="268">
        <v>14</v>
      </c>
      <c r="I168" s="447">
        <v>14</v>
      </c>
      <c r="J168" s="422">
        <f t="shared" si="17"/>
        <v>0</v>
      </c>
      <c r="K168" s="423">
        <f t="shared" si="22"/>
        <v>0</v>
      </c>
      <c r="L168" s="268">
        <v>2366</v>
      </c>
      <c r="M168" s="447">
        <v>2366</v>
      </c>
      <c r="N168" s="349">
        <f t="shared" si="18"/>
        <v>0</v>
      </c>
      <c r="O168" s="424">
        <f t="shared" si="23"/>
        <v>0</v>
      </c>
      <c r="P168" s="272">
        <f t="shared" si="19"/>
        <v>5.1151455806969022</v>
      </c>
      <c r="Q168" s="307">
        <v>5</v>
      </c>
      <c r="R168" s="212">
        <f t="shared" si="20"/>
        <v>0.11514558069690217</v>
      </c>
    </row>
    <row r="169" spans="1:18" x14ac:dyDescent="0.25">
      <c r="A169" s="213" t="s">
        <v>1398</v>
      </c>
      <c r="B169" s="214" t="s">
        <v>112</v>
      </c>
      <c r="C169" s="460">
        <v>105081</v>
      </c>
      <c r="D169" s="268">
        <v>1</v>
      </c>
      <c r="E169" s="444">
        <v>1</v>
      </c>
      <c r="F169" s="421">
        <f t="shared" si="16"/>
        <v>0</v>
      </c>
      <c r="G169" s="236">
        <f t="shared" si="21"/>
        <v>0</v>
      </c>
      <c r="H169" s="268">
        <v>4</v>
      </c>
      <c r="I169" s="447">
        <v>4</v>
      </c>
      <c r="J169" s="422">
        <f t="shared" si="17"/>
        <v>0</v>
      </c>
      <c r="K169" s="423">
        <f t="shared" si="22"/>
        <v>0</v>
      </c>
      <c r="L169" s="268">
        <v>553</v>
      </c>
      <c r="M169" s="447">
        <v>553</v>
      </c>
      <c r="N169" s="349">
        <f t="shared" si="18"/>
        <v>0</v>
      </c>
      <c r="O169" s="424">
        <f t="shared" si="23"/>
        <v>0</v>
      </c>
      <c r="P169" s="272">
        <f t="shared" si="19"/>
        <v>3.8065872993214755</v>
      </c>
      <c r="Q169" s="307">
        <v>3.8</v>
      </c>
      <c r="R169" s="212">
        <f t="shared" si="20"/>
        <v>6.5872993214757258E-3</v>
      </c>
    </row>
    <row r="170" spans="1:18" x14ac:dyDescent="0.25">
      <c r="A170" s="213" t="s">
        <v>1398</v>
      </c>
      <c r="B170" s="214" t="s">
        <v>113</v>
      </c>
      <c r="C170" s="458">
        <v>77948</v>
      </c>
      <c r="D170" s="268">
        <v>1</v>
      </c>
      <c r="E170" s="444">
        <v>1</v>
      </c>
      <c r="F170" s="421">
        <f t="shared" si="16"/>
        <v>0</v>
      </c>
      <c r="G170" s="236">
        <f t="shared" si="21"/>
        <v>0</v>
      </c>
      <c r="H170" s="386">
        <v>3</v>
      </c>
      <c r="I170" s="448">
        <v>3</v>
      </c>
      <c r="J170" s="427">
        <f t="shared" si="17"/>
        <v>0</v>
      </c>
      <c r="K170" s="423">
        <f t="shared" si="22"/>
        <v>0</v>
      </c>
      <c r="L170" s="386">
        <v>257</v>
      </c>
      <c r="M170" s="448">
        <v>257</v>
      </c>
      <c r="N170" s="428">
        <f t="shared" si="18"/>
        <v>0</v>
      </c>
      <c r="O170" s="424">
        <f t="shared" si="23"/>
        <v>0</v>
      </c>
      <c r="P170" s="272">
        <f t="shared" si="19"/>
        <v>3.8487196592600195</v>
      </c>
      <c r="Q170" s="307">
        <v>3.8</v>
      </c>
      <c r="R170" s="212">
        <f t="shared" si="20"/>
        <v>4.8719659260019643E-2</v>
      </c>
    </row>
    <row r="171" spans="1:18" x14ac:dyDescent="0.25">
      <c r="A171" s="213" t="s">
        <v>1398</v>
      </c>
      <c r="B171" s="214" t="s">
        <v>1440</v>
      </c>
      <c r="C171" s="458">
        <v>81455</v>
      </c>
      <c r="D171" s="268">
        <v>1</v>
      </c>
      <c r="E171" s="444">
        <v>1</v>
      </c>
      <c r="F171" s="421">
        <f t="shared" si="16"/>
        <v>0</v>
      </c>
      <c r="G171" s="236">
        <f t="shared" si="21"/>
        <v>0</v>
      </c>
      <c r="H171" s="386">
        <v>2</v>
      </c>
      <c r="I171" s="448">
        <v>2</v>
      </c>
      <c r="J171" s="427">
        <f t="shared" si="17"/>
        <v>0</v>
      </c>
      <c r="K171" s="423">
        <f t="shared" si="22"/>
        <v>0</v>
      </c>
      <c r="L171" s="386">
        <v>99</v>
      </c>
      <c r="M171" s="448">
        <v>99</v>
      </c>
      <c r="N171" s="428">
        <f t="shared" si="18"/>
        <v>0</v>
      </c>
      <c r="O171" s="424">
        <f t="shared" si="23"/>
        <v>0</v>
      </c>
      <c r="P171" s="272">
        <f t="shared" si="19"/>
        <v>2.4553434411638326</v>
      </c>
      <c r="Q171" s="307">
        <v>2.5</v>
      </c>
      <c r="R171" s="212">
        <f t="shared" si="20"/>
        <v>-4.465655883616737E-2</v>
      </c>
    </row>
    <row r="172" spans="1:18" x14ac:dyDescent="0.25">
      <c r="A172" s="213" t="s">
        <v>1398</v>
      </c>
      <c r="B172" s="214" t="s">
        <v>1441</v>
      </c>
      <c r="C172" s="458">
        <v>92422</v>
      </c>
      <c r="D172" s="268">
        <v>1</v>
      </c>
      <c r="E172" s="444">
        <v>1</v>
      </c>
      <c r="F172" s="421">
        <f t="shared" si="16"/>
        <v>0</v>
      </c>
      <c r="G172" s="236">
        <f t="shared" si="21"/>
        <v>0</v>
      </c>
      <c r="H172" s="386">
        <v>2</v>
      </c>
      <c r="I172" s="448">
        <v>2</v>
      </c>
      <c r="J172" s="427">
        <f t="shared" si="17"/>
        <v>0</v>
      </c>
      <c r="K172" s="423">
        <f t="shared" si="22"/>
        <v>0</v>
      </c>
      <c r="L172" s="386">
        <v>90</v>
      </c>
      <c r="M172" s="448">
        <v>90</v>
      </c>
      <c r="N172" s="428">
        <f t="shared" si="18"/>
        <v>0</v>
      </c>
      <c r="O172" s="424">
        <f t="shared" si="23"/>
        <v>0</v>
      </c>
      <c r="P172" s="272">
        <f t="shared" si="19"/>
        <v>2.1639869295189458</v>
      </c>
      <c r="Q172" s="307">
        <v>2.2000000000000002</v>
      </c>
      <c r="R172" s="212">
        <f t="shared" si="20"/>
        <v>-3.6013070481054399E-2</v>
      </c>
    </row>
    <row r="173" spans="1:18" x14ac:dyDescent="0.25">
      <c r="A173" s="213" t="s">
        <v>1398</v>
      </c>
      <c r="B173" s="214" t="s">
        <v>114</v>
      </c>
      <c r="C173" s="458">
        <v>24550</v>
      </c>
      <c r="D173" s="268">
        <v>1</v>
      </c>
      <c r="E173" s="444">
        <v>1</v>
      </c>
      <c r="F173" s="421">
        <f t="shared" si="16"/>
        <v>0</v>
      </c>
      <c r="G173" s="236">
        <f t="shared" si="21"/>
        <v>0</v>
      </c>
      <c r="H173" s="268">
        <v>2</v>
      </c>
      <c r="I173" s="447">
        <v>2</v>
      </c>
      <c r="J173" s="422">
        <f t="shared" si="17"/>
        <v>0</v>
      </c>
      <c r="K173" s="423">
        <f t="shared" si="22"/>
        <v>0</v>
      </c>
      <c r="L173" s="268">
        <v>98</v>
      </c>
      <c r="M173" s="447">
        <v>98</v>
      </c>
      <c r="N173" s="349">
        <f t="shared" si="18"/>
        <v>0</v>
      </c>
      <c r="O173" s="424">
        <f t="shared" si="23"/>
        <v>0</v>
      </c>
      <c r="P173" s="272">
        <f t="shared" si="19"/>
        <v>8.146639511201629</v>
      </c>
      <c r="Q173" s="307">
        <v>8</v>
      </c>
      <c r="R173" s="212">
        <f t="shared" si="20"/>
        <v>0.14663951120162899</v>
      </c>
    </row>
    <row r="174" spans="1:18" x14ac:dyDescent="0.25">
      <c r="A174" s="213" t="s">
        <v>1398</v>
      </c>
      <c r="B174" s="214" t="s">
        <v>115</v>
      </c>
      <c r="C174" s="458">
        <v>23489</v>
      </c>
      <c r="D174" s="268">
        <v>1</v>
      </c>
      <c r="E174" s="444">
        <v>1</v>
      </c>
      <c r="F174" s="421">
        <f t="shared" si="16"/>
        <v>0</v>
      </c>
      <c r="G174" s="236">
        <f t="shared" si="21"/>
        <v>0</v>
      </c>
      <c r="H174" s="268">
        <v>2</v>
      </c>
      <c r="I174" s="447">
        <v>2</v>
      </c>
      <c r="J174" s="422">
        <f t="shared" si="17"/>
        <v>0</v>
      </c>
      <c r="K174" s="423">
        <f t="shared" si="22"/>
        <v>0</v>
      </c>
      <c r="L174" s="268">
        <v>98</v>
      </c>
      <c r="M174" s="447">
        <v>98</v>
      </c>
      <c r="N174" s="349">
        <f t="shared" si="18"/>
        <v>0</v>
      </c>
      <c r="O174" s="424">
        <f t="shared" si="23"/>
        <v>0</v>
      </c>
      <c r="P174" s="272">
        <f t="shared" si="19"/>
        <v>8.5146238664906981</v>
      </c>
      <c r="Q174" s="307">
        <v>8.4</v>
      </c>
      <c r="R174" s="212">
        <f t="shared" si="20"/>
        <v>0.11462386649069778</v>
      </c>
    </row>
    <row r="175" spans="1:18" x14ac:dyDescent="0.25">
      <c r="A175" s="213" t="s">
        <v>1398</v>
      </c>
      <c r="B175" s="214" t="s">
        <v>116</v>
      </c>
      <c r="C175" s="458">
        <v>21336</v>
      </c>
      <c r="D175" s="268">
        <v>0</v>
      </c>
      <c r="E175" s="444">
        <v>1</v>
      </c>
      <c r="F175" s="421">
        <f t="shared" si="16"/>
        <v>-1</v>
      </c>
      <c r="G175" s="236">
        <f t="shared" si="21"/>
        <v>-1</v>
      </c>
      <c r="H175" s="386">
        <v>0</v>
      </c>
      <c r="I175" s="448">
        <v>2</v>
      </c>
      <c r="J175" s="427">
        <f t="shared" si="17"/>
        <v>-2</v>
      </c>
      <c r="K175" s="423">
        <f t="shared" si="22"/>
        <v>-1</v>
      </c>
      <c r="L175" s="386">
        <v>0</v>
      </c>
      <c r="M175" s="448">
        <v>90</v>
      </c>
      <c r="N175" s="428">
        <f t="shared" si="18"/>
        <v>-90</v>
      </c>
      <c r="O175" s="424">
        <f t="shared" si="23"/>
        <v>-1</v>
      </c>
      <c r="P175" s="272">
        <f t="shared" si="19"/>
        <v>0</v>
      </c>
      <c r="Q175" s="307">
        <v>9.1999999999999993</v>
      </c>
      <c r="R175" s="212">
        <f t="shared" si="20"/>
        <v>-9.1999999999999993</v>
      </c>
    </row>
    <row r="176" spans="1:18" x14ac:dyDescent="0.25">
      <c r="A176" s="213" t="s">
        <v>1398</v>
      </c>
      <c r="B176" s="214" t="s">
        <v>1442</v>
      </c>
      <c r="C176" s="458">
        <v>26508</v>
      </c>
      <c r="D176" s="268">
        <v>1</v>
      </c>
      <c r="E176" s="444">
        <v>0</v>
      </c>
      <c r="F176" s="421">
        <f t="shared" si="16"/>
        <v>1</v>
      </c>
      <c r="G176" s="430" t="s">
        <v>1481</v>
      </c>
      <c r="H176" s="386">
        <v>2</v>
      </c>
      <c r="I176" s="448">
        <v>0</v>
      </c>
      <c r="J176" s="427">
        <f t="shared" si="17"/>
        <v>2</v>
      </c>
      <c r="K176" s="432" t="s">
        <v>1480</v>
      </c>
      <c r="L176" s="386">
        <v>94</v>
      </c>
      <c r="M176" s="448">
        <v>0</v>
      </c>
      <c r="N176" s="428">
        <f t="shared" si="18"/>
        <v>94</v>
      </c>
      <c r="O176" s="433" t="s">
        <v>1481</v>
      </c>
      <c r="P176" s="272">
        <f t="shared" si="19"/>
        <v>7.5448921080428546</v>
      </c>
      <c r="Q176" s="307">
        <v>0</v>
      </c>
      <c r="R176" s="212">
        <f t="shared" si="20"/>
        <v>7.5448921080428546</v>
      </c>
    </row>
    <row r="177" spans="1:18" x14ac:dyDescent="0.25">
      <c r="A177" s="213" t="s">
        <v>1398</v>
      </c>
      <c r="B177" s="214" t="s">
        <v>117</v>
      </c>
      <c r="C177" s="458">
        <v>26727</v>
      </c>
      <c r="D177" s="268">
        <v>1</v>
      </c>
      <c r="E177" s="444">
        <v>1</v>
      </c>
      <c r="F177" s="421">
        <f t="shared" si="16"/>
        <v>0</v>
      </c>
      <c r="G177" s="236">
        <f t="shared" si="21"/>
        <v>0</v>
      </c>
      <c r="H177" s="268">
        <v>2</v>
      </c>
      <c r="I177" s="447">
        <v>2</v>
      </c>
      <c r="J177" s="422">
        <f t="shared" si="17"/>
        <v>0</v>
      </c>
      <c r="K177" s="423">
        <f t="shared" si="22"/>
        <v>0</v>
      </c>
      <c r="L177" s="268">
        <v>149</v>
      </c>
      <c r="M177" s="447">
        <v>149</v>
      </c>
      <c r="N177" s="349">
        <f t="shared" si="18"/>
        <v>0</v>
      </c>
      <c r="O177" s="424">
        <f t="shared" si="23"/>
        <v>0</v>
      </c>
      <c r="P177" s="272">
        <f t="shared" si="19"/>
        <v>7.4830695551315154</v>
      </c>
      <c r="Q177" s="307">
        <v>7.4</v>
      </c>
      <c r="R177" s="212">
        <f t="shared" si="20"/>
        <v>8.3069555131515038E-2</v>
      </c>
    </row>
    <row r="178" spans="1:18" x14ac:dyDescent="0.25">
      <c r="A178" s="213" t="s">
        <v>1398</v>
      </c>
      <c r="B178" s="214" t="s">
        <v>118</v>
      </c>
      <c r="C178" s="458">
        <v>52338</v>
      </c>
      <c r="D178" s="268">
        <v>1</v>
      </c>
      <c r="E178" s="444">
        <v>1</v>
      </c>
      <c r="F178" s="421">
        <f t="shared" si="16"/>
        <v>0</v>
      </c>
      <c r="G178" s="236">
        <f t="shared" si="21"/>
        <v>0</v>
      </c>
      <c r="H178" s="268">
        <v>2</v>
      </c>
      <c r="I178" s="447">
        <v>2</v>
      </c>
      <c r="J178" s="422">
        <f t="shared" si="17"/>
        <v>0</v>
      </c>
      <c r="K178" s="423">
        <f t="shared" si="22"/>
        <v>0</v>
      </c>
      <c r="L178" s="268">
        <v>93</v>
      </c>
      <c r="M178" s="447">
        <v>93</v>
      </c>
      <c r="N178" s="349">
        <f t="shared" si="18"/>
        <v>0</v>
      </c>
      <c r="O178" s="424">
        <f t="shared" si="23"/>
        <v>0</v>
      </c>
      <c r="P178" s="272">
        <f t="shared" si="19"/>
        <v>3.8213152967251327</v>
      </c>
      <c r="Q178" s="307">
        <v>3.7</v>
      </c>
      <c r="R178" s="212">
        <f t="shared" si="20"/>
        <v>0.12131529672513253</v>
      </c>
    </row>
    <row r="179" spans="1:18" x14ac:dyDescent="0.25">
      <c r="A179" s="213" t="s">
        <v>1398</v>
      </c>
      <c r="B179" s="214" t="s">
        <v>1443</v>
      </c>
      <c r="C179" s="458">
        <v>50094</v>
      </c>
      <c r="D179" s="268">
        <v>1</v>
      </c>
      <c r="E179" s="444">
        <v>1</v>
      </c>
      <c r="F179" s="421">
        <f t="shared" si="16"/>
        <v>0</v>
      </c>
      <c r="G179" s="236">
        <f t="shared" si="21"/>
        <v>0</v>
      </c>
      <c r="H179" s="386">
        <v>2</v>
      </c>
      <c r="I179" s="448">
        <v>2</v>
      </c>
      <c r="J179" s="427">
        <f t="shared" si="17"/>
        <v>0</v>
      </c>
      <c r="K179" s="423">
        <f t="shared" si="22"/>
        <v>0</v>
      </c>
      <c r="L179" s="386">
        <v>98</v>
      </c>
      <c r="M179" s="448">
        <v>99</v>
      </c>
      <c r="N179" s="428">
        <f t="shared" si="18"/>
        <v>-1</v>
      </c>
      <c r="O179" s="424">
        <f t="shared" si="23"/>
        <v>-1.0101010101010102E-2</v>
      </c>
      <c r="P179" s="272">
        <f t="shared" si="19"/>
        <v>3.9924941110711862</v>
      </c>
      <c r="Q179" s="307">
        <v>3.9</v>
      </c>
      <c r="R179" s="212">
        <f t="shared" si="20"/>
        <v>9.2494111071186325E-2</v>
      </c>
    </row>
    <row r="180" spans="1:18" x14ac:dyDescent="0.25">
      <c r="A180" s="210" t="s">
        <v>119</v>
      </c>
      <c r="B180" s="211" t="s">
        <v>3</v>
      </c>
      <c r="C180" s="457">
        <v>1817697</v>
      </c>
      <c r="D180" s="267">
        <f>SUM(D181:D202)</f>
        <v>23</v>
      </c>
      <c r="E180" s="445">
        <f>SUM(E181:E202)</f>
        <v>23</v>
      </c>
      <c r="F180" s="421">
        <f t="shared" si="16"/>
        <v>0</v>
      </c>
      <c r="G180" s="236">
        <f t="shared" si="21"/>
        <v>0</v>
      </c>
      <c r="H180" s="267">
        <f>SUM(H181:H202)</f>
        <v>101</v>
      </c>
      <c r="I180" s="448">
        <f>SUM(I181:I202)</f>
        <v>101</v>
      </c>
      <c r="J180" s="422">
        <f t="shared" si="17"/>
        <v>0</v>
      </c>
      <c r="K180" s="423">
        <f t="shared" si="22"/>
        <v>0</v>
      </c>
      <c r="L180" s="267">
        <f>SUM(L181:L202)</f>
        <v>12704</v>
      </c>
      <c r="M180" s="445">
        <f>SUM(M181:M202)</f>
        <v>12944</v>
      </c>
      <c r="N180" s="349">
        <f t="shared" si="18"/>
        <v>-240</v>
      </c>
      <c r="O180" s="424">
        <f t="shared" si="23"/>
        <v>-1.8541409147095178E-2</v>
      </c>
      <c r="P180" s="271">
        <f t="shared" si="19"/>
        <v>5.5564816358281934</v>
      </c>
      <c r="Q180" s="306">
        <v>5.5</v>
      </c>
      <c r="R180" s="212">
        <f t="shared" si="20"/>
        <v>5.6481635828193433E-2</v>
      </c>
    </row>
    <row r="181" spans="1:18" x14ac:dyDescent="0.25">
      <c r="A181" s="213" t="s">
        <v>1398</v>
      </c>
      <c r="B181" s="214" t="s">
        <v>120</v>
      </c>
      <c r="C181" s="458">
        <v>216939</v>
      </c>
      <c r="D181" s="268">
        <v>3</v>
      </c>
      <c r="E181" s="444">
        <v>4</v>
      </c>
      <c r="F181" s="421">
        <f t="shared" si="16"/>
        <v>-1</v>
      </c>
      <c r="G181" s="236">
        <f t="shared" si="21"/>
        <v>-0.25</v>
      </c>
      <c r="H181" s="268">
        <v>20</v>
      </c>
      <c r="I181" s="447">
        <v>22</v>
      </c>
      <c r="J181" s="422">
        <f t="shared" si="17"/>
        <v>-2</v>
      </c>
      <c r="K181" s="423">
        <f t="shared" si="22"/>
        <v>-9.0909090909090912E-2</v>
      </c>
      <c r="L181" s="268">
        <v>3274</v>
      </c>
      <c r="M181" s="447">
        <v>3602</v>
      </c>
      <c r="N181" s="349">
        <f t="shared" si="18"/>
        <v>-328</v>
      </c>
      <c r="O181" s="424">
        <f t="shared" si="23"/>
        <v>-9.1060521932259858E-2</v>
      </c>
      <c r="P181" s="272">
        <f t="shared" si="19"/>
        <v>9.2191814288809297</v>
      </c>
      <c r="Q181" s="307">
        <v>10.1</v>
      </c>
      <c r="R181" s="212">
        <f t="shared" si="20"/>
        <v>-0.88081857111906992</v>
      </c>
    </row>
    <row r="182" spans="1:18" x14ac:dyDescent="0.25">
      <c r="A182" s="213" t="s">
        <v>1398</v>
      </c>
      <c r="B182" s="214" t="s">
        <v>121</v>
      </c>
      <c r="C182" s="458">
        <v>274765</v>
      </c>
      <c r="D182" s="268">
        <v>2</v>
      </c>
      <c r="E182" s="444">
        <v>2</v>
      </c>
      <c r="F182" s="421">
        <f t="shared" si="16"/>
        <v>0</v>
      </c>
      <c r="G182" s="236">
        <f t="shared" si="21"/>
        <v>0</v>
      </c>
      <c r="H182" s="268">
        <v>16</v>
      </c>
      <c r="I182" s="447">
        <v>16</v>
      </c>
      <c r="J182" s="422">
        <f t="shared" si="17"/>
        <v>0</v>
      </c>
      <c r="K182" s="423">
        <f t="shared" si="22"/>
        <v>0</v>
      </c>
      <c r="L182" s="268">
        <v>2010</v>
      </c>
      <c r="M182" s="447">
        <v>2010</v>
      </c>
      <c r="N182" s="349">
        <f t="shared" si="18"/>
        <v>0</v>
      </c>
      <c r="O182" s="424">
        <f t="shared" si="23"/>
        <v>0</v>
      </c>
      <c r="P182" s="272">
        <f t="shared" si="19"/>
        <v>5.8231579713573414</v>
      </c>
      <c r="Q182" s="307">
        <v>5.8</v>
      </c>
      <c r="R182" s="212">
        <f t="shared" si="20"/>
        <v>2.3157971357341545E-2</v>
      </c>
    </row>
    <row r="183" spans="1:18" x14ac:dyDescent="0.25">
      <c r="A183" s="213" t="s">
        <v>1398</v>
      </c>
      <c r="B183" s="214" t="s">
        <v>122</v>
      </c>
      <c r="C183" s="458">
        <v>278737</v>
      </c>
      <c r="D183" s="268">
        <v>3</v>
      </c>
      <c r="E183" s="444">
        <v>3</v>
      </c>
      <c r="F183" s="421">
        <f t="shared" si="16"/>
        <v>0</v>
      </c>
      <c r="G183" s="236">
        <f t="shared" si="21"/>
        <v>0</v>
      </c>
      <c r="H183" s="268">
        <v>24</v>
      </c>
      <c r="I183" s="447">
        <v>24</v>
      </c>
      <c r="J183" s="422">
        <f t="shared" si="17"/>
        <v>0</v>
      </c>
      <c r="K183" s="423">
        <f t="shared" si="22"/>
        <v>0</v>
      </c>
      <c r="L183" s="268">
        <v>3557</v>
      </c>
      <c r="M183" s="447">
        <v>3557</v>
      </c>
      <c r="N183" s="349">
        <f t="shared" si="18"/>
        <v>0</v>
      </c>
      <c r="O183" s="424">
        <f t="shared" si="23"/>
        <v>0</v>
      </c>
      <c r="P183" s="272">
        <f t="shared" si="19"/>
        <v>8.6102670259061416</v>
      </c>
      <c r="Q183" s="307">
        <v>8.5</v>
      </c>
      <c r="R183" s="212">
        <f t="shared" si="20"/>
        <v>0.11026702590614157</v>
      </c>
    </row>
    <row r="184" spans="1:18" x14ac:dyDescent="0.25">
      <c r="A184" s="213" t="s">
        <v>1398</v>
      </c>
      <c r="B184" s="214" t="s">
        <v>123</v>
      </c>
      <c r="C184" s="458">
        <v>116456</v>
      </c>
      <c r="D184" s="268">
        <v>1</v>
      </c>
      <c r="E184" s="444">
        <v>1</v>
      </c>
      <c r="F184" s="421">
        <f t="shared" si="16"/>
        <v>0</v>
      </c>
      <c r="G184" s="236">
        <f t="shared" si="21"/>
        <v>0</v>
      </c>
      <c r="H184" s="268">
        <v>6</v>
      </c>
      <c r="I184" s="447">
        <v>6</v>
      </c>
      <c r="J184" s="422">
        <f t="shared" si="17"/>
        <v>0</v>
      </c>
      <c r="K184" s="423">
        <f t="shared" si="22"/>
        <v>0</v>
      </c>
      <c r="L184" s="268">
        <v>665</v>
      </c>
      <c r="M184" s="447">
        <v>665</v>
      </c>
      <c r="N184" s="349">
        <f t="shared" si="18"/>
        <v>0</v>
      </c>
      <c r="O184" s="424">
        <f t="shared" si="23"/>
        <v>0</v>
      </c>
      <c r="P184" s="272">
        <f t="shared" si="19"/>
        <v>5.1521604726248542</v>
      </c>
      <c r="Q184" s="307">
        <v>5.0999999999999996</v>
      </c>
      <c r="R184" s="212">
        <f t="shared" si="20"/>
        <v>5.216047262485457E-2</v>
      </c>
    </row>
    <row r="185" spans="1:18" x14ac:dyDescent="0.25">
      <c r="A185" s="213" t="s">
        <v>1398</v>
      </c>
      <c r="B185" s="214" t="s">
        <v>124</v>
      </c>
      <c r="C185" s="458">
        <v>152168</v>
      </c>
      <c r="D185" s="268">
        <v>2</v>
      </c>
      <c r="E185" s="444">
        <v>2</v>
      </c>
      <c r="F185" s="421">
        <f t="shared" si="16"/>
        <v>0</v>
      </c>
      <c r="G185" s="236">
        <f t="shared" si="21"/>
        <v>0</v>
      </c>
      <c r="H185" s="268">
        <v>11</v>
      </c>
      <c r="I185" s="447">
        <v>11</v>
      </c>
      <c r="J185" s="422">
        <f t="shared" si="17"/>
        <v>0</v>
      </c>
      <c r="K185" s="423">
        <f t="shared" si="22"/>
        <v>0</v>
      </c>
      <c r="L185" s="268">
        <v>1874</v>
      </c>
      <c r="M185" s="447">
        <v>1874</v>
      </c>
      <c r="N185" s="349">
        <f t="shared" si="18"/>
        <v>0</v>
      </c>
      <c r="O185" s="424">
        <f t="shared" si="23"/>
        <v>0</v>
      </c>
      <c r="P185" s="272">
        <f t="shared" si="19"/>
        <v>7.2288523211187625</v>
      </c>
      <c r="Q185" s="307">
        <v>7.3</v>
      </c>
      <c r="R185" s="212">
        <f t="shared" si="20"/>
        <v>-7.1147678881237297E-2</v>
      </c>
    </row>
    <row r="186" spans="1:18" x14ac:dyDescent="0.25">
      <c r="A186" s="213" t="s">
        <v>1398</v>
      </c>
      <c r="B186" s="214" t="s">
        <v>1444</v>
      </c>
      <c r="C186" s="458">
        <v>45792</v>
      </c>
      <c r="D186" s="268">
        <v>1</v>
      </c>
      <c r="E186" s="444">
        <v>1</v>
      </c>
      <c r="F186" s="421">
        <f t="shared" si="16"/>
        <v>0</v>
      </c>
      <c r="G186" s="236">
        <f t="shared" si="21"/>
        <v>0</v>
      </c>
      <c r="H186" s="386">
        <v>2</v>
      </c>
      <c r="I186" s="448">
        <v>2</v>
      </c>
      <c r="J186" s="427">
        <f t="shared" si="17"/>
        <v>0</v>
      </c>
      <c r="K186" s="423">
        <f t="shared" si="22"/>
        <v>0</v>
      </c>
      <c r="L186" s="386">
        <v>99</v>
      </c>
      <c r="M186" s="448">
        <v>99</v>
      </c>
      <c r="N186" s="428">
        <f t="shared" si="18"/>
        <v>0</v>
      </c>
      <c r="O186" s="424">
        <f t="shared" si="23"/>
        <v>0</v>
      </c>
      <c r="P186" s="272">
        <f t="shared" si="19"/>
        <v>4.3675751222921031</v>
      </c>
      <c r="Q186" s="307">
        <v>4.3</v>
      </c>
      <c r="R186" s="212">
        <f t="shared" si="20"/>
        <v>6.7575122292103273E-2</v>
      </c>
    </row>
    <row r="187" spans="1:18" x14ac:dyDescent="0.25">
      <c r="A187" s="213" t="s">
        <v>1398</v>
      </c>
      <c r="B187" s="214" t="s">
        <v>1445</v>
      </c>
      <c r="C187" s="458">
        <v>27060</v>
      </c>
      <c r="D187" s="268">
        <v>1</v>
      </c>
      <c r="E187" s="444">
        <v>1</v>
      </c>
      <c r="F187" s="421">
        <f t="shared" si="16"/>
        <v>0</v>
      </c>
      <c r="G187" s="236">
        <f t="shared" si="21"/>
        <v>0</v>
      </c>
      <c r="H187" s="386">
        <v>2</v>
      </c>
      <c r="I187" s="448">
        <v>2</v>
      </c>
      <c r="J187" s="427">
        <f t="shared" si="17"/>
        <v>0</v>
      </c>
      <c r="K187" s="423">
        <f t="shared" si="22"/>
        <v>0</v>
      </c>
      <c r="L187" s="386">
        <v>95</v>
      </c>
      <c r="M187" s="448">
        <v>95</v>
      </c>
      <c r="N187" s="428">
        <f t="shared" si="18"/>
        <v>0</v>
      </c>
      <c r="O187" s="424">
        <f t="shared" si="23"/>
        <v>0</v>
      </c>
      <c r="P187" s="272">
        <f t="shared" si="19"/>
        <v>7.390983000739098</v>
      </c>
      <c r="Q187" s="307">
        <v>7.3</v>
      </c>
      <c r="R187" s="212">
        <f t="shared" si="20"/>
        <v>9.0983000739098152E-2</v>
      </c>
    </row>
    <row r="188" spans="1:18" x14ac:dyDescent="0.25">
      <c r="A188" s="213" t="s">
        <v>1398</v>
      </c>
      <c r="B188" s="214" t="s">
        <v>125</v>
      </c>
      <c r="C188" s="458">
        <v>24655</v>
      </c>
      <c r="D188" s="268">
        <v>1</v>
      </c>
      <c r="E188" s="444">
        <v>1</v>
      </c>
      <c r="F188" s="421">
        <f t="shared" si="16"/>
        <v>0</v>
      </c>
      <c r="G188" s="236">
        <f t="shared" si="21"/>
        <v>0</v>
      </c>
      <c r="H188" s="268">
        <v>2</v>
      </c>
      <c r="I188" s="447">
        <v>2</v>
      </c>
      <c r="J188" s="422">
        <f t="shared" si="17"/>
        <v>0</v>
      </c>
      <c r="K188" s="423">
        <f t="shared" si="22"/>
        <v>0</v>
      </c>
      <c r="L188" s="268">
        <v>140</v>
      </c>
      <c r="M188" s="447">
        <v>140</v>
      </c>
      <c r="N188" s="349">
        <f t="shared" si="18"/>
        <v>0</v>
      </c>
      <c r="O188" s="424">
        <f t="shared" si="23"/>
        <v>0</v>
      </c>
      <c r="P188" s="272">
        <f t="shared" si="19"/>
        <v>8.1119448387750968</v>
      </c>
      <c r="Q188" s="307">
        <v>7.9</v>
      </c>
      <c r="R188" s="212">
        <f t="shared" si="20"/>
        <v>0.2119448387750964</v>
      </c>
    </row>
    <row r="189" spans="1:18" x14ac:dyDescent="0.25">
      <c r="A189" s="213" t="s">
        <v>1398</v>
      </c>
      <c r="B189" s="214" t="s">
        <v>1446</v>
      </c>
      <c r="C189" s="458">
        <v>61880</v>
      </c>
      <c r="D189" s="268">
        <v>1</v>
      </c>
      <c r="E189" s="444">
        <v>1</v>
      </c>
      <c r="F189" s="421">
        <f t="shared" si="16"/>
        <v>0</v>
      </c>
      <c r="G189" s="236">
        <f t="shared" si="21"/>
        <v>0</v>
      </c>
      <c r="H189" s="386">
        <v>2</v>
      </c>
      <c r="I189" s="448">
        <v>2</v>
      </c>
      <c r="J189" s="427">
        <f t="shared" si="17"/>
        <v>0</v>
      </c>
      <c r="K189" s="423">
        <f t="shared" si="22"/>
        <v>0</v>
      </c>
      <c r="L189" s="386">
        <v>141</v>
      </c>
      <c r="M189" s="448">
        <v>142</v>
      </c>
      <c r="N189" s="428">
        <f t="shared" si="18"/>
        <v>-1</v>
      </c>
      <c r="O189" s="424">
        <f t="shared" si="23"/>
        <v>-7.0422535211267607E-3</v>
      </c>
      <c r="P189" s="272">
        <f t="shared" si="19"/>
        <v>3.2320620555914674</v>
      </c>
      <c r="Q189" s="307">
        <v>3.2</v>
      </c>
      <c r="R189" s="212">
        <f t="shared" si="20"/>
        <v>3.2062055591467242E-2</v>
      </c>
    </row>
    <row r="190" spans="1:18" x14ac:dyDescent="0.25">
      <c r="A190" s="213" t="s">
        <v>1398</v>
      </c>
      <c r="B190" s="214" t="s">
        <v>1447</v>
      </c>
      <c r="C190" s="458">
        <v>38471</v>
      </c>
      <c r="D190" s="268">
        <v>1</v>
      </c>
      <c r="E190" s="444">
        <v>1</v>
      </c>
      <c r="F190" s="421">
        <f t="shared" si="16"/>
        <v>0</v>
      </c>
      <c r="G190" s="236">
        <f t="shared" si="21"/>
        <v>0</v>
      </c>
      <c r="H190" s="268">
        <v>2</v>
      </c>
      <c r="I190" s="447">
        <v>2</v>
      </c>
      <c r="J190" s="422">
        <f t="shared" si="17"/>
        <v>0</v>
      </c>
      <c r="K190" s="423">
        <f t="shared" si="22"/>
        <v>0</v>
      </c>
      <c r="L190" s="268">
        <v>92</v>
      </c>
      <c r="M190" s="447">
        <v>96</v>
      </c>
      <c r="N190" s="349">
        <f t="shared" si="18"/>
        <v>-4</v>
      </c>
      <c r="O190" s="424">
        <f t="shared" si="23"/>
        <v>-4.1666666666666664E-2</v>
      </c>
      <c r="P190" s="272">
        <f t="shared" si="19"/>
        <v>5.1987211146058074</v>
      </c>
      <c r="Q190" s="307">
        <v>5.0999999999999996</v>
      </c>
      <c r="R190" s="212">
        <f t="shared" si="20"/>
        <v>9.8721114605807792E-2</v>
      </c>
    </row>
    <row r="191" spans="1:18" x14ac:dyDescent="0.25">
      <c r="A191" s="213" t="s">
        <v>1398</v>
      </c>
      <c r="B191" s="214" t="s">
        <v>1448</v>
      </c>
      <c r="C191" s="458">
        <v>62024</v>
      </c>
      <c r="D191" s="268">
        <v>1</v>
      </c>
      <c r="E191" s="444">
        <v>1</v>
      </c>
      <c r="F191" s="421">
        <f t="shared" si="16"/>
        <v>0</v>
      </c>
      <c r="G191" s="236">
        <f t="shared" si="21"/>
        <v>0</v>
      </c>
      <c r="H191" s="386">
        <v>2</v>
      </c>
      <c r="I191" s="448">
        <v>2</v>
      </c>
      <c r="J191" s="427">
        <f t="shared" si="17"/>
        <v>0</v>
      </c>
      <c r="K191" s="423">
        <f t="shared" si="22"/>
        <v>0</v>
      </c>
      <c r="L191" s="386">
        <v>124</v>
      </c>
      <c r="M191" s="448">
        <v>124</v>
      </c>
      <c r="N191" s="428">
        <f t="shared" si="18"/>
        <v>0</v>
      </c>
      <c r="O191" s="424">
        <f t="shared" si="23"/>
        <v>0</v>
      </c>
      <c r="P191" s="272">
        <f t="shared" si="19"/>
        <v>3.2245582355217333</v>
      </c>
      <c r="Q191" s="307">
        <v>3.2</v>
      </c>
      <c r="R191" s="212">
        <f t="shared" si="20"/>
        <v>2.4558235521733085E-2</v>
      </c>
    </row>
    <row r="192" spans="1:18" x14ac:dyDescent="0.25">
      <c r="A192" s="213" t="s">
        <v>1398</v>
      </c>
      <c r="B192" s="214" t="s">
        <v>1449</v>
      </c>
      <c r="C192" s="458">
        <v>35650</v>
      </c>
      <c r="D192" s="268">
        <v>1</v>
      </c>
      <c r="E192" s="444">
        <v>1</v>
      </c>
      <c r="F192" s="421">
        <f t="shared" si="16"/>
        <v>0</v>
      </c>
      <c r="G192" s="236">
        <f t="shared" si="21"/>
        <v>0</v>
      </c>
      <c r="H192" s="386">
        <v>2</v>
      </c>
      <c r="I192" s="448">
        <v>2</v>
      </c>
      <c r="J192" s="427">
        <f t="shared" si="17"/>
        <v>0</v>
      </c>
      <c r="K192" s="423">
        <f t="shared" si="22"/>
        <v>0</v>
      </c>
      <c r="L192" s="386">
        <v>99</v>
      </c>
      <c r="M192" s="448">
        <v>99</v>
      </c>
      <c r="N192" s="428">
        <f t="shared" si="18"/>
        <v>0</v>
      </c>
      <c r="O192" s="424">
        <f t="shared" si="23"/>
        <v>0</v>
      </c>
      <c r="P192" s="272">
        <f t="shared" si="19"/>
        <v>5.6100981767180924</v>
      </c>
      <c r="Q192" s="307">
        <v>5.5</v>
      </c>
      <c r="R192" s="212">
        <f t="shared" si="20"/>
        <v>0.11009817671809241</v>
      </c>
    </row>
    <row r="193" spans="1:18" x14ac:dyDescent="0.25">
      <c r="A193" s="213" t="s">
        <v>1398</v>
      </c>
      <c r="B193" s="214" t="s">
        <v>1450</v>
      </c>
      <c r="C193" s="458">
        <v>33177</v>
      </c>
      <c r="D193" s="268">
        <v>0</v>
      </c>
      <c r="E193" s="444">
        <v>0</v>
      </c>
      <c r="F193" s="421">
        <f t="shared" si="16"/>
        <v>0</v>
      </c>
      <c r="G193" s="425" t="s">
        <v>1406</v>
      </c>
      <c r="H193" s="268">
        <v>0</v>
      </c>
      <c r="I193" s="447">
        <v>0</v>
      </c>
      <c r="J193" s="422">
        <f t="shared" si="17"/>
        <v>0</v>
      </c>
      <c r="K193" s="426" t="s">
        <v>1406</v>
      </c>
      <c r="L193" s="268">
        <v>0</v>
      </c>
      <c r="M193" s="447">
        <v>0</v>
      </c>
      <c r="N193" s="349">
        <f t="shared" si="18"/>
        <v>0</v>
      </c>
      <c r="O193" s="424" t="s">
        <v>1406</v>
      </c>
      <c r="P193" s="272">
        <f t="shared" si="19"/>
        <v>0</v>
      </c>
      <c r="Q193" s="307">
        <v>0</v>
      </c>
      <c r="R193" s="212">
        <f t="shared" si="20"/>
        <v>0</v>
      </c>
    </row>
    <row r="194" spans="1:18" x14ac:dyDescent="0.25">
      <c r="A194" s="213" t="s">
        <v>1398</v>
      </c>
      <c r="B194" s="214" t="s">
        <v>1451</v>
      </c>
      <c r="C194" s="458">
        <v>65831</v>
      </c>
      <c r="D194" s="268">
        <v>1</v>
      </c>
      <c r="E194" s="444">
        <v>1</v>
      </c>
      <c r="F194" s="421">
        <f t="shared" si="16"/>
        <v>0</v>
      </c>
      <c r="G194" s="236">
        <f t="shared" si="21"/>
        <v>0</v>
      </c>
      <c r="H194" s="268">
        <v>2</v>
      </c>
      <c r="I194" s="447">
        <v>2</v>
      </c>
      <c r="J194" s="422">
        <f t="shared" si="17"/>
        <v>0</v>
      </c>
      <c r="K194" s="423">
        <f t="shared" si="22"/>
        <v>0</v>
      </c>
      <c r="L194" s="268">
        <v>136</v>
      </c>
      <c r="M194" s="447">
        <v>136</v>
      </c>
      <c r="N194" s="349">
        <f t="shared" si="18"/>
        <v>0</v>
      </c>
      <c r="O194" s="424">
        <f t="shared" si="23"/>
        <v>0</v>
      </c>
      <c r="P194" s="272">
        <f t="shared" si="19"/>
        <v>3.0380823624128448</v>
      </c>
      <c r="Q194" s="307">
        <v>3</v>
      </c>
      <c r="R194" s="212">
        <f t="shared" si="20"/>
        <v>3.8082362412844795E-2</v>
      </c>
    </row>
    <row r="195" spans="1:18" x14ac:dyDescent="0.25">
      <c r="A195" s="213" t="s">
        <v>1398</v>
      </c>
      <c r="B195" s="214" t="s">
        <v>1452</v>
      </c>
      <c r="C195" s="458">
        <v>52395</v>
      </c>
      <c r="D195" s="268">
        <v>1</v>
      </c>
      <c r="E195" s="444">
        <v>0</v>
      </c>
      <c r="F195" s="421">
        <f t="shared" si="16"/>
        <v>1</v>
      </c>
      <c r="G195" s="425" t="s">
        <v>1406</v>
      </c>
      <c r="H195" s="268">
        <v>2</v>
      </c>
      <c r="I195" s="447">
        <v>0</v>
      </c>
      <c r="J195" s="422">
        <f t="shared" si="17"/>
        <v>2</v>
      </c>
      <c r="K195" s="426" t="s">
        <v>1406</v>
      </c>
      <c r="L195" s="268">
        <v>93</v>
      </c>
      <c r="M195" s="447">
        <v>0</v>
      </c>
      <c r="N195" s="349">
        <f t="shared" si="18"/>
        <v>93</v>
      </c>
      <c r="O195" s="424" t="s">
        <v>1406</v>
      </c>
      <c r="P195" s="272">
        <f t="shared" si="19"/>
        <v>3.8171581257753604</v>
      </c>
      <c r="Q195" s="307">
        <v>0</v>
      </c>
      <c r="R195" s="212">
        <f t="shared" si="20"/>
        <v>3.8171581257753604</v>
      </c>
    </row>
    <row r="196" spans="1:18" x14ac:dyDescent="0.25">
      <c r="A196" s="213" t="s">
        <v>1398</v>
      </c>
      <c r="B196" s="214" t="s">
        <v>1453</v>
      </c>
      <c r="C196" s="458">
        <v>90608</v>
      </c>
      <c r="D196" s="268">
        <v>0</v>
      </c>
      <c r="E196" s="444">
        <v>0</v>
      </c>
      <c r="F196" s="421">
        <f t="shared" ref="F196:F248" si="24">D196-E196</f>
        <v>0</v>
      </c>
      <c r="G196" s="425" t="s">
        <v>1406</v>
      </c>
      <c r="H196" s="268">
        <v>0</v>
      </c>
      <c r="I196" s="447">
        <v>0</v>
      </c>
      <c r="J196" s="422">
        <f t="shared" ref="J196:J248" si="25">H196-I196</f>
        <v>0</v>
      </c>
      <c r="K196" s="426" t="s">
        <v>1406</v>
      </c>
      <c r="L196" s="268">
        <v>0</v>
      </c>
      <c r="M196" s="447">
        <v>0</v>
      </c>
      <c r="N196" s="349">
        <f t="shared" ref="N196:N248" si="26">L196-M196</f>
        <v>0</v>
      </c>
      <c r="O196" s="424" t="s">
        <v>1406</v>
      </c>
      <c r="P196" s="272">
        <f t="shared" ref="P196:P248" si="27">(H196/C196)*100000</f>
        <v>0</v>
      </c>
      <c r="Q196" s="307">
        <v>0</v>
      </c>
      <c r="R196" s="212">
        <f t="shared" ref="R196:R248" si="28">P196-Q196</f>
        <v>0</v>
      </c>
    </row>
    <row r="197" spans="1:18" x14ac:dyDescent="0.25">
      <c r="A197" s="213" t="s">
        <v>1398</v>
      </c>
      <c r="B197" s="214" t="s">
        <v>1454</v>
      </c>
      <c r="C197" s="458">
        <v>30784</v>
      </c>
      <c r="D197" s="268">
        <v>0</v>
      </c>
      <c r="E197" s="444">
        <v>0</v>
      </c>
      <c r="F197" s="421">
        <f t="shared" si="24"/>
        <v>0</v>
      </c>
      <c r="G197" s="425" t="s">
        <v>1406</v>
      </c>
      <c r="H197" s="268">
        <v>0</v>
      </c>
      <c r="I197" s="447">
        <v>0</v>
      </c>
      <c r="J197" s="422">
        <f t="shared" si="25"/>
        <v>0</v>
      </c>
      <c r="K197" s="426" t="s">
        <v>1406</v>
      </c>
      <c r="L197" s="268">
        <v>0</v>
      </c>
      <c r="M197" s="447">
        <v>0</v>
      </c>
      <c r="N197" s="349">
        <f t="shared" si="26"/>
        <v>0</v>
      </c>
      <c r="O197" s="424" t="s">
        <v>1406</v>
      </c>
      <c r="P197" s="272">
        <f t="shared" si="27"/>
        <v>0</v>
      </c>
      <c r="Q197" s="307">
        <v>0</v>
      </c>
      <c r="R197" s="212">
        <f t="shared" si="28"/>
        <v>0</v>
      </c>
    </row>
    <row r="198" spans="1:18" x14ac:dyDescent="0.25">
      <c r="A198" s="213" t="s">
        <v>1398</v>
      </c>
      <c r="B198" s="214" t="s">
        <v>1455</v>
      </c>
      <c r="C198" s="458">
        <v>52197</v>
      </c>
      <c r="D198" s="268">
        <v>1</v>
      </c>
      <c r="E198" s="444">
        <v>1</v>
      </c>
      <c r="F198" s="421">
        <f t="shared" si="24"/>
        <v>0</v>
      </c>
      <c r="G198" s="236">
        <f t="shared" ref="G198" si="29">F198/E198</f>
        <v>0</v>
      </c>
      <c r="H198" s="268">
        <v>2</v>
      </c>
      <c r="I198" s="447">
        <v>2</v>
      </c>
      <c r="J198" s="422">
        <f t="shared" si="25"/>
        <v>0</v>
      </c>
      <c r="K198" s="423">
        <f t="shared" ref="K198" si="30">J198/I198</f>
        <v>0</v>
      </c>
      <c r="L198" s="268">
        <v>109</v>
      </c>
      <c r="M198" s="447">
        <v>109</v>
      </c>
      <c r="N198" s="349">
        <f t="shared" si="26"/>
        <v>0</v>
      </c>
      <c r="O198" s="424">
        <f t="shared" ref="O198" si="31">N198/M198</f>
        <v>0</v>
      </c>
      <c r="P198" s="272">
        <f t="shared" si="27"/>
        <v>3.831637833591969</v>
      </c>
      <c r="Q198" s="307">
        <v>3.8</v>
      </c>
      <c r="R198" s="212">
        <f t="shared" si="28"/>
        <v>3.1637833591969144E-2</v>
      </c>
    </row>
    <row r="199" spans="1:18" x14ac:dyDescent="0.25">
      <c r="A199" s="213" t="s">
        <v>1398</v>
      </c>
      <c r="B199" s="214" t="s">
        <v>1456</v>
      </c>
      <c r="C199" s="458">
        <v>43146</v>
      </c>
      <c r="D199" s="268">
        <v>0</v>
      </c>
      <c r="E199" s="444">
        <v>0</v>
      </c>
      <c r="F199" s="421">
        <f t="shared" si="24"/>
        <v>0</v>
      </c>
      <c r="G199" s="425" t="s">
        <v>1406</v>
      </c>
      <c r="H199" s="268">
        <v>0</v>
      </c>
      <c r="I199" s="447">
        <v>0</v>
      </c>
      <c r="J199" s="422">
        <f t="shared" si="25"/>
        <v>0</v>
      </c>
      <c r="K199" s="426" t="s">
        <v>1406</v>
      </c>
      <c r="L199" s="268">
        <v>0</v>
      </c>
      <c r="M199" s="447">
        <v>0</v>
      </c>
      <c r="N199" s="349">
        <f t="shared" si="26"/>
        <v>0</v>
      </c>
      <c r="O199" s="424" t="s">
        <v>1402</v>
      </c>
      <c r="P199" s="272">
        <f t="shared" si="27"/>
        <v>0</v>
      </c>
      <c r="Q199" s="307">
        <v>0</v>
      </c>
      <c r="R199" s="212">
        <f t="shared" si="28"/>
        <v>0</v>
      </c>
    </row>
    <row r="200" spans="1:18" x14ac:dyDescent="0.25">
      <c r="A200" s="213" t="s">
        <v>1398</v>
      </c>
      <c r="B200" s="214" t="s">
        <v>1457</v>
      </c>
      <c r="C200" s="458">
        <v>47597</v>
      </c>
      <c r="D200" s="268">
        <v>1</v>
      </c>
      <c r="E200" s="444">
        <v>1</v>
      </c>
      <c r="F200" s="421">
        <f t="shared" si="24"/>
        <v>0</v>
      </c>
      <c r="G200" s="236">
        <f t="shared" ref="G200" si="32">F200/E200</f>
        <v>0</v>
      </c>
      <c r="H200" s="386">
        <v>2</v>
      </c>
      <c r="I200" s="448">
        <v>2</v>
      </c>
      <c r="J200" s="427">
        <f t="shared" si="25"/>
        <v>0</v>
      </c>
      <c r="K200" s="423">
        <f t="shared" ref="K200" si="33">J200/I200</f>
        <v>0</v>
      </c>
      <c r="L200" s="386">
        <v>98</v>
      </c>
      <c r="M200" s="448">
        <v>98</v>
      </c>
      <c r="N200" s="428">
        <f t="shared" si="26"/>
        <v>0</v>
      </c>
      <c r="O200" s="424">
        <f t="shared" ref="O200" si="34">N200/M200</f>
        <v>0</v>
      </c>
      <c r="P200" s="272">
        <f t="shared" si="27"/>
        <v>4.2019455007668549</v>
      </c>
      <c r="Q200" s="307">
        <v>4.0999999999999996</v>
      </c>
      <c r="R200" s="212">
        <f t="shared" si="28"/>
        <v>0.10194550076685527</v>
      </c>
    </row>
    <row r="201" spans="1:18" x14ac:dyDescent="0.25">
      <c r="A201" s="213" t="s">
        <v>1398</v>
      </c>
      <c r="B201" s="214" t="s">
        <v>126</v>
      </c>
      <c r="C201" s="458">
        <v>29507</v>
      </c>
      <c r="D201" s="268">
        <v>1</v>
      </c>
      <c r="E201" s="444">
        <v>1</v>
      </c>
      <c r="F201" s="421">
        <f t="shared" si="24"/>
        <v>0</v>
      </c>
      <c r="G201" s="236">
        <f t="shared" ref="G201:G248" si="35">F201/E201</f>
        <v>0</v>
      </c>
      <c r="H201" s="268">
        <v>2</v>
      </c>
      <c r="I201" s="447">
        <v>2</v>
      </c>
      <c r="J201" s="422">
        <f t="shared" si="25"/>
        <v>0</v>
      </c>
      <c r="K201" s="423">
        <f t="shared" ref="K201:K248" si="36">J201/I201</f>
        <v>0</v>
      </c>
      <c r="L201" s="268">
        <v>98</v>
      </c>
      <c r="M201" s="447">
        <v>98</v>
      </c>
      <c r="N201" s="349">
        <f t="shared" si="26"/>
        <v>0</v>
      </c>
      <c r="O201" s="424">
        <f t="shared" ref="O201:O248" si="37">N201/M201</f>
        <v>0</v>
      </c>
      <c r="P201" s="272">
        <f t="shared" si="27"/>
        <v>6.778052665469211</v>
      </c>
      <c r="Q201" s="307">
        <v>6.7</v>
      </c>
      <c r="R201" s="212">
        <f t="shared" si="28"/>
        <v>7.8052665469210858E-2</v>
      </c>
    </row>
    <row r="202" spans="1:18" x14ac:dyDescent="0.25">
      <c r="A202" s="213" t="s">
        <v>1398</v>
      </c>
      <c r="B202" s="214" t="s">
        <v>1458</v>
      </c>
      <c r="C202" s="458">
        <v>37858</v>
      </c>
      <c r="D202" s="268">
        <v>0</v>
      </c>
      <c r="E202" s="444">
        <v>0</v>
      </c>
      <c r="F202" s="421">
        <f t="shared" si="24"/>
        <v>0</v>
      </c>
      <c r="G202" s="425" t="s">
        <v>1406</v>
      </c>
      <c r="H202" s="268">
        <v>0</v>
      </c>
      <c r="I202" s="447">
        <v>0</v>
      </c>
      <c r="J202" s="422">
        <f t="shared" si="25"/>
        <v>0</v>
      </c>
      <c r="K202" s="426" t="s">
        <v>1406</v>
      </c>
      <c r="L202" s="268">
        <v>0</v>
      </c>
      <c r="M202" s="447">
        <v>0</v>
      </c>
      <c r="N202" s="349">
        <f t="shared" si="26"/>
        <v>0</v>
      </c>
      <c r="O202" s="424" t="s">
        <v>1406</v>
      </c>
      <c r="P202" s="272">
        <f t="shared" si="27"/>
        <v>0</v>
      </c>
      <c r="Q202" s="307">
        <v>0</v>
      </c>
      <c r="R202" s="212">
        <f t="shared" si="28"/>
        <v>0</v>
      </c>
    </row>
    <row r="203" spans="1:18" x14ac:dyDescent="0.25">
      <c r="A203" s="210" t="s">
        <v>127</v>
      </c>
      <c r="B203" s="211" t="s">
        <v>3</v>
      </c>
      <c r="C203" s="457">
        <v>2600492</v>
      </c>
      <c r="D203" s="267">
        <f>SUM(D204:D226)</f>
        <v>33</v>
      </c>
      <c r="E203" s="445">
        <f>SUM(E204:E226)</f>
        <v>32</v>
      </c>
      <c r="F203" s="421">
        <f t="shared" si="24"/>
        <v>1</v>
      </c>
      <c r="G203" s="236">
        <f t="shared" si="35"/>
        <v>3.125E-2</v>
      </c>
      <c r="H203" s="267">
        <f>SUM(H204:H226)</f>
        <v>152</v>
      </c>
      <c r="I203" s="448">
        <f>SUM(I204:I226)</f>
        <v>155</v>
      </c>
      <c r="J203" s="422">
        <f t="shared" si="25"/>
        <v>-3</v>
      </c>
      <c r="K203" s="423">
        <f t="shared" si="36"/>
        <v>-1.935483870967742E-2</v>
      </c>
      <c r="L203" s="267">
        <f>SUM(L204:L226)</f>
        <v>17422</v>
      </c>
      <c r="M203" s="445">
        <f>SUM(M204:M226)</f>
        <v>19437</v>
      </c>
      <c r="N203" s="349">
        <f t="shared" si="26"/>
        <v>-2015</v>
      </c>
      <c r="O203" s="424">
        <f t="shared" si="37"/>
        <v>-0.10366826156299841</v>
      </c>
      <c r="P203" s="271">
        <f t="shared" si="27"/>
        <v>5.8450477832656276</v>
      </c>
      <c r="Q203" s="306">
        <v>5.9</v>
      </c>
      <c r="R203" s="212">
        <f t="shared" si="28"/>
        <v>-5.4952216734372783E-2</v>
      </c>
    </row>
    <row r="204" spans="1:18" x14ac:dyDescent="0.25">
      <c r="A204" s="213" t="s">
        <v>1398</v>
      </c>
      <c r="B204" s="214" t="s">
        <v>128</v>
      </c>
      <c r="C204" s="455">
        <v>496650</v>
      </c>
      <c r="D204" s="268">
        <v>5</v>
      </c>
      <c r="E204" s="444">
        <v>5</v>
      </c>
      <c r="F204" s="421">
        <f t="shared" si="24"/>
        <v>0</v>
      </c>
      <c r="G204" s="236">
        <f t="shared" si="35"/>
        <v>0</v>
      </c>
      <c r="H204" s="268">
        <v>30</v>
      </c>
      <c r="I204" s="447">
        <v>30</v>
      </c>
      <c r="J204" s="422">
        <f t="shared" si="25"/>
        <v>0</v>
      </c>
      <c r="K204" s="423">
        <f t="shared" si="36"/>
        <v>0</v>
      </c>
      <c r="L204" s="268">
        <v>3512</v>
      </c>
      <c r="M204" s="447">
        <v>4821</v>
      </c>
      <c r="N204" s="349">
        <f t="shared" si="26"/>
        <v>-1309</v>
      </c>
      <c r="O204" s="424">
        <f t="shared" si="37"/>
        <v>-0.27152043144575816</v>
      </c>
      <c r="P204" s="272">
        <f t="shared" si="27"/>
        <v>6.0404711567502272</v>
      </c>
      <c r="Q204" s="307">
        <v>6</v>
      </c>
      <c r="R204" s="212">
        <f t="shared" si="28"/>
        <v>4.0471156750227166E-2</v>
      </c>
    </row>
    <row r="205" spans="1:18" x14ac:dyDescent="0.25">
      <c r="A205" s="213" t="s">
        <v>1398</v>
      </c>
      <c r="B205" s="214" t="s">
        <v>129</v>
      </c>
      <c r="C205" s="460">
        <v>249607</v>
      </c>
      <c r="D205" s="268">
        <v>4</v>
      </c>
      <c r="E205" s="444">
        <v>3</v>
      </c>
      <c r="F205" s="421">
        <f t="shared" si="24"/>
        <v>1</v>
      </c>
      <c r="G205" s="236">
        <f t="shared" si="35"/>
        <v>0.33333333333333331</v>
      </c>
      <c r="H205" s="268">
        <v>17</v>
      </c>
      <c r="I205" s="447">
        <v>14</v>
      </c>
      <c r="J205" s="422">
        <f t="shared" si="25"/>
        <v>3</v>
      </c>
      <c r="K205" s="423">
        <f t="shared" si="36"/>
        <v>0.21428571428571427</v>
      </c>
      <c r="L205" s="268">
        <v>2253</v>
      </c>
      <c r="M205" s="447">
        <v>1894</v>
      </c>
      <c r="N205" s="349">
        <f t="shared" si="26"/>
        <v>359</v>
      </c>
      <c r="O205" s="424">
        <f t="shared" si="37"/>
        <v>0.18954593453009505</v>
      </c>
      <c r="P205" s="272">
        <f t="shared" si="27"/>
        <v>6.8107064305087599</v>
      </c>
      <c r="Q205" s="307">
        <v>5.6</v>
      </c>
      <c r="R205" s="212">
        <f t="shared" si="28"/>
        <v>1.2107064305087603</v>
      </c>
    </row>
    <row r="206" spans="1:18" x14ac:dyDescent="0.25">
      <c r="A206" s="213" t="s">
        <v>1398</v>
      </c>
      <c r="B206" s="214" t="s">
        <v>130</v>
      </c>
      <c r="C206" s="458">
        <v>139324</v>
      </c>
      <c r="D206" s="268">
        <v>2</v>
      </c>
      <c r="E206" s="444">
        <v>2</v>
      </c>
      <c r="F206" s="421">
        <f t="shared" si="24"/>
        <v>0</v>
      </c>
      <c r="G206" s="236">
        <f t="shared" si="35"/>
        <v>0</v>
      </c>
      <c r="H206" s="268">
        <v>9</v>
      </c>
      <c r="I206" s="447">
        <v>9</v>
      </c>
      <c r="J206" s="422">
        <f t="shared" si="25"/>
        <v>0</v>
      </c>
      <c r="K206" s="423">
        <f t="shared" si="36"/>
        <v>0</v>
      </c>
      <c r="L206" s="268">
        <v>1458</v>
      </c>
      <c r="M206" s="447">
        <v>1458</v>
      </c>
      <c r="N206" s="349">
        <f t="shared" si="26"/>
        <v>0</v>
      </c>
      <c r="O206" s="424">
        <f t="shared" si="37"/>
        <v>0</v>
      </c>
      <c r="P206" s="272">
        <f t="shared" si="27"/>
        <v>6.4597628549280808</v>
      </c>
      <c r="Q206" s="307">
        <v>6.4</v>
      </c>
      <c r="R206" s="212">
        <f t="shared" si="28"/>
        <v>5.9762854928080422E-2</v>
      </c>
    </row>
    <row r="207" spans="1:18" x14ac:dyDescent="0.25">
      <c r="A207" s="213" t="s">
        <v>1398</v>
      </c>
      <c r="B207" s="214" t="s">
        <v>131</v>
      </c>
      <c r="C207" s="458">
        <v>154610</v>
      </c>
      <c r="D207" s="268">
        <v>3</v>
      </c>
      <c r="E207" s="444">
        <v>3</v>
      </c>
      <c r="F207" s="421">
        <f t="shared" si="24"/>
        <v>0</v>
      </c>
      <c r="G207" s="236">
        <f t="shared" si="35"/>
        <v>0</v>
      </c>
      <c r="H207" s="268">
        <v>12</v>
      </c>
      <c r="I207" s="447">
        <v>12</v>
      </c>
      <c r="J207" s="422">
        <f t="shared" si="25"/>
        <v>0</v>
      </c>
      <c r="K207" s="423">
        <f t="shared" si="36"/>
        <v>0</v>
      </c>
      <c r="L207" s="268">
        <v>1161</v>
      </c>
      <c r="M207" s="447">
        <v>1161</v>
      </c>
      <c r="N207" s="349">
        <f t="shared" si="26"/>
        <v>0</v>
      </c>
      <c r="O207" s="424">
        <f t="shared" si="37"/>
        <v>0</v>
      </c>
      <c r="P207" s="272">
        <f t="shared" si="27"/>
        <v>7.761464329603518</v>
      </c>
      <c r="Q207" s="307">
        <v>7.6</v>
      </c>
      <c r="R207" s="212">
        <f t="shared" si="28"/>
        <v>0.16146432960351831</v>
      </c>
    </row>
    <row r="208" spans="1:18" x14ac:dyDescent="0.25">
      <c r="A208" s="213" t="s">
        <v>1398</v>
      </c>
      <c r="B208" s="214" t="s">
        <v>132</v>
      </c>
      <c r="C208" s="458">
        <v>408110</v>
      </c>
      <c r="D208" s="268">
        <v>5</v>
      </c>
      <c r="E208" s="444">
        <v>5</v>
      </c>
      <c r="F208" s="421">
        <f t="shared" si="24"/>
        <v>0</v>
      </c>
      <c r="G208" s="236">
        <f t="shared" si="35"/>
        <v>0</v>
      </c>
      <c r="H208" s="268">
        <v>36</v>
      </c>
      <c r="I208" s="447">
        <v>36</v>
      </c>
      <c r="J208" s="422">
        <f t="shared" si="25"/>
        <v>0</v>
      </c>
      <c r="K208" s="423">
        <f t="shared" si="36"/>
        <v>0</v>
      </c>
      <c r="L208" s="268">
        <v>4541</v>
      </c>
      <c r="M208" s="447">
        <v>4541</v>
      </c>
      <c r="N208" s="349">
        <f t="shared" si="26"/>
        <v>0</v>
      </c>
      <c r="O208" s="424">
        <f t="shared" si="37"/>
        <v>0</v>
      </c>
      <c r="P208" s="272">
        <f t="shared" si="27"/>
        <v>8.8211511602264085</v>
      </c>
      <c r="Q208" s="307">
        <v>8.6999999999999993</v>
      </c>
      <c r="R208" s="212">
        <f t="shared" si="28"/>
        <v>0.12115116022640926</v>
      </c>
    </row>
    <row r="209" spans="1:18" x14ac:dyDescent="0.25">
      <c r="A209" s="213" t="s">
        <v>1398</v>
      </c>
      <c r="B209" s="214" t="s">
        <v>133</v>
      </c>
      <c r="C209" s="458">
        <v>100749</v>
      </c>
      <c r="D209" s="268">
        <v>1</v>
      </c>
      <c r="E209" s="444">
        <v>1</v>
      </c>
      <c r="F209" s="421">
        <f t="shared" si="24"/>
        <v>0</v>
      </c>
      <c r="G209" s="236">
        <f t="shared" si="35"/>
        <v>0</v>
      </c>
      <c r="H209" s="268">
        <v>6</v>
      </c>
      <c r="I209" s="447">
        <v>6</v>
      </c>
      <c r="J209" s="422">
        <f t="shared" si="25"/>
        <v>0</v>
      </c>
      <c r="K209" s="423">
        <f t="shared" si="36"/>
        <v>0</v>
      </c>
      <c r="L209" s="268">
        <v>909</v>
      </c>
      <c r="M209" s="447">
        <v>909</v>
      </c>
      <c r="N209" s="349">
        <f t="shared" si="26"/>
        <v>0</v>
      </c>
      <c r="O209" s="424">
        <f t="shared" si="37"/>
        <v>0</v>
      </c>
      <c r="P209" s="272">
        <f t="shared" si="27"/>
        <v>5.9553940982044482</v>
      </c>
      <c r="Q209" s="307">
        <v>5.9</v>
      </c>
      <c r="R209" s="212">
        <f t="shared" si="28"/>
        <v>5.539409820444785E-2</v>
      </c>
    </row>
    <row r="210" spans="1:18" x14ac:dyDescent="0.25">
      <c r="A210" s="213" t="s">
        <v>1398</v>
      </c>
      <c r="B210" s="214" t="s">
        <v>1459</v>
      </c>
      <c r="C210" s="458">
        <v>101088</v>
      </c>
      <c r="D210" s="268">
        <v>2</v>
      </c>
      <c r="E210" s="444">
        <v>2</v>
      </c>
      <c r="F210" s="421">
        <f t="shared" si="24"/>
        <v>0</v>
      </c>
      <c r="G210" s="236">
        <f t="shared" si="35"/>
        <v>0</v>
      </c>
      <c r="H210" s="386">
        <v>7</v>
      </c>
      <c r="I210" s="448">
        <v>7</v>
      </c>
      <c r="J210" s="427">
        <f t="shared" si="25"/>
        <v>0</v>
      </c>
      <c r="K210" s="423">
        <f t="shared" si="36"/>
        <v>0</v>
      </c>
      <c r="L210" s="386">
        <v>688</v>
      </c>
      <c r="M210" s="448">
        <v>688</v>
      </c>
      <c r="N210" s="428">
        <f t="shared" si="26"/>
        <v>0</v>
      </c>
      <c r="O210" s="424">
        <f t="shared" si="37"/>
        <v>0</v>
      </c>
      <c r="P210" s="272">
        <f t="shared" si="27"/>
        <v>6.9246597024374799</v>
      </c>
      <c r="Q210" s="307">
        <v>6.9</v>
      </c>
      <c r="R210" s="212">
        <f t="shared" si="28"/>
        <v>2.4659702437479503E-2</v>
      </c>
    </row>
    <row r="211" spans="1:18" x14ac:dyDescent="0.25">
      <c r="A211" s="213" t="s">
        <v>1398</v>
      </c>
      <c r="B211" s="214" t="s">
        <v>1460</v>
      </c>
      <c r="C211" s="458">
        <v>94823</v>
      </c>
      <c r="D211" s="268">
        <v>1</v>
      </c>
      <c r="E211" s="444">
        <v>1</v>
      </c>
      <c r="F211" s="421">
        <f t="shared" si="24"/>
        <v>0</v>
      </c>
      <c r="G211" s="236">
        <f t="shared" si="35"/>
        <v>0</v>
      </c>
      <c r="H211" s="268">
        <v>4</v>
      </c>
      <c r="I211" s="447">
        <v>4</v>
      </c>
      <c r="J211" s="422">
        <f t="shared" si="25"/>
        <v>0</v>
      </c>
      <c r="K211" s="423">
        <f t="shared" si="36"/>
        <v>0</v>
      </c>
      <c r="L211" s="268">
        <v>471</v>
      </c>
      <c r="M211" s="447">
        <v>471</v>
      </c>
      <c r="N211" s="349">
        <f t="shared" si="26"/>
        <v>0</v>
      </c>
      <c r="O211" s="424">
        <f t="shared" si="37"/>
        <v>0</v>
      </c>
      <c r="P211" s="272">
        <f t="shared" si="27"/>
        <v>4.2183858346603671</v>
      </c>
      <c r="Q211" s="307">
        <v>4.2</v>
      </c>
      <c r="R211" s="212">
        <f t="shared" si="28"/>
        <v>1.8385834660366918E-2</v>
      </c>
    </row>
    <row r="212" spans="1:18" x14ac:dyDescent="0.25">
      <c r="A212" s="213" t="s">
        <v>1398</v>
      </c>
      <c r="B212" s="214" t="s">
        <v>134</v>
      </c>
      <c r="C212" s="458">
        <v>70373</v>
      </c>
      <c r="D212" s="268">
        <v>1</v>
      </c>
      <c r="E212" s="444">
        <v>1</v>
      </c>
      <c r="F212" s="421">
        <f t="shared" si="24"/>
        <v>0</v>
      </c>
      <c r="G212" s="236">
        <f t="shared" si="35"/>
        <v>0</v>
      </c>
      <c r="H212" s="268">
        <v>3</v>
      </c>
      <c r="I212" s="447">
        <v>3</v>
      </c>
      <c r="J212" s="422">
        <f t="shared" si="25"/>
        <v>0</v>
      </c>
      <c r="K212" s="423">
        <f t="shared" si="36"/>
        <v>0</v>
      </c>
      <c r="L212" s="268">
        <v>259</v>
      </c>
      <c r="M212" s="447">
        <v>259</v>
      </c>
      <c r="N212" s="349">
        <f t="shared" si="26"/>
        <v>0</v>
      </c>
      <c r="O212" s="424">
        <f t="shared" si="37"/>
        <v>0</v>
      </c>
      <c r="P212" s="272">
        <f t="shared" si="27"/>
        <v>4.2629985932104644</v>
      </c>
      <c r="Q212" s="307">
        <v>4.2</v>
      </c>
      <c r="R212" s="212">
        <f t="shared" si="28"/>
        <v>6.2998593210464193E-2</v>
      </c>
    </row>
    <row r="213" spans="1:18" x14ac:dyDescent="0.25">
      <c r="A213" s="213" t="s">
        <v>1398</v>
      </c>
      <c r="B213" s="214" t="s">
        <v>135</v>
      </c>
      <c r="C213" s="458">
        <v>267725</v>
      </c>
      <c r="D213" s="268">
        <v>2</v>
      </c>
      <c r="E213" s="444">
        <v>3</v>
      </c>
      <c r="F213" s="421">
        <f t="shared" si="24"/>
        <v>-1</v>
      </c>
      <c r="G213" s="236">
        <f t="shared" si="35"/>
        <v>-0.33333333333333331</v>
      </c>
      <c r="H213" s="268">
        <v>12</v>
      </c>
      <c r="I213" s="447">
        <v>20</v>
      </c>
      <c r="J213" s="422">
        <f t="shared" si="25"/>
        <v>-8</v>
      </c>
      <c r="K213" s="423">
        <f t="shared" si="36"/>
        <v>-0.4</v>
      </c>
      <c r="L213" s="268">
        <v>1134</v>
      </c>
      <c r="M213" s="447">
        <v>2298</v>
      </c>
      <c r="N213" s="349">
        <f t="shared" si="26"/>
        <v>-1164</v>
      </c>
      <c r="O213" s="424">
        <f t="shared" si="37"/>
        <v>-0.50652741514360311</v>
      </c>
      <c r="P213" s="272">
        <f t="shared" si="27"/>
        <v>4.4822112242039402</v>
      </c>
      <c r="Q213" s="307">
        <v>7.5</v>
      </c>
      <c r="R213" s="212">
        <f t="shared" si="28"/>
        <v>-3.0177887757960598</v>
      </c>
    </row>
    <row r="214" spans="1:18" x14ac:dyDescent="0.25">
      <c r="A214" s="213" t="s">
        <v>1398</v>
      </c>
      <c r="B214" s="214" t="s">
        <v>1461</v>
      </c>
      <c r="C214" s="458">
        <v>23340</v>
      </c>
      <c r="D214" s="268">
        <v>0</v>
      </c>
      <c r="E214" s="444">
        <v>0</v>
      </c>
      <c r="F214" s="421">
        <f t="shared" si="24"/>
        <v>0</v>
      </c>
      <c r="G214" s="425" t="s">
        <v>1404</v>
      </c>
      <c r="H214" s="268">
        <v>0</v>
      </c>
      <c r="I214" s="447">
        <v>0</v>
      </c>
      <c r="J214" s="422">
        <f t="shared" si="25"/>
        <v>0</v>
      </c>
      <c r="K214" s="426" t="s">
        <v>1402</v>
      </c>
      <c r="L214" s="268">
        <v>0</v>
      </c>
      <c r="M214" s="447">
        <v>0</v>
      </c>
      <c r="N214" s="349">
        <f t="shared" si="26"/>
        <v>0</v>
      </c>
      <c r="O214" s="424" t="s">
        <v>1406</v>
      </c>
      <c r="P214" s="272">
        <f t="shared" si="27"/>
        <v>0</v>
      </c>
      <c r="Q214" s="307">
        <v>0</v>
      </c>
      <c r="R214" s="212">
        <f t="shared" si="28"/>
        <v>0</v>
      </c>
    </row>
    <row r="215" spans="1:18" x14ac:dyDescent="0.25">
      <c r="A215" s="213" t="s">
        <v>1398</v>
      </c>
      <c r="B215" s="214" t="s">
        <v>1462</v>
      </c>
      <c r="C215" s="458">
        <v>50186</v>
      </c>
      <c r="D215" s="268">
        <v>1</v>
      </c>
      <c r="E215" s="444">
        <v>1</v>
      </c>
      <c r="F215" s="421">
        <f t="shared" si="24"/>
        <v>0</v>
      </c>
      <c r="G215" s="236">
        <f t="shared" si="35"/>
        <v>0</v>
      </c>
      <c r="H215" s="268">
        <v>2</v>
      </c>
      <c r="I215" s="447">
        <v>2</v>
      </c>
      <c r="J215" s="422">
        <f t="shared" si="25"/>
        <v>0</v>
      </c>
      <c r="K215" s="423">
        <f t="shared" si="36"/>
        <v>0</v>
      </c>
      <c r="L215" s="268">
        <v>94</v>
      </c>
      <c r="M215" s="447">
        <v>94</v>
      </c>
      <c r="N215" s="349">
        <f t="shared" si="26"/>
        <v>0</v>
      </c>
      <c r="O215" s="424">
        <f t="shared" si="37"/>
        <v>0</v>
      </c>
      <c r="P215" s="272">
        <f t="shared" si="27"/>
        <v>3.9851751484477744</v>
      </c>
      <c r="Q215" s="307">
        <v>4</v>
      </c>
      <c r="R215" s="212">
        <f t="shared" si="28"/>
        <v>-1.4824851552225571E-2</v>
      </c>
    </row>
    <row r="216" spans="1:18" x14ac:dyDescent="0.25">
      <c r="A216" s="213" t="s">
        <v>1398</v>
      </c>
      <c r="B216" s="214" t="s">
        <v>1463</v>
      </c>
      <c r="C216" s="458">
        <v>24295</v>
      </c>
      <c r="D216" s="268">
        <v>0</v>
      </c>
      <c r="E216" s="444">
        <v>0</v>
      </c>
      <c r="F216" s="421">
        <f t="shared" si="24"/>
        <v>0</v>
      </c>
      <c r="G216" s="425" t="s">
        <v>1406</v>
      </c>
      <c r="H216" s="268">
        <v>0</v>
      </c>
      <c r="I216" s="447">
        <v>0</v>
      </c>
      <c r="J216" s="422">
        <f t="shared" si="25"/>
        <v>0</v>
      </c>
      <c r="K216" s="426" t="s">
        <v>1404</v>
      </c>
      <c r="L216" s="268">
        <v>0</v>
      </c>
      <c r="M216" s="447">
        <v>0</v>
      </c>
      <c r="N216" s="349">
        <f t="shared" si="26"/>
        <v>0</v>
      </c>
      <c r="O216" s="424" t="s">
        <v>1402</v>
      </c>
      <c r="P216" s="272">
        <f t="shared" si="27"/>
        <v>0</v>
      </c>
      <c r="Q216" s="307">
        <v>0</v>
      </c>
      <c r="R216" s="212">
        <f t="shared" si="28"/>
        <v>0</v>
      </c>
    </row>
    <row r="217" spans="1:18" x14ac:dyDescent="0.25">
      <c r="A217" s="213" t="s">
        <v>1398</v>
      </c>
      <c r="B217" s="214" t="s">
        <v>136</v>
      </c>
      <c r="C217" s="458">
        <v>16022</v>
      </c>
      <c r="D217" s="268">
        <v>1</v>
      </c>
      <c r="E217" s="444">
        <v>1</v>
      </c>
      <c r="F217" s="421">
        <f t="shared" si="24"/>
        <v>0</v>
      </c>
      <c r="G217" s="236">
        <f t="shared" si="35"/>
        <v>0</v>
      </c>
      <c r="H217" s="268">
        <v>1</v>
      </c>
      <c r="I217" s="447">
        <v>1</v>
      </c>
      <c r="J217" s="422">
        <f t="shared" si="25"/>
        <v>0</v>
      </c>
      <c r="K217" s="423">
        <f t="shared" si="36"/>
        <v>0</v>
      </c>
      <c r="L217" s="268">
        <v>93</v>
      </c>
      <c r="M217" s="447">
        <v>94</v>
      </c>
      <c r="N217" s="349">
        <f t="shared" si="26"/>
        <v>-1</v>
      </c>
      <c r="O217" s="424">
        <f t="shared" si="37"/>
        <v>-1.0638297872340425E-2</v>
      </c>
      <c r="P217" s="272">
        <f t="shared" si="27"/>
        <v>6.241418050181001</v>
      </c>
      <c r="Q217" s="307">
        <v>6.1</v>
      </c>
      <c r="R217" s="212">
        <f t="shared" si="28"/>
        <v>0.1414180501810014</v>
      </c>
    </row>
    <row r="218" spans="1:18" x14ac:dyDescent="0.25">
      <c r="A218" s="213" t="s">
        <v>1398</v>
      </c>
      <c r="B218" s="214" t="s">
        <v>1464</v>
      </c>
      <c r="C218" s="458">
        <v>34650</v>
      </c>
      <c r="D218" s="268">
        <v>0</v>
      </c>
      <c r="E218" s="444">
        <v>0</v>
      </c>
      <c r="F218" s="421">
        <f t="shared" si="24"/>
        <v>0</v>
      </c>
      <c r="G218" s="425" t="s">
        <v>1406</v>
      </c>
      <c r="H218" s="268">
        <v>0</v>
      </c>
      <c r="I218" s="447">
        <v>0</v>
      </c>
      <c r="J218" s="422">
        <f t="shared" si="25"/>
        <v>0</v>
      </c>
      <c r="K218" s="426" t="s">
        <v>1406</v>
      </c>
      <c r="L218" s="268">
        <v>0</v>
      </c>
      <c r="M218" s="447">
        <v>0</v>
      </c>
      <c r="N218" s="349">
        <f t="shared" si="26"/>
        <v>0</v>
      </c>
      <c r="O218" s="424" t="s">
        <v>1406</v>
      </c>
      <c r="P218" s="272">
        <f t="shared" si="27"/>
        <v>0</v>
      </c>
      <c r="Q218" s="307">
        <v>0</v>
      </c>
      <c r="R218" s="212">
        <f t="shared" si="28"/>
        <v>0</v>
      </c>
    </row>
    <row r="219" spans="1:18" x14ac:dyDescent="0.25">
      <c r="A219" s="213" t="s">
        <v>1398</v>
      </c>
      <c r="B219" s="214" t="s">
        <v>1465</v>
      </c>
      <c r="C219" s="458">
        <v>41614</v>
      </c>
      <c r="D219" s="268">
        <v>0</v>
      </c>
      <c r="E219" s="444">
        <v>0</v>
      </c>
      <c r="F219" s="421">
        <f t="shared" si="24"/>
        <v>0</v>
      </c>
      <c r="G219" s="425" t="s">
        <v>1406</v>
      </c>
      <c r="H219" s="268">
        <v>0</v>
      </c>
      <c r="I219" s="447">
        <v>0</v>
      </c>
      <c r="J219" s="422">
        <f t="shared" si="25"/>
        <v>0</v>
      </c>
      <c r="K219" s="426" t="s">
        <v>1406</v>
      </c>
      <c r="L219" s="268">
        <v>0</v>
      </c>
      <c r="M219" s="447">
        <v>0</v>
      </c>
      <c r="N219" s="349">
        <f t="shared" si="26"/>
        <v>0</v>
      </c>
      <c r="O219" s="424" t="s">
        <v>1406</v>
      </c>
      <c r="P219" s="272">
        <f t="shared" si="27"/>
        <v>0</v>
      </c>
      <c r="Q219" s="307">
        <v>0</v>
      </c>
      <c r="R219" s="212">
        <f t="shared" si="28"/>
        <v>0</v>
      </c>
    </row>
    <row r="220" spans="1:18" x14ac:dyDescent="0.25">
      <c r="A220" s="213" t="s">
        <v>1398</v>
      </c>
      <c r="B220" s="214" t="s">
        <v>137</v>
      </c>
      <c r="C220" s="458">
        <v>30353</v>
      </c>
      <c r="D220" s="268">
        <v>1</v>
      </c>
      <c r="E220" s="444">
        <v>1</v>
      </c>
      <c r="F220" s="421">
        <f t="shared" si="24"/>
        <v>0</v>
      </c>
      <c r="G220" s="236">
        <f t="shared" si="35"/>
        <v>0</v>
      </c>
      <c r="H220" s="268">
        <v>2</v>
      </c>
      <c r="I220" s="447">
        <v>2</v>
      </c>
      <c r="J220" s="422">
        <f t="shared" si="25"/>
        <v>0</v>
      </c>
      <c r="K220" s="423">
        <f t="shared" si="36"/>
        <v>0</v>
      </c>
      <c r="L220" s="268">
        <v>99</v>
      </c>
      <c r="M220" s="447">
        <v>97</v>
      </c>
      <c r="N220" s="349">
        <f t="shared" si="26"/>
        <v>2</v>
      </c>
      <c r="O220" s="424">
        <f t="shared" si="37"/>
        <v>2.0618556701030927E-2</v>
      </c>
      <c r="P220" s="272">
        <f t="shared" si="27"/>
        <v>6.5891345171811686</v>
      </c>
      <c r="Q220" s="307">
        <v>6.5</v>
      </c>
      <c r="R220" s="212">
        <f t="shared" si="28"/>
        <v>8.9134517181168604E-2</v>
      </c>
    </row>
    <row r="221" spans="1:18" x14ac:dyDescent="0.25">
      <c r="A221" s="213" t="s">
        <v>1398</v>
      </c>
      <c r="B221" s="214" t="s">
        <v>1466</v>
      </c>
      <c r="C221" s="458">
        <v>42566</v>
      </c>
      <c r="D221" s="268">
        <v>1</v>
      </c>
      <c r="E221" s="444">
        <v>0</v>
      </c>
      <c r="F221" s="421">
        <f t="shared" si="24"/>
        <v>1</v>
      </c>
      <c r="G221" s="425" t="s">
        <v>1406</v>
      </c>
      <c r="H221" s="268">
        <v>2</v>
      </c>
      <c r="I221" s="447">
        <v>0</v>
      </c>
      <c r="J221" s="422">
        <f t="shared" si="25"/>
        <v>2</v>
      </c>
      <c r="K221" s="426" t="s">
        <v>1404</v>
      </c>
      <c r="L221" s="268">
        <v>98</v>
      </c>
      <c r="M221" s="447">
        <v>0</v>
      </c>
      <c r="N221" s="349">
        <f t="shared" si="26"/>
        <v>98</v>
      </c>
      <c r="O221" s="424" t="s">
        <v>1406</v>
      </c>
      <c r="P221" s="272">
        <f t="shared" si="27"/>
        <v>4.6985857256965655</v>
      </c>
      <c r="Q221" s="307">
        <v>0</v>
      </c>
      <c r="R221" s="212">
        <f t="shared" si="28"/>
        <v>4.6985857256965655</v>
      </c>
    </row>
    <row r="222" spans="1:18" x14ac:dyDescent="0.25">
      <c r="A222" s="213" t="s">
        <v>1398</v>
      </c>
      <c r="B222" s="214" t="s">
        <v>1467</v>
      </c>
      <c r="C222" s="458">
        <v>112487</v>
      </c>
      <c r="D222" s="268">
        <v>1</v>
      </c>
      <c r="E222" s="444">
        <v>1</v>
      </c>
      <c r="F222" s="421">
        <f t="shared" si="24"/>
        <v>0</v>
      </c>
      <c r="G222" s="236">
        <f t="shared" si="35"/>
        <v>0</v>
      </c>
      <c r="H222" s="386">
        <v>2</v>
      </c>
      <c r="I222" s="448">
        <v>2</v>
      </c>
      <c r="J222" s="427">
        <f t="shared" si="25"/>
        <v>0</v>
      </c>
      <c r="K222" s="423">
        <f t="shared" si="36"/>
        <v>0</v>
      </c>
      <c r="L222" s="386">
        <v>94</v>
      </c>
      <c r="M222" s="448">
        <v>94</v>
      </c>
      <c r="N222" s="428">
        <f t="shared" si="26"/>
        <v>0</v>
      </c>
      <c r="O222" s="424">
        <f t="shared" si="37"/>
        <v>0</v>
      </c>
      <c r="P222" s="272">
        <f t="shared" si="27"/>
        <v>1.7779832336181072</v>
      </c>
      <c r="Q222" s="307">
        <v>1.8</v>
      </c>
      <c r="R222" s="212">
        <f t="shared" si="28"/>
        <v>-2.2016766381892872E-2</v>
      </c>
    </row>
    <row r="223" spans="1:18" x14ac:dyDescent="0.25">
      <c r="A223" s="213" t="s">
        <v>1398</v>
      </c>
      <c r="B223" s="214" t="s">
        <v>138</v>
      </c>
      <c r="C223" s="458">
        <v>55755</v>
      </c>
      <c r="D223" s="268">
        <v>1</v>
      </c>
      <c r="E223" s="444">
        <v>1</v>
      </c>
      <c r="F223" s="421">
        <f t="shared" si="24"/>
        <v>0</v>
      </c>
      <c r="G223" s="236">
        <f t="shared" si="35"/>
        <v>0</v>
      </c>
      <c r="H223" s="268">
        <v>6</v>
      </c>
      <c r="I223" s="447">
        <v>6</v>
      </c>
      <c r="J223" s="422">
        <f t="shared" si="25"/>
        <v>0</v>
      </c>
      <c r="K223" s="423">
        <f t="shared" si="36"/>
        <v>0</v>
      </c>
      <c r="L223" s="268">
        <v>471</v>
      </c>
      <c r="M223" s="447">
        <v>471</v>
      </c>
      <c r="N223" s="349">
        <f t="shared" si="26"/>
        <v>0</v>
      </c>
      <c r="O223" s="424">
        <f t="shared" si="37"/>
        <v>0</v>
      </c>
      <c r="P223" s="272">
        <f t="shared" si="27"/>
        <v>10.761366693570084</v>
      </c>
      <c r="Q223" s="307">
        <v>10.8</v>
      </c>
      <c r="R223" s="212">
        <f t="shared" si="28"/>
        <v>-3.8633306429916914E-2</v>
      </c>
    </row>
    <row r="224" spans="1:18" x14ac:dyDescent="0.25">
      <c r="A224" s="213" t="s">
        <v>1398</v>
      </c>
      <c r="B224" s="214" t="s">
        <v>1468</v>
      </c>
      <c r="C224" s="458">
        <v>30139</v>
      </c>
      <c r="D224" s="268">
        <v>0</v>
      </c>
      <c r="E224" s="444">
        <v>0</v>
      </c>
      <c r="F224" s="421">
        <f t="shared" si="24"/>
        <v>0</v>
      </c>
      <c r="G224" s="425" t="s">
        <v>1406</v>
      </c>
      <c r="H224" s="268">
        <v>0</v>
      </c>
      <c r="I224" s="447">
        <v>0</v>
      </c>
      <c r="J224" s="422">
        <f t="shared" si="25"/>
        <v>0</v>
      </c>
      <c r="K224" s="426" t="s">
        <v>1406</v>
      </c>
      <c r="L224" s="268">
        <v>0</v>
      </c>
      <c r="M224" s="447">
        <v>0</v>
      </c>
      <c r="N224" s="349">
        <f t="shared" si="26"/>
        <v>0</v>
      </c>
      <c r="O224" s="424" t="s">
        <v>1406</v>
      </c>
      <c r="P224" s="272">
        <f t="shared" si="27"/>
        <v>0</v>
      </c>
      <c r="Q224" s="307">
        <v>0</v>
      </c>
      <c r="R224" s="212">
        <f t="shared" si="28"/>
        <v>0</v>
      </c>
    </row>
    <row r="225" spans="1:18" x14ac:dyDescent="0.25">
      <c r="A225" s="213" t="s">
        <v>1398</v>
      </c>
      <c r="B225" s="214" t="s">
        <v>1469</v>
      </c>
      <c r="C225" s="458">
        <v>47030</v>
      </c>
      <c r="D225" s="268">
        <v>1</v>
      </c>
      <c r="E225" s="444">
        <v>1</v>
      </c>
      <c r="F225" s="421">
        <f t="shared" si="24"/>
        <v>0</v>
      </c>
      <c r="G225" s="236">
        <f t="shared" si="35"/>
        <v>0</v>
      </c>
      <c r="H225" s="386">
        <v>1</v>
      </c>
      <c r="I225" s="448">
        <v>1</v>
      </c>
      <c r="J225" s="427">
        <f t="shared" si="25"/>
        <v>0</v>
      </c>
      <c r="K225" s="423">
        <f t="shared" si="36"/>
        <v>0</v>
      </c>
      <c r="L225" s="386">
        <v>87</v>
      </c>
      <c r="M225" s="448">
        <v>87</v>
      </c>
      <c r="N225" s="428">
        <f t="shared" si="26"/>
        <v>0</v>
      </c>
      <c r="O225" s="424">
        <f t="shared" si="37"/>
        <v>0</v>
      </c>
      <c r="P225" s="272">
        <f t="shared" si="27"/>
        <v>2.1263023601956199</v>
      </c>
      <c r="Q225" s="307">
        <v>2.1</v>
      </c>
      <c r="R225" s="212">
        <f t="shared" si="28"/>
        <v>2.6302360195619823E-2</v>
      </c>
    </row>
    <row r="226" spans="1:18" x14ac:dyDescent="0.25">
      <c r="A226" s="213" t="s">
        <v>1398</v>
      </c>
      <c r="B226" s="214" t="s">
        <v>1470</v>
      </c>
      <c r="C226" s="458">
        <v>8996</v>
      </c>
      <c r="D226" s="268">
        <v>0</v>
      </c>
      <c r="E226" s="444">
        <v>0</v>
      </c>
      <c r="F226" s="421">
        <f t="shared" si="24"/>
        <v>0</v>
      </c>
      <c r="G226" s="425" t="s">
        <v>1406</v>
      </c>
      <c r="H226" s="268">
        <v>0</v>
      </c>
      <c r="I226" s="447">
        <v>0</v>
      </c>
      <c r="J226" s="422">
        <f t="shared" si="25"/>
        <v>0</v>
      </c>
      <c r="K226" s="426" t="s">
        <v>1406</v>
      </c>
      <c r="L226" s="268">
        <v>0</v>
      </c>
      <c r="M226" s="447">
        <v>0</v>
      </c>
      <c r="N226" s="349">
        <f t="shared" si="26"/>
        <v>0</v>
      </c>
      <c r="O226" s="424" t="s">
        <v>1406</v>
      </c>
      <c r="P226" s="272">
        <f t="shared" si="27"/>
        <v>0</v>
      </c>
      <c r="Q226" s="307">
        <v>0</v>
      </c>
      <c r="R226" s="212">
        <f t="shared" si="28"/>
        <v>0</v>
      </c>
    </row>
    <row r="227" spans="1:18" x14ac:dyDescent="0.25">
      <c r="A227" s="210" t="s">
        <v>139</v>
      </c>
      <c r="B227" s="211" t="s">
        <v>3</v>
      </c>
      <c r="C227" s="457">
        <v>3280493</v>
      </c>
      <c r="D227" s="267">
        <f>SUM(D228:D245)</f>
        <v>38</v>
      </c>
      <c r="E227" s="445">
        <f>SUM(E228:E245)</f>
        <v>38</v>
      </c>
      <c r="F227" s="421">
        <f t="shared" si="24"/>
        <v>0</v>
      </c>
      <c r="G227" s="236">
        <f t="shared" si="35"/>
        <v>0</v>
      </c>
      <c r="H227" s="267">
        <f>SUM(H228:H245)</f>
        <v>192</v>
      </c>
      <c r="I227" s="448">
        <f>SUM(I228:I245)</f>
        <v>197</v>
      </c>
      <c r="J227" s="422">
        <f t="shared" si="25"/>
        <v>-5</v>
      </c>
      <c r="K227" s="423">
        <f t="shared" si="36"/>
        <v>-2.5380710659898477E-2</v>
      </c>
      <c r="L227" s="267">
        <f>SUM(L228:L245)</f>
        <v>25260</v>
      </c>
      <c r="M227" s="445">
        <f>SUM(M228:M245)</f>
        <v>26032</v>
      </c>
      <c r="N227" s="349">
        <f t="shared" si="26"/>
        <v>-772</v>
      </c>
      <c r="O227" s="424">
        <f t="shared" si="37"/>
        <v>-2.9655808236017208E-2</v>
      </c>
      <c r="P227" s="271">
        <f t="shared" si="27"/>
        <v>5.8527788353762675</v>
      </c>
      <c r="Q227" s="306">
        <v>5.9</v>
      </c>
      <c r="R227" s="212">
        <f t="shared" si="28"/>
        <v>-4.7221164623732825E-2</v>
      </c>
    </row>
    <row r="228" spans="1:18" x14ac:dyDescent="0.25">
      <c r="A228" s="213" t="s">
        <v>1398</v>
      </c>
      <c r="B228" s="214" t="s">
        <v>140</v>
      </c>
      <c r="C228" s="455">
        <v>1021487</v>
      </c>
      <c r="D228" s="268">
        <v>12</v>
      </c>
      <c r="E228" s="444">
        <v>12</v>
      </c>
      <c r="F228" s="421">
        <f t="shared" si="24"/>
        <v>0</v>
      </c>
      <c r="G228" s="236">
        <f t="shared" si="35"/>
        <v>0</v>
      </c>
      <c r="H228" s="268">
        <v>69</v>
      </c>
      <c r="I228" s="447">
        <v>69</v>
      </c>
      <c r="J228" s="422">
        <f t="shared" si="25"/>
        <v>0</v>
      </c>
      <c r="K228" s="423">
        <f t="shared" si="36"/>
        <v>0</v>
      </c>
      <c r="L228" s="268">
        <v>9958</v>
      </c>
      <c r="M228" s="447">
        <v>9958</v>
      </c>
      <c r="N228" s="349">
        <f t="shared" si="26"/>
        <v>0</v>
      </c>
      <c r="O228" s="424">
        <f t="shared" si="37"/>
        <v>0</v>
      </c>
      <c r="P228" s="272">
        <f t="shared" si="27"/>
        <v>6.7548583584519424</v>
      </c>
      <c r="Q228" s="307">
        <v>6.7</v>
      </c>
      <c r="R228" s="212">
        <f t="shared" si="28"/>
        <v>5.4858358451942202E-2</v>
      </c>
    </row>
    <row r="229" spans="1:18" x14ac:dyDescent="0.25">
      <c r="A229" s="213" t="s">
        <v>1398</v>
      </c>
      <c r="B229" s="214" t="s">
        <v>141</v>
      </c>
      <c r="C229" s="455">
        <v>343782</v>
      </c>
      <c r="D229" s="268">
        <v>4</v>
      </c>
      <c r="E229" s="444">
        <v>4</v>
      </c>
      <c r="F229" s="421">
        <f t="shared" si="24"/>
        <v>0</v>
      </c>
      <c r="G229" s="236">
        <f t="shared" si="35"/>
        <v>0</v>
      </c>
      <c r="H229" s="268">
        <v>32</v>
      </c>
      <c r="I229" s="447">
        <v>32</v>
      </c>
      <c r="J229" s="422">
        <f t="shared" si="25"/>
        <v>0</v>
      </c>
      <c r="K229" s="423">
        <f t="shared" si="36"/>
        <v>0</v>
      </c>
      <c r="L229" s="268">
        <v>3842</v>
      </c>
      <c r="M229" s="447">
        <v>3842</v>
      </c>
      <c r="N229" s="349">
        <f t="shared" si="26"/>
        <v>0</v>
      </c>
      <c r="O229" s="424">
        <f t="shared" si="37"/>
        <v>0</v>
      </c>
      <c r="P229" s="272">
        <f t="shared" si="27"/>
        <v>9.308224398019675</v>
      </c>
      <c r="Q229" s="307">
        <v>9.1999999999999993</v>
      </c>
      <c r="R229" s="212">
        <f t="shared" si="28"/>
        <v>0.10822439801967576</v>
      </c>
    </row>
    <row r="230" spans="1:18" x14ac:dyDescent="0.25">
      <c r="A230" s="213" t="s">
        <v>1398</v>
      </c>
      <c r="B230" s="214" t="s">
        <v>142</v>
      </c>
      <c r="C230" s="455">
        <v>122681</v>
      </c>
      <c r="D230" s="268">
        <v>1</v>
      </c>
      <c r="E230" s="444">
        <v>2</v>
      </c>
      <c r="F230" s="421">
        <f t="shared" si="24"/>
        <v>-1</v>
      </c>
      <c r="G230" s="236">
        <f t="shared" si="35"/>
        <v>-0.5</v>
      </c>
      <c r="H230" s="268">
        <v>7</v>
      </c>
      <c r="I230" s="447">
        <v>13</v>
      </c>
      <c r="J230" s="422">
        <f t="shared" si="25"/>
        <v>-6</v>
      </c>
      <c r="K230" s="423">
        <f t="shared" si="36"/>
        <v>-0.46153846153846156</v>
      </c>
      <c r="L230" s="268">
        <v>858</v>
      </c>
      <c r="M230" s="447">
        <v>1615</v>
      </c>
      <c r="N230" s="349">
        <f t="shared" si="26"/>
        <v>-757</v>
      </c>
      <c r="O230" s="424">
        <f t="shared" si="37"/>
        <v>-0.46873065015479876</v>
      </c>
      <c r="P230" s="272">
        <f t="shared" si="27"/>
        <v>5.7058550223751032</v>
      </c>
      <c r="Q230" s="307">
        <v>10.4</v>
      </c>
      <c r="R230" s="212">
        <f t="shared" si="28"/>
        <v>-4.6941449776248971</v>
      </c>
    </row>
    <row r="231" spans="1:18" x14ac:dyDescent="0.25">
      <c r="A231" s="213" t="s">
        <v>1398</v>
      </c>
      <c r="B231" s="214" t="s">
        <v>143</v>
      </c>
      <c r="C231" s="455">
        <v>109369</v>
      </c>
      <c r="D231" s="268">
        <v>2</v>
      </c>
      <c r="E231" s="444">
        <v>2</v>
      </c>
      <c r="F231" s="421">
        <f t="shared" si="24"/>
        <v>0</v>
      </c>
      <c r="G231" s="236">
        <f t="shared" si="35"/>
        <v>0</v>
      </c>
      <c r="H231" s="268">
        <v>9</v>
      </c>
      <c r="I231" s="447">
        <v>9</v>
      </c>
      <c r="J231" s="422">
        <f t="shared" si="25"/>
        <v>0</v>
      </c>
      <c r="K231" s="423">
        <f t="shared" si="36"/>
        <v>0</v>
      </c>
      <c r="L231" s="268">
        <v>719</v>
      </c>
      <c r="M231" s="447">
        <v>697</v>
      </c>
      <c r="N231" s="349">
        <f t="shared" si="26"/>
        <v>22</v>
      </c>
      <c r="O231" s="424">
        <f t="shared" si="37"/>
        <v>3.1563845050215207E-2</v>
      </c>
      <c r="P231" s="272">
        <f t="shared" si="27"/>
        <v>8.229022849253445</v>
      </c>
      <c r="Q231" s="307">
        <v>8.1999999999999993</v>
      </c>
      <c r="R231" s="212">
        <f t="shared" si="28"/>
        <v>2.9022849253445671E-2</v>
      </c>
    </row>
    <row r="232" spans="1:18" x14ac:dyDescent="0.25">
      <c r="A232" s="213" t="s">
        <v>1398</v>
      </c>
      <c r="B232" s="214" t="s">
        <v>144</v>
      </c>
      <c r="C232" s="455">
        <v>535129</v>
      </c>
      <c r="D232" s="268">
        <v>5</v>
      </c>
      <c r="E232" s="444">
        <v>5</v>
      </c>
      <c r="F232" s="421">
        <f t="shared" si="24"/>
        <v>0</v>
      </c>
      <c r="G232" s="236">
        <f t="shared" si="35"/>
        <v>0</v>
      </c>
      <c r="H232" s="268">
        <v>32</v>
      </c>
      <c r="I232" s="447">
        <v>32</v>
      </c>
      <c r="J232" s="422">
        <f t="shared" si="25"/>
        <v>0</v>
      </c>
      <c r="K232" s="423">
        <f t="shared" si="36"/>
        <v>0</v>
      </c>
      <c r="L232" s="268">
        <v>4905</v>
      </c>
      <c r="M232" s="447">
        <v>4905</v>
      </c>
      <c r="N232" s="349">
        <f t="shared" si="26"/>
        <v>0</v>
      </c>
      <c r="O232" s="424">
        <f t="shared" si="37"/>
        <v>0</v>
      </c>
      <c r="P232" s="272">
        <f t="shared" si="27"/>
        <v>5.9798665368537307</v>
      </c>
      <c r="Q232" s="307">
        <v>6</v>
      </c>
      <c r="R232" s="212">
        <f t="shared" si="28"/>
        <v>-2.0133463146269293E-2</v>
      </c>
    </row>
    <row r="233" spans="1:18" x14ac:dyDescent="0.25">
      <c r="A233" s="213" t="s">
        <v>1398</v>
      </c>
      <c r="B233" s="214" t="s">
        <v>145</v>
      </c>
      <c r="C233" s="455">
        <v>102945</v>
      </c>
      <c r="D233" s="268">
        <v>1</v>
      </c>
      <c r="E233" s="444">
        <v>1</v>
      </c>
      <c r="F233" s="421">
        <f t="shared" si="24"/>
        <v>0</v>
      </c>
      <c r="G233" s="236">
        <f t="shared" si="35"/>
        <v>0</v>
      </c>
      <c r="H233" s="268">
        <v>2</v>
      </c>
      <c r="I233" s="447">
        <v>2</v>
      </c>
      <c r="J233" s="422">
        <f t="shared" si="25"/>
        <v>0</v>
      </c>
      <c r="K233" s="423">
        <f t="shared" si="36"/>
        <v>0</v>
      </c>
      <c r="L233" s="268">
        <v>292</v>
      </c>
      <c r="M233" s="447">
        <v>292</v>
      </c>
      <c r="N233" s="349">
        <f t="shared" si="26"/>
        <v>0</v>
      </c>
      <c r="O233" s="424">
        <f t="shared" si="37"/>
        <v>0</v>
      </c>
      <c r="P233" s="272">
        <f t="shared" si="27"/>
        <v>1.9427849822720871</v>
      </c>
      <c r="Q233" s="307">
        <v>1.9</v>
      </c>
      <c r="R233" s="212">
        <f t="shared" si="28"/>
        <v>4.2784982272087158E-2</v>
      </c>
    </row>
    <row r="234" spans="1:18" x14ac:dyDescent="0.25">
      <c r="A234" s="213" t="s">
        <v>1398</v>
      </c>
      <c r="B234" s="214" t="s">
        <v>146</v>
      </c>
      <c r="C234" s="455">
        <v>236662</v>
      </c>
      <c r="D234" s="268">
        <v>1</v>
      </c>
      <c r="E234" s="444">
        <v>1</v>
      </c>
      <c r="F234" s="421">
        <f t="shared" si="24"/>
        <v>0</v>
      </c>
      <c r="G234" s="236">
        <f t="shared" si="35"/>
        <v>0</v>
      </c>
      <c r="H234" s="268">
        <v>7</v>
      </c>
      <c r="I234" s="447">
        <v>7</v>
      </c>
      <c r="J234" s="422">
        <f t="shared" si="25"/>
        <v>0</v>
      </c>
      <c r="K234" s="423">
        <f t="shared" si="36"/>
        <v>0</v>
      </c>
      <c r="L234" s="268">
        <v>1223</v>
      </c>
      <c r="M234" s="447">
        <v>1223</v>
      </c>
      <c r="N234" s="349">
        <f t="shared" si="26"/>
        <v>0</v>
      </c>
      <c r="O234" s="424">
        <f t="shared" si="37"/>
        <v>0</v>
      </c>
      <c r="P234" s="272">
        <f t="shared" si="27"/>
        <v>2.9578048017848237</v>
      </c>
      <c r="Q234" s="307">
        <v>2.9</v>
      </c>
      <c r="R234" s="212">
        <f t="shared" si="28"/>
        <v>5.7804801784823834E-2</v>
      </c>
    </row>
    <row r="235" spans="1:18" x14ac:dyDescent="0.25">
      <c r="A235" s="213" t="s">
        <v>1398</v>
      </c>
      <c r="B235" s="214" t="s">
        <v>147</v>
      </c>
      <c r="C235" s="455">
        <v>353792</v>
      </c>
      <c r="D235" s="268">
        <v>5</v>
      </c>
      <c r="E235" s="444">
        <v>4</v>
      </c>
      <c r="F235" s="421">
        <f t="shared" si="24"/>
        <v>1</v>
      </c>
      <c r="G235" s="236">
        <f t="shared" si="35"/>
        <v>0.25</v>
      </c>
      <c r="H235" s="268">
        <v>22</v>
      </c>
      <c r="I235" s="447">
        <v>21</v>
      </c>
      <c r="J235" s="422">
        <f t="shared" si="25"/>
        <v>1</v>
      </c>
      <c r="K235" s="423">
        <f t="shared" si="36"/>
        <v>4.7619047619047616E-2</v>
      </c>
      <c r="L235" s="268">
        <v>2278</v>
      </c>
      <c r="M235" s="447">
        <v>2315</v>
      </c>
      <c r="N235" s="349">
        <f t="shared" si="26"/>
        <v>-37</v>
      </c>
      <c r="O235" s="424">
        <f t="shared" si="37"/>
        <v>-1.5982721382289417E-2</v>
      </c>
      <c r="P235" s="272">
        <f t="shared" si="27"/>
        <v>6.2183429811866855</v>
      </c>
      <c r="Q235" s="307">
        <v>5.9</v>
      </c>
      <c r="R235" s="212">
        <f t="shared" si="28"/>
        <v>0.31834298118668514</v>
      </c>
    </row>
    <row r="236" spans="1:18" x14ac:dyDescent="0.25">
      <c r="A236" s="213" t="s">
        <v>1398</v>
      </c>
      <c r="B236" s="214" t="s">
        <v>1471</v>
      </c>
      <c r="C236" s="458">
        <v>26061</v>
      </c>
      <c r="D236" s="268">
        <v>0</v>
      </c>
      <c r="E236" s="444">
        <v>0</v>
      </c>
      <c r="F236" s="421">
        <f t="shared" si="24"/>
        <v>0</v>
      </c>
      <c r="G236" s="425" t="s">
        <v>1406</v>
      </c>
      <c r="H236" s="268">
        <v>0</v>
      </c>
      <c r="I236" s="447">
        <v>0</v>
      </c>
      <c r="J236" s="422">
        <f t="shared" si="25"/>
        <v>0</v>
      </c>
      <c r="K236" s="426" t="s">
        <v>1402</v>
      </c>
      <c r="L236" s="268">
        <v>0</v>
      </c>
      <c r="M236" s="447">
        <v>0</v>
      </c>
      <c r="N236" s="349">
        <f t="shared" si="26"/>
        <v>0</v>
      </c>
      <c r="O236" s="424" t="s">
        <v>1406</v>
      </c>
      <c r="P236" s="272">
        <f t="shared" si="27"/>
        <v>0</v>
      </c>
      <c r="Q236" s="307">
        <v>0</v>
      </c>
      <c r="R236" s="212">
        <f t="shared" si="28"/>
        <v>0</v>
      </c>
    </row>
    <row r="237" spans="1:18" x14ac:dyDescent="0.25">
      <c r="A237" s="213" t="s">
        <v>1398</v>
      </c>
      <c r="B237" s="214" t="s">
        <v>1472</v>
      </c>
      <c r="C237" s="458">
        <v>61456</v>
      </c>
      <c r="D237" s="268">
        <v>1</v>
      </c>
      <c r="E237" s="444">
        <v>1</v>
      </c>
      <c r="F237" s="421">
        <f t="shared" si="24"/>
        <v>0</v>
      </c>
      <c r="G237" s="236">
        <f t="shared" si="35"/>
        <v>0</v>
      </c>
      <c r="H237" s="386">
        <v>2</v>
      </c>
      <c r="I237" s="448">
        <v>2</v>
      </c>
      <c r="J237" s="427">
        <f t="shared" si="25"/>
        <v>0</v>
      </c>
      <c r="K237" s="432" t="s">
        <v>1480</v>
      </c>
      <c r="L237" s="386">
        <v>98</v>
      </c>
      <c r="M237" s="448">
        <v>98</v>
      </c>
      <c r="N237" s="428">
        <f t="shared" si="26"/>
        <v>0</v>
      </c>
      <c r="O237" s="424">
        <f t="shared" si="37"/>
        <v>0</v>
      </c>
      <c r="P237" s="272">
        <f t="shared" si="27"/>
        <v>3.2543608435303311</v>
      </c>
      <c r="Q237" s="307">
        <v>3.2</v>
      </c>
      <c r="R237" s="212">
        <f t="shared" si="28"/>
        <v>5.4360843530330882E-2</v>
      </c>
    </row>
    <row r="238" spans="1:18" x14ac:dyDescent="0.25">
      <c r="A238" s="213" t="s">
        <v>1398</v>
      </c>
      <c r="B238" s="214" t="s">
        <v>1473</v>
      </c>
      <c r="C238" s="458">
        <v>58372</v>
      </c>
      <c r="D238" s="268">
        <v>0</v>
      </c>
      <c r="E238" s="444">
        <v>0</v>
      </c>
      <c r="F238" s="421">
        <f t="shared" si="24"/>
        <v>0</v>
      </c>
      <c r="G238" s="425" t="s">
        <v>1406</v>
      </c>
      <c r="H238" s="268">
        <v>0</v>
      </c>
      <c r="I238" s="447">
        <v>0</v>
      </c>
      <c r="J238" s="422">
        <f t="shared" si="25"/>
        <v>0</v>
      </c>
      <c r="K238" s="426" t="s">
        <v>1406</v>
      </c>
      <c r="L238" s="268">
        <v>0</v>
      </c>
      <c r="M238" s="447">
        <v>0</v>
      </c>
      <c r="N238" s="349">
        <f t="shared" si="26"/>
        <v>0</v>
      </c>
      <c r="O238" s="424" t="s">
        <v>1402</v>
      </c>
      <c r="P238" s="272">
        <f t="shared" si="27"/>
        <v>0</v>
      </c>
      <c r="Q238" s="307">
        <v>0</v>
      </c>
      <c r="R238" s="212">
        <f t="shared" si="28"/>
        <v>0</v>
      </c>
    </row>
    <row r="239" spans="1:18" x14ac:dyDescent="0.25">
      <c r="A239" s="213" t="s">
        <v>1398</v>
      </c>
      <c r="B239" s="214" t="s">
        <v>1429</v>
      </c>
      <c r="C239" s="458">
        <v>50448</v>
      </c>
      <c r="D239" s="268">
        <v>1</v>
      </c>
      <c r="E239" s="444">
        <v>1</v>
      </c>
      <c r="F239" s="421">
        <f t="shared" si="24"/>
        <v>0</v>
      </c>
      <c r="G239" s="236">
        <f t="shared" si="35"/>
        <v>0</v>
      </c>
      <c r="H239" s="268">
        <v>2</v>
      </c>
      <c r="I239" s="447">
        <v>2</v>
      </c>
      <c r="J239" s="422">
        <f t="shared" si="25"/>
        <v>0</v>
      </c>
      <c r="K239" s="423">
        <f t="shared" si="36"/>
        <v>0</v>
      </c>
      <c r="L239" s="268">
        <v>116</v>
      </c>
      <c r="M239" s="447">
        <v>116</v>
      </c>
      <c r="N239" s="349">
        <f t="shared" si="26"/>
        <v>0</v>
      </c>
      <c r="O239" s="424">
        <f t="shared" si="37"/>
        <v>0</v>
      </c>
      <c r="P239" s="272">
        <f t="shared" si="27"/>
        <v>3.9644782746590548</v>
      </c>
      <c r="Q239" s="307">
        <v>4</v>
      </c>
      <c r="R239" s="212">
        <f t="shared" si="28"/>
        <v>-3.552172534094522E-2</v>
      </c>
    </row>
    <row r="240" spans="1:18" x14ac:dyDescent="0.25">
      <c r="A240" s="213" t="s">
        <v>1398</v>
      </c>
      <c r="B240" s="214" t="s">
        <v>148</v>
      </c>
      <c r="C240" s="458">
        <v>41579</v>
      </c>
      <c r="D240" s="268">
        <v>1</v>
      </c>
      <c r="E240" s="444">
        <v>1</v>
      </c>
      <c r="F240" s="421">
        <f t="shared" si="24"/>
        <v>0</v>
      </c>
      <c r="G240" s="236">
        <f t="shared" si="35"/>
        <v>0</v>
      </c>
      <c r="H240" s="268">
        <v>1</v>
      </c>
      <c r="I240" s="447">
        <v>1</v>
      </c>
      <c r="J240" s="422">
        <f t="shared" si="25"/>
        <v>0</v>
      </c>
      <c r="K240" s="423">
        <f t="shared" si="36"/>
        <v>0</v>
      </c>
      <c r="L240" s="268">
        <v>212</v>
      </c>
      <c r="M240" s="447">
        <v>212</v>
      </c>
      <c r="N240" s="349">
        <f t="shared" si="26"/>
        <v>0</v>
      </c>
      <c r="O240" s="424">
        <f t="shared" si="37"/>
        <v>0</v>
      </c>
      <c r="P240" s="272">
        <f t="shared" si="27"/>
        <v>2.4050602467591813</v>
      </c>
      <c r="Q240" s="307">
        <v>2.4</v>
      </c>
      <c r="R240" s="212">
        <f t="shared" si="28"/>
        <v>5.0602467591813749E-3</v>
      </c>
    </row>
    <row r="241" spans="1:18" x14ac:dyDescent="0.25">
      <c r="A241" s="213" t="s">
        <v>1398</v>
      </c>
      <c r="B241" s="214" t="s">
        <v>1474</v>
      </c>
      <c r="C241" s="458">
        <v>42465</v>
      </c>
      <c r="D241" s="268">
        <v>1</v>
      </c>
      <c r="E241" s="444">
        <v>1</v>
      </c>
      <c r="F241" s="421">
        <f t="shared" si="24"/>
        <v>0</v>
      </c>
      <c r="G241" s="236">
        <f t="shared" si="35"/>
        <v>0</v>
      </c>
      <c r="H241" s="268">
        <v>1</v>
      </c>
      <c r="I241" s="447">
        <v>1</v>
      </c>
      <c r="J241" s="422">
        <f t="shared" si="25"/>
        <v>0</v>
      </c>
      <c r="K241" s="423">
        <f t="shared" si="36"/>
        <v>0</v>
      </c>
      <c r="L241" s="268">
        <v>152</v>
      </c>
      <c r="M241" s="447">
        <v>152</v>
      </c>
      <c r="N241" s="349">
        <f t="shared" si="26"/>
        <v>0</v>
      </c>
      <c r="O241" s="424">
        <f t="shared" si="37"/>
        <v>0</v>
      </c>
      <c r="P241" s="272">
        <f t="shared" si="27"/>
        <v>2.3548804898151419</v>
      </c>
      <c r="Q241" s="307">
        <v>2.2999999999999998</v>
      </c>
      <c r="R241" s="212">
        <f t="shared" si="28"/>
        <v>5.4880489815142042E-2</v>
      </c>
    </row>
    <row r="242" spans="1:18" x14ac:dyDescent="0.25">
      <c r="A242" s="213" t="s">
        <v>1398</v>
      </c>
      <c r="B242" s="214" t="s">
        <v>1475</v>
      </c>
      <c r="C242" s="458">
        <v>34028</v>
      </c>
      <c r="D242" s="268">
        <v>1</v>
      </c>
      <c r="E242" s="444">
        <v>1</v>
      </c>
      <c r="F242" s="421">
        <f t="shared" si="24"/>
        <v>0</v>
      </c>
      <c r="G242" s="236">
        <f t="shared" si="35"/>
        <v>0</v>
      </c>
      <c r="H242" s="268">
        <v>2</v>
      </c>
      <c r="I242" s="447">
        <v>2</v>
      </c>
      <c r="J242" s="422">
        <f t="shared" si="25"/>
        <v>0</v>
      </c>
      <c r="K242" s="423">
        <f t="shared" si="36"/>
        <v>0</v>
      </c>
      <c r="L242" s="268">
        <v>98</v>
      </c>
      <c r="M242" s="447">
        <v>98</v>
      </c>
      <c r="N242" s="349">
        <f t="shared" si="26"/>
        <v>0</v>
      </c>
      <c r="O242" s="424">
        <f t="shared" si="37"/>
        <v>0</v>
      </c>
      <c r="P242" s="272">
        <f t="shared" si="27"/>
        <v>5.8775126366521686</v>
      </c>
      <c r="Q242" s="307">
        <v>5.8</v>
      </c>
      <c r="R242" s="212">
        <f t="shared" si="28"/>
        <v>7.7512636652168787E-2</v>
      </c>
    </row>
    <row r="243" spans="1:18" x14ac:dyDescent="0.25">
      <c r="A243" s="213" t="s">
        <v>1398</v>
      </c>
      <c r="B243" s="214" t="s">
        <v>1476</v>
      </c>
      <c r="C243" s="458">
        <v>37708</v>
      </c>
      <c r="D243" s="268">
        <v>0</v>
      </c>
      <c r="E243" s="444">
        <v>0</v>
      </c>
      <c r="F243" s="421">
        <f t="shared" si="24"/>
        <v>0</v>
      </c>
      <c r="G243" s="425" t="s">
        <v>1406</v>
      </c>
      <c r="H243" s="268">
        <v>0</v>
      </c>
      <c r="I243" s="447">
        <v>0</v>
      </c>
      <c r="J243" s="422">
        <f t="shared" si="25"/>
        <v>0</v>
      </c>
      <c r="K243" s="426" t="s">
        <v>1406</v>
      </c>
      <c r="L243" s="268">
        <v>0</v>
      </c>
      <c r="M243" s="447">
        <v>0</v>
      </c>
      <c r="N243" s="349">
        <f t="shared" si="26"/>
        <v>0</v>
      </c>
      <c r="O243" s="424" t="s">
        <v>1406</v>
      </c>
      <c r="P243" s="272">
        <f t="shared" si="27"/>
        <v>0</v>
      </c>
      <c r="Q243" s="307">
        <v>0</v>
      </c>
      <c r="R243" s="212">
        <f t="shared" si="28"/>
        <v>0</v>
      </c>
    </row>
    <row r="244" spans="1:18" x14ac:dyDescent="0.25">
      <c r="A244" s="213" t="s">
        <v>1398</v>
      </c>
      <c r="B244" s="214" t="s">
        <v>149</v>
      </c>
      <c r="C244" s="458">
        <v>60387</v>
      </c>
      <c r="D244" s="268">
        <v>1</v>
      </c>
      <c r="E244" s="444">
        <v>1</v>
      </c>
      <c r="F244" s="421">
        <f t="shared" si="24"/>
        <v>0</v>
      </c>
      <c r="G244" s="236">
        <f t="shared" si="35"/>
        <v>0</v>
      </c>
      <c r="H244" s="268">
        <v>2</v>
      </c>
      <c r="I244" s="447">
        <v>2</v>
      </c>
      <c r="J244" s="422">
        <f t="shared" si="25"/>
        <v>0</v>
      </c>
      <c r="K244" s="423">
        <f t="shared" si="36"/>
        <v>0</v>
      </c>
      <c r="L244" s="268">
        <v>410</v>
      </c>
      <c r="M244" s="447">
        <v>410</v>
      </c>
      <c r="N244" s="349">
        <f t="shared" si="26"/>
        <v>0</v>
      </c>
      <c r="O244" s="424">
        <f t="shared" si="37"/>
        <v>0</v>
      </c>
      <c r="P244" s="272">
        <f t="shared" si="27"/>
        <v>3.3119711196118367</v>
      </c>
      <c r="Q244" s="307">
        <v>3.3</v>
      </c>
      <c r="R244" s="212">
        <f t="shared" si="28"/>
        <v>1.1971119611836833E-2</v>
      </c>
    </row>
    <row r="245" spans="1:18" x14ac:dyDescent="0.25">
      <c r="A245" s="213" t="s">
        <v>1398</v>
      </c>
      <c r="B245" s="214" t="s">
        <v>150</v>
      </c>
      <c r="C245" s="458">
        <v>42142</v>
      </c>
      <c r="D245" s="268">
        <v>1</v>
      </c>
      <c r="E245" s="444">
        <v>1</v>
      </c>
      <c r="F245" s="421">
        <f t="shared" si="24"/>
        <v>0</v>
      </c>
      <c r="G245" s="236">
        <f t="shared" si="35"/>
        <v>0</v>
      </c>
      <c r="H245" s="268">
        <v>2</v>
      </c>
      <c r="I245" s="447">
        <v>2</v>
      </c>
      <c r="J245" s="422">
        <f t="shared" si="25"/>
        <v>0</v>
      </c>
      <c r="K245" s="423">
        <f t="shared" si="36"/>
        <v>0</v>
      </c>
      <c r="L245" s="268">
        <v>99</v>
      </c>
      <c r="M245" s="447">
        <v>99</v>
      </c>
      <c r="N245" s="349">
        <f t="shared" si="26"/>
        <v>0</v>
      </c>
      <c r="O245" s="424">
        <f t="shared" si="37"/>
        <v>0</v>
      </c>
      <c r="P245" s="272">
        <f t="shared" si="27"/>
        <v>4.7458592378150062</v>
      </c>
      <c r="Q245" s="307">
        <v>4.7</v>
      </c>
      <c r="R245" s="212">
        <f t="shared" si="28"/>
        <v>4.5859237815006004E-2</v>
      </c>
    </row>
    <row r="246" spans="1:18" x14ac:dyDescent="0.25">
      <c r="A246" s="210" t="s">
        <v>1477</v>
      </c>
      <c r="B246" s="211" t="s">
        <v>3</v>
      </c>
      <c r="C246" s="457">
        <v>678159</v>
      </c>
      <c r="D246" s="267">
        <f>SUM(D247:D248)</f>
        <v>7</v>
      </c>
      <c r="E246" s="445">
        <f>SUM(E247:E248)</f>
        <v>6</v>
      </c>
      <c r="F246" s="421">
        <f t="shared" si="24"/>
        <v>1</v>
      </c>
      <c r="G246" s="236">
        <f t="shared" si="35"/>
        <v>0.16666666666666666</v>
      </c>
      <c r="H246" s="267">
        <f>SUM(H247:H248)</f>
        <v>39</v>
      </c>
      <c r="I246" s="448">
        <f>SUM(I247:I248)</f>
        <v>33</v>
      </c>
      <c r="J246" s="422">
        <f t="shared" si="25"/>
        <v>6</v>
      </c>
      <c r="K246" s="423">
        <f t="shared" si="36"/>
        <v>0.18181818181818182</v>
      </c>
      <c r="L246" s="267">
        <f>SUM(L247:L248)</f>
        <v>4165</v>
      </c>
      <c r="M246" s="445">
        <f>SUM(M247:M248)</f>
        <v>3584</v>
      </c>
      <c r="N246" s="349">
        <f t="shared" si="26"/>
        <v>581</v>
      </c>
      <c r="O246" s="424">
        <f t="shared" si="37"/>
        <v>0.162109375</v>
      </c>
      <c r="P246" s="271">
        <f t="shared" si="27"/>
        <v>5.750863735495658</v>
      </c>
      <c r="Q246" s="306">
        <v>4.9000000000000004</v>
      </c>
      <c r="R246" s="212">
        <f t="shared" si="28"/>
        <v>0.85086373549565764</v>
      </c>
    </row>
    <row r="247" spans="1:18" x14ac:dyDescent="0.25">
      <c r="A247" s="213" t="s">
        <v>1398</v>
      </c>
      <c r="B247" s="214" t="s">
        <v>151</v>
      </c>
      <c r="C247" s="458">
        <v>493389</v>
      </c>
      <c r="D247" s="268">
        <v>6</v>
      </c>
      <c r="E247" s="444">
        <v>5</v>
      </c>
      <c r="F247" s="421">
        <f t="shared" si="24"/>
        <v>1</v>
      </c>
      <c r="G247" s="236">
        <f t="shared" si="35"/>
        <v>0.2</v>
      </c>
      <c r="H247" s="268">
        <v>33</v>
      </c>
      <c r="I247" s="447">
        <v>27</v>
      </c>
      <c r="J247" s="422">
        <f t="shared" si="25"/>
        <v>6</v>
      </c>
      <c r="K247" s="423">
        <f t="shared" si="36"/>
        <v>0.22222222222222221</v>
      </c>
      <c r="L247" s="268">
        <v>3516</v>
      </c>
      <c r="M247" s="447">
        <v>2935</v>
      </c>
      <c r="N247" s="349">
        <f t="shared" si="26"/>
        <v>581</v>
      </c>
      <c r="O247" s="424">
        <f t="shared" si="37"/>
        <v>0.1979557069846678</v>
      </c>
      <c r="P247" s="272">
        <f t="shared" si="27"/>
        <v>6.6884344807038669</v>
      </c>
      <c r="Q247" s="307">
        <v>5.5</v>
      </c>
      <c r="R247" s="212">
        <f t="shared" si="28"/>
        <v>1.1884344807038669</v>
      </c>
    </row>
    <row r="248" spans="1:18" ht="17.25" thickBot="1" x14ac:dyDescent="0.3">
      <c r="A248" s="215" t="s">
        <v>1398</v>
      </c>
      <c r="B248" s="216" t="s">
        <v>152</v>
      </c>
      <c r="C248" s="461">
        <v>184770</v>
      </c>
      <c r="D248" s="270">
        <v>1</v>
      </c>
      <c r="E248" s="446">
        <v>1</v>
      </c>
      <c r="F248" s="434">
        <f t="shared" si="24"/>
        <v>0</v>
      </c>
      <c r="G248" s="435">
        <f t="shared" si="35"/>
        <v>0</v>
      </c>
      <c r="H248" s="270">
        <v>6</v>
      </c>
      <c r="I248" s="449">
        <v>6</v>
      </c>
      <c r="J248" s="436">
        <f t="shared" si="25"/>
        <v>0</v>
      </c>
      <c r="K248" s="353">
        <f t="shared" si="36"/>
        <v>0</v>
      </c>
      <c r="L248" s="270">
        <v>649</v>
      </c>
      <c r="M248" s="449">
        <v>649</v>
      </c>
      <c r="N248" s="437">
        <f t="shared" si="26"/>
        <v>0</v>
      </c>
      <c r="O248" s="438">
        <f t="shared" si="37"/>
        <v>0</v>
      </c>
      <c r="P248" s="273">
        <f t="shared" si="27"/>
        <v>3.2472804026627697</v>
      </c>
      <c r="Q248" s="308">
        <v>3.3</v>
      </c>
      <c r="R248" s="217">
        <f t="shared" si="28"/>
        <v>-5.2719597337230084E-2</v>
      </c>
    </row>
    <row r="249" spans="1:18" x14ac:dyDescent="0.3">
      <c r="A249" s="9"/>
      <c r="B249" s="9"/>
      <c r="C249" s="450"/>
      <c r="D249" s="419"/>
      <c r="E249" s="218"/>
      <c r="F249" s="218"/>
      <c r="G249" s="219"/>
      <c r="H249" s="419"/>
      <c r="I249" s="220"/>
      <c r="J249" s="220"/>
      <c r="K249" s="219"/>
      <c r="L249" s="419"/>
      <c r="M249" s="218"/>
      <c r="O249" s="221"/>
    </row>
    <row r="250" spans="1:18" x14ac:dyDescent="0.3">
      <c r="A250" s="115" t="s">
        <v>3145</v>
      </c>
      <c r="B250" s="9"/>
      <c r="C250" s="450"/>
      <c r="D250" s="419"/>
      <c r="E250" s="218"/>
      <c r="F250" s="218"/>
      <c r="G250" s="219"/>
      <c r="H250" s="419"/>
      <c r="I250" s="220"/>
      <c r="J250" s="220"/>
      <c r="K250" s="219"/>
      <c r="L250" s="419"/>
      <c r="M250" s="218"/>
      <c r="O250" s="221"/>
    </row>
    <row r="251" spans="1:18" x14ac:dyDescent="0.3">
      <c r="A251" s="9"/>
      <c r="B251" s="9"/>
      <c r="C251" s="450"/>
      <c r="D251" s="419"/>
      <c r="E251" s="218"/>
      <c r="F251" s="218"/>
      <c r="G251" s="219"/>
      <c r="H251" s="419"/>
      <c r="I251" s="220"/>
      <c r="J251" s="220"/>
      <c r="K251" s="219"/>
      <c r="L251" s="419"/>
      <c r="M251" s="218"/>
      <c r="O251" s="221"/>
    </row>
  </sheetData>
  <autoFilter ref="A2:R248"/>
  <mergeCells count="1">
    <mergeCell ref="A1:R1"/>
  </mergeCells>
  <phoneticPr fontId="2" type="noConversion"/>
  <pageMargins left="0.7" right="0.7" top="0.75" bottom="0.75" header="0.3" footer="0.3"/>
  <pageSetup paperSize="9" orientation="portrait" horizontalDpi="360" verticalDpi="360" r:id="rId1"/>
  <ignoredErrors>
    <ignoredError sqref="D79:E79 H79:I79 L79:M7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6" sqref="H26"/>
    </sheetView>
  </sheetViews>
  <sheetFormatPr defaultColWidth="12.375" defaultRowHeight="16.5" x14ac:dyDescent="0.3"/>
  <cols>
    <col min="8" max="9" width="14.375" customWidth="1"/>
  </cols>
  <sheetData>
    <row r="1" spans="1:13" ht="27" thickBot="1" x14ac:dyDescent="0.35">
      <c r="A1" s="587" t="s">
        <v>3160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</row>
    <row r="2" spans="1:13" ht="60.6" customHeight="1" thickBot="1" x14ac:dyDescent="0.35">
      <c r="A2" s="175" t="s">
        <v>1346</v>
      </c>
      <c r="B2" s="176" t="s">
        <v>3163</v>
      </c>
      <c r="C2" s="133" t="s">
        <v>3161</v>
      </c>
      <c r="D2" s="133" t="s">
        <v>1347</v>
      </c>
      <c r="E2" s="177" t="s">
        <v>1348</v>
      </c>
      <c r="F2" s="176" t="s">
        <v>3164</v>
      </c>
      <c r="G2" s="133" t="s">
        <v>3162</v>
      </c>
      <c r="H2" s="133" t="s">
        <v>1349</v>
      </c>
      <c r="I2" s="177" t="s">
        <v>1350</v>
      </c>
      <c r="J2" s="176" t="s">
        <v>3165</v>
      </c>
      <c r="K2" s="133" t="s">
        <v>1478</v>
      </c>
      <c r="L2" s="133" t="s">
        <v>1351</v>
      </c>
      <c r="M2" s="178" t="s">
        <v>1352</v>
      </c>
    </row>
    <row r="3" spans="1:13" ht="17.25" thickBot="1" x14ac:dyDescent="0.35">
      <c r="A3" s="179" t="s">
        <v>1353</v>
      </c>
      <c r="B3" s="381">
        <v>74</v>
      </c>
      <c r="C3" s="382">
        <v>73</v>
      </c>
      <c r="D3" s="383">
        <f>B3-C3</f>
        <v>1</v>
      </c>
      <c r="E3" s="384">
        <f>(B3-C3)/C3</f>
        <v>1.3698630136986301E-2</v>
      </c>
      <c r="F3" s="381">
        <v>567</v>
      </c>
      <c r="G3" s="382">
        <v>564</v>
      </c>
      <c r="H3" s="383">
        <f>F3-G3</f>
        <v>3</v>
      </c>
      <c r="I3" s="384">
        <f>(F3-G3)/G3</f>
        <v>5.3191489361702126E-3</v>
      </c>
      <c r="J3" s="381">
        <v>91310</v>
      </c>
      <c r="K3" s="382">
        <v>92761</v>
      </c>
      <c r="L3" s="180">
        <f>J3-K3</f>
        <v>-1451</v>
      </c>
      <c r="M3" s="181">
        <f>(J3-K3)/K3</f>
        <v>-1.5642349694375869E-2</v>
      </c>
    </row>
    <row r="4" spans="1:13" ht="17.25" thickTop="1" x14ac:dyDescent="0.3">
      <c r="A4" s="182" t="s">
        <v>1354</v>
      </c>
      <c r="B4" s="385">
        <v>28</v>
      </c>
      <c r="C4" s="347">
        <v>27</v>
      </c>
      <c r="D4" s="347">
        <f t="shared" ref="D4:D21" si="0">B4-C4</f>
        <v>1</v>
      </c>
      <c r="E4" s="232">
        <f t="shared" ref="E4:E21" si="1">(B4-C4)/C4</f>
        <v>3.7037037037037035E-2</v>
      </c>
      <c r="F4" s="385">
        <v>224</v>
      </c>
      <c r="G4" s="347">
        <v>218</v>
      </c>
      <c r="H4" s="347">
        <f t="shared" ref="H4:H21" si="2">F4-G4</f>
        <v>6</v>
      </c>
      <c r="I4" s="232">
        <f t="shared" ref="I4:I21" si="3">(F4-G4)/G4</f>
        <v>2.7522935779816515E-2</v>
      </c>
      <c r="J4" s="385">
        <v>33180</v>
      </c>
      <c r="K4" s="347">
        <v>32980</v>
      </c>
      <c r="L4" s="155">
        <f t="shared" ref="L4:L21" si="4">J4-K4</f>
        <v>200</v>
      </c>
      <c r="M4" s="154">
        <f t="shared" ref="M4:M21" si="5">(J4-K4)/K4</f>
        <v>6.0642813826561554E-3</v>
      </c>
    </row>
    <row r="5" spans="1:13" x14ac:dyDescent="0.3">
      <c r="A5" s="183" t="s">
        <v>1355</v>
      </c>
      <c r="B5" s="386">
        <v>21</v>
      </c>
      <c r="C5" s="349">
        <v>21</v>
      </c>
      <c r="D5" s="349">
        <f t="shared" si="0"/>
        <v>0</v>
      </c>
      <c r="E5" s="236">
        <f t="shared" si="1"/>
        <v>0</v>
      </c>
      <c r="F5" s="386">
        <v>144</v>
      </c>
      <c r="G5" s="349">
        <v>146</v>
      </c>
      <c r="H5" s="349">
        <f t="shared" si="2"/>
        <v>-2</v>
      </c>
      <c r="I5" s="236">
        <f t="shared" si="3"/>
        <v>-1.3698630136986301E-2</v>
      </c>
      <c r="J5" s="386">
        <v>20857</v>
      </c>
      <c r="K5" s="184">
        <v>21340</v>
      </c>
      <c r="L5" s="159">
        <f t="shared" si="4"/>
        <v>-483</v>
      </c>
      <c r="M5" s="157">
        <f t="shared" si="5"/>
        <v>-2.2633552014995315E-2</v>
      </c>
    </row>
    <row r="6" spans="1:13" x14ac:dyDescent="0.3">
      <c r="A6" s="183" t="s">
        <v>1356</v>
      </c>
      <c r="B6" s="386">
        <v>22</v>
      </c>
      <c r="C6" s="349">
        <v>20</v>
      </c>
      <c r="D6" s="349">
        <f t="shared" si="0"/>
        <v>2</v>
      </c>
      <c r="E6" s="236">
        <f t="shared" si="1"/>
        <v>0.1</v>
      </c>
      <c r="F6" s="386">
        <v>159</v>
      </c>
      <c r="G6" s="349">
        <v>143</v>
      </c>
      <c r="H6" s="349">
        <f t="shared" si="2"/>
        <v>16</v>
      </c>
      <c r="I6" s="236">
        <f t="shared" si="3"/>
        <v>0.11188811188811189</v>
      </c>
      <c r="J6" s="386">
        <v>24028</v>
      </c>
      <c r="K6" s="159">
        <v>21685</v>
      </c>
      <c r="L6" s="159">
        <f t="shared" si="4"/>
        <v>2343</v>
      </c>
      <c r="M6" s="157">
        <f t="shared" si="5"/>
        <v>0.10804703712243487</v>
      </c>
    </row>
    <row r="7" spans="1:13" x14ac:dyDescent="0.3">
      <c r="A7" s="183" t="s">
        <v>1357</v>
      </c>
      <c r="B7" s="386">
        <v>15</v>
      </c>
      <c r="C7" s="349">
        <v>15</v>
      </c>
      <c r="D7" s="349">
        <f t="shared" si="0"/>
        <v>0</v>
      </c>
      <c r="E7" s="236">
        <f t="shared" si="1"/>
        <v>0</v>
      </c>
      <c r="F7" s="386">
        <v>126</v>
      </c>
      <c r="G7" s="349">
        <v>126</v>
      </c>
      <c r="H7" s="349">
        <f t="shared" si="2"/>
        <v>0</v>
      </c>
      <c r="I7" s="236">
        <f t="shared" si="3"/>
        <v>0</v>
      </c>
      <c r="J7" s="386">
        <v>16512</v>
      </c>
      <c r="K7" s="159">
        <v>16512</v>
      </c>
      <c r="L7" s="159">
        <f t="shared" si="4"/>
        <v>0</v>
      </c>
      <c r="M7" s="157">
        <f t="shared" si="5"/>
        <v>0</v>
      </c>
    </row>
    <row r="8" spans="1:13" x14ac:dyDescent="0.3">
      <c r="A8" s="183" t="s">
        <v>1358</v>
      </c>
      <c r="B8" s="386">
        <v>15</v>
      </c>
      <c r="C8" s="349">
        <v>15</v>
      </c>
      <c r="D8" s="349">
        <f t="shared" si="0"/>
        <v>0</v>
      </c>
      <c r="E8" s="236">
        <f t="shared" si="1"/>
        <v>0</v>
      </c>
      <c r="F8" s="386">
        <v>106</v>
      </c>
      <c r="G8" s="349">
        <v>106</v>
      </c>
      <c r="H8" s="349">
        <f t="shared" si="2"/>
        <v>0</v>
      </c>
      <c r="I8" s="236">
        <f t="shared" si="3"/>
        <v>0</v>
      </c>
      <c r="J8" s="386">
        <v>17733</v>
      </c>
      <c r="K8" s="159">
        <v>17733</v>
      </c>
      <c r="L8" s="159">
        <f t="shared" si="4"/>
        <v>0</v>
      </c>
      <c r="M8" s="157">
        <f t="shared" si="5"/>
        <v>0</v>
      </c>
    </row>
    <row r="9" spans="1:13" x14ac:dyDescent="0.3">
      <c r="A9" s="183" t="s">
        <v>1359</v>
      </c>
      <c r="B9" s="386">
        <v>7</v>
      </c>
      <c r="C9" s="349">
        <v>6</v>
      </c>
      <c r="D9" s="349">
        <f t="shared" si="0"/>
        <v>1</v>
      </c>
      <c r="E9" s="236">
        <f t="shared" si="1"/>
        <v>0.16666666666666666</v>
      </c>
      <c r="F9" s="386">
        <v>52</v>
      </c>
      <c r="G9" s="349">
        <v>46</v>
      </c>
      <c r="H9" s="349">
        <f t="shared" si="2"/>
        <v>6</v>
      </c>
      <c r="I9" s="236">
        <f t="shared" si="3"/>
        <v>0.13043478260869565</v>
      </c>
      <c r="J9" s="386">
        <v>8072</v>
      </c>
      <c r="K9" s="349">
        <v>7660</v>
      </c>
      <c r="L9" s="159">
        <f t="shared" si="4"/>
        <v>412</v>
      </c>
      <c r="M9" s="157">
        <f t="shared" si="5"/>
        <v>5.3785900783289819E-2</v>
      </c>
    </row>
    <row r="10" spans="1:13" x14ac:dyDescent="0.3">
      <c r="A10" s="183" t="s">
        <v>1360</v>
      </c>
      <c r="B10" s="386">
        <v>4</v>
      </c>
      <c r="C10" s="349">
        <v>4</v>
      </c>
      <c r="D10" s="349">
        <f t="shared" si="0"/>
        <v>0</v>
      </c>
      <c r="E10" s="236">
        <f t="shared" si="1"/>
        <v>0</v>
      </c>
      <c r="F10" s="386">
        <v>23</v>
      </c>
      <c r="G10" s="349">
        <v>23</v>
      </c>
      <c r="H10" s="349">
        <f t="shared" si="2"/>
        <v>0</v>
      </c>
      <c r="I10" s="236">
        <f t="shared" si="3"/>
        <v>0</v>
      </c>
      <c r="J10" s="386">
        <v>3284</v>
      </c>
      <c r="K10" s="159">
        <v>3284</v>
      </c>
      <c r="L10" s="159">
        <f t="shared" si="4"/>
        <v>0</v>
      </c>
      <c r="M10" s="157">
        <f t="shared" si="5"/>
        <v>0</v>
      </c>
    </row>
    <row r="11" spans="1:13" x14ac:dyDescent="0.3">
      <c r="A11" s="183" t="s">
        <v>1361</v>
      </c>
      <c r="B11" s="386">
        <v>125</v>
      </c>
      <c r="C11" s="349">
        <v>121</v>
      </c>
      <c r="D11" s="349">
        <f t="shared" si="0"/>
        <v>4</v>
      </c>
      <c r="E11" s="236">
        <f t="shared" si="1"/>
        <v>3.3057851239669422E-2</v>
      </c>
      <c r="F11" s="386">
        <v>834</v>
      </c>
      <c r="G11" s="349">
        <v>809</v>
      </c>
      <c r="H11" s="349">
        <f t="shared" si="2"/>
        <v>25</v>
      </c>
      <c r="I11" s="236">
        <f t="shared" si="3"/>
        <v>3.0902348578491966E-2</v>
      </c>
      <c r="J11" s="386">
        <v>114244</v>
      </c>
      <c r="K11" s="159">
        <v>116258</v>
      </c>
      <c r="L11" s="159">
        <f t="shared" si="4"/>
        <v>-2014</v>
      </c>
      <c r="M11" s="157">
        <f t="shared" si="5"/>
        <v>-1.7323539025271378E-2</v>
      </c>
    </row>
    <row r="12" spans="1:13" x14ac:dyDescent="0.3">
      <c r="A12" s="183" t="s">
        <v>1362</v>
      </c>
      <c r="B12" s="386">
        <v>15</v>
      </c>
      <c r="C12" s="349">
        <v>13</v>
      </c>
      <c r="D12" s="349">
        <f t="shared" si="0"/>
        <v>2</v>
      </c>
      <c r="E12" s="236">
        <f t="shared" si="1"/>
        <v>0.15384615384615385</v>
      </c>
      <c r="F12" s="386">
        <v>99</v>
      </c>
      <c r="G12" s="349">
        <v>92</v>
      </c>
      <c r="H12" s="349">
        <f t="shared" si="2"/>
        <v>7</v>
      </c>
      <c r="I12" s="236">
        <f t="shared" si="3"/>
        <v>7.6086956521739135E-2</v>
      </c>
      <c r="J12" s="386">
        <v>12967</v>
      </c>
      <c r="K12" s="159">
        <v>13113</v>
      </c>
      <c r="L12" s="159">
        <f t="shared" si="4"/>
        <v>-146</v>
      </c>
      <c r="M12" s="157">
        <f t="shared" si="5"/>
        <v>-1.1133989171051628E-2</v>
      </c>
    </row>
    <row r="13" spans="1:13" x14ac:dyDescent="0.3">
      <c r="A13" s="183" t="s">
        <v>1363</v>
      </c>
      <c r="B13" s="386">
        <v>17</v>
      </c>
      <c r="C13" s="349">
        <v>17</v>
      </c>
      <c r="D13" s="349">
        <f t="shared" si="0"/>
        <v>0</v>
      </c>
      <c r="E13" s="236">
        <f t="shared" si="1"/>
        <v>0</v>
      </c>
      <c r="F13" s="386">
        <v>110</v>
      </c>
      <c r="G13" s="349">
        <v>112</v>
      </c>
      <c r="H13" s="349">
        <f t="shared" si="2"/>
        <v>-2</v>
      </c>
      <c r="I13" s="236">
        <f t="shared" si="3"/>
        <v>-1.7857142857142856E-2</v>
      </c>
      <c r="J13" s="386">
        <v>15463</v>
      </c>
      <c r="K13" s="159">
        <v>16030</v>
      </c>
      <c r="L13" s="159">
        <f t="shared" si="4"/>
        <v>-567</v>
      </c>
      <c r="M13" s="157">
        <f t="shared" si="5"/>
        <v>-3.5371179039301308E-2</v>
      </c>
    </row>
    <row r="14" spans="1:13" x14ac:dyDescent="0.3">
      <c r="A14" s="183" t="s">
        <v>1364</v>
      </c>
      <c r="B14" s="386">
        <v>19</v>
      </c>
      <c r="C14" s="349">
        <v>18</v>
      </c>
      <c r="D14" s="349">
        <f t="shared" si="0"/>
        <v>1</v>
      </c>
      <c r="E14" s="236">
        <f t="shared" si="1"/>
        <v>5.5555555555555552E-2</v>
      </c>
      <c r="F14" s="386">
        <v>130</v>
      </c>
      <c r="G14" s="349">
        <v>124</v>
      </c>
      <c r="H14" s="349">
        <f t="shared" si="2"/>
        <v>6</v>
      </c>
      <c r="I14" s="236">
        <f t="shared" si="3"/>
        <v>4.8387096774193547E-2</v>
      </c>
      <c r="J14" s="386">
        <v>16738</v>
      </c>
      <c r="K14" s="159">
        <v>16089</v>
      </c>
      <c r="L14" s="159">
        <f t="shared" si="4"/>
        <v>649</v>
      </c>
      <c r="M14" s="157">
        <f t="shared" si="5"/>
        <v>4.0338119211883898E-2</v>
      </c>
    </row>
    <row r="15" spans="1:13" x14ac:dyDescent="0.3">
      <c r="A15" s="183" t="s">
        <v>1365</v>
      </c>
      <c r="B15" s="386">
        <v>16</v>
      </c>
      <c r="C15" s="349">
        <v>16</v>
      </c>
      <c r="D15" s="349">
        <f t="shared" si="0"/>
        <v>0</v>
      </c>
      <c r="E15" s="236">
        <f t="shared" si="1"/>
        <v>0</v>
      </c>
      <c r="F15" s="386">
        <v>109</v>
      </c>
      <c r="G15" s="349">
        <v>109</v>
      </c>
      <c r="H15" s="349">
        <f t="shared" si="2"/>
        <v>0</v>
      </c>
      <c r="I15" s="236">
        <f t="shared" si="3"/>
        <v>0</v>
      </c>
      <c r="J15" s="386">
        <v>16587</v>
      </c>
      <c r="K15" s="159">
        <v>16709</v>
      </c>
      <c r="L15" s="159">
        <f t="shared" si="4"/>
        <v>-122</v>
      </c>
      <c r="M15" s="157">
        <f t="shared" si="5"/>
        <v>-7.3014543060626012E-3</v>
      </c>
    </row>
    <row r="16" spans="1:13" x14ac:dyDescent="0.3">
      <c r="A16" s="183" t="s">
        <v>1366</v>
      </c>
      <c r="B16" s="386">
        <v>11</v>
      </c>
      <c r="C16" s="349">
        <v>11</v>
      </c>
      <c r="D16" s="349">
        <f t="shared" si="0"/>
        <v>0</v>
      </c>
      <c r="E16" s="236">
        <f t="shared" si="1"/>
        <v>0</v>
      </c>
      <c r="F16" s="386">
        <v>77</v>
      </c>
      <c r="G16" s="349">
        <v>77</v>
      </c>
      <c r="H16" s="349">
        <f t="shared" si="2"/>
        <v>0</v>
      </c>
      <c r="I16" s="236">
        <f t="shared" si="3"/>
        <v>0</v>
      </c>
      <c r="J16" s="386">
        <v>11380</v>
      </c>
      <c r="K16" s="159">
        <v>11380</v>
      </c>
      <c r="L16" s="159">
        <f t="shared" si="4"/>
        <v>0</v>
      </c>
      <c r="M16" s="157">
        <f t="shared" si="5"/>
        <v>0</v>
      </c>
    </row>
    <row r="17" spans="1:13" x14ac:dyDescent="0.3">
      <c r="A17" s="183" t="s">
        <v>1367</v>
      </c>
      <c r="B17" s="387">
        <v>26</v>
      </c>
      <c r="C17" s="349">
        <v>26</v>
      </c>
      <c r="D17" s="349">
        <f t="shared" si="0"/>
        <v>0</v>
      </c>
      <c r="E17" s="236">
        <f t="shared" si="1"/>
        <v>0</v>
      </c>
      <c r="F17" s="387">
        <v>142</v>
      </c>
      <c r="G17" s="349">
        <v>147</v>
      </c>
      <c r="H17" s="349">
        <f t="shared" si="2"/>
        <v>-5</v>
      </c>
      <c r="I17" s="236">
        <f t="shared" si="3"/>
        <v>-3.4013605442176874E-2</v>
      </c>
      <c r="J17" s="387">
        <v>16545</v>
      </c>
      <c r="K17" s="184">
        <v>18659</v>
      </c>
      <c r="L17" s="159">
        <f t="shared" si="4"/>
        <v>-2114</v>
      </c>
      <c r="M17" s="157">
        <f t="shared" si="5"/>
        <v>-0.11329653250442145</v>
      </c>
    </row>
    <row r="18" spans="1:13" x14ac:dyDescent="0.3">
      <c r="A18" s="183" t="s">
        <v>1368</v>
      </c>
      <c r="B18" s="268">
        <v>31</v>
      </c>
      <c r="C18" s="349">
        <v>32</v>
      </c>
      <c r="D18" s="349">
        <f t="shared" si="0"/>
        <v>-1</v>
      </c>
      <c r="E18" s="236">
        <f t="shared" si="1"/>
        <v>-3.125E-2</v>
      </c>
      <c r="F18" s="268">
        <v>181</v>
      </c>
      <c r="G18" s="349">
        <v>187</v>
      </c>
      <c r="H18" s="349">
        <f t="shared" si="2"/>
        <v>-6</v>
      </c>
      <c r="I18" s="236">
        <f t="shared" si="3"/>
        <v>-3.2085561497326207E-2</v>
      </c>
      <c r="J18" s="268">
        <v>24302</v>
      </c>
      <c r="K18" s="159">
        <v>25182</v>
      </c>
      <c r="L18" s="159">
        <f t="shared" si="4"/>
        <v>-880</v>
      </c>
      <c r="M18" s="157">
        <f t="shared" si="5"/>
        <v>-3.4945596060678263E-2</v>
      </c>
    </row>
    <row r="19" spans="1:13" ht="17.25" thickBot="1" x14ac:dyDescent="0.35">
      <c r="A19" s="185" t="s">
        <v>1369</v>
      </c>
      <c r="B19" s="388">
        <v>6</v>
      </c>
      <c r="C19" s="345">
        <v>5</v>
      </c>
      <c r="D19" s="345">
        <f t="shared" si="0"/>
        <v>1</v>
      </c>
      <c r="E19" s="241">
        <f t="shared" si="1"/>
        <v>0.2</v>
      </c>
      <c r="F19" s="388">
        <v>37</v>
      </c>
      <c r="G19" s="345">
        <v>31</v>
      </c>
      <c r="H19" s="345">
        <f t="shared" si="2"/>
        <v>6</v>
      </c>
      <c r="I19" s="241">
        <f t="shared" si="3"/>
        <v>0.19354838709677419</v>
      </c>
      <c r="J19" s="388">
        <v>4067</v>
      </c>
      <c r="K19" s="152">
        <v>3486</v>
      </c>
      <c r="L19" s="152">
        <f t="shared" si="4"/>
        <v>581</v>
      </c>
      <c r="M19" s="162">
        <f t="shared" si="5"/>
        <v>0.16666666666666666</v>
      </c>
    </row>
    <row r="20" spans="1:13" ht="18" thickTop="1" thickBot="1" x14ac:dyDescent="0.35">
      <c r="A20" s="186" t="s">
        <v>1370</v>
      </c>
      <c r="B20" s="389">
        <f>SUM(B4:B19)</f>
        <v>378</v>
      </c>
      <c r="C20" s="390">
        <f>SUM(C4:C19)</f>
        <v>367</v>
      </c>
      <c r="D20" s="345">
        <f t="shared" si="0"/>
        <v>11</v>
      </c>
      <c r="E20" s="384">
        <f t="shared" si="1"/>
        <v>2.9972752043596729E-2</v>
      </c>
      <c r="F20" s="389">
        <f>SUM(F4:F19)</f>
        <v>2553</v>
      </c>
      <c r="G20" s="390">
        <f>SUM(G4:G19)</f>
        <v>2496</v>
      </c>
      <c r="H20" s="383">
        <f t="shared" si="2"/>
        <v>57</v>
      </c>
      <c r="I20" s="384">
        <f t="shared" si="3"/>
        <v>2.283653846153846E-2</v>
      </c>
      <c r="J20" s="389">
        <f>SUM(J4:J19)</f>
        <v>355959</v>
      </c>
      <c r="K20" s="187">
        <f>SUM(K4:K19)</f>
        <v>358100</v>
      </c>
      <c r="L20" s="180">
        <f t="shared" si="4"/>
        <v>-2141</v>
      </c>
      <c r="M20" s="181">
        <f t="shared" si="5"/>
        <v>-5.9787768779670479E-3</v>
      </c>
    </row>
    <row r="21" spans="1:13" ht="18" thickTop="1" thickBot="1" x14ac:dyDescent="0.35">
      <c r="A21" s="136" t="s">
        <v>1371</v>
      </c>
      <c r="B21" s="391">
        <f>B20+B3</f>
        <v>452</v>
      </c>
      <c r="C21" s="392">
        <f>C3+C20</f>
        <v>440</v>
      </c>
      <c r="D21" s="392">
        <f t="shared" si="0"/>
        <v>12</v>
      </c>
      <c r="E21" s="393">
        <f t="shared" si="1"/>
        <v>2.7272727272727271E-2</v>
      </c>
      <c r="F21" s="391">
        <f>F20+F3</f>
        <v>3120</v>
      </c>
      <c r="G21" s="392">
        <f>G3+G20</f>
        <v>3060</v>
      </c>
      <c r="H21" s="392">
        <f t="shared" si="2"/>
        <v>60</v>
      </c>
      <c r="I21" s="393">
        <f t="shared" si="3"/>
        <v>1.9607843137254902E-2</v>
      </c>
      <c r="J21" s="391">
        <f>J20+J3</f>
        <v>447269</v>
      </c>
      <c r="K21" s="188">
        <f>K3+K20</f>
        <v>450861</v>
      </c>
      <c r="L21" s="188">
        <f t="shared" si="4"/>
        <v>-3592</v>
      </c>
      <c r="M21" s="189">
        <f t="shared" si="5"/>
        <v>-7.9669787362402159E-3</v>
      </c>
    </row>
    <row r="22" spans="1:13" x14ac:dyDescent="0.3">
      <c r="A22" s="190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70"/>
      <c r="M22" s="170"/>
    </row>
    <row r="23" spans="1:13" s="170" customFormat="1" x14ac:dyDescent="0.3">
      <c r="A23" s="145" t="s">
        <v>3448</v>
      </c>
      <c r="B23" s="503"/>
      <c r="C23" s="191"/>
      <c r="D23" s="191"/>
      <c r="E23" s="191"/>
      <c r="F23" s="191"/>
      <c r="G23" s="191"/>
      <c r="H23" s="191"/>
      <c r="I23" s="191"/>
      <c r="J23" s="191"/>
      <c r="K23" s="191"/>
    </row>
    <row r="24" spans="1:13" s="170" customFormat="1" x14ac:dyDescent="0.3">
      <c r="A24" s="116" t="s">
        <v>1342</v>
      </c>
      <c r="B24" s="503"/>
      <c r="C24" s="191"/>
      <c r="D24" s="191"/>
      <c r="E24" s="191"/>
      <c r="F24" s="191"/>
      <c r="G24" s="191"/>
      <c r="H24" s="191"/>
      <c r="I24" s="191"/>
      <c r="J24" s="191"/>
      <c r="K24" s="191"/>
    </row>
    <row r="25" spans="1:13" s="170" customFormat="1" x14ac:dyDescent="0.3">
      <c r="A25" s="117" t="s">
        <v>3159</v>
      </c>
    </row>
    <row r="26" spans="1:13" x14ac:dyDescent="0.3">
      <c r="A26" s="8"/>
    </row>
  </sheetData>
  <mergeCells count="1">
    <mergeCell ref="A1:M1"/>
  </mergeCells>
  <phoneticPr fontId="2" type="noConversion"/>
  <pageMargins left="0.7" right="0.7" top="0.75" bottom="0.75" header="0.3" footer="0.3"/>
  <pageSetup paperSize="9" orientation="portrait" r:id="rId1"/>
  <ignoredErrors>
    <ignoredError sqref="B20:C20 F20:G20 J20:K2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zoomScale="115" zoomScaleNormal="115" workbookViewId="0">
      <selection activeCell="J17" sqref="J17"/>
    </sheetView>
  </sheetViews>
  <sheetFormatPr defaultRowHeight="16.5" x14ac:dyDescent="0.3"/>
  <cols>
    <col min="1" max="1" width="17.375" customWidth="1"/>
    <col min="2" max="7" width="8.875" bestFit="1" customWidth="1"/>
    <col min="8" max="8" width="9" bestFit="1" customWidth="1"/>
    <col min="9" max="10" width="8.875" bestFit="1" customWidth="1"/>
    <col min="11" max="11" width="11.125" customWidth="1"/>
    <col min="12" max="12" width="8.875" bestFit="1" customWidth="1"/>
    <col min="13" max="13" width="10.375" customWidth="1"/>
    <col min="14" max="14" width="8.875" bestFit="1" customWidth="1"/>
  </cols>
  <sheetData>
    <row r="1" spans="1:17" s="7" customFormat="1" ht="27" customHeight="1" thickBot="1" x14ac:dyDescent="0.35">
      <c r="A1" s="590" t="s">
        <v>3158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590"/>
      <c r="P1" s="590"/>
      <c r="Q1" s="590"/>
    </row>
    <row r="2" spans="1:17" s="7" customFormat="1" x14ac:dyDescent="0.3">
      <c r="A2" s="591" t="s">
        <v>1372</v>
      </c>
      <c r="B2" s="594">
        <v>2022</v>
      </c>
      <c r="C2" s="595"/>
      <c r="D2" s="595"/>
      <c r="E2" s="595"/>
      <c r="F2" s="595"/>
      <c r="G2" s="595"/>
      <c r="H2" s="595"/>
      <c r="I2" s="595"/>
      <c r="J2" s="595"/>
      <c r="K2" s="596"/>
      <c r="L2" s="596"/>
      <c r="M2" s="596"/>
      <c r="N2" s="596"/>
      <c r="O2" s="597">
        <v>2021</v>
      </c>
      <c r="P2" s="595"/>
      <c r="Q2" s="598"/>
    </row>
    <row r="3" spans="1:17" s="7" customFormat="1" x14ac:dyDescent="0.3">
      <c r="A3" s="592"/>
      <c r="B3" s="599" t="s">
        <v>1373</v>
      </c>
      <c r="C3" s="601" t="s">
        <v>1374</v>
      </c>
      <c r="D3" s="603" t="s">
        <v>1375</v>
      </c>
      <c r="E3" s="599" t="s">
        <v>1376</v>
      </c>
      <c r="F3" s="601" t="s">
        <v>1374</v>
      </c>
      <c r="G3" s="603" t="s">
        <v>1375</v>
      </c>
      <c r="H3" s="599" t="s">
        <v>1377</v>
      </c>
      <c r="I3" s="601" t="s">
        <v>1378</v>
      </c>
      <c r="J3" s="603" t="s">
        <v>1379</v>
      </c>
      <c r="K3" s="607" t="s">
        <v>1380</v>
      </c>
      <c r="L3" s="608"/>
      <c r="M3" s="608"/>
      <c r="N3" s="609"/>
      <c r="O3" s="610" t="s">
        <v>1381</v>
      </c>
      <c r="P3" s="588" t="s">
        <v>1376</v>
      </c>
      <c r="Q3" s="605" t="s">
        <v>1377</v>
      </c>
    </row>
    <row r="4" spans="1:17" s="7" customFormat="1" ht="17.25" thickBot="1" x14ac:dyDescent="0.35">
      <c r="A4" s="593"/>
      <c r="B4" s="600"/>
      <c r="C4" s="602"/>
      <c r="D4" s="604"/>
      <c r="E4" s="600"/>
      <c r="F4" s="602"/>
      <c r="G4" s="604"/>
      <c r="H4" s="600"/>
      <c r="I4" s="602"/>
      <c r="J4" s="604"/>
      <c r="K4" s="500" t="s">
        <v>1382</v>
      </c>
      <c r="L4" s="501" t="s">
        <v>1383</v>
      </c>
      <c r="M4" s="501" t="s">
        <v>1384</v>
      </c>
      <c r="N4" s="502" t="s">
        <v>1385</v>
      </c>
      <c r="O4" s="611"/>
      <c r="P4" s="589"/>
      <c r="Q4" s="606"/>
    </row>
    <row r="5" spans="1:17" s="7" customFormat="1" ht="17.25" customHeight="1" thickTop="1" x14ac:dyDescent="0.3">
      <c r="A5" s="192" t="s">
        <v>1386</v>
      </c>
      <c r="B5" s="355">
        <v>188</v>
      </c>
      <c r="C5" s="356">
        <f t="shared" ref="C5:C9" si="0">B5-O5</f>
        <v>4</v>
      </c>
      <c r="D5" s="357">
        <f t="shared" ref="D5:D9" si="1">(B5-O5)/O5</f>
        <v>2.1739130434782608E-2</v>
      </c>
      <c r="E5" s="358">
        <v>1330</v>
      </c>
      <c r="F5" s="356">
        <f>E5-P5</f>
        <v>18</v>
      </c>
      <c r="G5" s="357">
        <f t="shared" ref="G5:G9" si="2">(E5-P5)/P5</f>
        <v>1.3719512195121951E-2</v>
      </c>
      <c r="H5" s="359">
        <v>194100</v>
      </c>
      <c r="I5" s="360">
        <v>7058</v>
      </c>
      <c r="J5" s="361">
        <f t="shared" ref="J5:J9" si="3">(H5-Q5)/Q5</f>
        <v>-6.0680543820569935E-3</v>
      </c>
      <c r="K5" s="355">
        <v>118</v>
      </c>
      <c r="L5" s="362">
        <f>K5/B5</f>
        <v>0.62765957446808507</v>
      </c>
      <c r="M5" s="363">
        <v>70</v>
      </c>
      <c r="N5" s="357">
        <f>M5/B5</f>
        <v>0.37234042553191488</v>
      </c>
      <c r="O5" s="193">
        <v>184</v>
      </c>
      <c r="P5" s="194">
        <v>1312</v>
      </c>
      <c r="Q5" s="195">
        <v>195285</v>
      </c>
    </row>
    <row r="6" spans="1:17" s="7" customFormat="1" x14ac:dyDescent="0.3">
      <c r="A6" s="196" t="s">
        <v>205</v>
      </c>
      <c r="B6" s="355">
        <v>142</v>
      </c>
      <c r="C6" s="363">
        <f t="shared" si="0"/>
        <v>0</v>
      </c>
      <c r="D6" s="357">
        <f t="shared" si="1"/>
        <v>0</v>
      </c>
      <c r="E6" s="355">
        <v>976</v>
      </c>
      <c r="F6" s="363">
        <f t="shared" ref="F6:F9" si="4">E6-P6</f>
        <v>-6</v>
      </c>
      <c r="G6" s="357">
        <f t="shared" si="2"/>
        <v>-6.1099796334012219E-3</v>
      </c>
      <c r="H6" s="359">
        <v>143947</v>
      </c>
      <c r="I6" s="360">
        <f t="shared" ref="I6:I9" si="5">H6-Q6</f>
        <v>-5443</v>
      </c>
      <c r="J6" s="361">
        <f t="shared" si="3"/>
        <v>-3.6434834995648972E-2</v>
      </c>
      <c r="K6" s="355">
        <v>91</v>
      </c>
      <c r="L6" s="362">
        <f>K6/B6</f>
        <v>0.64084507042253525</v>
      </c>
      <c r="M6" s="363">
        <v>51</v>
      </c>
      <c r="N6" s="357">
        <f>M6/B6</f>
        <v>0.35915492957746481</v>
      </c>
      <c r="O6" s="193">
        <v>142</v>
      </c>
      <c r="P6" s="194">
        <v>982</v>
      </c>
      <c r="Q6" s="195">
        <v>149390</v>
      </c>
    </row>
    <row r="7" spans="1:17" s="7" customFormat="1" x14ac:dyDescent="0.3">
      <c r="A7" s="196" t="s">
        <v>206</v>
      </c>
      <c r="B7" s="355">
        <v>111</v>
      </c>
      <c r="C7" s="363">
        <f t="shared" si="0"/>
        <v>8</v>
      </c>
      <c r="D7" s="357">
        <f t="shared" si="1"/>
        <v>7.7669902912621352E-2</v>
      </c>
      <c r="E7" s="355">
        <v>755</v>
      </c>
      <c r="F7" s="363">
        <f t="shared" si="4"/>
        <v>49</v>
      </c>
      <c r="G7" s="357">
        <f t="shared" si="2"/>
        <v>6.9405099150141647E-2</v>
      </c>
      <c r="H7" s="359">
        <v>102030</v>
      </c>
      <c r="I7" s="360">
        <f t="shared" si="5"/>
        <v>3711</v>
      </c>
      <c r="J7" s="361">
        <f t="shared" si="3"/>
        <v>3.7744484789308273E-2</v>
      </c>
      <c r="K7" s="355">
        <v>55</v>
      </c>
      <c r="L7" s="362">
        <f>K7/B7</f>
        <v>0.49549549549549549</v>
      </c>
      <c r="M7" s="363">
        <v>56</v>
      </c>
      <c r="N7" s="357">
        <f>M7/B7</f>
        <v>0.50450450450450446</v>
      </c>
      <c r="O7" s="193">
        <v>103</v>
      </c>
      <c r="P7" s="194">
        <v>706</v>
      </c>
      <c r="Q7" s="195">
        <v>98319</v>
      </c>
    </row>
    <row r="8" spans="1:17" s="7" customFormat="1" ht="17.25" thickBot="1" x14ac:dyDescent="0.35">
      <c r="A8" s="197" t="s">
        <v>1387</v>
      </c>
      <c r="B8" s="364">
        <v>10</v>
      </c>
      <c r="C8" s="365">
        <f t="shared" si="0"/>
        <v>0</v>
      </c>
      <c r="D8" s="366">
        <f t="shared" si="1"/>
        <v>0</v>
      </c>
      <c r="E8" s="364">
        <v>48</v>
      </c>
      <c r="F8" s="365">
        <f t="shared" si="4"/>
        <v>-1</v>
      </c>
      <c r="G8" s="366">
        <f t="shared" si="2"/>
        <v>-2.0408163265306121E-2</v>
      </c>
      <c r="H8" s="367">
        <v>4480</v>
      </c>
      <c r="I8" s="368">
        <f t="shared" si="5"/>
        <v>-675</v>
      </c>
      <c r="J8" s="369">
        <f t="shared" si="3"/>
        <v>-0.13094083414161009</v>
      </c>
      <c r="K8" s="364">
        <v>7</v>
      </c>
      <c r="L8" s="370">
        <f>K8/B8</f>
        <v>0.7</v>
      </c>
      <c r="M8" s="365">
        <v>3</v>
      </c>
      <c r="N8" s="366">
        <f>M8/B8</f>
        <v>0.3</v>
      </c>
      <c r="O8" s="198">
        <v>10</v>
      </c>
      <c r="P8" s="199">
        <v>49</v>
      </c>
      <c r="Q8" s="200">
        <v>5155</v>
      </c>
    </row>
    <row r="9" spans="1:17" s="7" customFormat="1" ht="18" thickTop="1" thickBot="1" x14ac:dyDescent="0.35">
      <c r="A9" s="201" t="s">
        <v>3</v>
      </c>
      <c r="B9" s="371">
        <f>SUM(B5:B8)</f>
        <v>451</v>
      </c>
      <c r="C9" s="372">
        <f t="shared" si="0"/>
        <v>12</v>
      </c>
      <c r="D9" s="373">
        <f t="shared" si="1"/>
        <v>2.7334851936218679E-2</v>
      </c>
      <c r="E9" s="374">
        <f>SUM(E5:E8)</f>
        <v>3109</v>
      </c>
      <c r="F9" s="372">
        <f t="shared" si="4"/>
        <v>60</v>
      </c>
      <c r="G9" s="373">
        <f t="shared" si="2"/>
        <v>1.9678583142013775E-2</v>
      </c>
      <c r="H9" s="375">
        <f>SUM(H5:H8)</f>
        <v>444557</v>
      </c>
      <c r="I9" s="376">
        <f t="shared" si="5"/>
        <v>-3592</v>
      </c>
      <c r="J9" s="373">
        <f t="shared" si="3"/>
        <v>-8.0151913760825085E-3</v>
      </c>
      <c r="K9" s="377">
        <f>SUM(K5:K8)</f>
        <v>271</v>
      </c>
      <c r="L9" s="378">
        <f>K9/B9</f>
        <v>0.60088691796008864</v>
      </c>
      <c r="M9" s="379">
        <f>SUM(M5:M8)</f>
        <v>180</v>
      </c>
      <c r="N9" s="380">
        <f>M9/B9</f>
        <v>0.3991130820399113</v>
      </c>
      <c r="O9" s="202">
        <f>SUM(O5:O8)</f>
        <v>439</v>
      </c>
      <c r="P9" s="203">
        <f>SUM(P5:P8)</f>
        <v>3049</v>
      </c>
      <c r="Q9" s="204">
        <f>SUM(Q5:Q8)</f>
        <v>448149</v>
      </c>
    </row>
    <row r="10" spans="1:17" s="7" customFormat="1" x14ac:dyDescent="0.3"/>
    <row r="11" spans="1:17" s="7" customFormat="1" x14ac:dyDescent="0.3">
      <c r="A11" s="145" t="s">
        <v>1388</v>
      </c>
    </row>
    <row r="12" spans="1:17" s="7" customFormat="1" x14ac:dyDescent="0.3">
      <c r="A12" s="116" t="s">
        <v>1342</v>
      </c>
    </row>
    <row r="13" spans="1:17" s="7" customFormat="1" x14ac:dyDescent="0.3">
      <c r="A13" s="117" t="s">
        <v>3159</v>
      </c>
    </row>
    <row r="14" spans="1:17" s="7" customFormat="1" x14ac:dyDescent="0.3"/>
  </sheetData>
  <mergeCells count="17">
    <mergeCell ref="O3:O4"/>
    <mergeCell ref="P3:P4"/>
    <mergeCell ref="A1:Q1"/>
    <mergeCell ref="A2:A4"/>
    <mergeCell ref="B2:N2"/>
    <mergeCell ref="O2:Q2"/>
    <mergeCell ref="B3:B4"/>
    <mergeCell ref="C3:C4"/>
    <mergeCell ref="D3:D4"/>
    <mergeCell ref="E3:E4"/>
    <mergeCell ref="F3:F4"/>
    <mergeCell ref="G3:G4"/>
    <mergeCell ref="Q3:Q4"/>
    <mergeCell ref="H3:H4"/>
    <mergeCell ref="I3:I4"/>
    <mergeCell ref="J3:J4"/>
    <mergeCell ref="K3:N3"/>
  </mergeCells>
  <phoneticPr fontId="2" type="noConversion"/>
  <pageMargins left="0.7" right="0.7" top="0.75" bottom="0.75" header="0.3" footer="0.3"/>
  <ignoredErrors>
    <ignoredError sqref="L9 N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0"/>
  <sheetViews>
    <sheetView tabSelected="1" zoomScale="85" zoomScaleNormal="85" workbookViewId="0">
      <selection activeCell="K21" sqref="K21"/>
    </sheetView>
  </sheetViews>
  <sheetFormatPr defaultColWidth="12.375" defaultRowHeight="16.5" x14ac:dyDescent="0.3"/>
  <cols>
    <col min="1" max="1" width="13.5" customWidth="1"/>
    <col min="2" max="2" width="26" style="2" customWidth="1"/>
    <col min="3" max="6" width="10.5" customWidth="1"/>
    <col min="7" max="7" width="4" customWidth="1"/>
    <col min="8" max="8" width="11.25" customWidth="1"/>
    <col min="9" max="14" width="9.875" customWidth="1"/>
    <col min="15" max="15" width="4" customWidth="1"/>
    <col min="16" max="16" width="9.75" customWidth="1"/>
    <col min="17" max="22" width="9.125" customWidth="1"/>
    <col min="23" max="23" width="9.875" customWidth="1"/>
    <col min="24" max="24" width="9.125" customWidth="1"/>
  </cols>
  <sheetData>
    <row r="1" spans="1:24" ht="27" thickBot="1" x14ac:dyDescent="0.35">
      <c r="A1" s="585" t="s">
        <v>3451</v>
      </c>
      <c r="B1" s="585"/>
      <c r="C1" s="585"/>
      <c r="D1" s="585"/>
      <c r="E1" s="585"/>
      <c r="F1" s="585"/>
      <c r="H1" s="621" t="s">
        <v>3452</v>
      </c>
      <c r="I1" s="621"/>
      <c r="J1" s="621"/>
      <c r="K1" s="621"/>
      <c r="L1" s="621"/>
      <c r="M1" s="621"/>
      <c r="N1" s="621"/>
      <c r="O1" s="4"/>
      <c r="P1" s="612" t="s">
        <v>3453</v>
      </c>
      <c r="Q1" s="612"/>
      <c r="R1" s="612"/>
      <c r="S1" s="612"/>
      <c r="T1" s="612"/>
      <c r="U1" s="612"/>
      <c r="V1" s="612"/>
      <c r="W1" s="612"/>
      <c r="X1" s="612"/>
    </row>
    <row r="2" spans="1:24" s="1" customFormat="1" x14ac:dyDescent="0.3">
      <c r="A2" s="488" t="s">
        <v>209</v>
      </c>
      <c r="B2" s="489" t="s">
        <v>3074</v>
      </c>
      <c r="C2" s="489" t="s">
        <v>1290</v>
      </c>
      <c r="D2" s="489" t="s">
        <v>205</v>
      </c>
      <c r="E2" s="490" t="s">
        <v>206</v>
      </c>
      <c r="F2" s="491" t="s">
        <v>893</v>
      </c>
      <c r="H2" s="622" t="s">
        <v>1047</v>
      </c>
      <c r="I2" s="624" t="s">
        <v>3454</v>
      </c>
      <c r="J2" s="624" t="s">
        <v>3455</v>
      </c>
      <c r="K2" s="626" t="s">
        <v>1048</v>
      </c>
      <c r="L2" s="627"/>
      <c r="M2" s="627"/>
      <c r="N2" s="628"/>
      <c r="O2" s="5"/>
      <c r="P2" s="613" t="s">
        <v>1053</v>
      </c>
      <c r="Q2" s="615" t="s">
        <v>1054</v>
      </c>
      <c r="R2" s="617" t="s">
        <v>3449</v>
      </c>
      <c r="S2" s="618"/>
      <c r="T2" s="618"/>
      <c r="U2" s="618"/>
      <c r="V2" s="619"/>
      <c r="W2" s="615" t="s">
        <v>3456</v>
      </c>
      <c r="X2" s="620" t="s">
        <v>1055</v>
      </c>
    </row>
    <row r="3" spans="1:24" ht="16.5" customHeight="1" x14ac:dyDescent="0.3">
      <c r="A3" s="629" t="s">
        <v>1293</v>
      </c>
      <c r="B3" s="110" t="s">
        <v>207</v>
      </c>
      <c r="C3" s="274">
        <v>21</v>
      </c>
      <c r="D3" s="274" t="s">
        <v>897</v>
      </c>
      <c r="E3" s="274" t="s">
        <v>1171</v>
      </c>
      <c r="F3" s="248" t="s">
        <v>897</v>
      </c>
      <c r="H3" s="623"/>
      <c r="I3" s="625"/>
      <c r="J3" s="625"/>
      <c r="K3" s="492" t="s">
        <v>1049</v>
      </c>
      <c r="L3" s="492" t="s">
        <v>1050</v>
      </c>
      <c r="M3" s="492" t="s">
        <v>1051</v>
      </c>
      <c r="N3" s="493" t="s">
        <v>1052</v>
      </c>
      <c r="O3" s="4"/>
      <c r="P3" s="614"/>
      <c r="Q3" s="616"/>
      <c r="R3" s="478" t="s">
        <v>1292</v>
      </c>
      <c r="S3" s="494" t="s">
        <v>205</v>
      </c>
      <c r="T3" s="478" t="s">
        <v>206</v>
      </c>
      <c r="U3" s="478" t="s">
        <v>1156</v>
      </c>
      <c r="V3" s="478" t="s">
        <v>3</v>
      </c>
      <c r="W3" s="616"/>
      <c r="X3" s="609"/>
    </row>
    <row r="4" spans="1:24" ht="17.25" thickBot="1" x14ac:dyDescent="0.35">
      <c r="A4" s="633"/>
      <c r="B4" s="110" t="s">
        <v>1058</v>
      </c>
      <c r="C4" s="274">
        <v>1</v>
      </c>
      <c r="D4" s="274" t="s">
        <v>897</v>
      </c>
      <c r="E4" s="274" t="s">
        <v>1166</v>
      </c>
      <c r="F4" s="248" t="s">
        <v>897</v>
      </c>
      <c r="H4" s="112" t="s">
        <v>1291</v>
      </c>
      <c r="I4" s="277">
        <v>62</v>
      </c>
      <c r="J4" s="277">
        <v>131</v>
      </c>
      <c r="K4" s="277">
        <v>62</v>
      </c>
      <c r="L4" s="278">
        <f>K4/I4</f>
        <v>1</v>
      </c>
      <c r="M4" s="277">
        <v>0</v>
      </c>
      <c r="N4" s="279">
        <f>M4/I4</f>
        <v>0</v>
      </c>
      <c r="O4" s="4"/>
      <c r="P4" s="104" t="s">
        <v>191</v>
      </c>
      <c r="Q4" s="284">
        <v>591</v>
      </c>
      <c r="R4" s="289">
        <v>49</v>
      </c>
      <c r="S4" s="289">
        <v>25</v>
      </c>
      <c r="T4" s="289">
        <v>42</v>
      </c>
      <c r="U4" s="289">
        <v>3</v>
      </c>
      <c r="V4" s="290">
        <f t="shared" ref="V4:V9" si="0">SUM(R4:U4)</f>
        <v>119</v>
      </c>
      <c r="W4" s="291">
        <f>V4/Q4</f>
        <v>0.20135363790186125</v>
      </c>
      <c r="X4" s="292">
        <f>V4/V22</f>
        <v>0.21755027422303475</v>
      </c>
    </row>
    <row r="5" spans="1:24" ht="17.25" thickTop="1" x14ac:dyDescent="0.3">
      <c r="A5" s="633"/>
      <c r="B5" s="110" t="s">
        <v>1285</v>
      </c>
      <c r="C5" s="274" t="s">
        <v>1165</v>
      </c>
      <c r="D5" s="274">
        <v>1</v>
      </c>
      <c r="E5" s="274" t="s">
        <v>897</v>
      </c>
      <c r="F5" s="248" t="s">
        <v>897</v>
      </c>
      <c r="H5" s="112" t="s">
        <v>205</v>
      </c>
      <c r="I5" s="277">
        <v>59</v>
      </c>
      <c r="J5" s="277">
        <v>174</v>
      </c>
      <c r="K5" s="277">
        <v>35</v>
      </c>
      <c r="L5" s="278">
        <f>K5/I5</f>
        <v>0.59322033898305082</v>
      </c>
      <c r="M5" s="277">
        <v>24</v>
      </c>
      <c r="N5" s="279">
        <f>M5/I5</f>
        <v>0.40677966101694918</v>
      </c>
      <c r="O5" s="4"/>
      <c r="P5" s="105" t="s">
        <v>192</v>
      </c>
      <c r="Q5" s="285">
        <v>228</v>
      </c>
      <c r="R5" s="293">
        <v>12</v>
      </c>
      <c r="S5" s="293">
        <v>6</v>
      </c>
      <c r="T5" s="293">
        <v>15</v>
      </c>
      <c r="U5" s="293">
        <v>0</v>
      </c>
      <c r="V5" s="294">
        <f t="shared" si="0"/>
        <v>33</v>
      </c>
      <c r="W5" s="295">
        <f t="shared" ref="W5:W22" si="1">V5/Q5</f>
        <v>0.14473684210526316</v>
      </c>
      <c r="X5" s="296">
        <f>V5/V22</f>
        <v>6.0329067641681902E-2</v>
      </c>
    </row>
    <row r="6" spans="1:24" x14ac:dyDescent="0.3">
      <c r="A6" s="633"/>
      <c r="B6" s="110" t="s">
        <v>1284</v>
      </c>
      <c r="C6" s="274" t="s">
        <v>1166</v>
      </c>
      <c r="D6" s="274">
        <v>11</v>
      </c>
      <c r="E6" s="274" t="s">
        <v>1171</v>
      </c>
      <c r="F6" s="248" t="s">
        <v>897</v>
      </c>
      <c r="H6" s="112" t="s">
        <v>206</v>
      </c>
      <c r="I6" s="277">
        <v>55</v>
      </c>
      <c r="J6" s="277">
        <v>223</v>
      </c>
      <c r="K6" s="277">
        <v>38</v>
      </c>
      <c r="L6" s="278">
        <f>K6/I6</f>
        <v>0.69090909090909092</v>
      </c>
      <c r="M6" s="277">
        <v>17</v>
      </c>
      <c r="N6" s="279">
        <f>M6/I6</f>
        <v>0.30909090909090908</v>
      </c>
      <c r="O6" s="4"/>
      <c r="P6" s="106" t="s">
        <v>193</v>
      </c>
      <c r="Q6" s="286">
        <v>145</v>
      </c>
      <c r="R6" s="297">
        <v>5</v>
      </c>
      <c r="S6" s="297">
        <v>2</v>
      </c>
      <c r="T6" s="297">
        <v>8</v>
      </c>
      <c r="U6" s="297">
        <v>7</v>
      </c>
      <c r="V6" s="286">
        <f t="shared" si="0"/>
        <v>22</v>
      </c>
      <c r="W6" s="298">
        <f t="shared" si="1"/>
        <v>0.15172413793103448</v>
      </c>
      <c r="X6" s="299">
        <f>V6/V22</f>
        <v>4.0219378427787937E-2</v>
      </c>
    </row>
    <row r="7" spans="1:24" ht="17.25" thickBot="1" x14ac:dyDescent="0.35">
      <c r="A7" s="633"/>
      <c r="B7" s="110" t="s">
        <v>1288</v>
      </c>
      <c r="C7" s="274">
        <v>46</v>
      </c>
      <c r="D7" s="274" t="s">
        <v>897</v>
      </c>
      <c r="E7" s="274" t="s">
        <v>1172</v>
      </c>
      <c r="F7" s="248" t="s">
        <v>897</v>
      </c>
      <c r="H7" s="113" t="s">
        <v>893</v>
      </c>
      <c r="I7" s="280">
        <v>4</v>
      </c>
      <c r="J7" s="280">
        <v>19</v>
      </c>
      <c r="K7" s="280">
        <v>1</v>
      </c>
      <c r="L7" s="281">
        <f>K7/I7</f>
        <v>0.25</v>
      </c>
      <c r="M7" s="282">
        <v>3</v>
      </c>
      <c r="N7" s="283">
        <f>M7/I7</f>
        <v>0.75</v>
      </c>
      <c r="O7" s="4"/>
      <c r="P7" s="106" t="s">
        <v>194</v>
      </c>
      <c r="Q7" s="286">
        <v>172</v>
      </c>
      <c r="R7" s="297">
        <v>4</v>
      </c>
      <c r="S7" s="297">
        <v>2</v>
      </c>
      <c r="T7" s="297">
        <v>6</v>
      </c>
      <c r="U7" s="297">
        <v>0</v>
      </c>
      <c r="V7" s="286">
        <f t="shared" si="0"/>
        <v>12</v>
      </c>
      <c r="W7" s="298">
        <f t="shared" si="1"/>
        <v>6.9767441860465115E-2</v>
      </c>
      <c r="X7" s="299">
        <f>V7/V22</f>
        <v>2.1937842778793418E-2</v>
      </c>
    </row>
    <row r="8" spans="1:24" ht="18" thickTop="1" thickBot="1" x14ac:dyDescent="0.35">
      <c r="A8" s="633"/>
      <c r="B8" s="110" t="s">
        <v>1289</v>
      </c>
      <c r="C8" s="274" t="s">
        <v>897</v>
      </c>
      <c r="D8" s="274" t="s">
        <v>897</v>
      </c>
      <c r="E8" s="274">
        <v>5</v>
      </c>
      <c r="F8" s="248" t="s">
        <v>1170</v>
      </c>
      <c r="H8" s="114" t="s">
        <v>890</v>
      </c>
      <c r="I8" s="398">
        <f>SUM(I4:I7)</f>
        <v>180</v>
      </c>
      <c r="J8" s="398">
        <f>SUM(J4:J7)</f>
        <v>547</v>
      </c>
      <c r="K8" s="399">
        <f>SUM(K4:K7)</f>
        <v>136</v>
      </c>
      <c r="L8" s="400">
        <f>K8/I8</f>
        <v>0.75555555555555554</v>
      </c>
      <c r="M8" s="401">
        <f>SUM(M4:M7)</f>
        <v>44</v>
      </c>
      <c r="N8" s="402">
        <f>M8/I8</f>
        <v>0.24444444444444444</v>
      </c>
      <c r="O8" s="4"/>
      <c r="P8" s="106" t="s">
        <v>195</v>
      </c>
      <c r="Q8" s="286">
        <v>128</v>
      </c>
      <c r="R8" s="297">
        <v>5</v>
      </c>
      <c r="S8" s="297">
        <v>11</v>
      </c>
      <c r="T8" s="297">
        <v>20</v>
      </c>
      <c r="U8" s="297">
        <v>0</v>
      </c>
      <c r="V8" s="286">
        <f t="shared" si="0"/>
        <v>36</v>
      </c>
      <c r="W8" s="298">
        <f t="shared" si="1"/>
        <v>0.28125</v>
      </c>
      <c r="X8" s="299">
        <f>V8/V22</f>
        <v>6.5813528336380253E-2</v>
      </c>
    </row>
    <row r="9" spans="1:24" x14ac:dyDescent="0.3">
      <c r="A9" s="633"/>
      <c r="B9" s="110" t="s">
        <v>1059</v>
      </c>
      <c r="C9" s="274" t="s">
        <v>897</v>
      </c>
      <c r="D9" s="274">
        <v>4</v>
      </c>
      <c r="E9" s="274" t="s">
        <v>897</v>
      </c>
      <c r="F9" s="248" t="s">
        <v>1166</v>
      </c>
      <c r="H9" s="82"/>
      <c r="I9" s="83"/>
      <c r="J9" s="83"/>
      <c r="K9" s="84"/>
      <c r="L9" s="85"/>
      <c r="M9" s="84"/>
      <c r="N9" s="86"/>
      <c r="P9" s="106" t="s">
        <v>196</v>
      </c>
      <c r="Q9" s="286">
        <v>107</v>
      </c>
      <c r="R9" s="297">
        <v>5</v>
      </c>
      <c r="S9" s="297">
        <v>4</v>
      </c>
      <c r="T9" s="297">
        <v>12</v>
      </c>
      <c r="U9" s="297">
        <v>0</v>
      </c>
      <c r="V9" s="286">
        <f t="shared" si="0"/>
        <v>21</v>
      </c>
      <c r="W9" s="298">
        <f t="shared" si="1"/>
        <v>0.19626168224299065</v>
      </c>
      <c r="X9" s="299">
        <f>V9/V22</f>
        <v>3.8391224862888484E-2</v>
      </c>
    </row>
    <row r="10" spans="1:24" x14ac:dyDescent="0.3">
      <c r="A10" s="630"/>
      <c r="B10" s="110" t="s">
        <v>885</v>
      </c>
      <c r="C10" s="274" t="s">
        <v>1167</v>
      </c>
      <c r="D10" s="274" t="s">
        <v>897</v>
      </c>
      <c r="E10" s="274">
        <v>9</v>
      </c>
      <c r="F10" s="248" t="s">
        <v>897</v>
      </c>
      <c r="K10" s="1"/>
      <c r="P10" s="106" t="s">
        <v>197</v>
      </c>
      <c r="Q10" s="286">
        <v>56</v>
      </c>
      <c r="R10" s="297">
        <v>5</v>
      </c>
      <c r="S10" s="297">
        <v>1</v>
      </c>
      <c r="T10" s="297">
        <v>2</v>
      </c>
      <c r="U10" s="297">
        <v>0</v>
      </c>
      <c r="V10" s="286">
        <f t="shared" ref="V10:V22" si="2">SUM(R10:U10)</f>
        <v>8</v>
      </c>
      <c r="W10" s="298">
        <f t="shared" si="1"/>
        <v>0.14285714285714285</v>
      </c>
      <c r="X10" s="299">
        <f>V10/V22</f>
        <v>1.4625228519195612E-2</v>
      </c>
    </row>
    <row r="11" spans="1:24" x14ac:dyDescent="0.3">
      <c r="A11" s="629" t="s">
        <v>886</v>
      </c>
      <c r="B11" s="110" t="s">
        <v>208</v>
      </c>
      <c r="C11" s="274">
        <v>40</v>
      </c>
      <c r="D11" s="274" t="s">
        <v>897</v>
      </c>
      <c r="E11" s="274" t="s">
        <v>1170</v>
      </c>
      <c r="F11" s="248" t="s">
        <v>1171</v>
      </c>
      <c r="K11" s="1"/>
      <c r="P11" s="106" t="s">
        <v>1056</v>
      </c>
      <c r="Q11" s="286">
        <v>23</v>
      </c>
      <c r="R11" s="297">
        <v>1</v>
      </c>
      <c r="S11" s="297">
        <v>0</v>
      </c>
      <c r="T11" s="297">
        <v>6</v>
      </c>
      <c r="U11" s="297">
        <v>0</v>
      </c>
      <c r="V11" s="286">
        <f t="shared" si="2"/>
        <v>7</v>
      </c>
      <c r="W11" s="298">
        <f t="shared" si="1"/>
        <v>0.30434782608695654</v>
      </c>
      <c r="X11" s="299">
        <f>V11/V22</f>
        <v>1.2797074954296161E-2</v>
      </c>
    </row>
    <row r="12" spans="1:24" x14ac:dyDescent="0.3">
      <c r="A12" s="630"/>
      <c r="B12" s="110" t="s">
        <v>1060</v>
      </c>
      <c r="C12" s="274" t="s">
        <v>1168</v>
      </c>
      <c r="D12" s="274">
        <v>11</v>
      </c>
      <c r="E12" s="274" t="s">
        <v>897</v>
      </c>
      <c r="F12" s="248" t="s">
        <v>897</v>
      </c>
      <c r="K12" s="1"/>
      <c r="P12" s="106" t="s">
        <v>198</v>
      </c>
      <c r="Q12" s="286">
        <v>854</v>
      </c>
      <c r="R12" s="297">
        <v>29</v>
      </c>
      <c r="S12" s="297">
        <v>56</v>
      </c>
      <c r="T12" s="297">
        <v>66</v>
      </c>
      <c r="U12" s="297">
        <v>0</v>
      </c>
      <c r="V12" s="286">
        <f t="shared" si="2"/>
        <v>151</v>
      </c>
      <c r="W12" s="298">
        <f t="shared" si="1"/>
        <v>0.17681498829039813</v>
      </c>
      <c r="X12" s="299">
        <f>V12/V22</f>
        <v>0.27605118829981717</v>
      </c>
    </row>
    <row r="13" spans="1:24" x14ac:dyDescent="0.3">
      <c r="A13" s="629" t="s">
        <v>889</v>
      </c>
      <c r="B13" s="110" t="s">
        <v>1061</v>
      </c>
      <c r="C13" s="274" t="s">
        <v>897</v>
      </c>
      <c r="D13" s="274" t="s">
        <v>897</v>
      </c>
      <c r="E13" s="274">
        <v>4</v>
      </c>
      <c r="F13" s="248" t="s">
        <v>897</v>
      </c>
      <c r="K13" s="1"/>
      <c r="P13" s="106" t="s">
        <v>199</v>
      </c>
      <c r="Q13" s="286">
        <v>127</v>
      </c>
      <c r="R13" s="297">
        <v>2</v>
      </c>
      <c r="S13" s="297">
        <v>11</v>
      </c>
      <c r="T13" s="297">
        <v>13</v>
      </c>
      <c r="U13" s="297">
        <v>0</v>
      </c>
      <c r="V13" s="286">
        <f t="shared" si="2"/>
        <v>26</v>
      </c>
      <c r="W13" s="298">
        <f t="shared" si="1"/>
        <v>0.20472440944881889</v>
      </c>
      <c r="X13" s="299">
        <f>V13/V22</f>
        <v>4.7531992687385741E-2</v>
      </c>
    </row>
    <row r="14" spans="1:24" x14ac:dyDescent="0.3">
      <c r="A14" s="633"/>
      <c r="B14" s="110" t="s">
        <v>1062</v>
      </c>
      <c r="C14" s="274">
        <v>1</v>
      </c>
      <c r="D14" s="274" t="s">
        <v>897</v>
      </c>
      <c r="E14" s="274" t="s">
        <v>897</v>
      </c>
      <c r="F14" s="248" t="s">
        <v>897</v>
      </c>
      <c r="K14" s="1"/>
      <c r="P14" s="106" t="s">
        <v>200</v>
      </c>
      <c r="Q14" s="286">
        <v>119</v>
      </c>
      <c r="R14" s="297">
        <v>2</v>
      </c>
      <c r="S14" s="297">
        <v>2</v>
      </c>
      <c r="T14" s="297">
        <v>0</v>
      </c>
      <c r="U14" s="297">
        <v>0</v>
      </c>
      <c r="V14" s="286">
        <f t="shared" si="2"/>
        <v>4</v>
      </c>
      <c r="W14" s="298">
        <f t="shared" si="1"/>
        <v>3.3613445378151259E-2</v>
      </c>
      <c r="X14" s="299">
        <f>V14/V22</f>
        <v>7.3126142595978062E-3</v>
      </c>
    </row>
    <row r="15" spans="1:24" x14ac:dyDescent="0.3">
      <c r="A15" s="633"/>
      <c r="B15" s="110" t="s">
        <v>887</v>
      </c>
      <c r="C15" s="274">
        <v>7</v>
      </c>
      <c r="D15" s="274" t="s">
        <v>897</v>
      </c>
      <c r="E15" s="274" t="s">
        <v>897</v>
      </c>
      <c r="F15" s="248" t="s">
        <v>897</v>
      </c>
      <c r="K15" s="1"/>
      <c r="P15" s="106" t="s">
        <v>201</v>
      </c>
      <c r="Q15" s="286">
        <v>149</v>
      </c>
      <c r="R15" s="297">
        <v>4</v>
      </c>
      <c r="S15" s="297">
        <v>7</v>
      </c>
      <c r="T15" s="297">
        <v>2</v>
      </c>
      <c r="U15" s="297">
        <v>2</v>
      </c>
      <c r="V15" s="286">
        <f t="shared" si="2"/>
        <v>15</v>
      </c>
      <c r="W15" s="298">
        <f t="shared" si="1"/>
        <v>0.10067114093959731</v>
      </c>
      <c r="X15" s="299">
        <f>V15/V22</f>
        <v>2.7422303473491772E-2</v>
      </c>
    </row>
    <row r="16" spans="1:24" x14ac:dyDescent="0.3">
      <c r="A16" s="633"/>
      <c r="B16" s="110" t="s">
        <v>1063</v>
      </c>
      <c r="C16" s="274" t="s">
        <v>897</v>
      </c>
      <c r="D16" s="274">
        <v>3</v>
      </c>
      <c r="E16" s="274" t="s">
        <v>897</v>
      </c>
      <c r="F16" s="248" t="s">
        <v>897</v>
      </c>
      <c r="P16" s="106" t="s">
        <v>202</v>
      </c>
      <c r="Q16" s="286">
        <v>139</v>
      </c>
      <c r="R16" s="297">
        <v>3</v>
      </c>
      <c r="S16" s="297">
        <v>7</v>
      </c>
      <c r="T16" s="297">
        <v>0</v>
      </c>
      <c r="U16" s="297">
        <v>7</v>
      </c>
      <c r="V16" s="286">
        <f t="shared" si="2"/>
        <v>17</v>
      </c>
      <c r="W16" s="298">
        <f t="shared" si="1"/>
        <v>0.1223021582733813</v>
      </c>
      <c r="X16" s="299">
        <f>V16/V22</f>
        <v>3.1078610603290677E-2</v>
      </c>
    </row>
    <row r="17" spans="1:24" x14ac:dyDescent="0.3">
      <c r="A17" s="633"/>
      <c r="B17" s="110" t="s">
        <v>2892</v>
      </c>
      <c r="C17" s="274" t="s">
        <v>897</v>
      </c>
      <c r="D17" s="274" t="s">
        <v>897</v>
      </c>
      <c r="E17" s="274">
        <v>2</v>
      </c>
      <c r="F17" s="248" t="s">
        <v>897</v>
      </c>
      <c r="P17" s="107" t="s">
        <v>1157</v>
      </c>
      <c r="Q17" s="287">
        <v>101</v>
      </c>
      <c r="R17" s="300">
        <v>0</v>
      </c>
      <c r="S17" s="300">
        <v>0</v>
      </c>
      <c r="T17" s="300">
        <v>0</v>
      </c>
      <c r="U17" s="300">
        <v>0</v>
      </c>
      <c r="V17" s="286">
        <f t="shared" si="2"/>
        <v>0</v>
      </c>
      <c r="W17" s="298">
        <f t="shared" si="1"/>
        <v>0</v>
      </c>
      <c r="X17" s="301">
        <f>V17/V22</f>
        <v>0</v>
      </c>
    </row>
    <row r="18" spans="1:24" x14ac:dyDescent="0.3">
      <c r="A18" s="633"/>
      <c r="B18" s="110" t="s">
        <v>1067</v>
      </c>
      <c r="C18" s="275">
        <v>1</v>
      </c>
      <c r="D18" s="274" t="s">
        <v>897</v>
      </c>
      <c r="E18" s="274" t="s">
        <v>897</v>
      </c>
      <c r="F18" s="248" t="s">
        <v>897</v>
      </c>
      <c r="P18" s="106" t="s">
        <v>203</v>
      </c>
      <c r="Q18" s="286">
        <v>152</v>
      </c>
      <c r="R18" s="297">
        <v>0</v>
      </c>
      <c r="S18" s="297">
        <v>20</v>
      </c>
      <c r="T18" s="297">
        <v>8</v>
      </c>
      <c r="U18" s="297">
        <v>0</v>
      </c>
      <c r="V18" s="286">
        <f t="shared" si="2"/>
        <v>28</v>
      </c>
      <c r="W18" s="298">
        <f t="shared" si="1"/>
        <v>0.18421052631578946</v>
      </c>
      <c r="X18" s="299">
        <f>V18/V22</f>
        <v>5.1188299817184646E-2</v>
      </c>
    </row>
    <row r="19" spans="1:24" x14ac:dyDescent="0.3">
      <c r="A19" s="633"/>
      <c r="B19" s="110" t="s">
        <v>1283</v>
      </c>
      <c r="C19" s="275" t="s">
        <v>897</v>
      </c>
      <c r="D19" s="274">
        <v>2</v>
      </c>
      <c r="E19" s="274" t="s">
        <v>897</v>
      </c>
      <c r="F19" s="248" t="s">
        <v>897</v>
      </c>
      <c r="P19" s="106" t="s">
        <v>1057</v>
      </c>
      <c r="Q19" s="286">
        <v>192</v>
      </c>
      <c r="R19" s="297">
        <v>4</v>
      </c>
      <c r="S19" s="297">
        <v>11</v>
      </c>
      <c r="T19" s="297">
        <v>23</v>
      </c>
      <c r="U19" s="297">
        <v>0</v>
      </c>
      <c r="V19" s="286">
        <f t="shared" si="2"/>
        <v>38</v>
      </c>
      <c r="W19" s="298">
        <f t="shared" si="1"/>
        <v>0.19791666666666666</v>
      </c>
      <c r="X19" s="299">
        <f>V19/V22</f>
        <v>6.9469835466179158E-2</v>
      </c>
    </row>
    <row r="20" spans="1:24" ht="17.25" thickBot="1" x14ac:dyDescent="0.35">
      <c r="A20" s="633"/>
      <c r="B20" s="110" t="s">
        <v>1071</v>
      </c>
      <c r="C20" s="275" t="s">
        <v>897</v>
      </c>
      <c r="D20" s="274">
        <v>129</v>
      </c>
      <c r="E20" s="274" t="s">
        <v>897</v>
      </c>
      <c r="F20" s="248" t="s">
        <v>897</v>
      </c>
      <c r="P20" s="104" t="s">
        <v>204</v>
      </c>
      <c r="Q20" s="284">
        <v>39</v>
      </c>
      <c r="R20" s="289">
        <v>1</v>
      </c>
      <c r="S20" s="289">
        <v>9</v>
      </c>
      <c r="T20" s="289">
        <v>0</v>
      </c>
      <c r="U20" s="289">
        <v>0</v>
      </c>
      <c r="V20" s="284">
        <f t="shared" si="2"/>
        <v>10</v>
      </c>
      <c r="W20" s="291">
        <f t="shared" si="1"/>
        <v>0.25641025641025639</v>
      </c>
      <c r="X20" s="292">
        <f>V20/V22</f>
        <v>1.8281535648994516E-2</v>
      </c>
    </row>
    <row r="21" spans="1:24" ht="18" thickTop="1" thickBot="1" x14ac:dyDescent="0.35">
      <c r="A21" s="633"/>
      <c r="B21" s="110" t="s">
        <v>884</v>
      </c>
      <c r="C21" s="275" t="s">
        <v>897</v>
      </c>
      <c r="D21" s="274" t="s">
        <v>897</v>
      </c>
      <c r="E21" s="274">
        <v>171</v>
      </c>
      <c r="F21" s="248" t="s">
        <v>897</v>
      </c>
      <c r="P21" s="108" t="s">
        <v>1295</v>
      </c>
      <c r="Q21" s="288">
        <f>SUM(Q5:Q20)</f>
        <v>2731</v>
      </c>
      <c r="R21" s="288">
        <f>SUM(R5:R20)</f>
        <v>82</v>
      </c>
      <c r="S21" s="302">
        <f>SUM(S5:S20)</f>
        <v>149</v>
      </c>
      <c r="T21" s="302">
        <f>SUM(T5:T20)</f>
        <v>181</v>
      </c>
      <c r="U21" s="302">
        <f>SUM(U5:U20)</f>
        <v>16</v>
      </c>
      <c r="V21" s="284">
        <f>SUM(R21:U21)</f>
        <v>428</v>
      </c>
      <c r="W21" s="291">
        <f t="shared" si="1"/>
        <v>0.15671915049432442</v>
      </c>
      <c r="X21" s="303">
        <f>V21/V22</f>
        <v>0.78244972577696525</v>
      </c>
    </row>
    <row r="22" spans="1:24" ht="18" thickTop="1" thickBot="1" x14ac:dyDescent="0.35">
      <c r="A22" s="633"/>
      <c r="B22" s="110" t="s">
        <v>1068</v>
      </c>
      <c r="C22" s="274" t="s">
        <v>897</v>
      </c>
      <c r="D22" s="274" t="s">
        <v>897</v>
      </c>
      <c r="E22" s="274" t="s">
        <v>897</v>
      </c>
      <c r="F22" s="248">
        <v>10</v>
      </c>
      <c r="P22" s="109" t="s">
        <v>890</v>
      </c>
      <c r="Q22" s="394">
        <f>Q21+Q4</f>
        <v>3322</v>
      </c>
      <c r="R22" s="394">
        <f>R21+R4</f>
        <v>131</v>
      </c>
      <c r="S22" s="394">
        <f>S21+S4</f>
        <v>174</v>
      </c>
      <c r="T22" s="394">
        <f>T21+T4</f>
        <v>223</v>
      </c>
      <c r="U22" s="394">
        <f>U21+U4</f>
        <v>19</v>
      </c>
      <c r="V22" s="395">
        <f t="shared" si="2"/>
        <v>547</v>
      </c>
      <c r="W22" s="396">
        <f t="shared" si="1"/>
        <v>0.1646598434677905</v>
      </c>
      <c r="X22" s="397">
        <f>V22/V22</f>
        <v>1</v>
      </c>
    </row>
    <row r="23" spans="1:24" x14ac:dyDescent="0.3">
      <c r="A23" s="633"/>
      <c r="B23" s="110" t="s">
        <v>1287</v>
      </c>
      <c r="C23" s="274" t="s">
        <v>897</v>
      </c>
      <c r="D23" s="274" t="s">
        <v>897</v>
      </c>
      <c r="E23" s="274" t="s">
        <v>897</v>
      </c>
      <c r="F23" s="248">
        <v>9</v>
      </c>
      <c r="P23" s="80"/>
      <c r="Q23" s="76"/>
      <c r="R23" s="76"/>
      <c r="S23" s="76"/>
      <c r="T23" s="76"/>
      <c r="U23" s="76"/>
      <c r="V23" s="77"/>
      <c r="W23" s="78"/>
      <c r="X23" s="79"/>
    </row>
    <row r="24" spans="1:24" x14ac:dyDescent="0.3">
      <c r="A24" s="629" t="s">
        <v>1286</v>
      </c>
      <c r="B24" s="110" t="s">
        <v>1064</v>
      </c>
      <c r="C24" s="274">
        <v>4</v>
      </c>
      <c r="D24" s="274" t="s">
        <v>897</v>
      </c>
      <c r="E24" s="274" t="s">
        <v>897</v>
      </c>
      <c r="F24" s="248" t="s">
        <v>897</v>
      </c>
      <c r="P24" s="80"/>
      <c r="Q24" s="76"/>
      <c r="R24" s="76"/>
      <c r="S24" s="76"/>
      <c r="T24" s="76"/>
      <c r="U24" s="76"/>
      <c r="V24" s="77"/>
      <c r="W24" s="78"/>
      <c r="X24" s="79"/>
    </row>
    <row r="25" spans="1:24" x14ac:dyDescent="0.3">
      <c r="A25" s="633"/>
      <c r="B25" s="110" t="s">
        <v>3170</v>
      </c>
      <c r="C25" s="274">
        <v>2</v>
      </c>
      <c r="D25" s="274" t="s">
        <v>897</v>
      </c>
      <c r="E25" s="274" t="s">
        <v>897</v>
      </c>
      <c r="F25" s="248" t="s">
        <v>897</v>
      </c>
      <c r="P25" s="80"/>
      <c r="Q25" s="76"/>
      <c r="R25" s="76"/>
      <c r="S25" s="76"/>
      <c r="T25" s="76"/>
      <c r="U25" s="76"/>
      <c r="V25" s="77"/>
      <c r="W25" s="78"/>
      <c r="X25" s="79"/>
    </row>
    <row r="26" spans="1:24" x14ac:dyDescent="0.3">
      <c r="A26" s="633"/>
      <c r="B26" s="110" t="s">
        <v>3169</v>
      </c>
      <c r="C26" s="274">
        <v>2</v>
      </c>
      <c r="D26" s="274"/>
      <c r="E26" s="274"/>
      <c r="F26" s="248"/>
      <c r="P26" s="80"/>
      <c r="Q26" s="76"/>
      <c r="R26" s="76"/>
      <c r="S26" s="76"/>
      <c r="T26" s="76"/>
      <c r="U26" s="76"/>
      <c r="V26" s="77"/>
      <c r="W26" s="78"/>
      <c r="X26" s="79"/>
    </row>
    <row r="27" spans="1:24" x14ac:dyDescent="0.3">
      <c r="A27" s="633"/>
      <c r="B27" s="110" t="s">
        <v>1065</v>
      </c>
      <c r="C27" s="274" t="s">
        <v>1166</v>
      </c>
      <c r="D27" s="274" t="s">
        <v>897</v>
      </c>
      <c r="E27" s="274">
        <v>32</v>
      </c>
      <c r="F27" s="248" t="s">
        <v>897</v>
      </c>
      <c r="P27" s="80"/>
      <c r="Q27" s="76"/>
      <c r="R27" s="76"/>
      <c r="S27" s="76"/>
      <c r="T27" s="76"/>
      <c r="U27" s="76"/>
      <c r="V27" s="77"/>
      <c r="W27" s="78"/>
      <c r="X27" s="79"/>
    </row>
    <row r="28" spans="1:24" x14ac:dyDescent="0.3">
      <c r="A28" s="633"/>
      <c r="B28" s="110" t="s">
        <v>1066</v>
      </c>
      <c r="C28" s="274" t="s">
        <v>1169</v>
      </c>
      <c r="D28" s="274">
        <v>13</v>
      </c>
      <c r="E28" s="274" t="s">
        <v>897</v>
      </c>
      <c r="F28" s="248" t="s">
        <v>897</v>
      </c>
      <c r="P28" s="80"/>
      <c r="Q28" s="76"/>
      <c r="R28" s="76"/>
      <c r="S28" s="76"/>
      <c r="T28" s="76"/>
      <c r="U28" s="76"/>
      <c r="V28" s="77"/>
      <c r="W28" s="78"/>
      <c r="X28" s="79"/>
    </row>
    <row r="29" spans="1:24" ht="17.25" thickBot="1" x14ac:dyDescent="0.35">
      <c r="A29" s="634"/>
      <c r="B29" s="111" t="s">
        <v>888</v>
      </c>
      <c r="C29" s="276">
        <v>6</v>
      </c>
      <c r="D29" s="276" t="s">
        <v>897</v>
      </c>
      <c r="E29" s="276" t="s">
        <v>1170</v>
      </c>
      <c r="F29" s="247" t="s">
        <v>897</v>
      </c>
      <c r="P29" s="80"/>
      <c r="Q29" s="76"/>
      <c r="R29" s="76"/>
      <c r="S29" s="76"/>
      <c r="T29" s="76"/>
      <c r="U29" s="76"/>
      <c r="V29" s="77"/>
      <c r="W29" s="78"/>
      <c r="X29" s="79"/>
    </row>
    <row r="30" spans="1:24" ht="18" thickTop="1" thickBot="1" x14ac:dyDescent="0.35">
      <c r="A30" s="631" t="s">
        <v>890</v>
      </c>
      <c r="B30" s="632"/>
      <c r="C30" s="403">
        <f>SUM(C3:C29)</f>
        <v>131</v>
      </c>
      <c r="D30" s="403">
        <f>SUM(D3:D29)</f>
        <v>174</v>
      </c>
      <c r="E30" s="403">
        <f>SUM(E3:E29)</f>
        <v>223</v>
      </c>
      <c r="F30" s="404">
        <f>SUM(F3:F29)</f>
        <v>19</v>
      </c>
    </row>
    <row r="31" spans="1:24" x14ac:dyDescent="0.3">
      <c r="A31" s="81"/>
      <c r="B31" s="81"/>
      <c r="C31" s="81"/>
      <c r="D31" s="81"/>
      <c r="E31" s="81"/>
      <c r="F31" s="81"/>
      <c r="G31" s="4"/>
    </row>
    <row r="32" spans="1:24" s="170" customFormat="1" x14ac:dyDescent="0.3">
      <c r="A32" s="44" t="s">
        <v>3457</v>
      </c>
      <c r="B32" s="504"/>
      <c r="C32" s="505"/>
      <c r="D32" s="505"/>
      <c r="E32" s="505"/>
      <c r="F32" s="505"/>
      <c r="G32" s="506"/>
    </row>
    <row r="33" spans="1:7" s="170" customFormat="1" x14ac:dyDescent="0.3">
      <c r="A33" s="44" t="s">
        <v>3458</v>
      </c>
      <c r="B33" s="504"/>
      <c r="C33" s="505"/>
      <c r="D33" s="505"/>
      <c r="E33" s="505"/>
      <c r="F33" s="505"/>
      <c r="G33" s="506"/>
    </row>
    <row r="34" spans="1:7" s="170" customFormat="1" x14ac:dyDescent="0.3">
      <c r="A34" s="44" t="s">
        <v>3459</v>
      </c>
      <c r="B34" s="504"/>
      <c r="C34" s="505"/>
      <c r="D34" s="505"/>
      <c r="E34" s="505"/>
      <c r="F34" s="505"/>
      <c r="G34" s="506"/>
    </row>
    <row r="35" spans="1:7" s="170" customFormat="1" x14ac:dyDescent="0.3">
      <c r="A35" s="44" t="s">
        <v>3460</v>
      </c>
      <c r="B35" s="504"/>
      <c r="C35" s="505"/>
      <c r="D35" s="505"/>
      <c r="E35" s="505"/>
      <c r="F35" s="505"/>
      <c r="G35" s="506"/>
    </row>
    <row r="36" spans="1:7" s="170" customFormat="1" x14ac:dyDescent="0.3">
      <c r="A36" s="115" t="s">
        <v>3461</v>
      </c>
      <c r="B36" s="507"/>
      <c r="C36" s="505"/>
      <c r="D36" s="505"/>
      <c r="E36" s="505"/>
      <c r="F36" s="505"/>
      <c r="G36" s="506"/>
    </row>
    <row r="37" spans="1:7" s="170" customFormat="1" x14ac:dyDescent="0.3">
      <c r="A37" s="115" t="s">
        <v>3466</v>
      </c>
      <c r="B37" s="507"/>
      <c r="C37" s="505"/>
      <c r="D37" s="505"/>
      <c r="E37" s="505"/>
      <c r="F37" s="505"/>
      <c r="G37" s="506"/>
    </row>
    <row r="38" spans="1:7" s="170" customFormat="1" x14ac:dyDescent="0.3">
      <c r="A38" s="44"/>
      <c r="B38" s="507"/>
      <c r="C38" s="505"/>
      <c r="D38" s="505"/>
      <c r="E38" s="505"/>
      <c r="F38" s="505"/>
      <c r="G38" s="506"/>
    </row>
    <row r="39" spans="1:7" s="170" customFormat="1" x14ac:dyDescent="0.3">
      <c r="A39" s="505"/>
      <c r="B39" s="505"/>
      <c r="C39" s="505"/>
      <c r="D39" s="505"/>
      <c r="E39" s="505"/>
      <c r="F39" s="505"/>
      <c r="G39" s="506"/>
    </row>
    <row r="40" spans="1:7" s="170" customFormat="1" x14ac:dyDescent="0.3">
      <c r="A40" s="505"/>
      <c r="B40" s="505"/>
      <c r="C40" s="505"/>
      <c r="D40" s="505"/>
      <c r="E40" s="505"/>
      <c r="F40" s="505"/>
      <c r="G40" s="506"/>
    </row>
  </sheetData>
  <mergeCells count="17">
    <mergeCell ref="A1:F1"/>
    <mergeCell ref="A11:A12"/>
    <mergeCell ref="A30:B30"/>
    <mergeCell ref="A13:A23"/>
    <mergeCell ref="A24:A29"/>
    <mergeCell ref="A3:A10"/>
    <mergeCell ref="H1:N1"/>
    <mergeCell ref="H2:H3"/>
    <mergeCell ref="I2:I3"/>
    <mergeCell ref="J2:J3"/>
    <mergeCell ref="K2:N2"/>
    <mergeCell ref="P1:X1"/>
    <mergeCell ref="P2:P3"/>
    <mergeCell ref="Q2:Q3"/>
    <mergeCell ref="R2:V2"/>
    <mergeCell ref="W2:W3"/>
    <mergeCell ref="X2:X3"/>
  </mergeCells>
  <phoneticPr fontId="2" type="noConversion"/>
  <pageMargins left="0.7" right="0.7" top="0.75" bottom="0.75" header="0.3" footer="0.3"/>
  <pageSetup paperSize="9" orientation="portrait" r:id="rId1"/>
  <ignoredErrors>
    <ignoredError sqref="L8" formula="1"/>
    <ignoredError sqref="V4:V20 Q21:U21" formulaRang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R647"/>
  <sheetViews>
    <sheetView zoomScale="85" zoomScaleNormal="85" workbookViewId="0">
      <pane xSplit="5" ySplit="1" topLeftCell="G539" activePane="bottomRight" state="frozen"/>
      <selection pane="topRight" activeCell="F1" sqref="F1"/>
      <selection pane="bottomLeft" activeCell="A2" sqref="A2"/>
      <selection pane="bottomRight" activeCell="K565" sqref="K565"/>
    </sheetView>
  </sheetViews>
  <sheetFormatPr defaultColWidth="8.875" defaultRowHeight="19.149999999999999" customHeight="1" outlineLevelCol="1" x14ac:dyDescent="0.3"/>
  <cols>
    <col min="1" max="1" width="6.25" style="8" customWidth="1"/>
    <col min="2" max="3" width="8.75" style="56" customWidth="1"/>
    <col min="4" max="4" width="12.25" style="56" hidden="1" customWidth="1"/>
    <col min="5" max="5" width="29.125" style="8" customWidth="1"/>
    <col min="6" max="6" width="25" style="8" customWidth="1"/>
    <col min="7" max="7" width="8.875" style="8"/>
    <col min="8" max="8" width="8.875" style="128"/>
    <col min="9" max="9" width="9.125" style="140" bestFit="1" customWidth="1"/>
    <col min="10" max="10" width="9.375" style="92" customWidth="1"/>
    <col min="11" max="11" width="33.75" style="56" customWidth="1"/>
    <col min="12" max="12" width="11.25" style="8" customWidth="1" outlineLevel="1"/>
    <col min="13" max="13" width="13.75" style="8" customWidth="1" outlineLevel="1"/>
    <col min="14" max="14" width="10.25" style="8" customWidth="1" outlineLevel="1"/>
    <col min="15" max="15" width="15" style="8" customWidth="1" outlineLevel="1"/>
    <col min="16" max="16" width="20" style="56" customWidth="1" outlineLevel="1"/>
    <col min="17" max="17" width="11.75" style="56" customWidth="1" outlineLevel="1"/>
    <col min="18" max="18" width="50.125" style="8" customWidth="1"/>
    <col min="19" max="19" width="21.625" style="8" customWidth="1"/>
    <col min="20" max="16384" width="8.875" style="8"/>
  </cols>
  <sheetData>
    <row r="1" spans="1:18" s="10" customFormat="1" ht="29.45" customHeight="1" thickBot="1" x14ac:dyDescent="0.35">
      <c r="A1" s="57" t="s">
        <v>327</v>
      </c>
      <c r="B1" s="57" t="s">
        <v>210</v>
      </c>
      <c r="C1" s="57" t="s">
        <v>211</v>
      </c>
      <c r="D1" s="58" t="s">
        <v>1155</v>
      </c>
      <c r="E1" s="57" t="s">
        <v>1482</v>
      </c>
      <c r="F1" s="57" t="s">
        <v>0</v>
      </c>
      <c r="G1" s="58" t="s">
        <v>1483</v>
      </c>
      <c r="H1" s="495" t="s">
        <v>3445</v>
      </c>
      <c r="I1" s="139" t="s">
        <v>328</v>
      </c>
      <c r="J1" s="487" t="s">
        <v>3462</v>
      </c>
      <c r="K1" s="60" t="s">
        <v>3074</v>
      </c>
      <c r="L1" s="59" t="s">
        <v>1484</v>
      </c>
      <c r="M1" s="59" t="s">
        <v>894</v>
      </c>
      <c r="N1" s="59" t="s">
        <v>1485</v>
      </c>
      <c r="O1" s="57" t="s">
        <v>329</v>
      </c>
      <c r="P1" s="57" t="s">
        <v>2</v>
      </c>
      <c r="Q1" s="57" t="s">
        <v>212</v>
      </c>
      <c r="R1" s="57" t="s">
        <v>213</v>
      </c>
    </row>
    <row r="2" spans="1:18" s="12" customFormat="1" ht="19.149999999999999" customHeight="1" thickTop="1" x14ac:dyDescent="0.3">
      <c r="A2" s="11">
        <v>1</v>
      </c>
      <c r="B2" s="99" t="s">
        <v>1486</v>
      </c>
      <c r="C2" s="99" t="s">
        <v>1487</v>
      </c>
      <c r="D2" s="11">
        <v>1</v>
      </c>
      <c r="E2" s="98" t="s">
        <v>1488</v>
      </c>
      <c r="F2" s="98" t="s">
        <v>1143</v>
      </c>
      <c r="G2" s="99" t="s">
        <v>344</v>
      </c>
      <c r="H2" s="101">
        <v>2</v>
      </c>
      <c r="I2" s="326">
        <v>102</v>
      </c>
      <c r="J2" s="100">
        <v>0</v>
      </c>
      <c r="K2" s="101" t="s">
        <v>1489</v>
      </c>
      <c r="L2" s="101">
        <v>2</v>
      </c>
      <c r="M2" s="101" t="s">
        <v>896</v>
      </c>
      <c r="N2" s="101" t="s">
        <v>1490</v>
      </c>
      <c r="O2" s="99" t="s">
        <v>879</v>
      </c>
      <c r="P2" s="463" t="s">
        <v>1321</v>
      </c>
      <c r="Q2" s="102">
        <v>42495</v>
      </c>
      <c r="R2" s="98"/>
    </row>
    <row r="3" spans="1:18" s="12" customFormat="1" ht="19.149999999999999" customHeight="1" x14ac:dyDescent="0.3">
      <c r="A3" s="29">
        <v>2</v>
      </c>
      <c r="B3" s="15" t="s">
        <v>214</v>
      </c>
      <c r="C3" s="15" t="s">
        <v>4</v>
      </c>
      <c r="D3" s="49">
        <v>1</v>
      </c>
      <c r="E3" s="16" t="s">
        <v>1491</v>
      </c>
      <c r="F3" s="16" t="s">
        <v>423</v>
      </c>
      <c r="G3" s="15" t="s">
        <v>154</v>
      </c>
      <c r="H3" s="18">
        <v>8</v>
      </c>
      <c r="I3" s="127">
        <v>973</v>
      </c>
      <c r="J3" s="69">
        <v>0</v>
      </c>
      <c r="K3" s="18" t="s">
        <v>1492</v>
      </c>
      <c r="L3" s="18">
        <v>0</v>
      </c>
      <c r="M3" s="18" t="s">
        <v>866</v>
      </c>
      <c r="N3" s="18" t="s">
        <v>942</v>
      </c>
      <c r="O3" s="15" t="s">
        <v>155</v>
      </c>
      <c r="P3" s="13" t="s">
        <v>156</v>
      </c>
      <c r="Q3" s="19">
        <v>39283</v>
      </c>
      <c r="R3" s="6" t="s">
        <v>1320</v>
      </c>
    </row>
    <row r="4" spans="1:18" s="12" customFormat="1" ht="19.149999999999999" customHeight="1" x14ac:dyDescent="0.3">
      <c r="A4" s="13">
        <v>3</v>
      </c>
      <c r="B4" s="13" t="s">
        <v>214</v>
      </c>
      <c r="C4" s="13" t="s">
        <v>4</v>
      </c>
      <c r="D4" s="13">
        <v>1</v>
      </c>
      <c r="E4" s="21" t="s">
        <v>1493</v>
      </c>
      <c r="F4" s="21" t="s">
        <v>425</v>
      </c>
      <c r="G4" s="13" t="s">
        <v>154</v>
      </c>
      <c r="H4" s="18">
        <v>6</v>
      </c>
      <c r="I4" s="127">
        <v>885</v>
      </c>
      <c r="J4" s="69">
        <v>0</v>
      </c>
      <c r="K4" s="18" t="s">
        <v>336</v>
      </c>
      <c r="L4" s="18">
        <v>0</v>
      </c>
      <c r="M4" s="18" t="s">
        <v>1494</v>
      </c>
      <c r="N4" s="18" t="s">
        <v>1495</v>
      </c>
      <c r="O4" s="15" t="s">
        <v>155</v>
      </c>
      <c r="P4" s="13" t="s">
        <v>156</v>
      </c>
      <c r="Q4" s="19">
        <v>42341</v>
      </c>
      <c r="R4" s="24" t="s">
        <v>1496</v>
      </c>
    </row>
    <row r="5" spans="1:18" s="12" customFormat="1" ht="19.149999999999999" customHeight="1" x14ac:dyDescent="0.3">
      <c r="A5" s="29">
        <v>4</v>
      </c>
      <c r="B5" s="15" t="s">
        <v>1497</v>
      </c>
      <c r="C5" s="15" t="s">
        <v>1498</v>
      </c>
      <c r="D5" s="13">
        <v>1</v>
      </c>
      <c r="E5" s="6" t="s">
        <v>1500</v>
      </c>
      <c r="F5" s="16" t="s">
        <v>1501</v>
      </c>
      <c r="G5" s="15" t="s">
        <v>1502</v>
      </c>
      <c r="H5" s="18">
        <v>1</v>
      </c>
      <c r="I5" s="127">
        <v>286</v>
      </c>
      <c r="J5" s="69">
        <v>0</v>
      </c>
      <c r="K5" s="18" t="s">
        <v>344</v>
      </c>
      <c r="L5" s="18">
        <v>1</v>
      </c>
      <c r="M5" s="18" t="s">
        <v>1045</v>
      </c>
      <c r="N5" s="18" t="s">
        <v>1503</v>
      </c>
      <c r="O5" s="15" t="s">
        <v>224</v>
      </c>
      <c r="P5" s="327" t="s">
        <v>1504</v>
      </c>
      <c r="Q5" s="19">
        <v>42115</v>
      </c>
      <c r="R5" s="6" t="s">
        <v>1505</v>
      </c>
    </row>
    <row r="6" spans="1:18" s="20" customFormat="1" ht="19.149999999999999" customHeight="1" x14ac:dyDescent="0.3">
      <c r="A6" s="13">
        <v>5</v>
      </c>
      <c r="B6" s="15" t="s">
        <v>214</v>
      </c>
      <c r="C6" s="15" t="s">
        <v>4</v>
      </c>
      <c r="D6" s="13">
        <v>1</v>
      </c>
      <c r="E6" s="6" t="s">
        <v>1506</v>
      </c>
      <c r="F6" s="16" t="s">
        <v>1507</v>
      </c>
      <c r="G6" s="15" t="s">
        <v>336</v>
      </c>
      <c r="H6" s="18">
        <v>1</v>
      </c>
      <c r="I6" s="127">
        <v>300</v>
      </c>
      <c r="J6" s="69">
        <v>0</v>
      </c>
      <c r="K6" s="18" t="s">
        <v>336</v>
      </c>
      <c r="L6" s="18">
        <v>1</v>
      </c>
      <c r="M6" s="18" t="s">
        <v>1045</v>
      </c>
      <c r="N6" s="18" t="s">
        <v>1495</v>
      </c>
      <c r="O6" s="15" t="s">
        <v>1509</v>
      </c>
      <c r="P6" s="327" t="s">
        <v>1504</v>
      </c>
      <c r="Q6" s="19">
        <v>39539</v>
      </c>
      <c r="R6" s="6" t="s">
        <v>1319</v>
      </c>
    </row>
    <row r="7" spans="1:18" s="12" customFormat="1" ht="19.149999999999999" customHeight="1" x14ac:dyDescent="0.3">
      <c r="A7" s="29">
        <v>6</v>
      </c>
      <c r="B7" s="15" t="s">
        <v>214</v>
      </c>
      <c r="C7" s="15" t="s">
        <v>4</v>
      </c>
      <c r="D7" s="13">
        <v>1</v>
      </c>
      <c r="E7" s="16" t="s">
        <v>427</v>
      </c>
      <c r="F7" s="16" t="s">
        <v>1510</v>
      </c>
      <c r="G7" s="15" t="s">
        <v>336</v>
      </c>
      <c r="H7" s="18">
        <v>2</v>
      </c>
      <c r="I7" s="127">
        <v>365</v>
      </c>
      <c r="J7" s="69">
        <v>0</v>
      </c>
      <c r="K7" s="18" t="s">
        <v>336</v>
      </c>
      <c r="L7" s="18">
        <v>2</v>
      </c>
      <c r="M7" s="18" t="s">
        <v>896</v>
      </c>
      <c r="N7" s="18" t="s">
        <v>1503</v>
      </c>
      <c r="O7" s="15" t="s">
        <v>1511</v>
      </c>
      <c r="P7" s="327" t="s">
        <v>1512</v>
      </c>
      <c r="Q7" s="19">
        <v>36847</v>
      </c>
      <c r="R7" s="16"/>
    </row>
    <row r="8" spans="1:18" s="12" customFormat="1" ht="19.149999999999999" customHeight="1" x14ac:dyDescent="0.3">
      <c r="A8" s="13">
        <v>7</v>
      </c>
      <c r="B8" s="13" t="s">
        <v>214</v>
      </c>
      <c r="C8" s="13" t="s">
        <v>5</v>
      </c>
      <c r="D8" s="13">
        <v>2</v>
      </c>
      <c r="E8" s="21" t="s">
        <v>157</v>
      </c>
      <c r="F8" s="21" t="s">
        <v>1239</v>
      </c>
      <c r="G8" s="13" t="s">
        <v>154</v>
      </c>
      <c r="H8" s="18">
        <v>5</v>
      </c>
      <c r="I8" s="127">
        <v>710</v>
      </c>
      <c r="J8" s="69">
        <v>1</v>
      </c>
      <c r="K8" s="18" t="s">
        <v>1066</v>
      </c>
      <c r="L8" s="18">
        <v>0</v>
      </c>
      <c r="M8" s="18" t="s">
        <v>1513</v>
      </c>
      <c r="N8" s="18" t="s">
        <v>942</v>
      </c>
      <c r="O8" s="13" t="s">
        <v>159</v>
      </c>
      <c r="P8" s="13" t="s">
        <v>160</v>
      </c>
      <c r="Q8" s="19">
        <v>38436</v>
      </c>
      <c r="R8" s="24"/>
    </row>
    <row r="9" spans="1:18" s="12" customFormat="1" ht="19.149999999999999" customHeight="1" x14ac:dyDescent="0.3">
      <c r="A9" s="29">
        <v>8</v>
      </c>
      <c r="B9" s="13" t="s">
        <v>214</v>
      </c>
      <c r="C9" s="13" t="s">
        <v>5</v>
      </c>
      <c r="D9" s="13">
        <v>2</v>
      </c>
      <c r="E9" s="24" t="s">
        <v>1514</v>
      </c>
      <c r="F9" s="24" t="s">
        <v>429</v>
      </c>
      <c r="G9" s="13" t="s">
        <v>154</v>
      </c>
      <c r="H9" s="18">
        <v>5</v>
      </c>
      <c r="I9" s="127">
        <v>736</v>
      </c>
      <c r="J9" s="69">
        <v>0</v>
      </c>
      <c r="K9" s="18" t="s">
        <v>336</v>
      </c>
      <c r="L9" s="18">
        <v>0</v>
      </c>
      <c r="M9" s="18" t="s">
        <v>1513</v>
      </c>
      <c r="N9" s="18" t="s">
        <v>942</v>
      </c>
      <c r="O9" s="15" t="s">
        <v>155</v>
      </c>
      <c r="P9" s="13" t="s">
        <v>156</v>
      </c>
      <c r="Q9" s="19">
        <v>37248</v>
      </c>
      <c r="R9" s="24"/>
    </row>
    <row r="10" spans="1:18" s="12" customFormat="1" ht="19.149999999999999" customHeight="1" x14ac:dyDescent="0.3">
      <c r="A10" s="13">
        <v>9</v>
      </c>
      <c r="B10" s="13" t="s">
        <v>214</v>
      </c>
      <c r="C10" s="13" t="s">
        <v>1515</v>
      </c>
      <c r="D10" s="13">
        <v>2</v>
      </c>
      <c r="E10" s="63" t="s">
        <v>1516</v>
      </c>
      <c r="F10" s="21" t="s">
        <v>1517</v>
      </c>
      <c r="G10" s="13" t="s">
        <v>1502</v>
      </c>
      <c r="H10" s="18">
        <v>1</v>
      </c>
      <c r="I10" s="127">
        <v>260</v>
      </c>
      <c r="J10" s="69">
        <v>0</v>
      </c>
      <c r="K10" s="18" t="s">
        <v>1502</v>
      </c>
      <c r="L10" s="18">
        <v>0</v>
      </c>
      <c r="M10" s="18" t="s">
        <v>1513</v>
      </c>
      <c r="N10" s="18" t="s">
        <v>1490</v>
      </c>
      <c r="O10" s="13" t="s">
        <v>1518</v>
      </c>
      <c r="P10" s="13" t="s">
        <v>1519</v>
      </c>
      <c r="Q10" s="19">
        <v>40453</v>
      </c>
      <c r="R10" s="36" t="s">
        <v>1520</v>
      </c>
    </row>
    <row r="11" spans="1:18" s="12" customFormat="1" ht="19.149999999999999" customHeight="1" x14ac:dyDescent="0.3">
      <c r="A11" s="29">
        <v>10</v>
      </c>
      <c r="B11" s="13" t="s">
        <v>214</v>
      </c>
      <c r="C11" s="13" t="s">
        <v>5</v>
      </c>
      <c r="D11" s="13">
        <v>2</v>
      </c>
      <c r="E11" s="21" t="s">
        <v>1521</v>
      </c>
      <c r="F11" s="21" t="s">
        <v>428</v>
      </c>
      <c r="G11" s="13" t="s">
        <v>154</v>
      </c>
      <c r="H11" s="18">
        <v>6</v>
      </c>
      <c r="I11" s="127">
        <v>676</v>
      </c>
      <c r="J11" s="69">
        <v>0</v>
      </c>
      <c r="K11" s="18" t="s">
        <v>336</v>
      </c>
      <c r="L11" s="18">
        <v>0</v>
      </c>
      <c r="M11" s="18" t="s">
        <v>1492</v>
      </c>
      <c r="N11" s="18" t="s">
        <v>1503</v>
      </c>
      <c r="O11" s="15" t="s">
        <v>155</v>
      </c>
      <c r="P11" s="13" t="s">
        <v>156</v>
      </c>
      <c r="Q11" s="19">
        <v>43088</v>
      </c>
      <c r="R11" s="24"/>
    </row>
    <row r="12" spans="1:18" s="12" customFormat="1" ht="19.149999999999999" customHeight="1" x14ac:dyDescent="0.3">
      <c r="A12" s="13">
        <v>11</v>
      </c>
      <c r="B12" s="13" t="s">
        <v>214</v>
      </c>
      <c r="C12" s="13" t="s">
        <v>5</v>
      </c>
      <c r="D12" s="13">
        <v>2</v>
      </c>
      <c r="E12" s="21" t="s">
        <v>158</v>
      </c>
      <c r="F12" s="21" t="s">
        <v>435</v>
      </c>
      <c r="G12" s="13" t="s">
        <v>154</v>
      </c>
      <c r="H12" s="18">
        <v>8</v>
      </c>
      <c r="I12" s="127">
        <v>1744</v>
      </c>
      <c r="J12" s="69">
        <v>1</v>
      </c>
      <c r="K12" s="18" t="s">
        <v>398</v>
      </c>
      <c r="L12" s="18">
        <v>0</v>
      </c>
      <c r="M12" s="18" t="s">
        <v>1513</v>
      </c>
      <c r="N12" s="18" t="s">
        <v>1495</v>
      </c>
      <c r="O12" s="13" t="s">
        <v>161</v>
      </c>
      <c r="P12" s="13" t="s">
        <v>162</v>
      </c>
      <c r="Q12" s="19">
        <v>39702</v>
      </c>
      <c r="R12" s="24"/>
    </row>
    <row r="13" spans="1:18" s="12" customFormat="1" ht="19.149999999999999" customHeight="1" x14ac:dyDescent="0.3">
      <c r="A13" s="29">
        <v>12</v>
      </c>
      <c r="B13" s="15" t="s">
        <v>214</v>
      </c>
      <c r="C13" s="15" t="s">
        <v>1522</v>
      </c>
      <c r="D13" s="13">
        <v>2</v>
      </c>
      <c r="E13" s="16" t="s">
        <v>153</v>
      </c>
      <c r="F13" s="16" t="s">
        <v>1523</v>
      </c>
      <c r="G13" s="15" t="s">
        <v>336</v>
      </c>
      <c r="H13" s="18">
        <v>1</v>
      </c>
      <c r="I13" s="127">
        <v>230</v>
      </c>
      <c r="J13" s="69">
        <v>0</v>
      </c>
      <c r="K13" s="18" t="s">
        <v>336</v>
      </c>
      <c r="L13" s="18">
        <v>1</v>
      </c>
      <c r="M13" s="18" t="s">
        <v>1508</v>
      </c>
      <c r="N13" s="18" t="s">
        <v>1503</v>
      </c>
      <c r="O13" s="15" t="s">
        <v>1524</v>
      </c>
      <c r="P13" s="13" t="s">
        <v>426</v>
      </c>
      <c r="Q13" s="19">
        <v>37386</v>
      </c>
      <c r="R13" s="16" t="s">
        <v>1525</v>
      </c>
    </row>
    <row r="14" spans="1:18" s="12" customFormat="1" ht="19.149999999999999" customHeight="1" x14ac:dyDescent="0.3">
      <c r="A14" s="13">
        <v>13</v>
      </c>
      <c r="B14" s="15" t="s">
        <v>214</v>
      </c>
      <c r="C14" s="15" t="s">
        <v>5</v>
      </c>
      <c r="D14" s="13">
        <v>2</v>
      </c>
      <c r="E14" s="328" t="s">
        <v>1526</v>
      </c>
      <c r="F14" s="16" t="s">
        <v>430</v>
      </c>
      <c r="G14" s="15" t="s">
        <v>154</v>
      </c>
      <c r="H14" s="18">
        <v>5</v>
      </c>
      <c r="I14" s="127">
        <v>694</v>
      </c>
      <c r="J14" s="69">
        <v>0</v>
      </c>
      <c r="K14" s="18" t="s">
        <v>1513</v>
      </c>
      <c r="L14" s="18">
        <v>2</v>
      </c>
      <c r="M14" s="18" t="s">
        <v>424</v>
      </c>
      <c r="N14" s="18" t="s">
        <v>1495</v>
      </c>
      <c r="O14" s="15" t="s">
        <v>155</v>
      </c>
      <c r="P14" s="13" t="s">
        <v>156</v>
      </c>
      <c r="Q14" s="19">
        <v>38814</v>
      </c>
      <c r="R14" s="6" t="s">
        <v>1527</v>
      </c>
    </row>
    <row r="15" spans="1:18" s="12" customFormat="1" ht="19.149999999999999" customHeight="1" x14ac:dyDescent="0.3">
      <c r="A15" s="29">
        <v>14</v>
      </c>
      <c r="B15" s="13" t="s">
        <v>214</v>
      </c>
      <c r="C15" s="13" t="s">
        <v>5</v>
      </c>
      <c r="D15" s="13">
        <v>2</v>
      </c>
      <c r="E15" s="21" t="s">
        <v>431</v>
      </c>
      <c r="F15" s="21" t="s">
        <v>432</v>
      </c>
      <c r="G15" s="13" t="s">
        <v>336</v>
      </c>
      <c r="H15" s="18">
        <v>11</v>
      </c>
      <c r="I15" s="127">
        <v>2712</v>
      </c>
      <c r="J15" s="69">
        <v>0</v>
      </c>
      <c r="K15" s="18" t="s">
        <v>336</v>
      </c>
      <c r="L15" s="18">
        <v>0</v>
      </c>
      <c r="M15" s="18" t="s">
        <v>1492</v>
      </c>
      <c r="N15" s="18" t="s">
        <v>1495</v>
      </c>
      <c r="O15" s="13" t="s">
        <v>1528</v>
      </c>
      <c r="P15" s="13" t="s">
        <v>433</v>
      </c>
      <c r="Q15" s="19">
        <v>37240</v>
      </c>
      <c r="R15" s="6" t="s">
        <v>1296</v>
      </c>
    </row>
    <row r="16" spans="1:18" s="12" customFormat="1" ht="19.149999999999999" customHeight="1" x14ac:dyDescent="0.3">
      <c r="A16" s="13">
        <v>15</v>
      </c>
      <c r="B16" s="13" t="s">
        <v>333</v>
      </c>
      <c r="C16" s="13" t="s">
        <v>417</v>
      </c>
      <c r="D16" s="13">
        <v>3</v>
      </c>
      <c r="E16" s="21" t="s">
        <v>418</v>
      </c>
      <c r="F16" s="21" t="s">
        <v>419</v>
      </c>
      <c r="G16" s="13" t="s">
        <v>345</v>
      </c>
      <c r="H16" s="18">
        <v>8</v>
      </c>
      <c r="I16" s="127">
        <v>1468</v>
      </c>
      <c r="J16" s="69">
        <v>0</v>
      </c>
      <c r="K16" s="18" t="s">
        <v>336</v>
      </c>
      <c r="L16" s="18">
        <v>0</v>
      </c>
      <c r="M16" s="18" t="s">
        <v>1513</v>
      </c>
      <c r="N16" s="18" t="s">
        <v>1503</v>
      </c>
      <c r="O16" s="13" t="s">
        <v>159</v>
      </c>
      <c r="P16" s="13" t="s">
        <v>160</v>
      </c>
      <c r="Q16" s="19">
        <v>41487</v>
      </c>
      <c r="R16" s="24"/>
    </row>
    <row r="17" spans="1:18" s="12" customFormat="1" ht="19.149999999999999" customHeight="1" x14ac:dyDescent="0.3">
      <c r="A17" s="29">
        <v>16</v>
      </c>
      <c r="B17" s="13" t="s">
        <v>214</v>
      </c>
      <c r="C17" s="13" t="s">
        <v>6</v>
      </c>
      <c r="D17" s="13">
        <v>3</v>
      </c>
      <c r="E17" s="24" t="s">
        <v>1529</v>
      </c>
      <c r="F17" s="24" t="s">
        <v>1177</v>
      </c>
      <c r="G17" s="13" t="s">
        <v>154</v>
      </c>
      <c r="H17" s="18">
        <v>20</v>
      </c>
      <c r="I17" s="127">
        <v>3887</v>
      </c>
      <c r="J17" s="69">
        <v>7</v>
      </c>
      <c r="K17" s="18" t="s">
        <v>3427</v>
      </c>
      <c r="L17" s="18">
        <v>1</v>
      </c>
      <c r="M17" s="18" t="s">
        <v>1530</v>
      </c>
      <c r="N17" s="18" t="s">
        <v>1495</v>
      </c>
      <c r="O17" s="15" t="s">
        <v>155</v>
      </c>
      <c r="P17" s="13" t="s">
        <v>156</v>
      </c>
      <c r="Q17" s="19">
        <v>38268</v>
      </c>
      <c r="R17" s="24" t="s">
        <v>1531</v>
      </c>
    </row>
    <row r="18" spans="1:18" s="12" customFormat="1" ht="19.149999999999999" customHeight="1" x14ac:dyDescent="0.3">
      <c r="A18" s="13">
        <v>17</v>
      </c>
      <c r="B18" s="13" t="s">
        <v>214</v>
      </c>
      <c r="C18" s="13" t="s">
        <v>7</v>
      </c>
      <c r="D18" s="13">
        <v>4</v>
      </c>
      <c r="E18" s="24" t="s">
        <v>1532</v>
      </c>
      <c r="F18" s="24" t="s">
        <v>1178</v>
      </c>
      <c r="G18" s="13" t="s">
        <v>154</v>
      </c>
      <c r="H18" s="18">
        <v>10</v>
      </c>
      <c r="I18" s="127">
        <v>1770</v>
      </c>
      <c r="J18" s="69">
        <v>5</v>
      </c>
      <c r="K18" s="18" t="s">
        <v>3168</v>
      </c>
      <c r="L18" s="18">
        <v>0</v>
      </c>
      <c r="M18" s="18" t="s">
        <v>1513</v>
      </c>
      <c r="N18" s="18" t="s">
        <v>1503</v>
      </c>
      <c r="O18" s="15" t="s">
        <v>155</v>
      </c>
      <c r="P18" s="13" t="s">
        <v>156</v>
      </c>
      <c r="Q18" s="19">
        <v>39806</v>
      </c>
      <c r="R18" s="24"/>
    </row>
    <row r="19" spans="1:18" s="12" customFormat="1" ht="19.149999999999999" customHeight="1" x14ac:dyDescent="0.3">
      <c r="A19" s="29">
        <v>18</v>
      </c>
      <c r="B19" s="13" t="s">
        <v>1534</v>
      </c>
      <c r="C19" s="13" t="s">
        <v>1535</v>
      </c>
      <c r="D19" s="13">
        <v>4</v>
      </c>
      <c r="E19" s="24" t="s">
        <v>1536</v>
      </c>
      <c r="F19" s="24" t="s">
        <v>1179</v>
      </c>
      <c r="G19" s="13" t="s">
        <v>1538</v>
      </c>
      <c r="H19" s="18">
        <v>7</v>
      </c>
      <c r="I19" s="127">
        <v>1041</v>
      </c>
      <c r="J19" s="69">
        <v>3</v>
      </c>
      <c r="K19" s="18" t="s">
        <v>1539</v>
      </c>
      <c r="L19" s="18">
        <v>0</v>
      </c>
      <c r="M19" s="18" t="s">
        <v>1492</v>
      </c>
      <c r="N19" s="18" t="s">
        <v>1495</v>
      </c>
      <c r="O19" s="13" t="s">
        <v>161</v>
      </c>
      <c r="P19" s="13" t="s">
        <v>162</v>
      </c>
      <c r="Q19" s="19">
        <v>43777</v>
      </c>
      <c r="R19" s="24"/>
    </row>
    <row r="20" spans="1:18" s="12" customFormat="1" ht="19.149999999999999" customHeight="1" x14ac:dyDescent="0.3">
      <c r="A20" s="13">
        <v>19</v>
      </c>
      <c r="B20" s="13" t="s">
        <v>214</v>
      </c>
      <c r="C20" s="13" t="s">
        <v>8</v>
      </c>
      <c r="D20" s="13">
        <v>5</v>
      </c>
      <c r="E20" s="24" t="s">
        <v>1540</v>
      </c>
      <c r="F20" s="24" t="s">
        <v>1180</v>
      </c>
      <c r="G20" s="13" t="s">
        <v>154</v>
      </c>
      <c r="H20" s="18">
        <v>11</v>
      </c>
      <c r="I20" s="127">
        <v>1466</v>
      </c>
      <c r="J20" s="69">
        <v>2</v>
      </c>
      <c r="K20" s="18" t="s">
        <v>1158</v>
      </c>
      <c r="L20" s="18">
        <v>1</v>
      </c>
      <c r="M20" s="18" t="s">
        <v>1530</v>
      </c>
      <c r="N20" s="18" t="s">
        <v>1495</v>
      </c>
      <c r="O20" s="15" t="s">
        <v>155</v>
      </c>
      <c r="P20" s="13" t="s">
        <v>156</v>
      </c>
      <c r="Q20" s="19">
        <v>35889</v>
      </c>
      <c r="R20" s="14" t="s">
        <v>1541</v>
      </c>
    </row>
    <row r="21" spans="1:18" s="12" customFormat="1" ht="19.149999999999999" customHeight="1" x14ac:dyDescent="0.3">
      <c r="A21" s="29">
        <v>20</v>
      </c>
      <c r="B21" s="13" t="s">
        <v>214</v>
      </c>
      <c r="C21" s="13" t="s">
        <v>8</v>
      </c>
      <c r="D21" s="13">
        <v>5</v>
      </c>
      <c r="E21" s="21" t="s">
        <v>1542</v>
      </c>
      <c r="F21" s="21" t="s">
        <v>1543</v>
      </c>
      <c r="G21" s="13" t="s">
        <v>336</v>
      </c>
      <c r="H21" s="18">
        <v>1</v>
      </c>
      <c r="I21" s="127">
        <v>152</v>
      </c>
      <c r="J21" s="69">
        <v>0</v>
      </c>
      <c r="K21" s="18" t="s">
        <v>336</v>
      </c>
      <c r="L21" s="18">
        <v>1</v>
      </c>
      <c r="M21" s="18" t="s">
        <v>1508</v>
      </c>
      <c r="N21" s="18" t="s">
        <v>1495</v>
      </c>
      <c r="O21" s="13" t="s">
        <v>1544</v>
      </c>
      <c r="P21" s="29" t="s">
        <v>1545</v>
      </c>
      <c r="Q21" s="19">
        <v>40554</v>
      </c>
      <c r="R21" s="24"/>
    </row>
    <row r="22" spans="1:18" s="12" customFormat="1" ht="19.149999999999999" customHeight="1" x14ac:dyDescent="0.3">
      <c r="A22" s="13">
        <v>21</v>
      </c>
      <c r="B22" s="13" t="s">
        <v>214</v>
      </c>
      <c r="C22" s="13" t="s">
        <v>8</v>
      </c>
      <c r="D22" s="13">
        <v>5</v>
      </c>
      <c r="E22" s="21" t="s">
        <v>366</v>
      </c>
      <c r="F22" s="21" t="s">
        <v>367</v>
      </c>
      <c r="G22" s="13" t="s">
        <v>164</v>
      </c>
      <c r="H22" s="18">
        <v>9</v>
      </c>
      <c r="I22" s="127">
        <v>1127</v>
      </c>
      <c r="J22" s="69">
        <v>0</v>
      </c>
      <c r="K22" s="18" t="s">
        <v>336</v>
      </c>
      <c r="L22" s="18">
        <v>0</v>
      </c>
      <c r="M22" s="18" t="s">
        <v>1513</v>
      </c>
      <c r="N22" s="18" t="s">
        <v>1495</v>
      </c>
      <c r="O22" s="13" t="s">
        <v>161</v>
      </c>
      <c r="P22" s="13" t="s">
        <v>162</v>
      </c>
      <c r="Q22" s="19">
        <v>43344</v>
      </c>
      <c r="R22" s="36" t="s">
        <v>368</v>
      </c>
    </row>
    <row r="23" spans="1:18" s="12" customFormat="1" ht="19.149999999999999" customHeight="1" x14ac:dyDescent="0.3">
      <c r="A23" s="29">
        <v>22</v>
      </c>
      <c r="B23" s="13" t="s">
        <v>214</v>
      </c>
      <c r="C23" s="13" t="s">
        <v>8</v>
      </c>
      <c r="D23" s="13">
        <v>5</v>
      </c>
      <c r="E23" s="21" t="s">
        <v>163</v>
      </c>
      <c r="F23" s="21" t="s">
        <v>1181</v>
      </c>
      <c r="G23" s="13" t="s">
        <v>154</v>
      </c>
      <c r="H23" s="18">
        <v>11</v>
      </c>
      <c r="I23" s="127">
        <v>2170</v>
      </c>
      <c r="J23" s="69">
        <v>2</v>
      </c>
      <c r="K23" s="18" t="s">
        <v>1546</v>
      </c>
      <c r="L23" s="18">
        <v>0</v>
      </c>
      <c r="M23" s="18" t="s">
        <v>1513</v>
      </c>
      <c r="N23" s="18" t="s">
        <v>1495</v>
      </c>
      <c r="O23" s="13" t="s">
        <v>159</v>
      </c>
      <c r="P23" s="13" t="s">
        <v>160</v>
      </c>
      <c r="Q23" s="19">
        <v>39109</v>
      </c>
      <c r="R23" s="14" t="s">
        <v>1547</v>
      </c>
    </row>
    <row r="24" spans="1:18" s="12" customFormat="1" ht="19.149999999999999" customHeight="1" x14ac:dyDescent="0.3">
      <c r="A24" s="13">
        <v>23</v>
      </c>
      <c r="B24" s="13" t="s">
        <v>214</v>
      </c>
      <c r="C24" s="13" t="s">
        <v>8</v>
      </c>
      <c r="D24" s="13">
        <v>5</v>
      </c>
      <c r="E24" s="24" t="s">
        <v>1548</v>
      </c>
      <c r="F24" s="24" t="s">
        <v>364</v>
      </c>
      <c r="G24" s="13" t="s">
        <v>154</v>
      </c>
      <c r="H24" s="18">
        <v>5</v>
      </c>
      <c r="I24" s="127">
        <v>754</v>
      </c>
      <c r="J24" s="69">
        <v>0</v>
      </c>
      <c r="K24" s="18" t="s">
        <v>336</v>
      </c>
      <c r="L24" s="18">
        <v>0</v>
      </c>
      <c r="M24" s="18" t="s">
        <v>1513</v>
      </c>
      <c r="N24" s="18" t="s">
        <v>1495</v>
      </c>
      <c r="O24" s="15" t="s">
        <v>155</v>
      </c>
      <c r="P24" s="13" t="s">
        <v>156</v>
      </c>
      <c r="Q24" s="19">
        <v>43130</v>
      </c>
      <c r="R24" s="24"/>
    </row>
    <row r="25" spans="1:18" s="12" customFormat="1" ht="19.149999999999999" customHeight="1" x14ac:dyDescent="0.3">
      <c r="A25" s="29">
        <v>24</v>
      </c>
      <c r="B25" s="13" t="s">
        <v>214</v>
      </c>
      <c r="C25" s="13" t="s">
        <v>9</v>
      </c>
      <c r="D25" s="13">
        <v>6</v>
      </c>
      <c r="E25" s="21" t="s">
        <v>165</v>
      </c>
      <c r="F25" s="21" t="s">
        <v>386</v>
      </c>
      <c r="G25" s="13" t="s">
        <v>154</v>
      </c>
      <c r="H25" s="18">
        <v>8</v>
      </c>
      <c r="I25" s="127">
        <v>1737</v>
      </c>
      <c r="J25" s="69">
        <v>1</v>
      </c>
      <c r="K25" s="18" t="s">
        <v>1159</v>
      </c>
      <c r="L25" s="18">
        <v>0</v>
      </c>
      <c r="M25" s="18" t="s">
        <v>1513</v>
      </c>
      <c r="N25" s="18" t="s">
        <v>1495</v>
      </c>
      <c r="O25" s="28" t="s">
        <v>159</v>
      </c>
      <c r="P25" s="13" t="s">
        <v>160</v>
      </c>
      <c r="Q25" s="19">
        <v>40410</v>
      </c>
      <c r="R25" s="24"/>
    </row>
    <row r="26" spans="1:18" s="12" customFormat="1" ht="19.149999999999999" customHeight="1" x14ac:dyDescent="0.3">
      <c r="A26" s="13">
        <v>25</v>
      </c>
      <c r="B26" s="13" t="s">
        <v>1534</v>
      </c>
      <c r="C26" s="13" t="s">
        <v>1549</v>
      </c>
      <c r="D26" s="13">
        <v>7</v>
      </c>
      <c r="E26" s="21" t="s">
        <v>1550</v>
      </c>
      <c r="F26" s="21" t="s">
        <v>1551</v>
      </c>
      <c r="G26" s="13" t="s">
        <v>1553</v>
      </c>
      <c r="H26" s="18">
        <v>8</v>
      </c>
      <c r="I26" s="127">
        <v>973</v>
      </c>
      <c r="J26" s="69">
        <v>2</v>
      </c>
      <c r="K26" s="18" t="s">
        <v>1554</v>
      </c>
      <c r="L26" s="18">
        <v>0</v>
      </c>
      <c r="M26" s="18" t="s">
        <v>1513</v>
      </c>
      <c r="N26" s="18" t="s">
        <v>1495</v>
      </c>
      <c r="O26" s="28" t="s">
        <v>159</v>
      </c>
      <c r="P26" s="13" t="s">
        <v>160</v>
      </c>
      <c r="Q26" s="19">
        <v>44112</v>
      </c>
      <c r="R26" s="24"/>
    </row>
    <row r="27" spans="1:18" s="12" customFormat="1" ht="19.149999999999999" customHeight="1" x14ac:dyDescent="0.3">
      <c r="A27" s="29">
        <v>26</v>
      </c>
      <c r="B27" s="13" t="s">
        <v>214</v>
      </c>
      <c r="C27" s="13" t="s">
        <v>10</v>
      </c>
      <c r="D27" s="13">
        <v>7</v>
      </c>
      <c r="E27" s="21" t="s">
        <v>166</v>
      </c>
      <c r="F27" s="21" t="s">
        <v>438</v>
      </c>
      <c r="G27" s="13" t="s">
        <v>154</v>
      </c>
      <c r="H27" s="18">
        <v>7</v>
      </c>
      <c r="I27" s="127">
        <v>924</v>
      </c>
      <c r="J27" s="69">
        <v>1</v>
      </c>
      <c r="K27" s="18" t="s">
        <v>398</v>
      </c>
      <c r="L27" s="18">
        <v>0</v>
      </c>
      <c r="M27" s="18" t="s">
        <v>1513</v>
      </c>
      <c r="N27" s="18" t="s">
        <v>1495</v>
      </c>
      <c r="O27" s="13" t="s">
        <v>161</v>
      </c>
      <c r="P27" s="13" t="s">
        <v>162</v>
      </c>
      <c r="Q27" s="19">
        <v>40087</v>
      </c>
      <c r="R27" s="24"/>
    </row>
    <row r="28" spans="1:18" s="12" customFormat="1" ht="19.149999999999999" customHeight="1" x14ac:dyDescent="0.3">
      <c r="A28" s="13">
        <v>27</v>
      </c>
      <c r="B28" s="13" t="s">
        <v>214</v>
      </c>
      <c r="C28" s="13" t="s">
        <v>10</v>
      </c>
      <c r="D28" s="13">
        <v>7</v>
      </c>
      <c r="E28" s="24" t="s">
        <v>1555</v>
      </c>
      <c r="F28" s="24" t="s">
        <v>437</v>
      </c>
      <c r="G28" s="13" t="s">
        <v>154</v>
      </c>
      <c r="H28" s="18">
        <v>7</v>
      </c>
      <c r="I28" s="127">
        <v>1167</v>
      </c>
      <c r="J28" s="69">
        <v>2</v>
      </c>
      <c r="K28" s="18" t="s">
        <v>1270</v>
      </c>
      <c r="L28" s="18">
        <v>0</v>
      </c>
      <c r="M28" s="18" t="s">
        <v>1513</v>
      </c>
      <c r="N28" s="18" t="s">
        <v>1503</v>
      </c>
      <c r="O28" s="15" t="s">
        <v>155</v>
      </c>
      <c r="P28" s="13" t="s">
        <v>156</v>
      </c>
      <c r="Q28" s="19">
        <v>42425</v>
      </c>
      <c r="R28" s="24"/>
    </row>
    <row r="29" spans="1:18" s="12" customFormat="1" ht="19.149999999999999" customHeight="1" x14ac:dyDescent="0.3">
      <c r="A29" s="29">
        <v>28</v>
      </c>
      <c r="B29" s="15" t="s">
        <v>214</v>
      </c>
      <c r="C29" s="15" t="s">
        <v>11</v>
      </c>
      <c r="D29" s="13">
        <v>8</v>
      </c>
      <c r="E29" s="16" t="s">
        <v>1556</v>
      </c>
      <c r="F29" s="24" t="s">
        <v>1557</v>
      </c>
      <c r="G29" s="15" t="s">
        <v>1538</v>
      </c>
      <c r="H29" s="18">
        <v>5</v>
      </c>
      <c r="I29" s="127">
        <v>768</v>
      </c>
      <c r="J29" s="69">
        <v>0</v>
      </c>
      <c r="K29" s="18" t="s">
        <v>336</v>
      </c>
      <c r="L29" s="18">
        <v>0</v>
      </c>
      <c r="M29" s="18" t="s">
        <v>1492</v>
      </c>
      <c r="N29" s="18" t="s">
        <v>1495</v>
      </c>
      <c r="O29" s="15" t="s">
        <v>155</v>
      </c>
      <c r="P29" s="13" t="s">
        <v>156</v>
      </c>
      <c r="Q29" s="19">
        <v>39701</v>
      </c>
      <c r="R29" s="16" t="s">
        <v>1558</v>
      </c>
    </row>
    <row r="30" spans="1:18" s="12" customFormat="1" ht="19.149999999999999" customHeight="1" x14ac:dyDescent="0.3">
      <c r="A30" s="13">
        <v>29</v>
      </c>
      <c r="B30" s="15" t="s">
        <v>214</v>
      </c>
      <c r="C30" s="15" t="s">
        <v>11</v>
      </c>
      <c r="D30" s="13">
        <v>8</v>
      </c>
      <c r="E30" s="6" t="s">
        <v>1559</v>
      </c>
      <c r="F30" s="16" t="s">
        <v>1560</v>
      </c>
      <c r="G30" s="15" t="s">
        <v>336</v>
      </c>
      <c r="H30" s="18">
        <v>3</v>
      </c>
      <c r="I30" s="127">
        <v>472</v>
      </c>
      <c r="J30" s="69">
        <v>0</v>
      </c>
      <c r="K30" s="18" t="s">
        <v>1489</v>
      </c>
      <c r="L30" s="18">
        <v>1</v>
      </c>
      <c r="M30" s="118" t="s">
        <v>1561</v>
      </c>
      <c r="N30" s="18" t="s">
        <v>1495</v>
      </c>
      <c r="O30" s="15" t="s">
        <v>1562</v>
      </c>
      <c r="P30" s="15" t="s">
        <v>404</v>
      </c>
      <c r="Q30" s="19" t="s">
        <v>405</v>
      </c>
      <c r="R30" s="6" t="s">
        <v>1563</v>
      </c>
    </row>
    <row r="31" spans="1:18" s="44" customFormat="1" ht="19.149999999999999" customHeight="1" x14ac:dyDescent="0.3">
      <c r="A31" s="29">
        <v>30</v>
      </c>
      <c r="B31" s="13" t="s">
        <v>214</v>
      </c>
      <c r="C31" s="13" t="s">
        <v>12</v>
      </c>
      <c r="D31" s="13">
        <v>9</v>
      </c>
      <c r="E31" s="21" t="s">
        <v>167</v>
      </c>
      <c r="F31" s="21" t="s">
        <v>355</v>
      </c>
      <c r="G31" s="13" t="s">
        <v>1552</v>
      </c>
      <c r="H31" s="18">
        <v>6</v>
      </c>
      <c r="I31" s="127">
        <v>852</v>
      </c>
      <c r="J31" s="69">
        <v>0</v>
      </c>
      <c r="K31" s="18" t="s">
        <v>336</v>
      </c>
      <c r="L31" s="18">
        <v>0</v>
      </c>
      <c r="M31" s="18" t="s">
        <v>1492</v>
      </c>
      <c r="N31" s="18" t="s">
        <v>1503</v>
      </c>
      <c r="O31" s="13" t="s">
        <v>159</v>
      </c>
      <c r="P31" s="13" t="s">
        <v>160</v>
      </c>
      <c r="Q31" s="19">
        <v>42851</v>
      </c>
      <c r="R31" s="16" t="s">
        <v>1564</v>
      </c>
    </row>
    <row r="32" spans="1:18" s="126" customFormat="1" ht="19.149999999999999" customHeight="1" x14ac:dyDescent="0.3">
      <c r="A32" s="13">
        <v>31</v>
      </c>
      <c r="B32" s="13" t="s">
        <v>214</v>
      </c>
      <c r="C32" s="13" t="s">
        <v>12</v>
      </c>
      <c r="D32" s="13">
        <v>9</v>
      </c>
      <c r="E32" s="24" t="s">
        <v>1565</v>
      </c>
      <c r="F32" s="24" t="s">
        <v>352</v>
      </c>
      <c r="G32" s="13" t="s">
        <v>154</v>
      </c>
      <c r="H32" s="18">
        <v>6</v>
      </c>
      <c r="I32" s="127">
        <v>692</v>
      </c>
      <c r="J32" s="69">
        <v>0</v>
      </c>
      <c r="K32" s="18" t="s">
        <v>336</v>
      </c>
      <c r="L32" s="18">
        <v>0</v>
      </c>
      <c r="M32" s="18" t="s">
        <v>1513</v>
      </c>
      <c r="N32" s="18" t="s">
        <v>1495</v>
      </c>
      <c r="O32" s="15" t="s">
        <v>155</v>
      </c>
      <c r="P32" s="13" t="s">
        <v>156</v>
      </c>
      <c r="Q32" s="19">
        <v>39173</v>
      </c>
      <c r="R32" s="16"/>
    </row>
    <row r="33" spans="1:18" s="126" customFormat="1" ht="19.149999999999999" customHeight="1" x14ac:dyDescent="0.3">
      <c r="A33" s="29">
        <v>32</v>
      </c>
      <c r="B33" s="13" t="s">
        <v>214</v>
      </c>
      <c r="C33" s="13" t="s">
        <v>12</v>
      </c>
      <c r="D33" s="13">
        <v>9</v>
      </c>
      <c r="E33" s="21" t="s">
        <v>1566</v>
      </c>
      <c r="F33" s="21" t="s">
        <v>353</v>
      </c>
      <c r="G33" s="13" t="s">
        <v>154</v>
      </c>
      <c r="H33" s="18">
        <v>9</v>
      </c>
      <c r="I33" s="127">
        <v>972</v>
      </c>
      <c r="J33" s="69">
        <v>0</v>
      </c>
      <c r="K33" s="18" t="s">
        <v>336</v>
      </c>
      <c r="L33" s="18">
        <v>0</v>
      </c>
      <c r="M33" s="18" t="s">
        <v>1513</v>
      </c>
      <c r="N33" s="18" t="s">
        <v>1495</v>
      </c>
      <c r="O33" s="15" t="s">
        <v>155</v>
      </c>
      <c r="P33" s="13" t="s">
        <v>156</v>
      </c>
      <c r="Q33" s="19">
        <v>43182</v>
      </c>
      <c r="R33" s="36" t="s">
        <v>354</v>
      </c>
    </row>
    <row r="34" spans="1:18" s="12" customFormat="1" ht="19.149999999999999" customHeight="1" x14ac:dyDescent="0.3">
      <c r="A34" s="13">
        <v>33</v>
      </c>
      <c r="B34" s="13" t="s">
        <v>214</v>
      </c>
      <c r="C34" s="13" t="s">
        <v>13</v>
      </c>
      <c r="D34" s="13">
        <v>10</v>
      </c>
      <c r="E34" s="21" t="s">
        <v>384</v>
      </c>
      <c r="F34" s="21" t="s">
        <v>385</v>
      </c>
      <c r="G34" s="13" t="s">
        <v>164</v>
      </c>
      <c r="H34" s="18">
        <v>5</v>
      </c>
      <c r="I34" s="127">
        <v>680</v>
      </c>
      <c r="J34" s="69">
        <v>0</v>
      </c>
      <c r="K34" s="18" t="s">
        <v>336</v>
      </c>
      <c r="L34" s="18">
        <v>0</v>
      </c>
      <c r="M34" s="18" t="s">
        <v>1513</v>
      </c>
      <c r="N34" s="18" t="s">
        <v>1495</v>
      </c>
      <c r="O34" s="13" t="s">
        <v>161</v>
      </c>
      <c r="P34" s="13" t="s">
        <v>162</v>
      </c>
      <c r="Q34" s="19">
        <v>42755</v>
      </c>
      <c r="R34" s="24"/>
    </row>
    <row r="35" spans="1:18" s="12" customFormat="1" ht="19.149999999999999" customHeight="1" x14ac:dyDescent="0.3">
      <c r="A35" s="29">
        <v>34</v>
      </c>
      <c r="B35" s="13" t="s">
        <v>1534</v>
      </c>
      <c r="C35" s="13" t="s">
        <v>1567</v>
      </c>
      <c r="D35" s="13">
        <v>10</v>
      </c>
      <c r="E35" s="21" t="s">
        <v>1568</v>
      </c>
      <c r="F35" s="21" t="s">
        <v>1569</v>
      </c>
      <c r="G35" s="13" t="s">
        <v>1538</v>
      </c>
      <c r="H35" s="18">
        <v>7</v>
      </c>
      <c r="I35" s="127">
        <v>870</v>
      </c>
      <c r="J35" s="69">
        <v>1</v>
      </c>
      <c r="K35" s="18" t="s">
        <v>208</v>
      </c>
      <c r="L35" s="18">
        <v>0</v>
      </c>
      <c r="M35" s="18" t="s">
        <v>1513</v>
      </c>
      <c r="N35" s="18" t="s">
        <v>1490</v>
      </c>
      <c r="O35" s="15" t="s">
        <v>155</v>
      </c>
      <c r="P35" s="13" t="s">
        <v>156</v>
      </c>
      <c r="Q35" s="19">
        <v>44679</v>
      </c>
      <c r="R35" s="36"/>
    </row>
    <row r="36" spans="1:18" s="126" customFormat="1" ht="19.149999999999999" customHeight="1" x14ac:dyDescent="0.3">
      <c r="A36" s="13">
        <v>35</v>
      </c>
      <c r="B36" s="13" t="s">
        <v>1570</v>
      </c>
      <c r="C36" s="13" t="s">
        <v>1571</v>
      </c>
      <c r="D36" s="13">
        <v>11</v>
      </c>
      <c r="E36" s="24" t="s">
        <v>1572</v>
      </c>
      <c r="F36" s="21" t="s">
        <v>1573</v>
      </c>
      <c r="G36" s="13" t="s">
        <v>1502</v>
      </c>
      <c r="H36" s="18">
        <v>2</v>
      </c>
      <c r="I36" s="127">
        <v>82</v>
      </c>
      <c r="J36" s="69">
        <v>0</v>
      </c>
      <c r="K36" s="18" t="s">
        <v>1502</v>
      </c>
      <c r="L36" s="18">
        <v>2</v>
      </c>
      <c r="M36" s="18" t="s">
        <v>1574</v>
      </c>
      <c r="N36" s="18" t="s">
        <v>1495</v>
      </c>
      <c r="O36" s="28" t="s">
        <v>1575</v>
      </c>
      <c r="P36" s="13" t="s">
        <v>878</v>
      </c>
      <c r="Q36" s="19">
        <v>42711</v>
      </c>
      <c r="R36" s="36" t="s">
        <v>1576</v>
      </c>
    </row>
    <row r="37" spans="1:18" s="126" customFormat="1" ht="19.149999999999999" customHeight="1" x14ac:dyDescent="0.3">
      <c r="A37" s="29">
        <v>36</v>
      </c>
      <c r="B37" s="13" t="s">
        <v>214</v>
      </c>
      <c r="C37" s="13" t="s">
        <v>14</v>
      </c>
      <c r="D37" s="13">
        <v>11</v>
      </c>
      <c r="E37" s="21" t="s">
        <v>168</v>
      </c>
      <c r="F37" s="21" t="s">
        <v>1183</v>
      </c>
      <c r="G37" s="13" t="s">
        <v>154</v>
      </c>
      <c r="H37" s="18">
        <v>10</v>
      </c>
      <c r="I37" s="127">
        <v>1855</v>
      </c>
      <c r="J37" s="69">
        <v>1</v>
      </c>
      <c r="K37" s="18" t="s">
        <v>1577</v>
      </c>
      <c r="L37" s="18">
        <v>1</v>
      </c>
      <c r="M37" s="18" t="s">
        <v>1578</v>
      </c>
      <c r="N37" s="18" t="s">
        <v>1495</v>
      </c>
      <c r="O37" s="28" t="s">
        <v>159</v>
      </c>
      <c r="P37" s="13" t="s">
        <v>160</v>
      </c>
      <c r="Q37" s="19">
        <v>38679</v>
      </c>
      <c r="R37" s="24"/>
    </row>
    <row r="38" spans="1:18" s="126" customFormat="1" ht="19.149999999999999" customHeight="1" x14ac:dyDescent="0.3">
      <c r="A38" s="13">
        <v>37</v>
      </c>
      <c r="B38" s="13" t="s">
        <v>214</v>
      </c>
      <c r="C38" s="13" t="s">
        <v>14</v>
      </c>
      <c r="D38" s="13">
        <v>11</v>
      </c>
      <c r="E38" s="21" t="s">
        <v>382</v>
      </c>
      <c r="F38" s="21" t="s">
        <v>383</v>
      </c>
      <c r="G38" s="13" t="s">
        <v>1553</v>
      </c>
      <c r="H38" s="18">
        <v>5</v>
      </c>
      <c r="I38" s="127">
        <v>634</v>
      </c>
      <c r="J38" s="69">
        <v>0</v>
      </c>
      <c r="K38" s="18" t="s">
        <v>336</v>
      </c>
      <c r="L38" s="18">
        <v>0</v>
      </c>
      <c r="M38" s="18" t="s">
        <v>1492</v>
      </c>
      <c r="N38" s="18" t="s">
        <v>1495</v>
      </c>
      <c r="O38" s="28" t="s">
        <v>159</v>
      </c>
      <c r="P38" s="13" t="s">
        <v>160</v>
      </c>
      <c r="Q38" s="19">
        <v>42321</v>
      </c>
      <c r="R38" s="24" t="s">
        <v>1579</v>
      </c>
    </row>
    <row r="39" spans="1:18" s="126" customFormat="1" ht="19.149999999999999" customHeight="1" x14ac:dyDescent="0.3">
      <c r="A39" s="29">
        <v>38</v>
      </c>
      <c r="B39" s="13" t="s">
        <v>214</v>
      </c>
      <c r="C39" s="13" t="s">
        <v>14</v>
      </c>
      <c r="D39" s="13">
        <v>11</v>
      </c>
      <c r="E39" s="24" t="s">
        <v>1580</v>
      </c>
      <c r="F39" s="24" t="s">
        <v>1184</v>
      </c>
      <c r="G39" s="13" t="s">
        <v>154</v>
      </c>
      <c r="H39" s="18">
        <v>7</v>
      </c>
      <c r="I39" s="127">
        <v>1090</v>
      </c>
      <c r="J39" s="69">
        <v>2</v>
      </c>
      <c r="K39" s="18" t="s">
        <v>1270</v>
      </c>
      <c r="L39" s="18">
        <v>0</v>
      </c>
      <c r="M39" s="18" t="s">
        <v>1513</v>
      </c>
      <c r="N39" s="18" t="s">
        <v>1495</v>
      </c>
      <c r="O39" s="15" t="s">
        <v>155</v>
      </c>
      <c r="P39" s="13" t="s">
        <v>156</v>
      </c>
      <c r="Q39" s="19">
        <v>41389</v>
      </c>
      <c r="R39" s="24"/>
    </row>
    <row r="40" spans="1:18" s="126" customFormat="1" ht="19.149999999999999" customHeight="1" x14ac:dyDescent="0.3">
      <c r="A40" s="13">
        <v>39</v>
      </c>
      <c r="B40" s="13" t="s">
        <v>214</v>
      </c>
      <c r="C40" s="13" t="s">
        <v>14</v>
      </c>
      <c r="D40" s="13">
        <v>11</v>
      </c>
      <c r="E40" s="24" t="s">
        <v>1581</v>
      </c>
      <c r="F40" s="24" t="s">
        <v>1582</v>
      </c>
      <c r="G40" s="13" t="s">
        <v>154</v>
      </c>
      <c r="H40" s="18">
        <v>4</v>
      </c>
      <c r="I40" s="127">
        <v>898</v>
      </c>
      <c r="J40" s="69">
        <v>0</v>
      </c>
      <c r="K40" s="18" t="s">
        <v>1513</v>
      </c>
      <c r="L40" s="18">
        <v>0</v>
      </c>
      <c r="M40" s="18" t="s">
        <v>1513</v>
      </c>
      <c r="N40" s="18" t="s">
        <v>1503</v>
      </c>
      <c r="O40" s="15" t="s">
        <v>155</v>
      </c>
      <c r="P40" s="13" t="s">
        <v>156</v>
      </c>
      <c r="Q40" s="19">
        <v>41529</v>
      </c>
      <c r="R40" s="36" t="s">
        <v>1583</v>
      </c>
    </row>
    <row r="41" spans="1:18" s="126" customFormat="1" ht="19.149999999999999" customHeight="1" x14ac:dyDescent="0.3">
      <c r="A41" s="29">
        <v>40</v>
      </c>
      <c r="B41" s="13" t="s">
        <v>214</v>
      </c>
      <c r="C41" s="13" t="s">
        <v>15</v>
      </c>
      <c r="D41" s="13">
        <v>12</v>
      </c>
      <c r="E41" s="24" t="s">
        <v>1584</v>
      </c>
      <c r="F41" s="24" t="s">
        <v>420</v>
      </c>
      <c r="G41" s="13" t="s">
        <v>164</v>
      </c>
      <c r="H41" s="18">
        <v>9</v>
      </c>
      <c r="I41" s="127">
        <v>1620</v>
      </c>
      <c r="J41" s="69">
        <v>0</v>
      </c>
      <c r="K41" s="18" t="s">
        <v>336</v>
      </c>
      <c r="L41" s="18">
        <v>0</v>
      </c>
      <c r="M41" s="18" t="s">
        <v>1492</v>
      </c>
      <c r="N41" s="18" t="s">
        <v>1503</v>
      </c>
      <c r="O41" s="15" t="s">
        <v>155</v>
      </c>
      <c r="P41" s="13" t="s">
        <v>156</v>
      </c>
      <c r="Q41" s="19">
        <v>38528</v>
      </c>
      <c r="R41" s="24"/>
    </row>
    <row r="42" spans="1:18" s="126" customFormat="1" ht="19.149999999999999" customHeight="1" x14ac:dyDescent="0.3">
      <c r="A42" s="13">
        <v>41</v>
      </c>
      <c r="B42" s="13" t="s">
        <v>214</v>
      </c>
      <c r="C42" s="13" t="s">
        <v>15</v>
      </c>
      <c r="D42" s="13">
        <v>12</v>
      </c>
      <c r="E42" s="21" t="s">
        <v>421</v>
      </c>
      <c r="F42" s="21" t="s">
        <v>422</v>
      </c>
      <c r="G42" s="13" t="s">
        <v>154</v>
      </c>
      <c r="H42" s="18">
        <v>8</v>
      </c>
      <c r="I42" s="127">
        <v>1336</v>
      </c>
      <c r="J42" s="69">
        <v>1</v>
      </c>
      <c r="K42" s="18" t="s">
        <v>1162</v>
      </c>
      <c r="L42" s="18">
        <v>0</v>
      </c>
      <c r="M42" s="18" t="s">
        <v>1492</v>
      </c>
      <c r="N42" s="18" t="s">
        <v>1503</v>
      </c>
      <c r="O42" s="13" t="s">
        <v>159</v>
      </c>
      <c r="P42" s="13" t="s">
        <v>160</v>
      </c>
      <c r="Q42" s="19">
        <v>42705</v>
      </c>
      <c r="R42" s="24"/>
    </row>
    <row r="43" spans="1:18" s="126" customFormat="1" ht="19.149999999999999" customHeight="1" x14ac:dyDescent="0.3">
      <c r="A43" s="29">
        <v>42</v>
      </c>
      <c r="B43" s="15" t="s">
        <v>214</v>
      </c>
      <c r="C43" s="15" t="s">
        <v>16</v>
      </c>
      <c r="D43" s="13">
        <v>13</v>
      </c>
      <c r="E43" s="16" t="s">
        <v>171</v>
      </c>
      <c r="F43" s="16" t="s">
        <v>1586</v>
      </c>
      <c r="G43" s="15" t="s">
        <v>336</v>
      </c>
      <c r="H43" s="18">
        <v>2</v>
      </c>
      <c r="I43" s="127">
        <v>142</v>
      </c>
      <c r="J43" s="69">
        <v>0</v>
      </c>
      <c r="K43" s="18" t="s">
        <v>336</v>
      </c>
      <c r="L43" s="18">
        <v>2</v>
      </c>
      <c r="M43" s="18" t="s">
        <v>1587</v>
      </c>
      <c r="N43" s="18" t="s">
        <v>1495</v>
      </c>
      <c r="O43" s="15" t="s">
        <v>1312</v>
      </c>
      <c r="P43" s="13" t="s">
        <v>400</v>
      </c>
      <c r="Q43" s="19">
        <v>38443</v>
      </c>
      <c r="R43" s="121" t="s">
        <v>1588</v>
      </c>
    </row>
    <row r="44" spans="1:18" s="126" customFormat="1" ht="19.149999999999999" customHeight="1" x14ac:dyDescent="0.3">
      <c r="A44" s="13">
        <v>43</v>
      </c>
      <c r="B44" s="13" t="s">
        <v>214</v>
      </c>
      <c r="C44" s="13" t="s">
        <v>16</v>
      </c>
      <c r="D44" s="13">
        <v>13</v>
      </c>
      <c r="E44" s="24" t="s">
        <v>1589</v>
      </c>
      <c r="F44" s="24" t="s">
        <v>1237</v>
      </c>
      <c r="G44" s="13" t="s">
        <v>154</v>
      </c>
      <c r="H44" s="18">
        <v>10</v>
      </c>
      <c r="I44" s="127">
        <v>1561</v>
      </c>
      <c r="J44" s="69">
        <v>2</v>
      </c>
      <c r="K44" s="18" t="s">
        <v>1270</v>
      </c>
      <c r="L44" s="18">
        <v>1</v>
      </c>
      <c r="M44" s="18" t="s">
        <v>424</v>
      </c>
      <c r="N44" s="18" t="s">
        <v>1490</v>
      </c>
      <c r="O44" s="15" t="s">
        <v>155</v>
      </c>
      <c r="P44" s="13" t="s">
        <v>156</v>
      </c>
      <c r="Q44" s="19">
        <v>41445</v>
      </c>
      <c r="R44" s="36" t="s">
        <v>396</v>
      </c>
    </row>
    <row r="45" spans="1:18" s="126" customFormat="1" ht="19.149999999999999" customHeight="1" x14ac:dyDescent="0.3">
      <c r="A45" s="29">
        <v>44</v>
      </c>
      <c r="B45" s="15" t="s">
        <v>214</v>
      </c>
      <c r="C45" s="15" t="s">
        <v>16</v>
      </c>
      <c r="D45" s="13">
        <v>13</v>
      </c>
      <c r="E45" s="16" t="s">
        <v>169</v>
      </c>
      <c r="F45" s="16" t="s">
        <v>397</v>
      </c>
      <c r="G45" s="15" t="s">
        <v>154</v>
      </c>
      <c r="H45" s="18">
        <v>8</v>
      </c>
      <c r="I45" s="127">
        <v>1694</v>
      </c>
      <c r="J45" s="69">
        <v>2</v>
      </c>
      <c r="K45" s="18" t="s">
        <v>1590</v>
      </c>
      <c r="L45" s="18">
        <v>0</v>
      </c>
      <c r="M45" s="18" t="s">
        <v>1494</v>
      </c>
      <c r="N45" s="18" t="s">
        <v>1495</v>
      </c>
      <c r="O45" s="13" t="s">
        <v>161</v>
      </c>
      <c r="P45" s="13" t="s">
        <v>162</v>
      </c>
      <c r="Q45" s="19">
        <v>38982</v>
      </c>
      <c r="R45" s="16"/>
    </row>
    <row r="46" spans="1:18" s="126" customFormat="1" ht="19.149999999999999" customHeight="1" x14ac:dyDescent="0.3">
      <c r="A46" s="13">
        <v>45</v>
      </c>
      <c r="B46" s="15" t="s">
        <v>1591</v>
      </c>
      <c r="C46" s="15" t="s">
        <v>1592</v>
      </c>
      <c r="D46" s="13">
        <v>13</v>
      </c>
      <c r="E46" s="6" t="s">
        <v>1593</v>
      </c>
      <c r="F46" s="16" t="s">
        <v>1594</v>
      </c>
      <c r="G46" s="15" t="s">
        <v>1595</v>
      </c>
      <c r="H46" s="18">
        <v>1</v>
      </c>
      <c r="I46" s="127">
        <v>39</v>
      </c>
      <c r="J46" s="89">
        <v>0</v>
      </c>
      <c r="K46" s="118" t="s">
        <v>336</v>
      </c>
      <c r="L46" s="118">
        <v>1</v>
      </c>
      <c r="M46" s="118" t="s">
        <v>1596</v>
      </c>
      <c r="N46" s="118" t="s">
        <v>1490</v>
      </c>
      <c r="O46" s="15" t="s">
        <v>1597</v>
      </c>
      <c r="P46" s="68" t="s">
        <v>1309</v>
      </c>
      <c r="Q46" s="19">
        <v>44209</v>
      </c>
      <c r="R46" s="6" t="s">
        <v>1598</v>
      </c>
    </row>
    <row r="47" spans="1:18" s="126" customFormat="1" ht="19.149999999999999" customHeight="1" x14ac:dyDescent="0.3">
      <c r="A47" s="29">
        <v>46</v>
      </c>
      <c r="B47" s="15" t="s">
        <v>214</v>
      </c>
      <c r="C47" s="15" t="s">
        <v>16</v>
      </c>
      <c r="D47" s="13">
        <v>13</v>
      </c>
      <c r="E47" s="6" t="s">
        <v>170</v>
      </c>
      <c r="F47" s="16" t="s">
        <v>1599</v>
      </c>
      <c r="G47" s="15" t="s">
        <v>336</v>
      </c>
      <c r="H47" s="18">
        <v>2</v>
      </c>
      <c r="I47" s="127">
        <v>276</v>
      </c>
      <c r="J47" s="69">
        <v>0</v>
      </c>
      <c r="K47" s="18" t="s">
        <v>336</v>
      </c>
      <c r="L47" s="18">
        <v>2</v>
      </c>
      <c r="M47" s="18" t="s">
        <v>1600</v>
      </c>
      <c r="N47" s="18" t="s">
        <v>1490</v>
      </c>
      <c r="O47" s="15" t="s">
        <v>1601</v>
      </c>
      <c r="P47" s="13" t="s">
        <v>399</v>
      </c>
      <c r="Q47" s="19">
        <v>39713</v>
      </c>
      <c r="R47" s="6" t="s">
        <v>1602</v>
      </c>
    </row>
    <row r="48" spans="1:18" s="126" customFormat="1" ht="19.149999999999999" customHeight="1" x14ac:dyDescent="0.3">
      <c r="A48" s="13">
        <v>47</v>
      </c>
      <c r="B48" s="13" t="s">
        <v>1534</v>
      </c>
      <c r="C48" s="13" t="s">
        <v>1603</v>
      </c>
      <c r="D48" s="13">
        <v>14</v>
      </c>
      <c r="E48" s="21" t="s">
        <v>1604</v>
      </c>
      <c r="F48" s="21" t="s">
        <v>1605</v>
      </c>
      <c r="G48" s="13" t="s">
        <v>1606</v>
      </c>
      <c r="H48" s="18">
        <v>5</v>
      </c>
      <c r="I48" s="127">
        <v>726</v>
      </c>
      <c r="J48" s="69">
        <v>0</v>
      </c>
      <c r="K48" s="18" t="s">
        <v>1494</v>
      </c>
      <c r="L48" s="18">
        <v>0</v>
      </c>
      <c r="M48" s="18" t="s">
        <v>1513</v>
      </c>
      <c r="N48" s="18" t="s">
        <v>1495</v>
      </c>
      <c r="O48" s="13" t="s">
        <v>161</v>
      </c>
      <c r="P48" s="13" t="s">
        <v>162</v>
      </c>
      <c r="Q48" s="19">
        <v>43733</v>
      </c>
      <c r="R48" s="24"/>
    </row>
    <row r="49" spans="1:18" s="126" customFormat="1" ht="19.149999999999999" customHeight="1" x14ac:dyDescent="0.3">
      <c r="A49" s="29">
        <v>48</v>
      </c>
      <c r="B49" s="13" t="s">
        <v>333</v>
      </c>
      <c r="C49" s="13" t="s">
        <v>17</v>
      </c>
      <c r="D49" s="13">
        <v>14</v>
      </c>
      <c r="E49" s="24" t="s">
        <v>1607</v>
      </c>
      <c r="F49" s="24" t="s">
        <v>388</v>
      </c>
      <c r="G49" s="13" t="s">
        <v>345</v>
      </c>
      <c r="H49" s="18">
        <v>6</v>
      </c>
      <c r="I49" s="127">
        <v>936</v>
      </c>
      <c r="J49" s="69">
        <v>3</v>
      </c>
      <c r="K49" s="18" t="s">
        <v>3425</v>
      </c>
      <c r="L49" s="18">
        <v>0</v>
      </c>
      <c r="M49" s="18" t="s">
        <v>1513</v>
      </c>
      <c r="N49" s="18" t="s">
        <v>1490</v>
      </c>
      <c r="O49" s="15" t="s">
        <v>155</v>
      </c>
      <c r="P49" s="13" t="s">
        <v>156</v>
      </c>
      <c r="Q49" s="19">
        <v>41914</v>
      </c>
      <c r="R49" s="24"/>
    </row>
    <row r="50" spans="1:18" s="126" customFormat="1" ht="19.149999999999999" customHeight="1" x14ac:dyDescent="0.3">
      <c r="A50" s="13">
        <v>49</v>
      </c>
      <c r="B50" s="13" t="s">
        <v>214</v>
      </c>
      <c r="C50" s="13" t="s">
        <v>17</v>
      </c>
      <c r="D50" s="13">
        <v>14</v>
      </c>
      <c r="E50" s="16" t="s">
        <v>173</v>
      </c>
      <c r="F50" s="21" t="s">
        <v>390</v>
      </c>
      <c r="G50" s="15" t="s">
        <v>154</v>
      </c>
      <c r="H50" s="18">
        <v>6</v>
      </c>
      <c r="I50" s="127">
        <v>1102</v>
      </c>
      <c r="J50" s="69">
        <v>0</v>
      </c>
      <c r="K50" s="18" t="s">
        <v>336</v>
      </c>
      <c r="L50" s="18">
        <v>0</v>
      </c>
      <c r="M50" s="18" t="s">
        <v>1494</v>
      </c>
      <c r="N50" s="18" t="s">
        <v>1490</v>
      </c>
      <c r="O50" s="13" t="s">
        <v>159</v>
      </c>
      <c r="P50" s="13" t="s">
        <v>160</v>
      </c>
      <c r="Q50" s="19">
        <v>39448</v>
      </c>
      <c r="R50" s="16"/>
    </row>
    <row r="51" spans="1:18" s="126" customFormat="1" ht="19.149999999999999" customHeight="1" x14ac:dyDescent="0.3">
      <c r="A51" s="29">
        <v>50</v>
      </c>
      <c r="B51" s="13" t="s">
        <v>214</v>
      </c>
      <c r="C51" s="13" t="s">
        <v>1608</v>
      </c>
      <c r="D51" s="13">
        <v>14</v>
      </c>
      <c r="E51" s="21" t="s">
        <v>1609</v>
      </c>
      <c r="F51" s="21" t="s">
        <v>1610</v>
      </c>
      <c r="G51" s="13" t="s">
        <v>336</v>
      </c>
      <c r="H51" s="18">
        <v>1</v>
      </c>
      <c r="I51" s="127">
        <v>186</v>
      </c>
      <c r="J51" s="69">
        <v>0</v>
      </c>
      <c r="K51" s="18" t="s">
        <v>336</v>
      </c>
      <c r="L51" s="18">
        <v>1</v>
      </c>
      <c r="M51" s="18" t="s">
        <v>1508</v>
      </c>
      <c r="N51" s="18" t="s">
        <v>1490</v>
      </c>
      <c r="O51" s="13" t="s">
        <v>1611</v>
      </c>
      <c r="P51" s="22" t="s">
        <v>1612</v>
      </c>
      <c r="Q51" s="23">
        <v>39067</v>
      </c>
      <c r="R51" s="24" t="s">
        <v>1613</v>
      </c>
    </row>
    <row r="52" spans="1:18" s="126" customFormat="1" ht="19.149999999999999" customHeight="1" x14ac:dyDescent="0.3">
      <c r="A52" s="13">
        <v>51</v>
      </c>
      <c r="B52" s="29" t="s">
        <v>1534</v>
      </c>
      <c r="C52" s="29" t="s">
        <v>1608</v>
      </c>
      <c r="D52" s="29">
        <v>14</v>
      </c>
      <c r="E52" s="51" t="s">
        <v>1614</v>
      </c>
      <c r="F52" s="51" t="s">
        <v>1615</v>
      </c>
      <c r="G52" s="29" t="s">
        <v>1538</v>
      </c>
      <c r="H52" s="18">
        <v>6</v>
      </c>
      <c r="I52" s="18">
        <v>734</v>
      </c>
      <c r="J52" s="29">
        <v>2</v>
      </c>
      <c r="K52" s="29" t="s">
        <v>1616</v>
      </c>
      <c r="L52" s="29">
        <v>0</v>
      </c>
      <c r="M52" s="18" t="s">
        <v>1513</v>
      </c>
      <c r="N52" s="18" t="s">
        <v>1490</v>
      </c>
      <c r="O52" s="15" t="s">
        <v>155</v>
      </c>
      <c r="P52" s="13" t="s">
        <v>156</v>
      </c>
      <c r="Q52" s="19">
        <v>44384</v>
      </c>
      <c r="R52" s="29"/>
    </row>
    <row r="53" spans="1:18" s="126" customFormat="1" ht="19.149999999999999" customHeight="1" x14ac:dyDescent="0.3">
      <c r="A53" s="29">
        <v>52</v>
      </c>
      <c r="B53" s="13" t="s">
        <v>214</v>
      </c>
      <c r="C53" s="13" t="s">
        <v>17</v>
      </c>
      <c r="D53" s="13">
        <v>14</v>
      </c>
      <c r="E53" s="21" t="s">
        <v>172</v>
      </c>
      <c r="F53" s="21" t="s">
        <v>389</v>
      </c>
      <c r="G53" s="13" t="s">
        <v>154</v>
      </c>
      <c r="H53" s="18">
        <v>4</v>
      </c>
      <c r="I53" s="127">
        <v>733</v>
      </c>
      <c r="J53" s="69">
        <v>0</v>
      </c>
      <c r="K53" s="18" t="s">
        <v>336</v>
      </c>
      <c r="L53" s="18">
        <v>0</v>
      </c>
      <c r="M53" s="18" t="s">
        <v>1513</v>
      </c>
      <c r="N53" s="18" t="s">
        <v>1490</v>
      </c>
      <c r="O53" s="13" t="s">
        <v>159</v>
      </c>
      <c r="P53" s="13" t="s">
        <v>160</v>
      </c>
      <c r="Q53" s="19">
        <v>41109</v>
      </c>
      <c r="R53" s="24"/>
    </row>
    <row r="54" spans="1:18" s="126" customFormat="1" ht="19.149999999999999" customHeight="1" x14ac:dyDescent="0.3">
      <c r="A54" s="13">
        <v>53</v>
      </c>
      <c r="B54" s="13" t="s">
        <v>214</v>
      </c>
      <c r="C54" s="13" t="s">
        <v>17</v>
      </c>
      <c r="D54" s="13">
        <v>14</v>
      </c>
      <c r="E54" s="6" t="s">
        <v>1617</v>
      </c>
      <c r="F54" s="16" t="s">
        <v>1619</v>
      </c>
      <c r="G54" s="15" t="s">
        <v>336</v>
      </c>
      <c r="H54" s="69">
        <v>1</v>
      </c>
      <c r="I54" s="127">
        <v>76</v>
      </c>
      <c r="J54" s="69">
        <v>0</v>
      </c>
      <c r="K54" s="18" t="s">
        <v>336</v>
      </c>
      <c r="L54" s="18">
        <v>1</v>
      </c>
      <c r="M54" s="18" t="s">
        <v>1508</v>
      </c>
      <c r="N54" s="18" t="s">
        <v>1490</v>
      </c>
      <c r="O54" s="15" t="s">
        <v>1620</v>
      </c>
      <c r="P54" s="327" t="s">
        <v>1621</v>
      </c>
      <c r="Q54" s="13" t="s">
        <v>391</v>
      </c>
      <c r="R54" s="6" t="s">
        <v>1622</v>
      </c>
    </row>
    <row r="55" spans="1:18" s="126" customFormat="1" ht="19.149999999999999" customHeight="1" x14ac:dyDescent="0.3">
      <c r="A55" s="29">
        <v>54</v>
      </c>
      <c r="B55" s="15" t="s">
        <v>214</v>
      </c>
      <c r="C55" s="15" t="s">
        <v>392</v>
      </c>
      <c r="D55" s="13">
        <v>14</v>
      </c>
      <c r="E55" s="24" t="s">
        <v>174</v>
      </c>
      <c r="F55" s="21" t="s">
        <v>393</v>
      </c>
      <c r="G55" s="13" t="s">
        <v>154</v>
      </c>
      <c r="H55" s="18">
        <v>9</v>
      </c>
      <c r="I55" s="127">
        <v>1540</v>
      </c>
      <c r="J55" s="69">
        <v>2</v>
      </c>
      <c r="K55" s="18" t="s">
        <v>3212</v>
      </c>
      <c r="L55" s="18">
        <v>0</v>
      </c>
      <c r="M55" s="18" t="s">
        <v>1513</v>
      </c>
      <c r="N55" s="18" t="s">
        <v>1495</v>
      </c>
      <c r="O55" s="13" t="s">
        <v>161</v>
      </c>
      <c r="P55" s="13" t="s">
        <v>162</v>
      </c>
      <c r="Q55" s="19">
        <v>43283</v>
      </c>
      <c r="R55" s="122" t="s">
        <v>394</v>
      </c>
    </row>
    <row r="56" spans="1:18" s="126" customFormat="1" ht="19.149999999999999" customHeight="1" x14ac:dyDescent="0.3">
      <c r="A56" s="13">
        <v>55</v>
      </c>
      <c r="B56" s="13" t="s">
        <v>214</v>
      </c>
      <c r="C56" s="13" t="s">
        <v>18</v>
      </c>
      <c r="D56" s="13">
        <v>15</v>
      </c>
      <c r="E56" s="21" t="s">
        <v>1623</v>
      </c>
      <c r="F56" s="21" t="s">
        <v>1624</v>
      </c>
      <c r="G56" s="13" t="s">
        <v>154</v>
      </c>
      <c r="H56" s="18">
        <v>8</v>
      </c>
      <c r="I56" s="127">
        <v>883</v>
      </c>
      <c r="J56" s="69">
        <v>8</v>
      </c>
      <c r="K56" s="18" t="s">
        <v>3429</v>
      </c>
      <c r="L56" s="18">
        <v>0</v>
      </c>
      <c r="M56" s="18" t="s">
        <v>1494</v>
      </c>
      <c r="N56" s="18" t="s">
        <v>1490</v>
      </c>
      <c r="O56" s="13" t="s">
        <v>161</v>
      </c>
      <c r="P56" s="13" t="s">
        <v>162</v>
      </c>
      <c r="Q56" s="23">
        <v>44911</v>
      </c>
      <c r="R56" s="24" t="s">
        <v>1625</v>
      </c>
    </row>
    <row r="57" spans="1:18" s="126" customFormat="1" ht="19.149999999999999" customHeight="1" x14ac:dyDescent="0.3">
      <c r="A57" s="29">
        <v>56</v>
      </c>
      <c r="B57" s="13" t="s">
        <v>214</v>
      </c>
      <c r="C57" s="13" t="s">
        <v>18</v>
      </c>
      <c r="D57" s="13">
        <v>15</v>
      </c>
      <c r="E57" s="21" t="s">
        <v>175</v>
      </c>
      <c r="F57" s="21" t="s">
        <v>1185</v>
      </c>
      <c r="G57" s="13" t="s">
        <v>154</v>
      </c>
      <c r="H57" s="18">
        <v>9</v>
      </c>
      <c r="I57" s="127">
        <v>1584</v>
      </c>
      <c r="J57" s="69">
        <v>4</v>
      </c>
      <c r="K57" s="18" t="s">
        <v>1626</v>
      </c>
      <c r="L57" s="18">
        <v>1</v>
      </c>
      <c r="M57" s="18" t="s">
        <v>1175</v>
      </c>
      <c r="N57" s="18" t="s">
        <v>1495</v>
      </c>
      <c r="O57" s="13" t="s">
        <v>161</v>
      </c>
      <c r="P57" s="13" t="s">
        <v>162</v>
      </c>
      <c r="Q57" s="23">
        <v>38834</v>
      </c>
      <c r="R57" s="24" t="s">
        <v>3215</v>
      </c>
    </row>
    <row r="58" spans="1:18" s="126" customFormat="1" ht="19.149999999999999" customHeight="1" x14ac:dyDescent="0.3">
      <c r="A58" s="13">
        <v>57</v>
      </c>
      <c r="B58" s="13" t="s">
        <v>214</v>
      </c>
      <c r="C58" s="13" t="s">
        <v>19</v>
      </c>
      <c r="D58" s="13">
        <v>16</v>
      </c>
      <c r="E58" s="21" t="s">
        <v>178</v>
      </c>
      <c r="F58" s="21" t="s">
        <v>358</v>
      </c>
      <c r="G58" s="13" t="s">
        <v>154</v>
      </c>
      <c r="H58" s="18">
        <v>6</v>
      </c>
      <c r="I58" s="127">
        <v>815</v>
      </c>
      <c r="J58" s="69">
        <v>0</v>
      </c>
      <c r="K58" s="18" t="s">
        <v>1494</v>
      </c>
      <c r="L58" s="18">
        <v>0</v>
      </c>
      <c r="M58" s="18" t="s">
        <v>1513</v>
      </c>
      <c r="N58" s="18" t="s">
        <v>1490</v>
      </c>
      <c r="O58" s="13" t="s">
        <v>161</v>
      </c>
      <c r="P58" s="13" t="s">
        <v>162</v>
      </c>
      <c r="Q58" s="19">
        <v>43003</v>
      </c>
      <c r="R58" s="24"/>
    </row>
    <row r="59" spans="1:18" s="126" customFormat="1" ht="19.149999999999999" customHeight="1" x14ac:dyDescent="0.3">
      <c r="A59" s="29">
        <v>58</v>
      </c>
      <c r="B59" s="13" t="s">
        <v>1627</v>
      </c>
      <c r="C59" s="13" t="s">
        <v>1628</v>
      </c>
      <c r="D59" s="13">
        <v>16</v>
      </c>
      <c r="E59" s="63" t="s">
        <v>1629</v>
      </c>
      <c r="F59" s="21" t="s">
        <v>1630</v>
      </c>
      <c r="G59" s="13" t="s">
        <v>1538</v>
      </c>
      <c r="H59" s="18">
        <v>6</v>
      </c>
      <c r="I59" s="127">
        <v>934</v>
      </c>
      <c r="J59" s="69">
        <v>1</v>
      </c>
      <c r="K59" s="18" t="s">
        <v>1631</v>
      </c>
      <c r="L59" s="18">
        <v>0</v>
      </c>
      <c r="M59" s="18" t="s">
        <v>1494</v>
      </c>
      <c r="N59" s="18" t="s">
        <v>1490</v>
      </c>
      <c r="O59" s="15" t="s">
        <v>155</v>
      </c>
      <c r="P59" s="13" t="s">
        <v>156</v>
      </c>
      <c r="Q59" s="19">
        <v>43495</v>
      </c>
      <c r="R59" s="6" t="s">
        <v>1632</v>
      </c>
    </row>
    <row r="60" spans="1:18" s="126" customFormat="1" ht="19.149999999999999" customHeight="1" x14ac:dyDescent="0.3">
      <c r="A60" s="13">
        <v>59</v>
      </c>
      <c r="B60" s="13" t="s">
        <v>214</v>
      </c>
      <c r="C60" s="13" t="s">
        <v>19</v>
      </c>
      <c r="D60" s="13">
        <v>16</v>
      </c>
      <c r="E60" s="21" t="s">
        <v>176</v>
      </c>
      <c r="F60" s="21" t="s">
        <v>356</v>
      </c>
      <c r="G60" s="13" t="s">
        <v>1633</v>
      </c>
      <c r="H60" s="18">
        <v>6</v>
      </c>
      <c r="I60" s="127">
        <v>444</v>
      </c>
      <c r="J60" s="69">
        <v>6</v>
      </c>
      <c r="K60" s="18" t="s">
        <v>1635</v>
      </c>
      <c r="L60" s="18">
        <v>0</v>
      </c>
      <c r="M60" s="18" t="s">
        <v>1513</v>
      </c>
      <c r="N60" s="18" t="s">
        <v>1495</v>
      </c>
      <c r="O60" s="13" t="s">
        <v>159</v>
      </c>
      <c r="P60" s="13" t="s">
        <v>160</v>
      </c>
      <c r="Q60" s="19">
        <v>42294</v>
      </c>
      <c r="R60" s="16" t="s">
        <v>1636</v>
      </c>
    </row>
    <row r="61" spans="1:18" s="126" customFormat="1" ht="19.149999999999999" customHeight="1" x14ac:dyDescent="0.3">
      <c r="A61" s="29">
        <v>60</v>
      </c>
      <c r="B61" s="13" t="s">
        <v>214</v>
      </c>
      <c r="C61" s="13" t="s">
        <v>19</v>
      </c>
      <c r="D61" s="13">
        <v>16</v>
      </c>
      <c r="E61" s="21" t="s">
        <v>177</v>
      </c>
      <c r="F61" s="21" t="s">
        <v>1186</v>
      </c>
      <c r="G61" s="13" t="s">
        <v>154</v>
      </c>
      <c r="H61" s="18">
        <v>10</v>
      </c>
      <c r="I61" s="127">
        <v>2127</v>
      </c>
      <c r="J61" s="69">
        <v>2</v>
      </c>
      <c r="K61" s="18" t="s">
        <v>1638</v>
      </c>
      <c r="L61" s="18">
        <v>0</v>
      </c>
      <c r="M61" s="18" t="s">
        <v>1513</v>
      </c>
      <c r="N61" s="18" t="s">
        <v>1495</v>
      </c>
      <c r="O61" s="28" t="s">
        <v>159</v>
      </c>
      <c r="P61" s="13" t="s">
        <v>160</v>
      </c>
      <c r="Q61" s="19">
        <v>40865</v>
      </c>
      <c r="R61" s="16"/>
    </row>
    <row r="62" spans="1:18" s="126" customFormat="1" ht="19.149999999999999" customHeight="1" x14ac:dyDescent="0.3">
      <c r="A62" s="13">
        <v>61</v>
      </c>
      <c r="B62" s="13" t="s">
        <v>333</v>
      </c>
      <c r="C62" s="13" t="s">
        <v>19</v>
      </c>
      <c r="D62" s="13">
        <v>16</v>
      </c>
      <c r="E62" s="21" t="s">
        <v>359</v>
      </c>
      <c r="F62" s="21" t="s">
        <v>360</v>
      </c>
      <c r="G62" s="13" t="s">
        <v>345</v>
      </c>
      <c r="H62" s="18">
        <v>5</v>
      </c>
      <c r="I62" s="127">
        <v>851</v>
      </c>
      <c r="J62" s="69">
        <v>0</v>
      </c>
      <c r="K62" s="18" t="s">
        <v>336</v>
      </c>
      <c r="L62" s="18">
        <v>0</v>
      </c>
      <c r="M62" s="18" t="s">
        <v>1513</v>
      </c>
      <c r="N62" s="18" t="s">
        <v>1495</v>
      </c>
      <c r="O62" s="13" t="s">
        <v>161</v>
      </c>
      <c r="P62" s="13" t="s">
        <v>162</v>
      </c>
      <c r="Q62" s="19">
        <v>42153</v>
      </c>
      <c r="R62" s="24"/>
    </row>
    <row r="63" spans="1:18" s="126" customFormat="1" ht="19.149999999999999" customHeight="1" x14ac:dyDescent="0.3">
      <c r="A63" s="29">
        <v>62</v>
      </c>
      <c r="B63" s="13" t="s">
        <v>333</v>
      </c>
      <c r="C63" s="13" t="s">
        <v>372</v>
      </c>
      <c r="D63" s="13">
        <v>17</v>
      </c>
      <c r="E63" s="21" t="s">
        <v>179</v>
      </c>
      <c r="F63" s="21" t="s">
        <v>373</v>
      </c>
      <c r="G63" s="13" t="s">
        <v>154</v>
      </c>
      <c r="H63" s="18">
        <v>5</v>
      </c>
      <c r="I63" s="127">
        <v>560</v>
      </c>
      <c r="J63" s="69">
        <v>0</v>
      </c>
      <c r="K63" s="18" t="s">
        <v>1494</v>
      </c>
      <c r="L63" s="18">
        <v>1</v>
      </c>
      <c r="M63" s="18" t="s">
        <v>1578</v>
      </c>
      <c r="N63" s="18" t="s">
        <v>1490</v>
      </c>
      <c r="O63" s="13" t="s">
        <v>159</v>
      </c>
      <c r="P63" s="13" t="s">
        <v>160</v>
      </c>
      <c r="Q63" s="19">
        <v>41527</v>
      </c>
      <c r="R63" s="24"/>
    </row>
    <row r="64" spans="1:18" s="126" customFormat="1" ht="19.149999999999999" customHeight="1" x14ac:dyDescent="0.3">
      <c r="A64" s="13">
        <v>63</v>
      </c>
      <c r="B64" s="13" t="s">
        <v>214</v>
      </c>
      <c r="C64" s="13" t="s">
        <v>20</v>
      </c>
      <c r="D64" s="13">
        <v>17</v>
      </c>
      <c r="E64" s="24" t="s">
        <v>1639</v>
      </c>
      <c r="F64" s="24" t="s">
        <v>369</v>
      </c>
      <c r="G64" s="13" t="s">
        <v>154</v>
      </c>
      <c r="H64" s="18">
        <v>8</v>
      </c>
      <c r="I64" s="127">
        <v>1232</v>
      </c>
      <c r="J64" s="69">
        <v>1</v>
      </c>
      <c r="K64" s="18" t="s">
        <v>1640</v>
      </c>
      <c r="L64" s="18">
        <v>0</v>
      </c>
      <c r="M64" s="18" t="s">
        <v>3138</v>
      </c>
      <c r="N64" s="18" t="s">
        <v>1490</v>
      </c>
      <c r="O64" s="15" t="s">
        <v>155</v>
      </c>
      <c r="P64" s="13" t="s">
        <v>156</v>
      </c>
      <c r="Q64" s="19">
        <v>37279</v>
      </c>
      <c r="R64" s="24" t="s">
        <v>3137</v>
      </c>
    </row>
    <row r="65" spans="1:18" s="126" customFormat="1" ht="19.149999999999999" customHeight="1" x14ac:dyDescent="0.3">
      <c r="A65" s="29">
        <v>64</v>
      </c>
      <c r="B65" s="28" t="s">
        <v>214</v>
      </c>
      <c r="C65" s="28" t="s">
        <v>20</v>
      </c>
      <c r="D65" s="28">
        <v>17</v>
      </c>
      <c r="E65" s="32" t="s">
        <v>370</v>
      </c>
      <c r="F65" s="32" t="s">
        <v>371</v>
      </c>
      <c r="G65" s="28" t="s">
        <v>154</v>
      </c>
      <c r="H65" s="33">
        <v>10</v>
      </c>
      <c r="I65" s="144">
        <v>1115</v>
      </c>
      <c r="J65" s="91">
        <v>3</v>
      </c>
      <c r="K65" s="33" t="s">
        <v>1641</v>
      </c>
      <c r="L65" s="18">
        <v>0</v>
      </c>
      <c r="M65" s="18" t="s">
        <v>1494</v>
      </c>
      <c r="N65" s="18" t="s">
        <v>1495</v>
      </c>
      <c r="O65" s="13" t="s">
        <v>189</v>
      </c>
      <c r="P65" s="29" t="s">
        <v>190</v>
      </c>
      <c r="Q65" s="34">
        <v>43118</v>
      </c>
      <c r="R65" s="32"/>
    </row>
    <row r="66" spans="1:18" s="126" customFormat="1" ht="19.149999999999999" customHeight="1" x14ac:dyDescent="0.3">
      <c r="A66" s="13">
        <v>65</v>
      </c>
      <c r="B66" s="13" t="s">
        <v>333</v>
      </c>
      <c r="C66" s="13" t="s">
        <v>374</v>
      </c>
      <c r="D66" s="13">
        <v>18</v>
      </c>
      <c r="E66" s="21" t="s">
        <v>375</v>
      </c>
      <c r="F66" s="21" t="s">
        <v>376</v>
      </c>
      <c r="G66" s="13" t="s">
        <v>345</v>
      </c>
      <c r="H66" s="18">
        <v>6</v>
      </c>
      <c r="I66" s="127">
        <v>1054</v>
      </c>
      <c r="J66" s="69">
        <v>1</v>
      </c>
      <c r="K66" s="18" t="s">
        <v>1159</v>
      </c>
      <c r="L66" s="18">
        <v>0</v>
      </c>
      <c r="M66" s="18" t="s">
        <v>1494</v>
      </c>
      <c r="N66" s="18" t="s">
        <v>1495</v>
      </c>
      <c r="O66" s="28" t="s">
        <v>159</v>
      </c>
      <c r="P66" s="13" t="s">
        <v>160</v>
      </c>
      <c r="Q66" s="19">
        <v>41347</v>
      </c>
      <c r="R66" s="36" t="s">
        <v>377</v>
      </c>
    </row>
    <row r="67" spans="1:18" s="126" customFormat="1" ht="19.149999999999999" customHeight="1" x14ac:dyDescent="0.3">
      <c r="A67" s="29">
        <v>66</v>
      </c>
      <c r="B67" s="13" t="s">
        <v>333</v>
      </c>
      <c r="C67" s="13" t="s">
        <v>374</v>
      </c>
      <c r="D67" s="13">
        <v>18</v>
      </c>
      <c r="E67" s="21" t="s">
        <v>180</v>
      </c>
      <c r="F67" s="21" t="s">
        <v>378</v>
      </c>
      <c r="G67" s="13" t="s">
        <v>154</v>
      </c>
      <c r="H67" s="18">
        <v>8</v>
      </c>
      <c r="I67" s="127">
        <v>1606</v>
      </c>
      <c r="J67" s="69">
        <v>0</v>
      </c>
      <c r="K67" s="18" t="s">
        <v>336</v>
      </c>
      <c r="L67" s="18">
        <v>0</v>
      </c>
      <c r="M67" s="18" t="s">
        <v>1513</v>
      </c>
      <c r="N67" s="18" t="s">
        <v>1495</v>
      </c>
      <c r="O67" s="28" t="s">
        <v>159</v>
      </c>
      <c r="P67" s="13" t="s">
        <v>160</v>
      </c>
      <c r="Q67" s="19">
        <v>41950</v>
      </c>
      <c r="R67" s="24"/>
    </row>
    <row r="68" spans="1:18" s="126" customFormat="1" ht="19.149999999999999" customHeight="1" x14ac:dyDescent="0.3">
      <c r="A68" s="13">
        <v>67</v>
      </c>
      <c r="B68" s="13" t="s">
        <v>214</v>
      </c>
      <c r="C68" s="13" t="s">
        <v>22</v>
      </c>
      <c r="D68" s="13">
        <v>19</v>
      </c>
      <c r="E68" s="21" t="s">
        <v>181</v>
      </c>
      <c r="F68" s="21" t="s">
        <v>415</v>
      </c>
      <c r="G68" s="13" t="s">
        <v>154</v>
      </c>
      <c r="H68" s="18">
        <v>7</v>
      </c>
      <c r="I68" s="127">
        <v>1328</v>
      </c>
      <c r="J68" s="69">
        <v>0</v>
      </c>
      <c r="K68" s="18" t="s">
        <v>336</v>
      </c>
      <c r="L68" s="18">
        <v>0</v>
      </c>
      <c r="M68" s="18" t="s">
        <v>1513</v>
      </c>
      <c r="N68" s="18" t="s">
        <v>1495</v>
      </c>
      <c r="O68" s="13" t="s">
        <v>159</v>
      </c>
      <c r="P68" s="13" t="s">
        <v>160</v>
      </c>
      <c r="Q68" s="19">
        <v>38471</v>
      </c>
      <c r="R68" s="24"/>
    </row>
    <row r="69" spans="1:18" s="126" customFormat="1" ht="19.149999999999999" customHeight="1" x14ac:dyDescent="0.3">
      <c r="A69" s="29">
        <v>68</v>
      </c>
      <c r="B69" s="13" t="s">
        <v>214</v>
      </c>
      <c r="C69" s="13" t="s">
        <v>22</v>
      </c>
      <c r="D69" s="13">
        <v>19</v>
      </c>
      <c r="E69" s="24" t="s">
        <v>1642</v>
      </c>
      <c r="F69" s="24" t="s">
        <v>1188</v>
      </c>
      <c r="G69" s="13" t="s">
        <v>154</v>
      </c>
      <c r="H69" s="18">
        <v>9</v>
      </c>
      <c r="I69" s="127">
        <v>1133</v>
      </c>
      <c r="J69" s="69">
        <v>4</v>
      </c>
      <c r="K69" s="18" t="s">
        <v>3426</v>
      </c>
      <c r="L69" s="18">
        <v>1</v>
      </c>
      <c r="M69" s="18" t="s">
        <v>424</v>
      </c>
      <c r="N69" s="18" t="s">
        <v>1490</v>
      </c>
      <c r="O69" s="15" t="s">
        <v>155</v>
      </c>
      <c r="P69" s="13" t="s">
        <v>156</v>
      </c>
      <c r="Q69" s="19">
        <v>41151</v>
      </c>
      <c r="R69" s="24" t="s">
        <v>1643</v>
      </c>
    </row>
    <row r="70" spans="1:18" s="126" customFormat="1" ht="19.149999999999999" customHeight="1" x14ac:dyDescent="0.3">
      <c r="A70" s="13">
        <v>69</v>
      </c>
      <c r="B70" s="13" t="s">
        <v>214</v>
      </c>
      <c r="C70" s="13" t="s">
        <v>22</v>
      </c>
      <c r="D70" s="13">
        <v>19</v>
      </c>
      <c r="E70" s="24" t="s">
        <v>1644</v>
      </c>
      <c r="F70" s="24" t="s">
        <v>1189</v>
      </c>
      <c r="G70" s="13" t="s">
        <v>154</v>
      </c>
      <c r="H70" s="18">
        <v>12</v>
      </c>
      <c r="I70" s="127">
        <v>2714</v>
      </c>
      <c r="J70" s="69">
        <v>5</v>
      </c>
      <c r="K70" s="18" t="s">
        <v>1645</v>
      </c>
      <c r="L70" s="18">
        <v>0</v>
      </c>
      <c r="M70" s="18" t="s">
        <v>1513</v>
      </c>
      <c r="N70" s="18" t="s">
        <v>1495</v>
      </c>
      <c r="O70" s="15" t="s">
        <v>155</v>
      </c>
      <c r="P70" s="13" t="s">
        <v>156</v>
      </c>
      <c r="Q70" s="19">
        <v>39345</v>
      </c>
      <c r="R70" s="24" t="s">
        <v>3216</v>
      </c>
    </row>
    <row r="71" spans="1:18" s="126" customFormat="1" ht="19.149999999999999" customHeight="1" x14ac:dyDescent="0.3">
      <c r="A71" s="29">
        <v>70</v>
      </c>
      <c r="B71" s="15" t="s">
        <v>1497</v>
      </c>
      <c r="C71" s="15" t="s">
        <v>1646</v>
      </c>
      <c r="D71" s="13">
        <v>20</v>
      </c>
      <c r="E71" s="16" t="s">
        <v>1647</v>
      </c>
      <c r="F71" s="16" t="s">
        <v>1648</v>
      </c>
      <c r="G71" s="15" t="s">
        <v>1502</v>
      </c>
      <c r="H71" s="18">
        <v>2</v>
      </c>
      <c r="I71" s="127">
        <v>150</v>
      </c>
      <c r="J71" s="69">
        <v>0</v>
      </c>
      <c r="K71" s="18" t="s">
        <v>1502</v>
      </c>
      <c r="L71" s="18">
        <v>2</v>
      </c>
      <c r="M71" s="18" t="s">
        <v>1649</v>
      </c>
      <c r="N71" s="18" t="s">
        <v>1495</v>
      </c>
      <c r="O71" s="15" t="s">
        <v>1313</v>
      </c>
      <c r="P71" s="29" t="s">
        <v>1650</v>
      </c>
      <c r="Q71" s="19">
        <v>41275</v>
      </c>
      <c r="R71" s="16"/>
    </row>
    <row r="72" spans="1:18" s="126" customFormat="1" ht="19.149999999999999" customHeight="1" x14ac:dyDescent="0.3">
      <c r="A72" s="13">
        <v>71</v>
      </c>
      <c r="B72" s="15" t="s">
        <v>214</v>
      </c>
      <c r="C72" s="15" t="s">
        <v>23</v>
      </c>
      <c r="D72" s="13">
        <v>20</v>
      </c>
      <c r="E72" s="24" t="s">
        <v>182</v>
      </c>
      <c r="F72" s="21" t="s">
        <v>387</v>
      </c>
      <c r="G72" s="13" t="s">
        <v>154</v>
      </c>
      <c r="H72" s="18">
        <v>6</v>
      </c>
      <c r="I72" s="127">
        <v>888</v>
      </c>
      <c r="J72" s="69">
        <v>0</v>
      </c>
      <c r="K72" s="18" t="s">
        <v>336</v>
      </c>
      <c r="L72" s="18">
        <v>0</v>
      </c>
      <c r="M72" s="18" t="s">
        <v>1513</v>
      </c>
      <c r="N72" s="18" t="s">
        <v>1495</v>
      </c>
      <c r="O72" s="13" t="s">
        <v>161</v>
      </c>
      <c r="P72" s="13" t="s">
        <v>162</v>
      </c>
      <c r="Q72" s="19">
        <v>39219</v>
      </c>
      <c r="R72" s="31"/>
    </row>
    <row r="73" spans="1:18" s="126" customFormat="1" ht="19.149999999999999" customHeight="1" x14ac:dyDescent="0.3">
      <c r="A73" s="29">
        <v>72</v>
      </c>
      <c r="B73" s="13" t="s">
        <v>214</v>
      </c>
      <c r="C73" s="13" t="s">
        <v>24</v>
      </c>
      <c r="D73" s="13">
        <v>21</v>
      </c>
      <c r="E73" s="21" t="s">
        <v>183</v>
      </c>
      <c r="F73" s="21" t="s">
        <v>361</v>
      </c>
      <c r="G73" s="13" t="s">
        <v>154</v>
      </c>
      <c r="H73" s="18">
        <v>5</v>
      </c>
      <c r="I73" s="127">
        <v>687</v>
      </c>
      <c r="J73" s="69">
        <v>0</v>
      </c>
      <c r="K73" s="18" t="s">
        <v>336</v>
      </c>
      <c r="L73" s="18">
        <v>0</v>
      </c>
      <c r="M73" s="18" t="s">
        <v>1513</v>
      </c>
      <c r="N73" s="18" t="s">
        <v>1495</v>
      </c>
      <c r="O73" s="13" t="s">
        <v>159</v>
      </c>
      <c r="P73" s="13" t="s">
        <v>160</v>
      </c>
      <c r="Q73" s="19">
        <v>41272</v>
      </c>
      <c r="R73" s="6" t="s">
        <v>362</v>
      </c>
    </row>
    <row r="74" spans="1:18" s="126" customFormat="1" ht="19.149999999999999" customHeight="1" x14ac:dyDescent="0.3">
      <c r="A74" s="13">
        <v>73</v>
      </c>
      <c r="B74" s="13" t="s">
        <v>214</v>
      </c>
      <c r="C74" s="13" t="s">
        <v>24</v>
      </c>
      <c r="D74" s="13">
        <v>21</v>
      </c>
      <c r="E74" s="21" t="s">
        <v>184</v>
      </c>
      <c r="F74" s="21" t="s">
        <v>1651</v>
      </c>
      <c r="G74" s="13" t="s">
        <v>154</v>
      </c>
      <c r="H74" s="18">
        <v>8</v>
      </c>
      <c r="I74" s="127">
        <v>1494</v>
      </c>
      <c r="J74" s="69">
        <v>0</v>
      </c>
      <c r="K74" s="18" t="s">
        <v>336</v>
      </c>
      <c r="L74" s="18">
        <v>0</v>
      </c>
      <c r="M74" s="18" t="s">
        <v>1513</v>
      </c>
      <c r="N74" s="18" t="s">
        <v>1495</v>
      </c>
      <c r="O74" s="28" t="s">
        <v>159</v>
      </c>
      <c r="P74" s="13" t="s">
        <v>160</v>
      </c>
      <c r="Q74" s="19">
        <v>39873</v>
      </c>
      <c r="R74" s="24"/>
    </row>
    <row r="75" spans="1:18" s="126" customFormat="1" ht="19.149999999999999" customHeight="1" x14ac:dyDescent="0.3">
      <c r="A75" s="29">
        <v>74</v>
      </c>
      <c r="B75" s="13" t="s">
        <v>214</v>
      </c>
      <c r="C75" s="13" t="s">
        <v>25</v>
      </c>
      <c r="D75" s="13">
        <v>22</v>
      </c>
      <c r="E75" s="21" t="s">
        <v>185</v>
      </c>
      <c r="F75" s="21" t="s">
        <v>401</v>
      </c>
      <c r="G75" s="13" t="s">
        <v>154</v>
      </c>
      <c r="H75" s="18">
        <v>7</v>
      </c>
      <c r="I75" s="127">
        <v>973</v>
      </c>
      <c r="J75" s="69">
        <v>0</v>
      </c>
      <c r="K75" s="18" t="s">
        <v>336</v>
      </c>
      <c r="L75" s="18">
        <v>0</v>
      </c>
      <c r="M75" s="18" t="s">
        <v>1494</v>
      </c>
      <c r="N75" s="18" t="s">
        <v>1495</v>
      </c>
      <c r="O75" s="13" t="s">
        <v>161</v>
      </c>
      <c r="P75" s="13" t="s">
        <v>162</v>
      </c>
      <c r="Q75" s="19">
        <v>38344</v>
      </c>
      <c r="R75" s="24"/>
    </row>
    <row r="76" spans="1:18" s="126" customFormat="1" ht="19.149999999999999" customHeight="1" x14ac:dyDescent="0.3">
      <c r="A76" s="13">
        <v>75</v>
      </c>
      <c r="B76" s="13" t="s">
        <v>214</v>
      </c>
      <c r="C76" s="13" t="s">
        <v>25</v>
      </c>
      <c r="D76" s="13">
        <v>22</v>
      </c>
      <c r="E76" s="21" t="s">
        <v>186</v>
      </c>
      <c r="F76" s="21" t="s">
        <v>402</v>
      </c>
      <c r="G76" s="13" t="s">
        <v>154</v>
      </c>
      <c r="H76" s="18">
        <v>5</v>
      </c>
      <c r="I76" s="127">
        <v>680</v>
      </c>
      <c r="J76" s="69">
        <v>5</v>
      </c>
      <c r="K76" s="18" t="s">
        <v>1652</v>
      </c>
      <c r="L76" s="18">
        <v>0</v>
      </c>
      <c r="M76" s="18" t="s">
        <v>1513</v>
      </c>
      <c r="N76" s="18" t="s">
        <v>1495</v>
      </c>
      <c r="O76" s="13" t="s">
        <v>161</v>
      </c>
      <c r="P76" s="13" t="s">
        <v>162</v>
      </c>
      <c r="Q76" s="19">
        <v>38306</v>
      </c>
      <c r="R76" s="36" t="s">
        <v>1653</v>
      </c>
    </row>
    <row r="77" spans="1:18" s="126" customFormat="1" ht="19.149999999999999" customHeight="1" x14ac:dyDescent="0.3">
      <c r="A77" s="29">
        <v>76</v>
      </c>
      <c r="B77" s="29" t="s">
        <v>1627</v>
      </c>
      <c r="C77" s="29" t="s">
        <v>1654</v>
      </c>
      <c r="D77" s="29">
        <v>22</v>
      </c>
      <c r="E77" s="51" t="s">
        <v>1655</v>
      </c>
      <c r="F77" s="51" t="s">
        <v>1656</v>
      </c>
      <c r="G77" s="29" t="s">
        <v>1538</v>
      </c>
      <c r="H77" s="18">
        <v>1</v>
      </c>
      <c r="I77" s="18">
        <v>26</v>
      </c>
      <c r="J77" s="29">
        <v>0</v>
      </c>
      <c r="K77" s="18" t="s">
        <v>336</v>
      </c>
      <c r="L77" s="18">
        <v>0</v>
      </c>
      <c r="M77" s="18" t="s">
        <v>1513</v>
      </c>
      <c r="N77" s="18" t="s">
        <v>1490</v>
      </c>
      <c r="O77" s="15" t="s">
        <v>155</v>
      </c>
      <c r="P77" s="13" t="s">
        <v>156</v>
      </c>
      <c r="Q77" s="19">
        <v>44518</v>
      </c>
      <c r="R77" s="29"/>
    </row>
    <row r="78" spans="1:18" s="126" customFormat="1" ht="19.149999999999999" customHeight="1" x14ac:dyDescent="0.3">
      <c r="A78" s="13">
        <v>77</v>
      </c>
      <c r="B78" s="28" t="s">
        <v>333</v>
      </c>
      <c r="C78" s="28" t="s">
        <v>26</v>
      </c>
      <c r="D78" s="13">
        <v>23</v>
      </c>
      <c r="E78" s="32" t="s">
        <v>334</v>
      </c>
      <c r="F78" s="32" t="s">
        <v>335</v>
      </c>
      <c r="G78" s="28" t="s">
        <v>164</v>
      </c>
      <c r="H78" s="33">
        <v>4</v>
      </c>
      <c r="I78" s="127">
        <v>719</v>
      </c>
      <c r="J78" s="91">
        <v>0</v>
      </c>
      <c r="K78" s="33" t="s">
        <v>336</v>
      </c>
      <c r="L78" s="18">
        <v>0</v>
      </c>
      <c r="M78" s="18" t="s">
        <v>1513</v>
      </c>
      <c r="N78" s="18" t="s">
        <v>1495</v>
      </c>
      <c r="O78" s="13" t="s">
        <v>161</v>
      </c>
      <c r="P78" s="13" t="s">
        <v>162</v>
      </c>
      <c r="Q78" s="34">
        <v>42530</v>
      </c>
      <c r="R78" s="63" t="s">
        <v>337</v>
      </c>
    </row>
    <row r="79" spans="1:18" s="126" customFormat="1" ht="19.149999999999999" customHeight="1" x14ac:dyDescent="0.3">
      <c r="A79" s="29">
        <v>78</v>
      </c>
      <c r="B79" s="15" t="s">
        <v>214</v>
      </c>
      <c r="C79" s="15" t="s">
        <v>26</v>
      </c>
      <c r="D79" s="13">
        <v>23</v>
      </c>
      <c r="E79" s="16" t="s">
        <v>1657</v>
      </c>
      <c r="F79" s="16" t="s">
        <v>330</v>
      </c>
      <c r="G79" s="15" t="s">
        <v>154</v>
      </c>
      <c r="H79" s="18">
        <v>6</v>
      </c>
      <c r="I79" s="127">
        <v>874</v>
      </c>
      <c r="J79" s="69">
        <v>1</v>
      </c>
      <c r="K79" s="18" t="s">
        <v>216</v>
      </c>
      <c r="L79" s="18">
        <v>0</v>
      </c>
      <c r="M79" s="18" t="s">
        <v>1513</v>
      </c>
      <c r="N79" s="18" t="s">
        <v>1495</v>
      </c>
      <c r="O79" s="15" t="s">
        <v>155</v>
      </c>
      <c r="P79" s="13" t="s">
        <v>156</v>
      </c>
      <c r="Q79" s="19">
        <v>39121</v>
      </c>
      <c r="R79" s="16"/>
    </row>
    <row r="80" spans="1:18" s="126" customFormat="1" ht="19.149999999999999" customHeight="1" x14ac:dyDescent="0.3">
      <c r="A80" s="13">
        <v>79</v>
      </c>
      <c r="B80" s="15" t="s">
        <v>1534</v>
      </c>
      <c r="C80" s="15" t="s">
        <v>1658</v>
      </c>
      <c r="D80" s="13">
        <v>23</v>
      </c>
      <c r="E80" s="16" t="s">
        <v>1659</v>
      </c>
      <c r="F80" s="16" t="s">
        <v>1660</v>
      </c>
      <c r="G80" s="15" t="s">
        <v>1538</v>
      </c>
      <c r="H80" s="18">
        <v>7</v>
      </c>
      <c r="I80" s="127">
        <v>847</v>
      </c>
      <c r="J80" s="69">
        <v>2</v>
      </c>
      <c r="K80" s="18" t="s">
        <v>1661</v>
      </c>
      <c r="L80" s="18">
        <v>0</v>
      </c>
      <c r="M80" s="18" t="s">
        <v>1494</v>
      </c>
      <c r="N80" s="18" t="s">
        <v>1495</v>
      </c>
      <c r="O80" s="13" t="s">
        <v>159</v>
      </c>
      <c r="P80" s="13" t="s">
        <v>160</v>
      </c>
      <c r="Q80" s="19">
        <v>43993</v>
      </c>
      <c r="R80" s="16"/>
    </row>
    <row r="81" spans="1:18" s="126" customFormat="1" ht="19.149999999999999" customHeight="1" x14ac:dyDescent="0.3">
      <c r="A81" s="29">
        <v>80</v>
      </c>
      <c r="B81" s="15" t="s">
        <v>214</v>
      </c>
      <c r="C81" s="15" t="s">
        <v>26</v>
      </c>
      <c r="D81" s="13">
        <v>23</v>
      </c>
      <c r="E81" s="16" t="s">
        <v>1662</v>
      </c>
      <c r="F81" s="16" t="s">
        <v>1191</v>
      </c>
      <c r="G81" s="15" t="s">
        <v>154</v>
      </c>
      <c r="H81" s="18">
        <v>5</v>
      </c>
      <c r="I81" s="127">
        <v>634</v>
      </c>
      <c r="J81" s="69">
        <v>2</v>
      </c>
      <c r="K81" s="18" t="s">
        <v>1663</v>
      </c>
      <c r="L81" s="18">
        <v>0</v>
      </c>
      <c r="M81" s="18" t="s">
        <v>1513</v>
      </c>
      <c r="N81" s="18" t="s">
        <v>1495</v>
      </c>
      <c r="O81" s="15" t="s">
        <v>155</v>
      </c>
      <c r="P81" s="13" t="s">
        <v>156</v>
      </c>
      <c r="Q81" s="19">
        <v>40828</v>
      </c>
      <c r="R81" s="16"/>
    </row>
    <row r="82" spans="1:18" s="126" customFormat="1" ht="19.149999999999999" customHeight="1" x14ac:dyDescent="0.3">
      <c r="A82" s="13">
        <v>81</v>
      </c>
      <c r="B82" s="28" t="s">
        <v>333</v>
      </c>
      <c r="C82" s="28" t="s">
        <v>339</v>
      </c>
      <c r="D82" s="13">
        <v>23</v>
      </c>
      <c r="E82" s="32" t="s">
        <v>340</v>
      </c>
      <c r="F82" s="32" t="s">
        <v>341</v>
      </c>
      <c r="G82" s="28" t="s">
        <v>164</v>
      </c>
      <c r="H82" s="33">
        <v>6</v>
      </c>
      <c r="I82" s="127">
        <v>570</v>
      </c>
      <c r="J82" s="91">
        <v>0</v>
      </c>
      <c r="K82" s="33" t="s">
        <v>336</v>
      </c>
      <c r="L82" s="18">
        <v>0</v>
      </c>
      <c r="M82" s="18" t="s">
        <v>1494</v>
      </c>
      <c r="N82" s="18" t="s">
        <v>1495</v>
      </c>
      <c r="O82" s="13" t="s">
        <v>159</v>
      </c>
      <c r="P82" s="13" t="s">
        <v>160</v>
      </c>
      <c r="Q82" s="34">
        <v>41376</v>
      </c>
      <c r="R82" s="63" t="s">
        <v>342</v>
      </c>
    </row>
    <row r="83" spans="1:18" s="126" customFormat="1" ht="19.149999999999999" customHeight="1" x14ac:dyDescent="0.3">
      <c r="A83" s="29">
        <v>82</v>
      </c>
      <c r="B83" s="13" t="s">
        <v>214</v>
      </c>
      <c r="C83" s="13" t="s">
        <v>26</v>
      </c>
      <c r="D83" s="13">
        <v>23</v>
      </c>
      <c r="E83" s="21" t="s">
        <v>187</v>
      </c>
      <c r="F83" s="21" t="s">
        <v>1192</v>
      </c>
      <c r="G83" s="13" t="s">
        <v>154</v>
      </c>
      <c r="H83" s="18">
        <v>20</v>
      </c>
      <c r="I83" s="127">
        <v>3535</v>
      </c>
      <c r="J83" s="69">
        <v>16</v>
      </c>
      <c r="K83" s="18" t="s">
        <v>3167</v>
      </c>
      <c r="L83" s="18">
        <v>2</v>
      </c>
      <c r="M83" s="18" t="s">
        <v>1664</v>
      </c>
      <c r="N83" s="18" t="s">
        <v>1495</v>
      </c>
      <c r="O83" s="13" t="s">
        <v>161</v>
      </c>
      <c r="P83" s="13" t="s">
        <v>162</v>
      </c>
      <c r="Q83" s="19">
        <v>36659</v>
      </c>
      <c r="R83" s="24" t="s">
        <v>1665</v>
      </c>
    </row>
    <row r="84" spans="1:18" s="126" customFormat="1" ht="19.149999999999999" customHeight="1" x14ac:dyDescent="0.3">
      <c r="A84" s="13">
        <v>83</v>
      </c>
      <c r="B84" s="15" t="s">
        <v>1497</v>
      </c>
      <c r="C84" s="15" t="s">
        <v>1666</v>
      </c>
      <c r="D84" s="13">
        <v>23</v>
      </c>
      <c r="E84" s="16" t="s">
        <v>1667</v>
      </c>
      <c r="F84" s="16" t="s">
        <v>1668</v>
      </c>
      <c r="G84" s="15" t="s">
        <v>1502</v>
      </c>
      <c r="H84" s="18">
        <v>1</v>
      </c>
      <c r="I84" s="127">
        <v>59</v>
      </c>
      <c r="J84" s="69">
        <v>0</v>
      </c>
      <c r="K84" s="18" t="s">
        <v>1502</v>
      </c>
      <c r="L84" s="18">
        <v>0</v>
      </c>
      <c r="M84" s="18" t="s">
        <v>1513</v>
      </c>
      <c r="N84" s="18" t="s">
        <v>1495</v>
      </c>
      <c r="O84" s="15" t="s">
        <v>1669</v>
      </c>
      <c r="P84" s="13" t="s">
        <v>877</v>
      </c>
      <c r="Q84" s="19">
        <v>41915</v>
      </c>
      <c r="R84" s="6" t="s">
        <v>1670</v>
      </c>
    </row>
    <row r="85" spans="1:18" s="126" customFormat="1" ht="19.149999999999999" customHeight="1" x14ac:dyDescent="0.3">
      <c r="A85" s="29">
        <v>84</v>
      </c>
      <c r="B85" s="15" t="s">
        <v>214</v>
      </c>
      <c r="C85" s="15" t="s">
        <v>26</v>
      </c>
      <c r="D85" s="13">
        <v>23</v>
      </c>
      <c r="E85" s="16" t="s">
        <v>1671</v>
      </c>
      <c r="F85" s="16" t="s">
        <v>1193</v>
      </c>
      <c r="G85" s="15" t="s">
        <v>154</v>
      </c>
      <c r="H85" s="18">
        <v>8</v>
      </c>
      <c r="I85" s="127">
        <v>974</v>
      </c>
      <c r="J85" s="69">
        <v>3</v>
      </c>
      <c r="K85" s="18" t="s">
        <v>1672</v>
      </c>
      <c r="L85" s="18">
        <v>2</v>
      </c>
      <c r="M85" s="18" t="s">
        <v>424</v>
      </c>
      <c r="N85" s="18" t="s">
        <v>1495</v>
      </c>
      <c r="O85" s="15" t="s">
        <v>155</v>
      </c>
      <c r="P85" s="13" t="s">
        <v>156</v>
      </c>
      <c r="Q85" s="19">
        <v>38779</v>
      </c>
      <c r="R85" s="16" t="s">
        <v>1673</v>
      </c>
    </row>
    <row r="86" spans="1:18" s="126" customFormat="1" ht="19.149999999999999" customHeight="1" x14ac:dyDescent="0.3">
      <c r="A86" s="13">
        <v>85</v>
      </c>
      <c r="B86" s="13" t="s">
        <v>214</v>
      </c>
      <c r="C86" s="13" t="s">
        <v>406</v>
      </c>
      <c r="D86" s="13">
        <v>24</v>
      </c>
      <c r="E86" s="21" t="s">
        <v>409</v>
      </c>
      <c r="F86" s="21" t="s">
        <v>410</v>
      </c>
      <c r="G86" s="13" t="s">
        <v>164</v>
      </c>
      <c r="H86" s="18">
        <v>9</v>
      </c>
      <c r="I86" s="127">
        <v>1007</v>
      </c>
      <c r="J86" s="69">
        <v>0</v>
      </c>
      <c r="K86" s="18" t="s">
        <v>336</v>
      </c>
      <c r="L86" s="18">
        <v>0</v>
      </c>
      <c r="M86" s="18" t="s">
        <v>1513</v>
      </c>
      <c r="N86" s="18" t="s">
        <v>1495</v>
      </c>
      <c r="O86" s="13" t="s">
        <v>161</v>
      </c>
      <c r="P86" s="13" t="s">
        <v>162</v>
      </c>
      <c r="Q86" s="19">
        <v>42728</v>
      </c>
      <c r="R86" s="24"/>
    </row>
    <row r="87" spans="1:18" s="126" customFormat="1" ht="19.149999999999999" customHeight="1" x14ac:dyDescent="0.3">
      <c r="A87" s="29">
        <v>86</v>
      </c>
      <c r="B87" s="13" t="s">
        <v>333</v>
      </c>
      <c r="C87" s="13" t="s">
        <v>406</v>
      </c>
      <c r="D87" s="13">
        <v>24</v>
      </c>
      <c r="E87" s="21" t="s">
        <v>407</v>
      </c>
      <c r="F87" s="21" t="s">
        <v>408</v>
      </c>
      <c r="G87" s="13" t="s">
        <v>345</v>
      </c>
      <c r="H87" s="18">
        <v>21</v>
      </c>
      <c r="I87" s="127">
        <v>4276</v>
      </c>
      <c r="J87" s="69">
        <v>6</v>
      </c>
      <c r="K87" s="35" t="s">
        <v>1674</v>
      </c>
      <c r="L87" s="18">
        <v>2</v>
      </c>
      <c r="M87" s="35" t="s">
        <v>895</v>
      </c>
      <c r="N87" s="18" t="s">
        <v>1495</v>
      </c>
      <c r="O87" s="13" t="s">
        <v>159</v>
      </c>
      <c r="P87" s="13" t="s">
        <v>160</v>
      </c>
      <c r="Q87" s="19">
        <v>41927</v>
      </c>
      <c r="R87" s="36" t="s">
        <v>1675</v>
      </c>
    </row>
    <row r="88" spans="1:18" s="126" customFormat="1" ht="19.149999999999999" customHeight="1" x14ac:dyDescent="0.3">
      <c r="A88" s="13">
        <v>87</v>
      </c>
      <c r="B88" s="13" t="s">
        <v>214</v>
      </c>
      <c r="C88" s="13" t="s">
        <v>27</v>
      </c>
      <c r="D88" s="13">
        <v>24</v>
      </c>
      <c r="E88" s="24" t="s">
        <v>1676</v>
      </c>
      <c r="F88" s="24" t="s">
        <v>1194</v>
      </c>
      <c r="G88" s="13" t="s">
        <v>154</v>
      </c>
      <c r="H88" s="18">
        <v>8</v>
      </c>
      <c r="I88" s="127">
        <v>1401</v>
      </c>
      <c r="J88" s="69">
        <v>3</v>
      </c>
      <c r="K88" s="18" t="s">
        <v>1272</v>
      </c>
      <c r="L88" s="18">
        <v>0</v>
      </c>
      <c r="M88" s="18" t="s">
        <v>1513</v>
      </c>
      <c r="N88" s="18" t="s">
        <v>1495</v>
      </c>
      <c r="O88" s="15" t="s">
        <v>155</v>
      </c>
      <c r="P88" s="13" t="s">
        <v>156</v>
      </c>
      <c r="Q88" s="19">
        <v>39932</v>
      </c>
      <c r="R88" s="24"/>
    </row>
    <row r="89" spans="1:18" s="126" customFormat="1" ht="19.149999999999999" customHeight="1" x14ac:dyDescent="0.3">
      <c r="A89" s="29">
        <v>88</v>
      </c>
      <c r="B89" s="13" t="s">
        <v>214</v>
      </c>
      <c r="C89" s="13" t="s">
        <v>28</v>
      </c>
      <c r="D89" s="13">
        <v>25</v>
      </c>
      <c r="E89" s="21" t="s">
        <v>349</v>
      </c>
      <c r="F89" s="21" t="s">
        <v>350</v>
      </c>
      <c r="G89" s="13" t="s">
        <v>164</v>
      </c>
      <c r="H89" s="18">
        <v>10</v>
      </c>
      <c r="I89" s="127">
        <v>1352</v>
      </c>
      <c r="J89" s="69">
        <v>0</v>
      </c>
      <c r="K89" s="18" t="s">
        <v>336</v>
      </c>
      <c r="L89" s="18">
        <v>0</v>
      </c>
      <c r="M89" s="18" t="s">
        <v>1513</v>
      </c>
      <c r="N89" s="18" t="s">
        <v>1495</v>
      </c>
      <c r="O89" s="13" t="s">
        <v>161</v>
      </c>
      <c r="P89" s="13" t="s">
        <v>162</v>
      </c>
      <c r="Q89" s="19">
        <v>43221</v>
      </c>
      <c r="R89" s="36" t="s">
        <v>351</v>
      </c>
    </row>
    <row r="90" spans="1:18" s="126" customFormat="1" ht="19.149999999999999" customHeight="1" x14ac:dyDescent="0.3">
      <c r="A90" s="13">
        <v>89</v>
      </c>
      <c r="B90" s="13" t="s">
        <v>333</v>
      </c>
      <c r="C90" s="13" t="s">
        <v>28</v>
      </c>
      <c r="D90" s="13">
        <v>25</v>
      </c>
      <c r="E90" s="24" t="s">
        <v>1677</v>
      </c>
      <c r="F90" s="16" t="s">
        <v>346</v>
      </c>
      <c r="G90" s="13" t="s">
        <v>345</v>
      </c>
      <c r="H90" s="18">
        <v>6</v>
      </c>
      <c r="I90" s="127">
        <v>1240</v>
      </c>
      <c r="J90" s="69">
        <v>3</v>
      </c>
      <c r="K90" s="18" t="s">
        <v>347</v>
      </c>
      <c r="L90" s="18">
        <v>0</v>
      </c>
      <c r="M90" s="18" t="s">
        <v>1513</v>
      </c>
      <c r="N90" s="18" t="s">
        <v>1490</v>
      </c>
      <c r="O90" s="15" t="s">
        <v>155</v>
      </c>
      <c r="P90" s="13" t="s">
        <v>156</v>
      </c>
      <c r="Q90" s="19">
        <v>42193</v>
      </c>
      <c r="R90" s="16"/>
    </row>
    <row r="91" spans="1:18" s="126" customFormat="1" ht="19.149999999999999" customHeight="1" x14ac:dyDescent="0.3">
      <c r="A91" s="29">
        <v>90</v>
      </c>
      <c r="B91" s="13" t="s">
        <v>214</v>
      </c>
      <c r="C91" s="13" t="s">
        <v>28</v>
      </c>
      <c r="D91" s="13">
        <v>25</v>
      </c>
      <c r="E91" s="21" t="s">
        <v>188</v>
      </c>
      <c r="F91" s="21" t="s">
        <v>348</v>
      </c>
      <c r="G91" s="13" t="s">
        <v>164</v>
      </c>
      <c r="H91" s="18">
        <v>10</v>
      </c>
      <c r="I91" s="127">
        <v>1846</v>
      </c>
      <c r="J91" s="69">
        <v>0</v>
      </c>
      <c r="K91" s="18" t="s">
        <v>336</v>
      </c>
      <c r="L91" s="18">
        <v>0</v>
      </c>
      <c r="M91" s="18" t="s">
        <v>1513</v>
      </c>
      <c r="N91" s="18" t="s">
        <v>1495</v>
      </c>
      <c r="O91" s="13" t="s">
        <v>159</v>
      </c>
      <c r="P91" s="13" t="s">
        <v>160</v>
      </c>
      <c r="Q91" s="19">
        <v>39562</v>
      </c>
      <c r="R91" s="16"/>
    </row>
    <row r="92" spans="1:18" s="126" customFormat="1" ht="19.149999999999999" customHeight="1" x14ac:dyDescent="0.3">
      <c r="A92" s="13">
        <v>91</v>
      </c>
      <c r="B92" s="13" t="s">
        <v>217</v>
      </c>
      <c r="C92" s="13" t="s">
        <v>5</v>
      </c>
      <c r="D92" s="13">
        <v>26</v>
      </c>
      <c r="E92" s="21" t="s">
        <v>287</v>
      </c>
      <c r="F92" s="32" t="s">
        <v>467</v>
      </c>
      <c r="G92" s="13" t="s">
        <v>164</v>
      </c>
      <c r="H92" s="18">
        <v>9</v>
      </c>
      <c r="I92" s="127">
        <v>1372</v>
      </c>
      <c r="J92" s="69">
        <v>0</v>
      </c>
      <c r="K92" s="18" t="s">
        <v>336</v>
      </c>
      <c r="L92" s="18">
        <v>0</v>
      </c>
      <c r="M92" s="18" t="s">
        <v>1494</v>
      </c>
      <c r="N92" s="18" t="s">
        <v>1495</v>
      </c>
      <c r="O92" s="13" t="s">
        <v>161</v>
      </c>
      <c r="P92" s="13" t="s">
        <v>162</v>
      </c>
      <c r="Q92" s="19">
        <v>39055</v>
      </c>
      <c r="R92" s="119" t="s">
        <v>468</v>
      </c>
    </row>
    <row r="93" spans="1:18" s="126" customFormat="1" ht="19.149999999999999" customHeight="1" x14ac:dyDescent="0.3">
      <c r="A93" s="29">
        <v>92</v>
      </c>
      <c r="B93" s="13" t="s">
        <v>217</v>
      </c>
      <c r="C93" s="13" t="s">
        <v>5</v>
      </c>
      <c r="D93" s="13">
        <v>26</v>
      </c>
      <c r="E93" s="21" t="s">
        <v>238</v>
      </c>
      <c r="F93" s="32" t="s">
        <v>465</v>
      </c>
      <c r="G93" s="13" t="s">
        <v>345</v>
      </c>
      <c r="H93" s="18">
        <v>6</v>
      </c>
      <c r="I93" s="127">
        <v>982</v>
      </c>
      <c r="J93" s="69">
        <v>0</v>
      </c>
      <c r="K93" s="18" t="s">
        <v>336</v>
      </c>
      <c r="L93" s="18">
        <v>0</v>
      </c>
      <c r="M93" s="18" t="s">
        <v>1513</v>
      </c>
      <c r="N93" s="18" t="s">
        <v>1495</v>
      </c>
      <c r="O93" s="13" t="s">
        <v>159</v>
      </c>
      <c r="P93" s="13" t="s">
        <v>160</v>
      </c>
      <c r="Q93" s="19">
        <v>42810</v>
      </c>
      <c r="R93" s="6" t="s">
        <v>466</v>
      </c>
    </row>
    <row r="94" spans="1:18" s="126" customFormat="1" ht="19.149999999999999" customHeight="1" x14ac:dyDescent="0.3">
      <c r="A94" s="13">
        <v>93</v>
      </c>
      <c r="B94" s="13" t="s">
        <v>446</v>
      </c>
      <c r="C94" s="13" t="s">
        <v>469</v>
      </c>
      <c r="D94" s="13">
        <v>26</v>
      </c>
      <c r="E94" s="21" t="s">
        <v>470</v>
      </c>
      <c r="F94" s="38" t="s">
        <v>471</v>
      </c>
      <c r="G94" s="13" t="s">
        <v>154</v>
      </c>
      <c r="H94" s="18">
        <v>11</v>
      </c>
      <c r="I94" s="127">
        <v>2409</v>
      </c>
      <c r="J94" s="69">
        <v>3</v>
      </c>
      <c r="K94" s="18" t="s">
        <v>1678</v>
      </c>
      <c r="L94" s="18">
        <v>1</v>
      </c>
      <c r="M94" s="18" t="s">
        <v>895</v>
      </c>
      <c r="N94" s="18" t="s">
        <v>1495</v>
      </c>
      <c r="O94" s="13" t="s">
        <v>159</v>
      </c>
      <c r="P94" s="13" t="s">
        <v>160</v>
      </c>
      <c r="Q94" s="19">
        <v>41879</v>
      </c>
      <c r="R94" s="24"/>
    </row>
    <row r="95" spans="1:18" s="126" customFormat="1" ht="19.149999999999999" customHeight="1" x14ac:dyDescent="0.3">
      <c r="A95" s="29">
        <v>94</v>
      </c>
      <c r="B95" s="13" t="s">
        <v>217</v>
      </c>
      <c r="C95" s="13" t="s">
        <v>31</v>
      </c>
      <c r="D95" s="13">
        <v>30</v>
      </c>
      <c r="E95" s="21" t="s">
        <v>454</v>
      </c>
      <c r="F95" s="32" t="s">
        <v>455</v>
      </c>
      <c r="G95" s="13" t="s">
        <v>154</v>
      </c>
      <c r="H95" s="18">
        <v>11</v>
      </c>
      <c r="I95" s="127">
        <v>2062</v>
      </c>
      <c r="J95" s="69">
        <v>1</v>
      </c>
      <c r="K95" s="18" t="s">
        <v>1160</v>
      </c>
      <c r="L95" s="18">
        <v>0</v>
      </c>
      <c r="M95" s="18" t="s">
        <v>1513</v>
      </c>
      <c r="N95" s="18" t="s">
        <v>1495</v>
      </c>
      <c r="O95" s="13" t="s">
        <v>159</v>
      </c>
      <c r="P95" s="13" t="s">
        <v>160</v>
      </c>
      <c r="Q95" s="19">
        <v>37058</v>
      </c>
      <c r="R95" s="24"/>
    </row>
    <row r="96" spans="1:18" s="126" customFormat="1" ht="19.149999999999999" customHeight="1" x14ac:dyDescent="0.3">
      <c r="A96" s="13">
        <v>95</v>
      </c>
      <c r="B96" s="13" t="s">
        <v>217</v>
      </c>
      <c r="C96" s="13" t="s">
        <v>31</v>
      </c>
      <c r="D96" s="13">
        <v>30</v>
      </c>
      <c r="E96" s="24" t="s">
        <v>1679</v>
      </c>
      <c r="F96" s="39" t="s">
        <v>1196</v>
      </c>
      <c r="G96" s="13" t="s">
        <v>154</v>
      </c>
      <c r="H96" s="18">
        <v>12</v>
      </c>
      <c r="I96" s="127">
        <v>2280</v>
      </c>
      <c r="J96" s="69">
        <v>3</v>
      </c>
      <c r="K96" s="18" t="s">
        <v>1269</v>
      </c>
      <c r="L96" s="18">
        <v>2</v>
      </c>
      <c r="M96" s="18" t="s">
        <v>424</v>
      </c>
      <c r="N96" s="18" t="s">
        <v>1495</v>
      </c>
      <c r="O96" s="15" t="s">
        <v>155</v>
      </c>
      <c r="P96" s="13" t="s">
        <v>156</v>
      </c>
      <c r="Q96" s="19">
        <v>36677</v>
      </c>
      <c r="R96" s="24"/>
    </row>
    <row r="97" spans="1:18" s="126" customFormat="1" ht="19.149999999999999" customHeight="1" x14ac:dyDescent="0.3">
      <c r="A97" s="29">
        <v>96</v>
      </c>
      <c r="B97" s="13" t="s">
        <v>217</v>
      </c>
      <c r="C97" s="13" t="s">
        <v>31</v>
      </c>
      <c r="D97" s="13">
        <v>30</v>
      </c>
      <c r="E97" s="21" t="s">
        <v>456</v>
      </c>
      <c r="F97" s="32" t="s">
        <v>457</v>
      </c>
      <c r="G97" s="13" t="s">
        <v>154</v>
      </c>
      <c r="H97" s="18">
        <v>6</v>
      </c>
      <c r="I97" s="127">
        <v>1232</v>
      </c>
      <c r="J97" s="69">
        <v>0</v>
      </c>
      <c r="K97" s="18" t="s">
        <v>336</v>
      </c>
      <c r="L97" s="18">
        <v>0</v>
      </c>
      <c r="M97" s="18" t="s">
        <v>1513</v>
      </c>
      <c r="N97" s="18" t="s">
        <v>1495</v>
      </c>
      <c r="O97" s="28" t="s">
        <v>159</v>
      </c>
      <c r="P97" s="13" t="s">
        <v>160</v>
      </c>
      <c r="Q97" s="19">
        <v>40422</v>
      </c>
      <c r="R97" s="36" t="s">
        <v>1680</v>
      </c>
    </row>
    <row r="98" spans="1:18" s="126" customFormat="1" ht="19.149999999999999" customHeight="1" x14ac:dyDescent="0.3">
      <c r="A98" s="13">
        <v>97</v>
      </c>
      <c r="B98" s="13" t="s">
        <v>1681</v>
      </c>
      <c r="C98" s="13" t="s">
        <v>1682</v>
      </c>
      <c r="D98" s="13">
        <v>30</v>
      </c>
      <c r="E98" s="24" t="s">
        <v>1683</v>
      </c>
      <c r="F98" s="39" t="s">
        <v>1684</v>
      </c>
      <c r="G98" s="13" t="s">
        <v>1538</v>
      </c>
      <c r="H98" s="18">
        <v>6</v>
      </c>
      <c r="I98" s="127">
        <v>660</v>
      </c>
      <c r="J98" s="69">
        <v>1</v>
      </c>
      <c r="K98" s="18" t="s">
        <v>1685</v>
      </c>
      <c r="L98" s="18">
        <v>0</v>
      </c>
      <c r="M98" s="18" t="s">
        <v>1513</v>
      </c>
      <c r="N98" s="18" t="s">
        <v>1495</v>
      </c>
      <c r="O98" s="15" t="s">
        <v>155</v>
      </c>
      <c r="P98" s="13" t="s">
        <v>156</v>
      </c>
      <c r="Q98" s="19">
        <v>44552</v>
      </c>
      <c r="R98" s="24"/>
    </row>
    <row r="99" spans="1:18" s="126" customFormat="1" ht="19.149999999999999" customHeight="1" x14ac:dyDescent="0.3">
      <c r="A99" s="29">
        <v>98</v>
      </c>
      <c r="B99" s="13" t="s">
        <v>1681</v>
      </c>
      <c r="C99" s="13" t="s">
        <v>1682</v>
      </c>
      <c r="D99" s="13">
        <v>30</v>
      </c>
      <c r="E99" s="24" t="s">
        <v>1686</v>
      </c>
      <c r="F99" s="39" t="s">
        <v>1687</v>
      </c>
      <c r="G99" s="13" t="s">
        <v>1553</v>
      </c>
      <c r="H99" s="18">
        <v>8</v>
      </c>
      <c r="I99" s="127">
        <v>1244</v>
      </c>
      <c r="J99" s="69">
        <v>0</v>
      </c>
      <c r="K99" s="18" t="s">
        <v>1513</v>
      </c>
      <c r="L99" s="18">
        <v>0</v>
      </c>
      <c r="M99" s="18" t="s">
        <v>1513</v>
      </c>
      <c r="N99" s="18" t="s">
        <v>1495</v>
      </c>
      <c r="O99" s="15" t="s">
        <v>155</v>
      </c>
      <c r="P99" s="13" t="s">
        <v>156</v>
      </c>
      <c r="Q99" s="19">
        <v>43650</v>
      </c>
      <c r="R99" s="24"/>
    </row>
    <row r="100" spans="1:18" s="126" customFormat="1" ht="19.149999999999999" customHeight="1" x14ac:dyDescent="0.3">
      <c r="A100" s="13">
        <v>99</v>
      </c>
      <c r="B100" s="15" t="s">
        <v>217</v>
      </c>
      <c r="C100" s="15" t="s">
        <v>32</v>
      </c>
      <c r="D100" s="13">
        <v>31</v>
      </c>
      <c r="E100" s="16" t="s">
        <v>240</v>
      </c>
      <c r="F100" s="41" t="s">
        <v>452</v>
      </c>
      <c r="G100" s="15" t="s">
        <v>154</v>
      </c>
      <c r="H100" s="18">
        <v>9</v>
      </c>
      <c r="I100" s="127">
        <v>1581</v>
      </c>
      <c r="J100" s="69">
        <v>0</v>
      </c>
      <c r="K100" s="18" t="s">
        <v>336</v>
      </c>
      <c r="L100" s="18">
        <v>0</v>
      </c>
      <c r="M100" s="18" t="s">
        <v>1513</v>
      </c>
      <c r="N100" s="18" t="s">
        <v>1495</v>
      </c>
      <c r="O100" s="28" t="s">
        <v>159</v>
      </c>
      <c r="P100" s="13" t="s">
        <v>160</v>
      </c>
      <c r="Q100" s="19">
        <v>39600</v>
      </c>
      <c r="R100" s="16"/>
    </row>
    <row r="101" spans="1:18" s="126" customFormat="1" ht="19.149999999999999" customHeight="1" x14ac:dyDescent="0.3">
      <c r="A101" s="29">
        <v>100</v>
      </c>
      <c r="B101" s="15" t="s">
        <v>217</v>
      </c>
      <c r="C101" s="15" t="s">
        <v>32</v>
      </c>
      <c r="D101" s="13">
        <v>31</v>
      </c>
      <c r="E101" s="16" t="s">
        <v>1688</v>
      </c>
      <c r="F101" s="42" t="s">
        <v>451</v>
      </c>
      <c r="G101" s="15" t="s">
        <v>154</v>
      </c>
      <c r="H101" s="18">
        <v>9</v>
      </c>
      <c r="I101" s="127">
        <v>1385</v>
      </c>
      <c r="J101" s="69">
        <v>1</v>
      </c>
      <c r="K101" s="18" t="s">
        <v>216</v>
      </c>
      <c r="L101" s="18">
        <v>0</v>
      </c>
      <c r="M101" s="18" t="s">
        <v>1513</v>
      </c>
      <c r="N101" s="18" t="s">
        <v>1495</v>
      </c>
      <c r="O101" s="15" t="s">
        <v>155</v>
      </c>
      <c r="P101" s="13" t="s">
        <v>156</v>
      </c>
      <c r="Q101" s="19">
        <v>39015</v>
      </c>
      <c r="R101" s="16"/>
    </row>
    <row r="102" spans="1:18" s="126" customFormat="1" ht="19.149999999999999" customHeight="1" x14ac:dyDescent="0.3">
      <c r="A102" s="13">
        <v>101</v>
      </c>
      <c r="B102" s="13" t="s">
        <v>217</v>
      </c>
      <c r="C102" s="13" t="s">
        <v>33</v>
      </c>
      <c r="D102" s="13">
        <v>32</v>
      </c>
      <c r="E102" s="16" t="s">
        <v>1689</v>
      </c>
      <c r="F102" s="39" t="s">
        <v>450</v>
      </c>
      <c r="G102" s="15" t="s">
        <v>154</v>
      </c>
      <c r="H102" s="18">
        <v>8</v>
      </c>
      <c r="I102" s="127">
        <v>1171</v>
      </c>
      <c r="J102" s="69">
        <v>0</v>
      </c>
      <c r="K102" s="18" t="s">
        <v>336</v>
      </c>
      <c r="L102" s="18">
        <v>0</v>
      </c>
      <c r="M102" s="18" t="s">
        <v>1513</v>
      </c>
      <c r="N102" s="18" t="s">
        <v>1490</v>
      </c>
      <c r="O102" s="15" t="s">
        <v>155</v>
      </c>
      <c r="P102" s="13" t="s">
        <v>156</v>
      </c>
      <c r="Q102" s="19">
        <v>39337</v>
      </c>
      <c r="R102" s="43"/>
    </row>
    <row r="103" spans="1:18" s="126" customFormat="1" ht="19.149999999999999" customHeight="1" x14ac:dyDescent="0.3">
      <c r="A103" s="29">
        <v>102</v>
      </c>
      <c r="B103" s="13" t="s">
        <v>446</v>
      </c>
      <c r="C103" s="13" t="s">
        <v>458</v>
      </c>
      <c r="D103" s="13">
        <v>33</v>
      </c>
      <c r="E103" s="21" t="s">
        <v>461</v>
      </c>
      <c r="F103" s="32" t="s">
        <v>462</v>
      </c>
      <c r="G103" s="13" t="s">
        <v>444</v>
      </c>
      <c r="H103" s="18">
        <v>9</v>
      </c>
      <c r="I103" s="127">
        <v>690</v>
      </c>
      <c r="J103" s="69">
        <v>1</v>
      </c>
      <c r="K103" s="18" t="s">
        <v>398</v>
      </c>
      <c r="L103" s="18">
        <v>0</v>
      </c>
      <c r="M103" s="18" t="s">
        <v>1513</v>
      </c>
      <c r="N103" s="18" t="s">
        <v>1495</v>
      </c>
      <c r="O103" s="13" t="s">
        <v>161</v>
      </c>
      <c r="P103" s="13" t="s">
        <v>162</v>
      </c>
      <c r="Q103" s="19">
        <v>41393</v>
      </c>
      <c r="R103" s="36" t="s">
        <v>463</v>
      </c>
    </row>
    <row r="104" spans="1:18" s="126" customFormat="1" ht="19.149999999999999" customHeight="1" x14ac:dyDescent="0.3">
      <c r="A104" s="13">
        <v>103</v>
      </c>
      <c r="B104" s="13" t="s">
        <v>446</v>
      </c>
      <c r="C104" s="13" t="s">
        <v>458</v>
      </c>
      <c r="D104" s="13">
        <v>33</v>
      </c>
      <c r="E104" s="24" t="s">
        <v>1690</v>
      </c>
      <c r="F104" s="39" t="s">
        <v>459</v>
      </c>
      <c r="G104" s="13" t="s">
        <v>154</v>
      </c>
      <c r="H104" s="18">
        <v>7</v>
      </c>
      <c r="I104" s="127">
        <v>756</v>
      </c>
      <c r="J104" s="69">
        <v>0</v>
      </c>
      <c r="K104" s="18" t="s">
        <v>336</v>
      </c>
      <c r="L104" s="18">
        <v>0</v>
      </c>
      <c r="M104" s="18" t="s">
        <v>1513</v>
      </c>
      <c r="N104" s="18" t="s">
        <v>1495</v>
      </c>
      <c r="O104" s="15" t="s">
        <v>155</v>
      </c>
      <c r="P104" s="13" t="s">
        <v>156</v>
      </c>
      <c r="Q104" s="19">
        <v>37729</v>
      </c>
      <c r="R104" s="36" t="s">
        <v>460</v>
      </c>
    </row>
    <row r="105" spans="1:18" s="56" customFormat="1" ht="19.149999999999999" customHeight="1" x14ac:dyDescent="0.3">
      <c r="A105" s="29">
        <v>104</v>
      </c>
      <c r="B105" s="13" t="s">
        <v>217</v>
      </c>
      <c r="C105" s="13" t="s">
        <v>35</v>
      </c>
      <c r="D105" s="13">
        <v>34</v>
      </c>
      <c r="E105" s="24" t="s">
        <v>1691</v>
      </c>
      <c r="F105" s="39" t="s">
        <v>1197</v>
      </c>
      <c r="G105" s="13" t="s">
        <v>154</v>
      </c>
      <c r="H105" s="18">
        <v>10</v>
      </c>
      <c r="I105" s="127">
        <v>2152</v>
      </c>
      <c r="J105" s="69">
        <v>5</v>
      </c>
      <c r="K105" s="18" t="s">
        <v>1692</v>
      </c>
      <c r="L105" s="18">
        <v>0</v>
      </c>
      <c r="M105" s="18" t="s">
        <v>1513</v>
      </c>
      <c r="N105" s="18" t="s">
        <v>1490</v>
      </c>
      <c r="O105" s="15" t="s">
        <v>155</v>
      </c>
      <c r="P105" s="13" t="s">
        <v>156</v>
      </c>
      <c r="Q105" s="19">
        <v>39875</v>
      </c>
      <c r="R105" s="24"/>
    </row>
    <row r="106" spans="1:18" s="4" customFormat="1" ht="19.149999999999999" customHeight="1" x14ac:dyDescent="0.3">
      <c r="A106" s="13">
        <v>105</v>
      </c>
      <c r="B106" s="13" t="s">
        <v>217</v>
      </c>
      <c r="C106" s="13" t="s">
        <v>35</v>
      </c>
      <c r="D106" s="13">
        <v>34</v>
      </c>
      <c r="E106" s="21" t="s">
        <v>253</v>
      </c>
      <c r="F106" s="32" t="s">
        <v>1198</v>
      </c>
      <c r="G106" s="13" t="s">
        <v>154</v>
      </c>
      <c r="H106" s="18">
        <v>10</v>
      </c>
      <c r="I106" s="127">
        <v>1742</v>
      </c>
      <c r="J106" s="69">
        <v>2</v>
      </c>
      <c r="K106" s="18" t="s">
        <v>1546</v>
      </c>
      <c r="L106" s="18">
        <v>1</v>
      </c>
      <c r="M106" s="18" t="s">
        <v>895</v>
      </c>
      <c r="N106" s="18" t="s">
        <v>1495</v>
      </c>
      <c r="O106" s="28" t="s">
        <v>159</v>
      </c>
      <c r="P106" s="13" t="s">
        <v>160</v>
      </c>
      <c r="Q106" s="19">
        <v>39423</v>
      </c>
      <c r="R106" s="24"/>
    </row>
    <row r="107" spans="1:18" s="4" customFormat="1" ht="19.149999999999999" customHeight="1" x14ac:dyDescent="0.3">
      <c r="A107" s="29">
        <v>106</v>
      </c>
      <c r="B107" s="13" t="s">
        <v>217</v>
      </c>
      <c r="C107" s="13" t="s">
        <v>35</v>
      </c>
      <c r="D107" s="13">
        <v>34</v>
      </c>
      <c r="E107" s="21" t="s">
        <v>1693</v>
      </c>
      <c r="F107" s="32" t="s">
        <v>1695</v>
      </c>
      <c r="G107" s="13" t="s">
        <v>1502</v>
      </c>
      <c r="H107" s="18">
        <v>4</v>
      </c>
      <c r="I107" s="127">
        <v>873</v>
      </c>
      <c r="J107" s="69">
        <v>0</v>
      </c>
      <c r="K107" s="18" t="s">
        <v>1502</v>
      </c>
      <c r="L107" s="18">
        <v>3</v>
      </c>
      <c r="M107" s="18" t="s">
        <v>1696</v>
      </c>
      <c r="N107" s="18" t="s">
        <v>1495</v>
      </c>
      <c r="O107" s="13" t="s">
        <v>1697</v>
      </c>
      <c r="P107" s="13" t="s">
        <v>477</v>
      </c>
      <c r="Q107" s="19">
        <v>40858</v>
      </c>
      <c r="R107" s="122" t="s">
        <v>1698</v>
      </c>
    </row>
    <row r="108" spans="1:18" s="132" customFormat="1" ht="19.149999999999999" customHeight="1" x14ac:dyDescent="0.3">
      <c r="A108" s="13">
        <v>107</v>
      </c>
      <c r="B108" s="13" t="s">
        <v>446</v>
      </c>
      <c r="C108" s="13" t="s">
        <v>35</v>
      </c>
      <c r="D108" s="13">
        <v>34</v>
      </c>
      <c r="E108" s="24" t="s">
        <v>1699</v>
      </c>
      <c r="F108" s="39" t="s">
        <v>473</v>
      </c>
      <c r="G108" s="13" t="s">
        <v>164</v>
      </c>
      <c r="H108" s="18">
        <v>6</v>
      </c>
      <c r="I108" s="127">
        <v>437</v>
      </c>
      <c r="J108" s="69">
        <v>0</v>
      </c>
      <c r="K108" s="18" t="s">
        <v>336</v>
      </c>
      <c r="L108" s="18">
        <v>0</v>
      </c>
      <c r="M108" s="18" t="s">
        <v>1513</v>
      </c>
      <c r="N108" s="18" t="s">
        <v>1495</v>
      </c>
      <c r="O108" s="15" t="s">
        <v>155</v>
      </c>
      <c r="P108" s="13" t="s">
        <v>156</v>
      </c>
      <c r="Q108" s="19">
        <v>42299</v>
      </c>
      <c r="R108" s="24"/>
    </row>
    <row r="109" spans="1:18" s="132" customFormat="1" ht="19.149999999999999" customHeight="1" x14ac:dyDescent="0.3">
      <c r="A109" s="29">
        <v>108</v>
      </c>
      <c r="B109" s="13" t="s">
        <v>446</v>
      </c>
      <c r="C109" s="13" t="s">
        <v>35</v>
      </c>
      <c r="D109" s="13">
        <v>34</v>
      </c>
      <c r="E109" s="21" t="s">
        <v>1700</v>
      </c>
      <c r="F109" s="21" t="s">
        <v>475</v>
      </c>
      <c r="G109" s="13" t="s">
        <v>444</v>
      </c>
      <c r="H109" s="18">
        <v>10</v>
      </c>
      <c r="I109" s="127">
        <v>827</v>
      </c>
      <c r="J109" s="69">
        <v>0</v>
      </c>
      <c r="K109" s="18" t="s">
        <v>336</v>
      </c>
      <c r="L109" s="18">
        <v>0</v>
      </c>
      <c r="M109" s="18" t="s">
        <v>1513</v>
      </c>
      <c r="N109" s="18" t="s">
        <v>1495</v>
      </c>
      <c r="O109" s="13" t="s">
        <v>159</v>
      </c>
      <c r="P109" s="13" t="s">
        <v>160</v>
      </c>
      <c r="Q109" s="19">
        <v>41639</v>
      </c>
      <c r="R109" s="36" t="s">
        <v>476</v>
      </c>
    </row>
    <row r="110" spans="1:18" s="132" customFormat="1" ht="19.149999999999999" customHeight="1" x14ac:dyDescent="0.3">
      <c r="A110" s="13">
        <v>109</v>
      </c>
      <c r="B110" s="13" t="s">
        <v>217</v>
      </c>
      <c r="C110" s="13" t="s">
        <v>35</v>
      </c>
      <c r="D110" s="13">
        <v>34</v>
      </c>
      <c r="E110" s="21" t="s">
        <v>315</v>
      </c>
      <c r="F110" s="32" t="s">
        <v>1199</v>
      </c>
      <c r="G110" s="13" t="s">
        <v>154</v>
      </c>
      <c r="H110" s="18">
        <v>7</v>
      </c>
      <c r="I110" s="127">
        <v>1007</v>
      </c>
      <c r="J110" s="69">
        <v>6</v>
      </c>
      <c r="K110" s="18" t="s">
        <v>3166</v>
      </c>
      <c r="L110" s="18">
        <v>0</v>
      </c>
      <c r="M110" s="18" t="s">
        <v>1513</v>
      </c>
      <c r="N110" s="18" t="s">
        <v>1495</v>
      </c>
      <c r="O110" s="13" t="s">
        <v>161</v>
      </c>
      <c r="P110" s="13" t="s">
        <v>162</v>
      </c>
      <c r="Q110" s="19">
        <v>40910</v>
      </c>
      <c r="R110" s="24"/>
    </row>
    <row r="111" spans="1:18" s="132" customFormat="1" ht="19.149999999999999" customHeight="1" x14ac:dyDescent="0.3">
      <c r="A111" s="29">
        <v>110</v>
      </c>
      <c r="B111" s="13" t="s">
        <v>217</v>
      </c>
      <c r="C111" s="13" t="s">
        <v>36</v>
      </c>
      <c r="D111" s="13">
        <v>35</v>
      </c>
      <c r="E111" s="24" t="s">
        <v>1701</v>
      </c>
      <c r="F111" s="39" t="s">
        <v>1702</v>
      </c>
      <c r="G111" s="13" t="s">
        <v>164</v>
      </c>
      <c r="H111" s="18">
        <v>7</v>
      </c>
      <c r="I111" s="127">
        <v>888</v>
      </c>
      <c r="J111" s="69">
        <v>0</v>
      </c>
      <c r="K111" s="18" t="s">
        <v>1494</v>
      </c>
      <c r="L111" s="18">
        <v>0</v>
      </c>
      <c r="M111" s="18" t="s">
        <v>1513</v>
      </c>
      <c r="N111" s="18" t="s">
        <v>1495</v>
      </c>
      <c r="O111" s="15" t="s">
        <v>155</v>
      </c>
      <c r="P111" s="13" t="s">
        <v>156</v>
      </c>
      <c r="Q111" s="19">
        <v>42797</v>
      </c>
      <c r="R111" s="24"/>
    </row>
    <row r="112" spans="1:18" s="126" customFormat="1" ht="19.149999999999999" customHeight="1" x14ac:dyDescent="0.3">
      <c r="A112" s="13">
        <v>111</v>
      </c>
      <c r="B112" s="13" t="s">
        <v>217</v>
      </c>
      <c r="C112" s="13" t="s">
        <v>37</v>
      </c>
      <c r="D112" s="13">
        <v>36</v>
      </c>
      <c r="E112" s="24" t="s">
        <v>288</v>
      </c>
      <c r="F112" s="24" t="s">
        <v>441</v>
      </c>
      <c r="G112" s="13" t="s">
        <v>154</v>
      </c>
      <c r="H112" s="18">
        <v>7</v>
      </c>
      <c r="I112" s="127">
        <v>1065</v>
      </c>
      <c r="J112" s="69">
        <v>1</v>
      </c>
      <c r="K112" s="18" t="s">
        <v>1703</v>
      </c>
      <c r="L112" s="18">
        <v>0</v>
      </c>
      <c r="M112" s="18" t="s">
        <v>1513</v>
      </c>
      <c r="N112" s="18" t="s">
        <v>1495</v>
      </c>
      <c r="O112" s="13" t="s">
        <v>161</v>
      </c>
      <c r="P112" s="13" t="s">
        <v>162</v>
      </c>
      <c r="Q112" s="19">
        <v>42492</v>
      </c>
      <c r="R112" s="36" t="s">
        <v>442</v>
      </c>
    </row>
    <row r="113" spans="1:18" s="26" customFormat="1" ht="19.149999999999999" customHeight="1" x14ac:dyDescent="0.3">
      <c r="A113" s="29">
        <v>112</v>
      </c>
      <c r="B113" s="15" t="s">
        <v>217</v>
      </c>
      <c r="C113" s="15" t="s">
        <v>37</v>
      </c>
      <c r="D113" s="13">
        <v>36</v>
      </c>
      <c r="E113" s="16" t="s">
        <v>1704</v>
      </c>
      <c r="F113" s="42" t="s">
        <v>439</v>
      </c>
      <c r="G113" s="15" t="s">
        <v>154</v>
      </c>
      <c r="H113" s="18">
        <v>7</v>
      </c>
      <c r="I113" s="127">
        <v>1049</v>
      </c>
      <c r="J113" s="69">
        <v>0</v>
      </c>
      <c r="K113" s="18" t="s">
        <v>1513</v>
      </c>
      <c r="L113" s="18">
        <v>1</v>
      </c>
      <c r="M113" s="18" t="s">
        <v>1705</v>
      </c>
      <c r="N113" s="18" t="s">
        <v>1495</v>
      </c>
      <c r="O113" s="13" t="s">
        <v>159</v>
      </c>
      <c r="P113" s="13" t="s">
        <v>160</v>
      </c>
      <c r="Q113" s="19">
        <v>42005</v>
      </c>
      <c r="R113" s="6" t="s">
        <v>440</v>
      </c>
    </row>
    <row r="114" spans="1:18" s="126" customFormat="1" ht="19.149999999999999" customHeight="1" x14ac:dyDescent="0.3">
      <c r="A114" s="13">
        <v>113</v>
      </c>
      <c r="B114" s="29" t="s">
        <v>1681</v>
      </c>
      <c r="C114" s="29" t="s">
        <v>1706</v>
      </c>
      <c r="D114" s="29">
        <v>37</v>
      </c>
      <c r="E114" s="51" t="s">
        <v>1707</v>
      </c>
      <c r="F114" s="51" t="s">
        <v>1708</v>
      </c>
      <c r="G114" s="29" t="s">
        <v>1553</v>
      </c>
      <c r="H114" s="18">
        <v>7</v>
      </c>
      <c r="I114" s="18">
        <v>810</v>
      </c>
      <c r="J114" s="69">
        <v>0</v>
      </c>
      <c r="K114" s="18" t="s">
        <v>336</v>
      </c>
      <c r="L114" s="18">
        <v>0</v>
      </c>
      <c r="M114" s="18" t="s">
        <v>1513</v>
      </c>
      <c r="N114" s="18" t="s">
        <v>1495</v>
      </c>
      <c r="O114" s="13" t="s">
        <v>159</v>
      </c>
      <c r="P114" s="13" t="s">
        <v>160</v>
      </c>
      <c r="Q114" s="19">
        <v>44378</v>
      </c>
      <c r="R114" s="29"/>
    </row>
    <row r="115" spans="1:18" s="126" customFormat="1" ht="19.149999999999999" customHeight="1" x14ac:dyDescent="0.3">
      <c r="A115" s="29">
        <v>114</v>
      </c>
      <c r="B115" s="13" t="s">
        <v>1681</v>
      </c>
      <c r="C115" s="13" t="s">
        <v>1706</v>
      </c>
      <c r="D115" s="13">
        <v>37</v>
      </c>
      <c r="E115" s="24" t="s">
        <v>1709</v>
      </c>
      <c r="F115" s="24" t="s">
        <v>1710</v>
      </c>
      <c r="G115" s="13" t="s">
        <v>1553</v>
      </c>
      <c r="H115" s="18">
        <v>6</v>
      </c>
      <c r="I115" s="127">
        <v>431</v>
      </c>
      <c r="J115" s="69">
        <v>0</v>
      </c>
      <c r="K115" s="18" t="s">
        <v>336</v>
      </c>
      <c r="L115" s="18">
        <v>0</v>
      </c>
      <c r="M115" s="18" t="s">
        <v>1513</v>
      </c>
      <c r="N115" s="18" t="s">
        <v>1495</v>
      </c>
      <c r="O115" s="15" t="s">
        <v>155</v>
      </c>
      <c r="P115" s="13" t="s">
        <v>156</v>
      </c>
      <c r="Q115" s="19">
        <v>44566</v>
      </c>
      <c r="R115" s="24"/>
    </row>
    <row r="116" spans="1:18" s="126" customFormat="1" ht="19.149999999999999" customHeight="1" x14ac:dyDescent="0.3">
      <c r="A116" s="13">
        <v>115</v>
      </c>
      <c r="B116" s="13" t="s">
        <v>217</v>
      </c>
      <c r="C116" s="13" t="s">
        <v>38</v>
      </c>
      <c r="D116" s="13">
        <v>38</v>
      </c>
      <c r="E116" s="24" t="s">
        <v>1711</v>
      </c>
      <c r="F116" s="39" t="s">
        <v>464</v>
      </c>
      <c r="G116" s="13" t="s">
        <v>345</v>
      </c>
      <c r="H116" s="18">
        <v>8</v>
      </c>
      <c r="I116" s="127">
        <v>1383</v>
      </c>
      <c r="J116" s="69">
        <v>2</v>
      </c>
      <c r="K116" s="18" t="s">
        <v>1712</v>
      </c>
      <c r="L116" s="18">
        <v>0</v>
      </c>
      <c r="M116" s="18" t="s">
        <v>1513</v>
      </c>
      <c r="N116" s="18" t="s">
        <v>1490</v>
      </c>
      <c r="O116" s="15" t="s">
        <v>155</v>
      </c>
      <c r="P116" s="13" t="s">
        <v>156</v>
      </c>
      <c r="Q116" s="19">
        <v>38004</v>
      </c>
      <c r="R116" s="36" t="s">
        <v>1713</v>
      </c>
    </row>
    <row r="117" spans="1:18" s="126" customFormat="1" ht="19.149999999999999" customHeight="1" x14ac:dyDescent="0.3">
      <c r="A117" s="29">
        <v>116</v>
      </c>
      <c r="B117" s="13" t="s">
        <v>217</v>
      </c>
      <c r="C117" s="13" t="s">
        <v>39</v>
      </c>
      <c r="D117" s="13">
        <v>40</v>
      </c>
      <c r="E117" s="21" t="s">
        <v>1714</v>
      </c>
      <c r="F117" s="32" t="s">
        <v>1715</v>
      </c>
      <c r="G117" s="13" t="s">
        <v>154</v>
      </c>
      <c r="H117" s="18">
        <v>7</v>
      </c>
      <c r="I117" s="127">
        <v>1319</v>
      </c>
      <c r="J117" s="69">
        <v>7</v>
      </c>
      <c r="K117" s="18" t="s">
        <v>1716</v>
      </c>
      <c r="L117" s="18">
        <v>0</v>
      </c>
      <c r="M117" s="18" t="s">
        <v>1513</v>
      </c>
      <c r="N117" s="18" t="s">
        <v>1495</v>
      </c>
      <c r="O117" s="13" t="s">
        <v>161</v>
      </c>
      <c r="P117" s="13" t="s">
        <v>162</v>
      </c>
      <c r="Q117" s="19">
        <v>44683</v>
      </c>
      <c r="R117" s="24" t="s">
        <v>1717</v>
      </c>
    </row>
    <row r="118" spans="1:18" s="126" customFormat="1" ht="19.149999999999999" customHeight="1" x14ac:dyDescent="0.3">
      <c r="A118" s="13">
        <v>117</v>
      </c>
      <c r="B118" s="13" t="s">
        <v>446</v>
      </c>
      <c r="C118" s="13" t="s">
        <v>447</v>
      </c>
      <c r="D118" s="13">
        <v>41</v>
      </c>
      <c r="E118" s="21" t="s">
        <v>448</v>
      </c>
      <c r="F118" s="21" t="s">
        <v>449</v>
      </c>
      <c r="G118" s="13" t="s">
        <v>154</v>
      </c>
      <c r="H118" s="18">
        <v>6</v>
      </c>
      <c r="I118" s="127">
        <v>1014</v>
      </c>
      <c r="J118" s="69">
        <v>0</v>
      </c>
      <c r="K118" s="18" t="s">
        <v>336</v>
      </c>
      <c r="L118" s="18">
        <v>0</v>
      </c>
      <c r="M118" s="18" t="s">
        <v>1513</v>
      </c>
      <c r="N118" s="18" t="s">
        <v>1495</v>
      </c>
      <c r="O118" s="13" t="s">
        <v>159</v>
      </c>
      <c r="P118" s="13" t="s">
        <v>160</v>
      </c>
      <c r="Q118" s="19">
        <v>41996</v>
      </c>
      <c r="R118" s="24"/>
    </row>
    <row r="119" spans="1:18" s="126" customFormat="1" ht="19.149999999999999" customHeight="1" x14ac:dyDescent="0.3">
      <c r="A119" s="29">
        <v>118</v>
      </c>
      <c r="B119" s="13" t="s">
        <v>217</v>
      </c>
      <c r="C119" s="13" t="s">
        <v>40</v>
      </c>
      <c r="D119" s="13">
        <v>41</v>
      </c>
      <c r="E119" s="21" t="s">
        <v>306</v>
      </c>
      <c r="F119" s="32" t="s">
        <v>445</v>
      </c>
      <c r="G119" s="13" t="s">
        <v>444</v>
      </c>
      <c r="H119" s="18">
        <v>6</v>
      </c>
      <c r="I119" s="127">
        <v>578</v>
      </c>
      <c r="J119" s="69">
        <v>0</v>
      </c>
      <c r="K119" s="18" t="s">
        <v>336</v>
      </c>
      <c r="L119" s="18">
        <v>0</v>
      </c>
      <c r="M119" s="18" t="s">
        <v>1513</v>
      </c>
      <c r="N119" s="18" t="s">
        <v>1495</v>
      </c>
      <c r="O119" s="13" t="s">
        <v>161</v>
      </c>
      <c r="P119" s="13" t="s">
        <v>162</v>
      </c>
      <c r="Q119" s="19">
        <v>43076</v>
      </c>
      <c r="R119" s="24"/>
    </row>
    <row r="120" spans="1:18" s="126" customFormat="1" ht="19.149999999999999" customHeight="1" x14ac:dyDescent="0.3">
      <c r="A120" s="13">
        <v>119</v>
      </c>
      <c r="B120" s="13" t="s">
        <v>217</v>
      </c>
      <c r="C120" s="13" t="s">
        <v>40</v>
      </c>
      <c r="D120" s="13">
        <v>41</v>
      </c>
      <c r="E120" s="24" t="s">
        <v>1718</v>
      </c>
      <c r="F120" s="24" t="s">
        <v>443</v>
      </c>
      <c r="G120" s="13" t="s">
        <v>164</v>
      </c>
      <c r="H120" s="18">
        <v>9</v>
      </c>
      <c r="I120" s="127">
        <v>654</v>
      </c>
      <c r="J120" s="69">
        <v>0</v>
      </c>
      <c r="K120" s="18" t="s">
        <v>336</v>
      </c>
      <c r="L120" s="18">
        <v>0</v>
      </c>
      <c r="M120" s="18" t="s">
        <v>1513</v>
      </c>
      <c r="N120" s="18" t="s">
        <v>1495</v>
      </c>
      <c r="O120" s="15" t="s">
        <v>155</v>
      </c>
      <c r="P120" s="13" t="s">
        <v>156</v>
      </c>
      <c r="Q120" s="19">
        <v>43092</v>
      </c>
      <c r="R120" s="24"/>
    </row>
    <row r="121" spans="1:18" s="126" customFormat="1" ht="19.149999999999999" customHeight="1" x14ac:dyDescent="0.3">
      <c r="A121" s="29">
        <v>120</v>
      </c>
      <c r="B121" s="13" t="s">
        <v>1719</v>
      </c>
      <c r="C121" s="13" t="s">
        <v>1720</v>
      </c>
      <c r="D121" s="13">
        <v>42</v>
      </c>
      <c r="E121" s="21" t="s">
        <v>1721</v>
      </c>
      <c r="F121" s="21" t="s">
        <v>1722</v>
      </c>
      <c r="G121" s="13" t="s">
        <v>1502</v>
      </c>
      <c r="H121" s="18">
        <v>1</v>
      </c>
      <c r="I121" s="127">
        <v>55</v>
      </c>
      <c r="J121" s="69">
        <v>0</v>
      </c>
      <c r="K121" s="18" t="s">
        <v>1502</v>
      </c>
      <c r="L121" s="18">
        <v>1</v>
      </c>
      <c r="M121" s="18" t="s">
        <v>1723</v>
      </c>
      <c r="N121" s="18" t="s">
        <v>1495</v>
      </c>
      <c r="O121" s="28" t="s">
        <v>225</v>
      </c>
      <c r="P121" s="29" t="s">
        <v>505</v>
      </c>
      <c r="Q121" s="19">
        <v>42040</v>
      </c>
      <c r="R121" s="37"/>
    </row>
    <row r="122" spans="1:18" s="12" customFormat="1" ht="19.149999999999999" customHeight="1" x14ac:dyDescent="0.3">
      <c r="A122" s="13">
        <v>121</v>
      </c>
      <c r="B122" s="13" t="s">
        <v>488</v>
      </c>
      <c r="C122" s="13" t="s">
        <v>5</v>
      </c>
      <c r="D122" s="13">
        <v>42</v>
      </c>
      <c r="E122" s="21" t="s">
        <v>1724</v>
      </c>
      <c r="F122" s="21" t="s">
        <v>504</v>
      </c>
      <c r="G122" s="13" t="s">
        <v>164</v>
      </c>
      <c r="H122" s="18">
        <v>9</v>
      </c>
      <c r="I122" s="127">
        <v>663</v>
      </c>
      <c r="J122" s="69">
        <v>0</v>
      </c>
      <c r="K122" s="18" t="s">
        <v>336</v>
      </c>
      <c r="L122" s="18">
        <v>0</v>
      </c>
      <c r="M122" s="18" t="s">
        <v>1513</v>
      </c>
      <c r="N122" s="18" t="s">
        <v>1495</v>
      </c>
      <c r="O122" s="28" t="s">
        <v>159</v>
      </c>
      <c r="P122" s="13" t="s">
        <v>160</v>
      </c>
      <c r="Q122" s="19">
        <v>43215</v>
      </c>
      <c r="R122" s="37"/>
    </row>
    <row r="123" spans="1:18" s="12" customFormat="1" ht="19.149999999999999" customHeight="1" x14ac:dyDescent="0.3">
      <c r="A123" s="29">
        <v>122</v>
      </c>
      <c r="B123" s="13" t="s">
        <v>218</v>
      </c>
      <c r="C123" s="13" t="s">
        <v>5</v>
      </c>
      <c r="D123" s="13">
        <v>42</v>
      </c>
      <c r="E123" s="24" t="s">
        <v>1725</v>
      </c>
      <c r="F123" s="24" t="s">
        <v>502</v>
      </c>
      <c r="G123" s="13" t="s">
        <v>154</v>
      </c>
      <c r="H123" s="18">
        <v>6</v>
      </c>
      <c r="I123" s="127">
        <v>710</v>
      </c>
      <c r="J123" s="69">
        <v>0</v>
      </c>
      <c r="K123" s="18" t="s">
        <v>336</v>
      </c>
      <c r="L123" s="18">
        <v>0</v>
      </c>
      <c r="M123" s="18" t="s">
        <v>1513</v>
      </c>
      <c r="N123" s="18" t="s">
        <v>1495</v>
      </c>
      <c r="O123" s="15" t="s">
        <v>155</v>
      </c>
      <c r="P123" s="13" t="s">
        <v>156</v>
      </c>
      <c r="Q123" s="19">
        <v>40774</v>
      </c>
      <c r="R123" s="37"/>
    </row>
    <row r="124" spans="1:18" s="12" customFormat="1" ht="19.149999999999999" customHeight="1" x14ac:dyDescent="0.3">
      <c r="A124" s="13">
        <v>123</v>
      </c>
      <c r="B124" s="13" t="s">
        <v>218</v>
      </c>
      <c r="C124" s="13" t="s">
        <v>5</v>
      </c>
      <c r="D124" s="13">
        <v>42</v>
      </c>
      <c r="E124" s="21" t="s">
        <v>241</v>
      </c>
      <c r="F124" s="21" t="s">
        <v>503</v>
      </c>
      <c r="G124" s="13" t="s">
        <v>154</v>
      </c>
      <c r="H124" s="18">
        <v>9</v>
      </c>
      <c r="I124" s="127">
        <v>1412</v>
      </c>
      <c r="J124" s="69">
        <v>1</v>
      </c>
      <c r="K124" s="18" t="s">
        <v>950</v>
      </c>
      <c r="L124" s="18">
        <v>0</v>
      </c>
      <c r="M124" s="18" t="s">
        <v>1513</v>
      </c>
      <c r="N124" s="18" t="s">
        <v>1495</v>
      </c>
      <c r="O124" s="28" t="s">
        <v>159</v>
      </c>
      <c r="P124" s="13" t="s">
        <v>160</v>
      </c>
      <c r="Q124" s="19">
        <v>39586</v>
      </c>
      <c r="R124" s="37"/>
    </row>
    <row r="125" spans="1:18" s="12" customFormat="1" ht="19.149999999999999" customHeight="1" x14ac:dyDescent="0.3">
      <c r="A125" s="29">
        <v>124</v>
      </c>
      <c r="B125" s="13" t="s">
        <v>218</v>
      </c>
      <c r="C125" s="13" t="s">
        <v>5</v>
      </c>
      <c r="D125" s="13">
        <v>42</v>
      </c>
      <c r="E125" s="24" t="s">
        <v>1726</v>
      </c>
      <c r="F125" s="24" t="s">
        <v>501</v>
      </c>
      <c r="G125" s="13" t="s">
        <v>154</v>
      </c>
      <c r="H125" s="18">
        <v>5</v>
      </c>
      <c r="I125" s="127">
        <v>709</v>
      </c>
      <c r="J125" s="69">
        <v>1</v>
      </c>
      <c r="K125" s="18" t="s">
        <v>1070</v>
      </c>
      <c r="L125" s="18">
        <v>0</v>
      </c>
      <c r="M125" s="18" t="s">
        <v>1513</v>
      </c>
      <c r="N125" s="18" t="s">
        <v>1495</v>
      </c>
      <c r="O125" s="15" t="s">
        <v>155</v>
      </c>
      <c r="P125" s="13" t="s">
        <v>156</v>
      </c>
      <c r="Q125" s="19">
        <v>41271</v>
      </c>
      <c r="R125" s="36" t="s">
        <v>1727</v>
      </c>
    </row>
    <row r="126" spans="1:18" s="12" customFormat="1" ht="19.149999999999999" customHeight="1" x14ac:dyDescent="0.3">
      <c r="A126" s="13">
        <v>125</v>
      </c>
      <c r="B126" s="15" t="s">
        <v>218</v>
      </c>
      <c r="C126" s="13" t="s">
        <v>5</v>
      </c>
      <c r="D126" s="13">
        <v>42</v>
      </c>
      <c r="E126" s="63" t="s">
        <v>1728</v>
      </c>
      <c r="F126" s="21" t="s">
        <v>500</v>
      </c>
      <c r="G126" s="13" t="s">
        <v>345</v>
      </c>
      <c r="H126" s="18">
        <v>7</v>
      </c>
      <c r="I126" s="127">
        <v>1171</v>
      </c>
      <c r="J126" s="69">
        <v>0</v>
      </c>
      <c r="K126" s="18" t="s">
        <v>336</v>
      </c>
      <c r="L126" s="18">
        <v>1</v>
      </c>
      <c r="M126" s="18" t="s">
        <v>1530</v>
      </c>
      <c r="N126" s="18" t="s">
        <v>1495</v>
      </c>
      <c r="O126" s="15" t="s">
        <v>155</v>
      </c>
      <c r="P126" s="13" t="s">
        <v>156</v>
      </c>
      <c r="Q126" s="19">
        <v>41663</v>
      </c>
      <c r="R126" s="36" t="s">
        <v>1729</v>
      </c>
    </row>
    <row r="127" spans="1:18" s="12" customFormat="1" ht="19.149999999999999" customHeight="1" x14ac:dyDescent="0.3">
      <c r="A127" s="29">
        <v>126</v>
      </c>
      <c r="B127" s="13" t="s">
        <v>218</v>
      </c>
      <c r="C127" s="13" t="s">
        <v>485</v>
      </c>
      <c r="D127" s="13">
        <v>43</v>
      </c>
      <c r="E127" s="21" t="s">
        <v>282</v>
      </c>
      <c r="F127" s="32" t="s">
        <v>1730</v>
      </c>
      <c r="G127" s="13" t="s">
        <v>154</v>
      </c>
      <c r="H127" s="18">
        <v>6</v>
      </c>
      <c r="I127" s="127">
        <v>901</v>
      </c>
      <c r="J127" s="69">
        <v>1</v>
      </c>
      <c r="K127" s="18" t="s">
        <v>1731</v>
      </c>
      <c r="L127" s="18">
        <v>0</v>
      </c>
      <c r="M127" s="18" t="s">
        <v>1513</v>
      </c>
      <c r="N127" s="18" t="s">
        <v>1495</v>
      </c>
      <c r="O127" s="13" t="s">
        <v>161</v>
      </c>
      <c r="P127" s="13" t="s">
        <v>162</v>
      </c>
      <c r="Q127" s="19">
        <v>42719</v>
      </c>
      <c r="R127" s="36" t="s">
        <v>487</v>
      </c>
    </row>
    <row r="128" spans="1:18" s="12" customFormat="1" ht="19.149999999999999" customHeight="1" x14ac:dyDescent="0.3">
      <c r="A128" s="13">
        <v>127</v>
      </c>
      <c r="B128" s="15" t="s">
        <v>218</v>
      </c>
      <c r="C128" s="15" t="s">
        <v>30</v>
      </c>
      <c r="D128" s="13">
        <v>43</v>
      </c>
      <c r="E128" s="16" t="s">
        <v>1732</v>
      </c>
      <c r="F128" s="14" t="s">
        <v>483</v>
      </c>
      <c r="G128" s="15" t="s">
        <v>154</v>
      </c>
      <c r="H128" s="18">
        <v>6</v>
      </c>
      <c r="I128" s="127">
        <v>1394</v>
      </c>
      <c r="J128" s="69">
        <v>0</v>
      </c>
      <c r="K128" s="18" t="s">
        <v>1513</v>
      </c>
      <c r="L128" s="18">
        <v>0</v>
      </c>
      <c r="M128" s="18" t="s">
        <v>1513</v>
      </c>
      <c r="N128" s="18" t="s">
        <v>1495</v>
      </c>
      <c r="O128" s="13" t="s">
        <v>159</v>
      </c>
      <c r="P128" s="13" t="s">
        <v>160</v>
      </c>
      <c r="Q128" s="19">
        <v>40374</v>
      </c>
      <c r="R128" s="6" t="s">
        <v>484</v>
      </c>
    </row>
    <row r="129" spans="1:18" s="12" customFormat="1" ht="19.149999999999999" customHeight="1" x14ac:dyDescent="0.3">
      <c r="A129" s="29">
        <v>128</v>
      </c>
      <c r="B129" s="13" t="s">
        <v>218</v>
      </c>
      <c r="C129" s="13" t="s">
        <v>30</v>
      </c>
      <c r="D129" s="13">
        <v>43</v>
      </c>
      <c r="E129" s="24" t="s">
        <v>1733</v>
      </c>
      <c r="F129" s="39" t="s">
        <v>482</v>
      </c>
      <c r="G129" s="13" t="s">
        <v>164</v>
      </c>
      <c r="H129" s="18">
        <v>7</v>
      </c>
      <c r="I129" s="127">
        <v>516</v>
      </c>
      <c r="J129" s="69">
        <v>7</v>
      </c>
      <c r="K129" s="18" t="s">
        <v>1734</v>
      </c>
      <c r="L129" s="18">
        <v>0</v>
      </c>
      <c r="M129" s="18" t="s">
        <v>1513</v>
      </c>
      <c r="N129" s="18" t="s">
        <v>1495</v>
      </c>
      <c r="O129" s="15" t="s">
        <v>155</v>
      </c>
      <c r="P129" s="13" t="s">
        <v>156</v>
      </c>
      <c r="Q129" s="19">
        <v>44580</v>
      </c>
      <c r="R129" s="36" t="s">
        <v>1735</v>
      </c>
    </row>
    <row r="130" spans="1:18" ht="19.149999999999999" customHeight="1" x14ac:dyDescent="0.3">
      <c r="A130" s="13">
        <v>129</v>
      </c>
      <c r="B130" s="13" t="s">
        <v>488</v>
      </c>
      <c r="C130" s="13" t="s">
        <v>485</v>
      </c>
      <c r="D130" s="13">
        <v>43</v>
      </c>
      <c r="E130" s="21" t="s">
        <v>283</v>
      </c>
      <c r="F130" s="32" t="s">
        <v>489</v>
      </c>
      <c r="G130" s="13" t="s">
        <v>1538</v>
      </c>
      <c r="H130" s="18">
        <v>7</v>
      </c>
      <c r="I130" s="127">
        <v>630</v>
      </c>
      <c r="J130" s="69">
        <v>7</v>
      </c>
      <c r="K130" s="18" t="s">
        <v>1736</v>
      </c>
      <c r="L130" s="18">
        <v>0</v>
      </c>
      <c r="M130" s="18" t="s">
        <v>1513</v>
      </c>
      <c r="N130" s="18" t="s">
        <v>1495</v>
      </c>
      <c r="O130" s="13" t="s">
        <v>161</v>
      </c>
      <c r="P130" s="13" t="s">
        <v>162</v>
      </c>
      <c r="Q130" s="19">
        <v>43327</v>
      </c>
      <c r="R130" s="36" t="s">
        <v>1737</v>
      </c>
    </row>
    <row r="131" spans="1:18" ht="19.149999999999999" customHeight="1" x14ac:dyDescent="0.3">
      <c r="A131" s="29">
        <v>130</v>
      </c>
      <c r="B131" s="15" t="s">
        <v>218</v>
      </c>
      <c r="C131" s="13" t="s">
        <v>29</v>
      </c>
      <c r="D131" s="13">
        <v>44</v>
      </c>
      <c r="E131" s="21" t="s">
        <v>237</v>
      </c>
      <c r="F131" s="21" t="s">
        <v>495</v>
      </c>
      <c r="G131" s="13" t="s">
        <v>154</v>
      </c>
      <c r="H131" s="18">
        <v>7</v>
      </c>
      <c r="I131" s="127">
        <v>1300</v>
      </c>
      <c r="J131" s="69">
        <v>0</v>
      </c>
      <c r="K131" s="18" t="s">
        <v>336</v>
      </c>
      <c r="L131" s="18">
        <v>0</v>
      </c>
      <c r="M131" s="18" t="s">
        <v>1513</v>
      </c>
      <c r="N131" s="18" t="s">
        <v>1495</v>
      </c>
      <c r="O131" s="28" t="s">
        <v>159</v>
      </c>
      <c r="P131" s="13" t="s">
        <v>160</v>
      </c>
      <c r="Q131" s="19">
        <v>41180</v>
      </c>
      <c r="R131" s="24"/>
    </row>
    <row r="132" spans="1:18" s="12" customFormat="1" ht="19.149999999999999" customHeight="1" x14ac:dyDescent="0.3">
      <c r="A132" s="13">
        <v>131</v>
      </c>
      <c r="B132" s="15" t="s">
        <v>218</v>
      </c>
      <c r="C132" s="15" t="s">
        <v>34</v>
      </c>
      <c r="D132" s="13">
        <v>46</v>
      </c>
      <c r="E132" s="16" t="s">
        <v>289</v>
      </c>
      <c r="F132" s="16" t="s">
        <v>494</v>
      </c>
      <c r="G132" s="15" t="s">
        <v>164</v>
      </c>
      <c r="H132" s="18">
        <v>6</v>
      </c>
      <c r="I132" s="127">
        <v>826</v>
      </c>
      <c r="J132" s="69">
        <v>0</v>
      </c>
      <c r="K132" s="18" t="s">
        <v>336</v>
      </c>
      <c r="L132" s="18">
        <v>0</v>
      </c>
      <c r="M132" s="18" t="s">
        <v>1513</v>
      </c>
      <c r="N132" s="18" t="s">
        <v>1495</v>
      </c>
      <c r="O132" s="13" t="s">
        <v>161</v>
      </c>
      <c r="P132" s="13" t="s">
        <v>162</v>
      </c>
      <c r="Q132" s="19">
        <v>39341</v>
      </c>
      <c r="R132" s="6"/>
    </row>
    <row r="133" spans="1:18" s="12" customFormat="1" ht="19.149999999999999" customHeight="1" x14ac:dyDescent="0.3">
      <c r="A133" s="29">
        <v>132</v>
      </c>
      <c r="B133" s="15" t="s">
        <v>218</v>
      </c>
      <c r="C133" s="15" t="s">
        <v>34</v>
      </c>
      <c r="D133" s="13">
        <v>46</v>
      </c>
      <c r="E133" s="24" t="s">
        <v>1738</v>
      </c>
      <c r="F133" s="24" t="s">
        <v>490</v>
      </c>
      <c r="G133" s="13" t="s">
        <v>164</v>
      </c>
      <c r="H133" s="18">
        <v>7</v>
      </c>
      <c r="I133" s="127">
        <v>1099</v>
      </c>
      <c r="J133" s="69">
        <v>0</v>
      </c>
      <c r="K133" s="18" t="s">
        <v>336</v>
      </c>
      <c r="L133" s="18">
        <v>0</v>
      </c>
      <c r="M133" s="18" t="s">
        <v>1513</v>
      </c>
      <c r="N133" s="18" t="s">
        <v>1495</v>
      </c>
      <c r="O133" s="15" t="s">
        <v>155</v>
      </c>
      <c r="P133" s="13" t="s">
        <v>156</v>
      </c>
      <c r="Q133" s="19">
        <v>39386</v>
      </c>
      <c r="R133" s="123" t="s">
        <v>491</v>
      </c>
    </row>
    <row r="134" spans="1:18" s="12" customFormat="1" ht="19.149999999999999" customHeight="1" x14ac:dyDescent="0.3">
      <c r="A134" s="13">
        <v>133</v>
      </c>
      <c r="B134" s="29" t="s">
        <v>1739</v>
      </c>
      <c r="C134" s="29" t="s">
        <v>1740</v>
      </c>
      <c r="D134" s="29">
        <v>46</v>
      </c>
      <c r="E134" s="51" t="s">
        <v>1741</v>
      </c>
      <c r="F134" s="51" t="s">
        <v>1742</v>
      </c>
      <c r="G134" s="29" t="s">
        <v>1553</v>
      </c>
      <c r="H134" s="18">
        <v>6</v>
      </c>
      <c r="I134" s="18">
        <v>556</v>
      </c>
      <c r="J134" s="69">
        <v>0</v>
      </c>
      <c r="K134" s="18" t="s">
        <v>336</v>
      </c>
      <c r="L134" s="18">
        <v>0</v>
      </c>
      <c r="M134" s="18" t="s">
        <v>1513</v>
      </c>
      <c r="N134" s="18" t="s">
        <v>1495</v>
      </c>
      <c r="O134" s="15" t="s">
        <v>155</v>
      </c>
      <c r="P134" s="13" t="s">
        <v>156</v>
      </c>
      <c r="Q134" s="19">
        <v>44456</v>
      </c>
      <c r="R134" s="29"/>
    </row>
    <row r="135" spans="1:18" s="12" customFormat="1" ht="19.149999999999999" customHeight="1" x14ac:dyDescent="0.3">
      <c r="A135" s="29">
        <v>134</v>
      </c>
      <c r="B135" s="29" t="s">
        <v>1739</v>
      </c>
      <c r="C135" s="29" t="s">
        <v>1743</v>
      </c>
      <c r="D135" s="29">
        <v>46</v>
      </c>
      <c r="E135" s="51" t="s">
        <v>1744</v>
      </c>
      <c r="F135" s="51" t="s">
        <v>1745</v>
      </c>
      <c r="G135" s="29" t="s">
        <v>1538</v>
      </c>
      <c r="H135" s="18">
        <v>8</v>
      </c>
      <c r="I135" s="18">
        <v>1528</v>
      </c>
      <c r="J135" s="29">
        <v>2</v>
      </c>
      <c r="K135" s="29" t="s">
        <v>3148</v>
      </c>
      <c r="L135" s="18">
        <v>0</v>
      </c>
      <c r="M135" s="18" t="s">
        <v>1513</v>
      </c>
      <c r="N135" s="18" t="str">
        <f>N132</f>
        <v>N</v>
      </c>
      <c r="O135" s="18" t="str">
        <f>O132</f>
        <v>1544-0070</v>
      </c>
      <c r="P135" s="18" t="str">
        <f>P132</f>
        <v>www.megabox.co.kr</v>
      </c>
      <c r="Q135" s="19">
        <v>44925</v>
      </c>
      <c r="R135" s="51" t="s">
        <v>3217</v>
      </c>
    </row>
    <row r="136" spans="1:18" s="12" customFormat="1" ht="19.149999999999999" customHeight="1" x14ac:dyDescent="0.3">
      <c r="A136" s="13">
        <v>135</v>
      </c>
      <c r="B136" s="15" t="s">
        <v>218</v>
      </c>
      <c r="C136" s="13" t="s">
        <v>34</v>
      </c>
      <c r="D136" s="13">
        <v>46</v>
      </c>
      <c r="E136" s="21" t="s">
        <v>1746</v>
      </c>
      <c r="F136" s="21" t="s">
        <v>492</v>
      </c>
      <c r="G136" s="13" t="s">
        <v>444</v>
      </c>
      <c r="H136" s="18">
        <v>6</v>
      </c>
      <c r="I136" s="127">
        <v>484</v>
      </c>
      <c r="J136" s="69">
        <v>0</v>
      </c>
      <c r="K136" s="18" t="s">
        <v>336</v>
      </c>
      <c r="L136" s="18">
        <v>0</v>
      </c>
      <c r="M136" s="18" t="s">
        <v>1513</v>
      </c>
      <c r="N136" s="18" t="s">
        <v>1495</v>
      </c>
      <c r="O136" s="13" t="s">
        <v>159</v>
      </c>
      <c r="P136" s="13" t="s">
        <v>160</v>
      </c>
      <c r="Q136" s="19">
        <v>41517</v>
      </c>
      <c r="R136" s="36" t="s">
        <v>493</v>
      </c>
    </row>
    <row r="137" spans="1:18" s="12" customFormat="1" ht="19.149999999999999" customHeight="1" x14ac:dyDescent="0.3">
      <c r="A137" s="29">
        <v>136</v>
      </c>
      <c r="B137" s="15" t="s">
        <v>218</v>
      </c>
      <c r="C137" s="15" t="s">
        <v>496</v>
      </c>
      <c r="D137" s="13">
        <v>47</v>
      </c>
      <c r="E137" s="24" t="s">
        <v>1747</v>
      </c>
      <c r="F137" s="24" t="s">
        <v>499</v>
      </c>
      <c r="G137" s="13" t="s">
        <v>154</v>
      </c>
      <c r="H137" s="18">
        <v>10</v>
      </c>
      <c r="I137" s="127">
        <v>1458</v>
      </c>
      <c r="J137" s="69">
        <v>1</v>
      </c>
      <c r="K137" s="18" t="s">
        <v>208</v>
      </c>
      <c r="L137" s="18">
        <v>0</v>
      </c>
      <c r="M137" s="18" t="s">
        <v>1513</v>
      </c>
      <c r="N137" s="18" t="s">
        <v>1495</v>
      </c>
      <c r="O137" s="15" t="s">
        <v>155</v>
      </c>
      <c r="P137" s="13" t="s">
        <v>156</v>
      </c>
      <c r="Q137" s="19">
        <v>40764</v>
      </c>
      <c r="R137" s="43"/>
    </row>
    <row r="138" spans="1:18" s="44" customFormat="1" ht="19.149999999999999" customHeight="1" x14ac:dyDescent="0.3">
      <c r="A138" s="13">
        <v>137</v>
      </c>
      <c r="B138" s="13" t="s">
        <v>488</v>
      </c>
      <c r="C138" s="13" t="s">
        <v>496</v>
      </c>
      <c r="D138" s="13">
        <v>47</v>
      </c>
      <c r="E138" s="24" t="s">
        <v>1748</v>
      </c>
      <c r="F138" s="24" t="s">
        <v>497</v>
      </c>
      <c r="G138" s="13" t="s">
        <v>154</v>
      </c>
      <c r="H138" s="18">
        <v>4</v>
      </c>
      <c r="I138" s="127">
        <v>804</v>
      </c>
      <c r="J138" s="69">
        <v>0</v>
      </c>
      <c r="K138" s="18" t="s">
        <v>336</v>
      </c>
      <c r="L138" s="18">
        <v>0</v>
      </c>
      <c r="M138" s="18" t="s">
        <v>1513</v>
      </c>
      <c r="N138" s="18" t="s">
        <v>1495</v>
      </c>
      <c r="O138" s="15" t="s">
        <v>155</v>
      </c>
      <c r="P138" s="13" t="s">
        <v>156</v>
      </c>
      <c r="Q138" s="19">
        <v>41417</v>
      </c>
      <c r="R138" s="119" t="s">
        <v>498</v>
      </c>
    </row>
    <row r="139" spans="1:18" s="44" customFormat="1" ht="19.149999999999999" customHeight="1" x14ac:dyDescent="0.3">
      <c r="A139" s="29">
        <v>138</v>
      </c>
      <c r="B139" s="15" t="s">
        <v>218</v>
      </c>
      <c r="C139" s="15" t="s">
        <v>42</v>
      </c>
      <c r="D139" s="13">
        <v>48</v>
      </c>
      <c r="E139" s="16" t="s">
        <v>252</v>
      </c>
      <c r="F139" s="14" t="s">
        <v>481</v>
      </c>
      <c r="G139" s="15" t="s">
        <v>154</v>
      </c>
      <c r="H139" s="18">
        <v>9</v>
      </c>
      <c r="I139" s="127">
        <v>1644</v>
      </c>
      <c r="J139" s="69">
        <v>0</v>
      </c>
      <c r="K139" s="18" t="s">
        <v>336</v>
      </c>
      <c r="L139" s="18">
        <v>0</v>
      </c>
      <c r="M139" s="18" t="s">
        <v>1513</v>
      </c>
      <c r="N139" s="18" t="s">
        <v>1495</v>
      </c>
      <c r="O139" s="28" t="s">
        <v>159</v>
      </c>
      <c r="P139" s="13" t="s">
        <v>160</v>
      </c>
      <c r="Q139" s="19">
        <v>39346</v>
      </c>
      <c r="R139" s="16"/>
    </row>
    <row r="140" spans="1:18" s="44" customFormat="1" ht="19.149999999999999" customHeight="1" x14ac:dyDescent="0.3">
      <c r="A140" s="13">
        <v>139</v>
      </c>
      <c r="B140" s="13" t="s">
        <v>218</v>
      </c>
      <c r="C140" s="13" t="s">
        <v>42</v>
      </c>
      <c r="D140" s="13">
        <v>48</v>
      </c>
      <c r="E140" s="21" t="s">
        <v>479</v>
      </c>
      <c r="F140" s="21" t="s">
        <v>480</v>
      </c>
      <c r="G140" s="13" t="s">
        <v>345</v>
      </c>
      <c r="H140" s="18">
        <v>7</v>
      </c>
      <c r="I140" s="127">
        <v>1276</v>
      </c>
      <c r="J140" s="69">
        <v>1</v>
      </c>
      <c r="K140" s="18" t="s">
        <v>1162</v>
      </c>
      <c r="L140" s="18">
        <v>0</v>
      </c>
      <c r="M140" s="18" t="s">
        <v>1513</v>
      </c>
      <c r="N140" s="18" t="s">
        <v>1495</v>
      </c>
      <c r="O140" s="13" t="s">
        <v>159</v>
      </c>
      <c r="P140" s="13" t="s">
        <v>160</v>
      </c>
      <c r="Q140" s="19">
        <v>42355</v>
      </c>
      <c r="R140" s="24"/>
    </row>
    <row r="141" spans="1:18" s="44" customFormat="1" ht="19.149999999999999" customHeight="1" x14ac:dyDescent="0.3">
      <c r="A141" s="29">
        <v>140</v>
      </c>
      <c r="B141" s="13" t="s">
        <v>218</v>
      </c>
      <c r="C141" s="13" t="s">
        <v>42</v>
      </c>
      <c r="D141" s="13">
        <v>48</v>
      </c>
      <c r="E141" s="24" t="s">
        <v>1749</v>
      </c>
      <c r="F141" s="39" t="s">
        <v>478</v>
      </c>
      <c r="G141" s="13" t="s">
        <v>154</v>
      </c>
      <c r="H141" s="18">
        <v>6</v>
      </c>
      <c r="I141" s="127">
        <v>1042</v>
      </c>
      <c r="J141" s="69">
        <v>1</v>
      </c>
      <c r="K141" s="18" t="s">
        <v>216</v>
      </c>
      <c r="L141" s="18">
        <v>0</v>
      </c>
      <c r="M141" s="18" t="s">
        <v>1513</v>
      </c>
      <c r="N141" s="18" t="s">
        <v>1495</v>
      </c>
      <c r="O141" s="15" t="s">
        <v>155</v>
      </c>
      <c r="P141" s="13" t="s">
        <v>156</v>
      </c>
      <c r="Q141" s="19">
        <v>42703</v>
      </c>
      <c r="R141" s="24"/>
    </row>
    <row r="142" spans="1:18" s="44" customFormat="1" ht="19.149999999999999" customHeight="1" x14ac:dyDescent="0.3">
      <c r="A142" s="13">
        <v>141</v>
      </c>
      <c r="B142" s="15" t="s">
        <v>1739</v>
      </c>
      <c r="C142" s="15" t="s">
        <v>1750</v>
      </c>
      <c r="D142" s="13">
        <v>49</v>
      </c>
      <c r="E142" s="16" t="s">
        <v>1751</v>
      </c>
      <c r="F142" s="14" t="s">
        <v>1753</v>
      </c>
      <c r="G142" s="15" t="s">
        <v>1553</v>
      </c>
      <c r="H142" s="18">
        <v>6</v>
      </c>
      <c r="I142" s="127">
        <v>734</v>
      </c>
      <c r="J142" s="69">
        <v>0</v>
      </c>
      <c r="K142" s="18" t="s">
        <v>1513</v>
      </c>
      <c r="L142" s="18">
        <v>0</v>
      </c>
      <c r="M142" s="18" t="s">
        <v>1513</v>
      </c>
      <c r="N142" s="18" t="s">
        <v>1495</v>
      </c>
      <c r="O142" s="28" t="s">
        <v>159</v>
      </c>
      <c r="P142" s="13" t="s">
        <v>160</v>
      </c>
      <c r="Q142" s="19">
        <v>43628</v>
      </c>
      <c r="R142" s="16"/>
    </row>
    <row r="143" spans="1:18" s="44" customFormat="1" ht="19.149999999999999" customHeight="1" x14ac:dyDescent="0.3">
      <c r="A143" s="29">
        <v>142</v>
      </c>
      <c r="B143" s="15" t="s">
        <v>215</v>
      </c>
      <c r="C143" s="15" t="s">
        <v>5</v>
      </c>
      <c r="D143" s="13">
        <v>50</v>
      </c>
      <c r="E143" s="16" t="s">
        <v>531</v>
      </c>
      <c r="F143" s="16" t="s">
        <v>1754</v>
      </c>
      <c r="G143" s="15" t="s">
        <v>336</v>
      </c>
      <c r="H143" s="18">
        <v>5</v>
      </c>
      <c r="I143" s="127">
        <v>809</v>
      </c>
      <c r="J143" s="69">
        <v>0</v>
      </c>
      <c r="K143" s="18" t="s">
        <v>336</v>
      </c>
      <c r="L143" s="18">
        <v>0</v>
      </c>
      <c r="M143" s="18" t="s">
        <v>1513</v>
      </c>
      <c r="N143" s="18" t="s">
        <v>1495</v>
      </c>
      <c r="O143" s="15" t="s">
        <v>321</v>
      </c>
      <c r="P143" s="13" t="s">
        <v>532</v>
      </c>
      <c r="Q143" s="19">
        <v>38002</v>
      </c>
      <c r="R143" s="6"/>
    </row>
    <row r="144" spans="1:18" s="44" customFormat="1" ht="19.149999999999999" customHeight="1" x14ac:dyDescent="0.3">
      <c r="A144" s="13">
        <v>143</v>
      </c>
      <c r="B144" s="13" t="s">
        <v>215</v>
      </c>
      <c r="C144" s="13" t="s">
        <v>5</v>
      </c>
      <c r="D144" s="13">
        <v>50</v>
      </c>
      <c r="E144" s="21" t="s">
        <v>299</v>
      </c>
      <c r="F144" s="21" t="s">
        <v>530</v>
      </c>
      <c r="G144" s="13" t="s">
        <v>164</v>
      </c>
      <c r="H144" s="18">
        <v>6</v>
      </c>
      <c r="I144" s="127">
        <v>677</v>
      </c>
      <c r="J144" s="69">
        <v>0</v>
      </c>
      <c r="K144" s="18" t="s">
        <v>336</v>
      </c>
      <c r="L144" s="18">
        <v>0</v>
      </c>
      <c r="M144" s="18" t="s">
        <v>1513</v>
      </c>
      <c r="N144" s="18" t="s">
        <v>1495</v>
      </c>
      <c r="O144" s="13" t="s">
        <v>161</v>
      </c>
      <c r="P144" s="13" t="s">
        <v>162</v>
      </c>
      <c r="Q144" s="19">
        <v>43391</v>
      </c>
      <c r="R144" s="24"/>
    </row>
    <row r="145" spans="1:18" s="12" customFormat="1" ht="19.149999999999999" customHeight="1" x14ac:dyDescent="0.3">
      <c r="A145" s="29">
        <v>144</v>
      </c>
      <c r="B145" s="13" t="s">
        <v>1755</v>
      </c>
      <c r="C145" s="13" t="s">
        <v>1757</v>
      </c>
      <c r="D145" s="13">
        <v>50</v>
      </c>
      <c r="E145" s="21" t="s">
        <v>1758</v>
      </c>
      <c r="F145" s="21" t="s">
        <v>1759</v>
      </c>
      <c r="G145" s="13" t="s">
        <v>1553</v>
      </c>
      <c r="H145" s="18">
        <v>3</v>
      </c>
      <c r="I145" s="127">
        <v>270</v>
      </c>
      <c r="J145" s="69">
        <v>0</v>
      </c>
      <c r="K145" s="18" t="s">
        <v>1513</v>
      </c>
      <c r="L145" s="18">
        <v>0</v>
      </c>
      <c r="M145" s="18" t="s">
        <v>1513</v>
      </c>
      <c r="N145" s="18" t="s">
        <v>1495</v>
      </c>
      <c r="O145" s="28" t="s">
        <v>159</v>
      </c>
      <c r="P145" s="13" t="s">
        <v>160</v>
      </c>
      <c r="Q145" s="19">
        <v>43670</v>
      </c>
      <c r="R145" s="24"/>
    </row>
    <row r="146" spans="1:18" s="27" customFormat="1" ht="19.149999999999999" customHeight="1" x14ac:dyDescent="0.3">
      <c r="A146" s="13">
        <v>145</v>
      </c>
      <c r="B146" s="13" t="s">
        <v>1760</v>
      </c>
      <c r="C146" s="13" t="s">
        <v>1761</v>
      </c>
      <c r="D146" s="13">
        <v>51</v>
      </c>
      <c r="E146" s="24" t="s">
        <v>1762</v>
      </c>
      <c r="F146" s="24" t="s">
        <v>1763</v>
      </c>
      <c r="G146" s="13" t="s">
        <v>1502</v>
      </c>
      <c r="H146" s="18">
        <v>1</v>
      </c>
      <c r="I146" s="127">
        <v>253</v>
      </c>
      <c r="J146" s="69">
        <v>0</v>
      </c>
      <c r="K146" s="18" t="s">
        <v>1502</v>
      </c>
      <c r="L146" s="18">
        <v>1</v>
      </c>
      <c r="M146" s="18" t="s">
        <v>1508</v>
      </c>
      <c r="N146" s="18" t="s">
        <v>1495</v>
      </c>
      <c r="O146" s="15" t="s">
        <v>1764</v>
      </c>
      <c r="P146" s="13" t="s">
        <v>881</v>
      </c>
      <c r="Q146" s="19">
        <v>41549</v>
      </c>
      <c r="R146" s="24" t="s">
        <v>1765</v>
      </c>
    </row>
    <row r="147" spans="1:18" s="12" customFormat="1" ht="19.149999999999999" customHeight="1" x14ac:dyDescent="0.3">
      <c r="A147" s="29">
        <v>146</v>
      </c>
      <c r="B147" s="15" t="s">
        <v>1755</v>
      </c>
      <c r="C147" s="15" t="s">
        <v>1766</v>
      </c>
      <c r="D147" s="13">
        <v>52</v>
      </c>
      <c r="E147" s="16" t="s">
        <v>1767</v>
      </c>
      <c r="F147" s="16" t="s">
        <v>1768</v>
      </c>
      <c r="G147" s="15" t="s">
        <v>1538</v>
      </c>
      <c r="H147" s="18">
        <v>6</v>
      </c>
      <c r="I147" s="127">
        <v>1012</v>
      </c>
      <c r="J147" s="69">
        <v>0</v>
      </c>
      <c r="K147" s="18" t="s">
        <v>1513</v>
      </c>
      <c r="L147" s="18">
        <v>0</v>
      </c>
      <c r="M147" s="18" t="s">
        <v>1513</v>
      </c>
      <c r="N147" s="18" t="s">
        <v>1495</v>
      </c>
      <c r="O147" s="15" t="s">
        <v>155</v>
      </c>
      <c r="P147" s="13" t="s">
        <v>156</v>
      </c>
      <c r="Q147" s="19">
        <v>44022</v>
      </c>
      <c r="R147" s="30"/>
    </row>
    <row r="148" spans="1:18" s="26" customFormat="1" ht="19.149999999999999" customHeight="1" x14ac:dyDescent="0.3">
      <c r="A148" s="13">
        <v>147</v>
      </c>
      <c r="B148" s="15" t="s">
        <v>215</v>
      </c>
      <c r="C148" s="15" t="s">
        <v>1766</v>
      </c>
      <c r="D148" s="13">
        <v>52</v>
      </c>
      <c r="E148" s="16" t="s">
        <v>508</v>
      </c>
      <c r="F148" s="16" t="s">
        <v>1769</v>
      </c>
      <c r="G148" s="15" t="s">
        <v>336</v>
      </c>
      <c r="H148" s="18">
        <v>4</v>
      </c>
      <c r="I148" s="127">
        <v>496</v>
      </c>
      <c r="J148" s="69">
        <v>0</v>
      </c>
      <c r="K148" s="18" t="s">
        <v>336</v>
      </c>
      <c r="L148" s="18">
        <v>4</v>
      </c>
      <c r="M148" s="18" t="s">
        <v>1770</v>
      </c>
      <c r="N148" s="18" t="s">
        <v>1495</v>
      </c>
      <c r="O148" s="15" t="s">
        <v>323</v>
      </c>
      <c r="P148" s="13" t="s">
        <v>509</v>
      </c>
      <c r="Q148" s="19">
        <v>39203</v>
      </c>
      <c r="R148" s="121" t="s">
        <v>1771</v>
      </c>
    </row>
    <row r="149" spans="1:18" s="26" customFormat="1" ht="19.149999999999999" customHeight="1" x14ac:dyDescent="0.3">
      <c r="A149" s="29">
        <v>148</v>
      </c>
      <c r="B149" s="29" t="s">
        <v>1755</v>
      </c>
      <c r="C149" s="29" t="s">
        <v>1772</v>
      </c>
      <c r="D149" s="29">
        <v>52</v>
      </c>
      <c r="E149" s="51" t="s">
        <v>1773</v>
      </c>
      <c r="F149" s="51" t="s">
        <v>1774</v>
      </c>
      <c r="G149" s="29" t="s">
        <v>1553</v>
      </c>
      <c r="H149" s="18">
        <v>6</v>
      </c>
      <c r="I149" s="18">
        <v>536</v>
      </c>
      <c r="J149" s="29">
        <v>0</v>
      </c>
      <c r="K149" s="18" t="s">
        <v>336</v>
      </c>
      <c r="L149" s="18">
        <v>0</v>
      </c>
      <c r="M149" s="18" t="s">
        <v>1513</v>
      </c>
      <c r="N149" s="18" t="s">
        <v>1495</v>
      </c>
      <c r="O149" s="15" t="s">
        <v>155</v>
      </c>
      <c r="P149" s="13" t="s">
        <v>156</v>
      </c>
      <c r="Q149" s="19">
        <v>44371</v>
      </c>
      <c r="R149" s="29"/>
    </row>
    <row r="150" spans="1:18" s="12" customFormat="1" ht="19.149999999999999" customHeight="1" x14ac:dyDescent="0.3">
      <c r="A150" s="13">
        <v>149</v>
      </c>
      <c r="B150" s="13" t="s">
        <v>215</v>
      </c>
      <c r="C150" s="13" t="s">
        <v>1766</v>
      </c>
      <c r="D150" s="13">
        <v>52</v>
      </c>
      <c r="E150" s="24" t="s">
        <v>268</v>
      </c>
      <c r="F150" s="24" t="s">
        <v>1775</v>
      </c>
      <c r="G150" s="13" t="s">
        <v>154</v>
      </c>
      <c r="H150" s="18">
        <v>4</v>
      </c>
      <c r="I150" s="127">
        <v>538</v>
      </c>
      <c r="J150" s="69">
        <v>0</v>
      </c>
      <c r="K150" s="18" t="s">
        <v>336</v>
      </c>
      <c r="L150" s="18">
        <v>0</v>
      </c>
      <c r="M150" s="18" t="s">
        <v>1513</v>
      </c>
      <c r="N150" s="18" t="s">
        <v>1495</v>
      </c>
      <c r="O150" s="28" t="s">
        <v>159</v>
      </c>
      <c r="P150" s="13" t="s">
        <v>160</v>
      </c>
      <c r="Q150" s="19">
        <v>43064</v>
      </c>
      <c r="R150" s="36" t="s">
        <v>507</v>
      </c>
    </row>
    <row r="151" spans="1:18" s="12" customFormat="1" ht="19.149999999999999" customHeight="1" x14ac:dyDescent="0.3">
      <c r="A151" s="29">
        <v>150</v>
      </c>
      <c r="B151" s="13" t="s">
        <v>215</v>
      </c>
      <c r="C151" s="13" t="s">
        <v>1766</v>
      </c>
      <c r="D151" s="13">
        <v>52</v>
      </c>
      <c r="E151" s="24" t="s">
        <v>1776</v>
      </c>
      <c r="F151" s="24" t="s">
        <v>1777</v>
      </c>
      <c r="G151" s="13" t="s">
        <v>1553</v>
      </c>
      <c r="H151" s="18">
        <v>9</v>
      </c>
      <c r="I151" s="127">
        <v>1004</v>
      </c>
      <c r="J151" s="69">
        <v>0</v>
      </c>
      <c r="K151" s="18" t="s">
        <v>336</v>
      </c>
      <c r="L151" s="18">
        <v>0</v>
      </c>
      <c r="M151" s="18" t="s">
        <v>1513</v>
      </c>
      <c r="N151" s="18" t="s">
        <v>1495</v>
      </c>
      <c r="O151" s="15" t="s">
        <v>155</v>
      </c>
      <c r="P151" s="13" t="s">
        <v>156</v>
      </c>
      <c r="Q151" s="19">
        <v>38414</v>
      </c>
      <c r="R151" s="36" t="s">
        <v>1778</v>
      </c>
    </row>
    <row r="152" spans="1:18" s="12" customFormat="1" ht="19.149999999999999" customHeight="1" x14ac:dyDescent="0.3">
      <c r="A152" s="13">
        <v>151</v>
      </c>
      <c r="B152" s="13" t="s">
        <v>1755</v>
      </c>
      <c r="C152" s="13" t="s">
        <v>1779</v>
      </c>
      <c r="D152" s="13">
        <v>53</v>
      </c>
      <c r="E152" s="36" t="s">
        <v>1780</v>
      </c>
      <c r="F152" s="24" t="s">
        <v>525</v>
      </c>
      <c r="G152" s="13" t="s">
        <v>154</v>
      </c>
      <c r="H152" s="69">
        <v>9</v>
      </c>
      <c r="I152" s="127">
        <v>1498</v>
      </c>
      <c r="J152" s="69">
        <v>0</v>
      </c>
      <c r="K152" s="18" t="s">
        <v>336</v>
      </c>
      <c r="L152" s="18">
        <v>0</v>
      </c>
      <c r="M152" s="18" t="s">
        <v>1513</v>
      </c>
      <c r="N152" s="18" t="s">
        <v>1495</v>
      </c>
      <c r="O152" s="15" t="s">
        <v>155</v>
      </c>
      <c r="P152" s="13" t="s">
        <v>156</v>
      </c>
      <c r="Q152" s="19">
        <v>42930</v>
      </c>
      <c r="R152" s="36" t="s">
        <v>1781</v>
      </c>
    </row>
    <row r="153" spans="1:18" s="12" customFormat="1" ht="19.149999999999999" customHeight="1" x14ac:dyDescent="0.3">
      <c r="A153" s="29">
        <v>152</v>
      </c>
      <c r="B153" s="13" t="s">
        <v>215</v>
      </c>
      <c r="C153" s="13" t="s">
        <v>44</v>
      </c>
      <c r="D153" s="13">
        <v>53</v>
      </c>
      <c r="E153" s="21" t="s">
        <v>527</v>
      </c>
      <c r="F153" s="21" t="s">
        <v>528</v>
      </c>
      <c r="G153" s="13" t="s">
        <v>154</v>
      </c>
      <c r="H153" s="18">
        <v>8</v>
      </c>
      <c r="I153" s="127">
        <v>1542</v>
      </c>
      <c r="J153" s="69">
        <v>2</v>
      </c>
      <c r="K153" s="18" t="s">
        <v>412</v>
      </c>
      <c r="L153" s="18">
        <v>0</v>
      </c>
      <c r="M153" s="18" t="s">
        <v>1513</v>
      </c>
      <c r="N153" s="18" t="s">
        <v>1495</v>
      </c>
      <c r="O153" s="13" t="s">
        <v>161</v>
      </c>
      <c r="P153" s="13" t="s">
        <v>162</v>
      </c>
      <c r="Q153" s="19">
        <v>42853</v>
      </c>
      <c r="R153" s="24"/>
    </row>
    <row r="154" spans="1:18" s="26" customFormat="1" ht="19.149999999999999" customHeight="1" x14ac:dyDescent="0.3">
      <c r="A154" s="13">
        <v>153</v>
      </c>
      <c r="B154" s="13" t="s">
        <v>215</v>
      </c>
      <c r="C154" s="13" t="s">
        <v>44</v>
      </c>
      <c r="D154" s="13">
        <v>53</v>
      </c>
      <c r="E154" s="24" t="s">
        <v>1782</v>
      </c>
      <c r="F154" s="24" t="s">
        <v>526</v>
      </c>
      <c r="G154" s="13" t="s">
        <v>154</v>
      </c>
      <c r="H154" s="18">
        <v>6</v>
      </c>
      <c r="I154" s="127">
        <v>1213</v>
      </c>
      <c r="J154" s="69">
        <v>0</v>
      </c>
      <c r="K154" s="18" t="s">
        <v>336</v>
      </c>
      <c r="L154" s="18">
        <v>0</v>
      </c>
      <c r="M154" s="18" t="s">
        <v>1513</v>
      </c>
      <c r="N154" s="18" t="s">
        <v>1495</v>
      </c>
      <c r="O154" s="15" t="s">
        <v>155</v>
      </c>
      <c r="P154" s="13" t="s">
        <v>156</v>
      </c>
      <c r="Q154" s="19">
        <v>41187</v>
      </c>
      <c r="R154" s="24"/>
    </row>
    <row r="155" spans="1:18" s="26" customFormat="1" ht="19.149999999999999" customHeight="1" x14ac:dyDescent="0.3">
      <c r="A155" s="29">
        <v>154</v>
      </c>
      <c r="B155" s="13" t="s">
        <v>1755</v>
      </c>
      <c r="C155" s="13" t="s">
        <v>1779</v>
      </c>
      <c r="D155" s="13">
        <v>53</v>
      </c>
      <c r="E155" s="21" t="s">
        <v>1783</v>
      </c>
      <c r="F155" s="21" t="s">
        <v>1784</v>
      </c>
      <c r="G155" s="13" t="s">
        <v>1553</v>
      </c>
      <c r="H155" s="18">
        <v>7</v>
      </c>
      <c r="I155" s="138">
        <v>694</v>
      </c>
      <c r="J155" s="69">
        <v>0</v>
      </c>
      <c r="K155" s="18" t="s">
        <v>336</v>
      </c>
      <c r="L155" s="18">
        <v>0</v>
      </c>
      <c r="M155" s="18" t="s">
        <v>1513</v>
      </c>
      <c r="N155" s="18" t="s">
        <v>1495</v>
      </c>
      <c r="O155" s="15" t="s">
        <v>155</v>
      </c>
      <c r="P155" s="13" t="s">
        <v>156</v>
      </c>
      <c r="Q155" s="19">
        <v>44168</v>
      </c>
      <c r="R155" s="24" t="s">
        <v>1785</v>
      </c>
    </row>
    <row r="156" spans="1:18" s="26" customFormat="1" ht="19.149999999999999" customHeight="1" x14ac:dyDescent="0.3">
      <c r="A156" s="13">
        <v>155</v>
      </c>
      <c r="B156" s="15" t="s">
        <v>215</v>
      </c>
      <c r="C156" s="15" t="s">
        <v>512</v>
      </c>
      <c r="D156" s="13">
        <v>54</v>
      </c>
      <c r="E156" s="16" t="s">
        <v>513</v>
      </c>
      <c r="F156" s="16" t="s">
        <v>514</v>
      </c>
      <c r="G156" s="15" t="s">
        <v>164</v>
      </c>
      <c r="H156" s="18">
        <v>8</v>
      </c>
      <c r="I156" s="127">
        <v>1189</v>
      </c>
      <c r="J156" s="69">
        <v>1</v>
      </c>
      <c r="K156" s="18" t="s">
        <v>398</v>
      </c>
      <c r="L156" s="18">
        <v>0</v>
      </c>
      <c r="M156" s="18" t="s">
        <v>1513</v>
      </c>
      <c r="N156" s="18" t="s">
        <v>1495</v>
      </c>
      <c r="O156" s="13" t="s">
        <v>161</v>
      </c>
      <c r="P156" s="13" t="s">
        <v>162</v>
      </c>
      <c r="Q156" s="19">
        <v>42285</v>
      </c>
      <c r="R156" s="6"/>
    </row>
    <row r="157" spans="1:18" s="44" customFormat="1" ht="19.149999999999999" customHeight="1" x14ac:dyDescent="0.3">
      <c r="A157" s="29">
        <v>156</v>
      </c>
      <c r="B157" s="13" t="s">
        <v>215</v>
      </c>
      <c r="C157" s="13" t="s">
        <v>45</v>
      </c>
      <c r="D157" s="13">
        <v>54</v>
      </c>
      <c r="E157" s="24" t="s">
        <v>1786</v>
      </c>
      <c r="F157" s="24" t="s">
        <v>511</v>
      </c>
      <c r="G157" s="13" t="s">
        <v>164</v>
      </c>
      <c r="H157" s="18">
        <v>5</v>
      </c>
      <c r="I157" s="127">
        <v>630</v>
      </c>
      <c r="J157" s="69">
        <v>0</v>
      </c>
      <c r="K157" s="18" t="s">
        <v>336</v>
      </c>
      <c r="L157" s="18">
        <v>0</v>
      </c>
      <c r="M157" s="18" t="s">
        <v>1513</v>
      </c>
      <c r="N157" s="18" t="s">
        <v>1495</v>
      </c>
      <c r="O157" s="15" t="s">
        <v>155</v>
      </c>
      <c r="P157" s="13" t="s">
        <v>156</v>
      </c>
      <c r="Q157" s="19">
        <v>40438</v>
      </c>
      <c r="R157" s="24"/>
    </row>
    <row r="158" spans="1:18" s="12" customFormat="1" ht="19.149999999999999" customHeight="1" x14ac:dyDescent="0.3">
      <c r="A158" s="13">
        <v>157</v>
      </c>
      <c r="B158" s="13" t="s">
        <v>215</v>
      </c>
      <c r="C158" s="13" t="s">
        <v>45</v>
      </c>
      <c r="D158" s="13">
        <v>54</v>
      </c>
      <c r="E158" s="24" t="s">
        <v>1787</v>
      </c>
      <c r="F158" s="24" t="s">
        <v>1202</v>
      </c>
      <c r="G158" s="13" t="s">
        <v>154</v>
      </c>
      <c r="H158" s="18">
        <v>14</v>
      </c>
      <c r="I158" s="127">
        <v>2786</v>
      </c>
      <c r="J158" s="69">
        <v>3</v>
      </c>
      <c r="K158" s="18" t="s">
        <v>1269</v>
      </c>
      <c r="L158" s="18">
        <v>1</v>
      </c>
      <c r="M158" s="18" t="s">
        <v>424</v>
      </c>
      <c r="N158" s="18" t="s">
        <v>1495</v>
      </c>
      <c r="O158" s="15" t="s">
        <v>155</v>
      </c>
      <c r="P158" s="13" t="s">
        <v>156</v>
      </c>
      <c r="Q158" s="19">
        <v>36512</v>
      </c>
      <c r="R158" s="24" t="s">
        <v>1788</v>
      </c>
    </row>
    <row r="159" spans="1:18" s="12" customFormat="1" ht="19.149999999999999" customHeight="1" x14ac:dyDescent="0.3">
      <c r="A159" s="29">
        <v>158</v>
      </c>
      <c r="B159" s="13" t="s">
        <v>516</v>
      </c>
      <c r="C159" s="13" t="s">
        <v>46</v>
      </c>
      <c r="D159" s="13">
        <v>55</v>
      </c>
      <c r="E159" s="21" t="s">
        <v>431</v>
      </c>
      <c r="F159" s="24" t="s">
        <v>1789</v>
      </c>
      <c r="G159" s="13" t="s">
        <v>336</v>
      </c>
      <c r="H159" s="18">
        <v>2</v>
      </c>
      <c r="I159" s="127">
        <v>245</v>
      </c>
      <c r="J159" s="69">
        <v>0</v>
      </c>
      <c r="K159" s="18" t="s">
        <v>336</v>
      </c>
      <c r="L159" s="18">
        <v>0</v>
      </c>
      <c r="M159" s="18" t="s">
        <v>1513</v>
      </c>
      <c r="N159" s="18" t="s">
        <v>1495</v>
      </c>
      <c r="O159" s="13" t="s">
        <v>1790</v>
      </c>
      <c r="P159" s="15" t="s">
        <v>1791</v>
      </c>
      <c r="Q159" s="19">
        <v>26846</v>
      </c>
      <c r="R159" s="16"/>
    </row>
    <row r="160" spans="1:18" s="12" customFormat="1" ht="19.149999999999999" customHeight="1" x14ac:dyDescent="0.3">
      <c r="A160" s="13">
        <v>159</v>
      </c>
      <c r="B160" s="13" t="s">
        <v>215</v>
      </c>
      <c r="C160" s="13" t="s">
        <v>46</v>
      </c>
      <c r="D160" s="13">
        <v>55</v>
      </c>
      <c r="E160" s="21" t="s">
        <v>247</v>
      </c>
      <c r="F160" s="21" t="s">
        <v>518</v>
      </c>
      <c r="G160" s="13" t="s">
        <v>154</v>
      </c>
      <c r="H160" s="18">
        <v>9</v>
      </c>
      <c r="I160" s="127">
        <v>1290</v>
      </c>
      <c r="J160" s="69">
        <v>0</v>
      </c>
      <c r="K160" s="18" t="s">
        <v>336</v>
      </c>
      <c r="L160" s="18">
        <v>0</v>
      </c>
      <c r="M160" s="18" t="s">
        <v>1513</v>
      </c>
      <c r="N160" s="18" t="s">
        <v>1495</v>
      </c>
      <c r="O160" s="13" t="s">
        <v>159</v>
      </c>
      <c r="P160" s="13" t="s">
        <v>160</v>
      </c>
      <c r="Q160" s="19">
        <v>39695</v>
      </c>
      <c r="R160" s="24"/>
    </row>
    <row r="161" spans="1:18" s="12" customFormat="1" ht="19.149999999999999" customHeight="1" x14ac:dyDescent="0.3">
      <c r="A161" s="29">
        <v>160</v>
      </c>
      <c r="B161" s="13" t="s">
        <v>215</v>
      </c>
      <c r="C161" s="13" t="s">
        <v>46</v>
      </c>
      <c r="D161" s="13">
        <v>55</v>
      </c>
      <c r="E161" s="21" t="s">
        <v>246</v>
      </c>
      <c r="F161" s="21" t="s">
        <v>517</v>
      </c>
      <c r="G161" s="13" t="s">
        <v>154</v>
      </c>
      <c r="H161" s="18">
        <v>9</v>
      </c>
      <c r="I161" s="127">
        <v>1523</v>
      </c>
      <c r="J161" s="69">
        <v>0</v>
      </c>
      <c r="K161" s="18" t="s">
        <v>1513</v>
      </c>
      <c r="L161" s="18">
        <v>1</v>
      </c>
      <c r="M161" s="18" t="s">
        <v>1578</v>
      </c>
      <c r="N161" s="18" t="s">
        <v>1495</v>
      </c>
      <c r="O161" s="28" t="s">
        <v>159</v>
      </c>
      <c r="P161" s="13" t="s">
        <v>160</v>
      </c>
      <c r="Q161" s="19">
        <v>38777</v>
      </c>
      <c r="R161" s="24"/>
    </row>
    <row r="162" spans="1:18" s="12" customFormat="1" ht="19.149999999999999" customHeight="1" x14ac:dyDescent="0.3">
      <c r="A162" s="13">
        <v>161</v>
      </c>
      <c r="B162" s="13" t="s">
        <v>215</v>
      </c>
      <c r="C162" s="13" t="s">
        <v>46</v>
      </c>
      <c r="D162" s="13">
        <v>55</v>
      </c>
      <c r="E162" s="24" t="s">
        <v>1792</v>
      </c>
      <c r="F162" s="24" t="s">
        <v>515</v>
      </c>
      <c r="G162" s="13" t="s">
        <v>164</v>
      </c>
      <c r="H162" s="18">
        <v>10</v>
      </c>
      <c r="I162" s="127">
        <v>1552</v>
      </c>
      <c r="J162" s="69">
        <v>0</v>
      </c>
      <c r="K162" s="18" t="s">
        <v>336</v>
      </c>
      <c r="L162" s="18">
        <v>0</v>
      </c>
      <c r="M162" s="18" t="s">
        <v>1513</v>
      </c>
      <c r="N162" s="18" t="s">
        <v>1490</v>
      </c>
      <c r="O162" s="15" t="s">
        <v>155</v>
      </c>
      <c r="P162" s="13" t="s">
        <v>156</v>
      </c>
      <c r="Q162" s="19">
        <v>38157</v>
      </c>
      <c r="R162" s="24"/>
    </row>
    <row r="163" spans="1:18" s="12" customFormat="1" ht="19.149999999999999" customHeight="1" x14ac:dyDescent="0.3">
      <c r="A163" s="29">
        <v>162</v>
      </c>
      <c r="B163" s="13" t="s">
        <v>1755</v>
      </c>
      <c r="C163" s="13" t="s">
        <v>1793</v>
      </c>
      <c r="D163" s="13">
        <v>55</v>
      </c>
      <c r="E163" s="21" t="s">
        <v>1794</v>
      </c>
      <c r="F163" s="21" t="s">
        <v>1795</v>
      </c>
      <c r="G163" s="13" t="s">
        <v>1538</v>
      </c>
      <c r="H163" s="18">
        <v>7</v>
      </c>
      <c r="I163" s="127">
        <v>1034</v>
      </c>
      <c r="J163" s="69">
        <v>2</v>
      </c>
      <c r="K163" s="18" t="s">
        <v>1554</v>
      </c>
      <c r="L163" s="18">
        <v>0</v>
      </c>
      <c r="M163" s="18" t="s">
        <v>1513</v>
      </c>
      <c r="N163" s="18" t="s">
        <v>1495</v>
      </c>
      <c r="O163" s="28" t="s">
        <v>159</v>
      </c>
      <c r="P163" s="13" t="s">
        <v>160</v>
      </c>
      <c r="Q163" s="19">
        <v>44681</v>
      </c>
      <c r="R163" s="24"/>
    </row>
    <row r="164" spans="1:18" s="12" customFormat="1" ht="19.149999999999999" customHeight="1" x14ac:dyDescent="0.3">
      <c r="A164" s="13">
        <v>163</v>
      </c>
      <c r="B164" s="15" t="s">
        <v>215</v>
      </c>
      <c r="C164" s="15" t="s">
        <v>47</v>
      </c>
      <c r="D164" s="13">
        <v>56</v>
      </c>
      <c r="E164" s="16" t="s">
        <v>1796</v>
      </c>
      <c r="F164" s="16" t="s">
        <v>1203</v>
      </c>
      <c r="G164" s="15" t="s">
        <v>154</v>
      </c>
      <c r="H164" s="18">
        <v>8</v>
      </c>
      <c r="I164" s="127">
        <v>1257</v>
      </c>
      <c r="J164" s="69">
        <v>1</v>
      </c>
      <c r="K164" s="18" t="s">
        <v>1797</v>
      </c>
      <c r="L164" s="18">
        <v>0</v>
      </c>
      <c r="M164" s="18" t="s">
        <v>1513</v>
      </c>
      <c r="N164" s="18" t="s">
        <v>1495</v>
      </c>
      <c r="O164" s="15" t="s">
        <v>155</v>
      </c>
      <c r="P164" s="13" t="s">
        <v>156</v>
      </c>
      <c r="Q164" s="19">
        <v>38985</v>
      </c>
      <c r="R164" s="16"/>
    </row>
    <row r="165" spans="1:18" s="12" customFormat="1" ht="19.149999999999999" customHeight="1" x14ac:dyDescent="0.3">
      <c r="A165" s="29">
        <v>164</v>
      </c>
      <c r="B165" s="15" t="s">
        <v>215</v>
      </c>
      <c r="C165" s="15" t="s">
        <v>521</v>
      </c>
      <c r="D165" s="13">
        <v>57</v>
      </c>
      <c r="E165" s="16" t="s">
        <v>267</v>
      </c>
      <c r="F165" s="14" t="s">
        <v>522</v>
      </c>
      <c r="G165" s="15" t="s">
        <v>154</v>
      </c>
      <c r="H165" s="18">
        <v>6</v>
      </c>
      <c r="I165" s="127">
        <v>1155</v>
      </c>
      <c r="J165" s="69">
        <v>0</v>
      </c>
      <c r="K165" s="18" t="s">
        <v>336</v>
      </c>
      <c r="L165" s="18">
        <v>0</v>
      </c>
      <c r="M165" s="18" t="s">
        <v>1513</v>
      </c>
      <c r="N165" s="18" t="s">
        <v>1495</v>
      </c>
      <c r="O165" s="28" t="s">
        <v>159</v>
      </c>
      <c r="P165" s="13" t="s">
        <v>160</v>
      </c>
      <c r="Q165" s="19">
        <v>42727</v>
      </c>
      <c r="R165" s="16"/>
    </row>
    <row r="166" spans="1:18" s="12" customFormat="1" ht="19.149999999999999" customHeight="1" x14ac:dyDescent="0.3">
      <c r="A166" s="13">
        <v>165</v>
      </c>
      <c r="B166" s="15" t="s">
        <v>215</v>
      </c>
      <c r="C166" s="15" t="s">
        <v>521</v>
      </c>
      <c r="D166" s="13">
        <v>57</v>
      </c>
      <c r="E166" s="16" t="s">
        <v>523</v>
      </c>
      <c r="F166" s="16" t="s">
        <v>524</v>
      </c>
      <c r="G166" s="15" t="s">
        <v>444</v>
      </c>
      <c r="H166" s="18">
        <v>5</v>
      </c>
      <c r="I166" s="127">
        <v>771</v>
      </c>
      <c r="J166" s="69">
        <v>1</v>
      </c>
      <c r="K166" s="18" t="s">
        <v>398</v>
      </c>
      <c r="L166" s="18">
        <v>0</v>
      </c>
      <c r="M166" s="18" t="s">
        <v>1513</v>
      </c>
      <c r="N166" s="18" t="s">
        <v>1495</v>
      </c>
      <c r="O166" s="13" t="s">
        <v>161</v>
      </c>
      <c r="P166" s="13" t="s">
        <v>162</v>
      </c>
      <c r="Q166" s="19">
        <v>42268</v>
      </c>
      <c r="R166" s="6"/>
    </row>
    <row r="167" spans="1:18" s="12" customFormat="1" ht="19.149999999999999" customHeight="1" x14ac:dyDescent="0.3">
      <c r="A167" s="29">
        <v>166</v>
      </c>
      <c r="B167" s="13" t="s">
        <v>215</v>
      </c>
      <c r="C167" s="13" t="s">
        <v>29</v>
      </c>
      <c r="D167" s="13">
        <v>57</v>
      </c>
      <c r="E167" s="24" t="s">
        <v>1798</v>
      </c>
      <c r="F167" s="24" t="s">
        <v>519</v>
      </c>
      <c r="G167" s="13" t="s">
        <v>164</v>
      </c>
      <c r="H167" s="18">
        <v>7</v>
      </c>
      <c r="I167" s="127">
        <v>1073</v>
      </c>
      <c r="J167" s="69">
        <v>0</v>
      </c>
      <c r="K167" s="18" t="s">
        <v>1513</v>
      </c>
      <c r="L167" s="18">
        <v>0</v>
      </c>
      <c r="M167" s="18" t="s">
        <v>1513</v>
      </c>
      <c r="N167" s="18" t="s">
        <v>1495</v>
      </c>
      <c r="O167" s="15" t="s">
        <v>155</v>
      </c>
      <c r="P167" s="13" t="s">
        <v>156</v>
      </c>
      <c r="Q167" s="19">
        <v>43231</v>
      </c>
      <c r="R167" s="24"/>
    </row>
    <row r="168" spans="1:18" s="12" customFormat="1" ht="19.149999999999999" customHeight="1" x14ac:dyDescent="0.3">
      <c r="A168" s="13">
        <v>167</v>
      </c>
      <c r="B168" s="15" t="s">
        <v>215</v>
      </c>
      <c r="C168" s="15" t="s">
        <v>29</v>
      </c>
      <c r="D168" s="13">
        <v>57</v>
      </c>
      <c r="E168" s="16" t="s">
        <v>311</v>
      </c>
      <c r="F168" s="16" t="s">
        <v>520</v>
      </c>
      <c r="G168" s="15" t="s">
        <v>164</v>
      </c>
      <c r="H168" s="18">
        <v>7</v>
      </c>
      <c r="I168" s="127">
        <v>784</v>
      </c>
      <c r="J168" s="69">
        <v>2</v>
      </c>
      <c r="K168" s="18" t="s">
        <v>1590</v>
      </c>
      <c r="L168" s="18">
        <v>0</v>
      </c>
      <c r="M168" s="18" t="s">
        <v>1513</v>
      </c>
      <c r="N168" s="18" t="s">
        <v>1495</v>
      </c>
      <c r="O168" s="13" t="s">
        <v>161</v>
      </c>
      <c r="P168" s="13" t="s">
        <v>162</v>
      </c>
      <c r="Q168" s="19">
        <v>43033</v>
      </c>
      <c r="R168" s="6"/>
    </row>
    <row r="169" spans="1:18" s="12" customFormat="1" ht="19.149999999999999" customHeight="1" x14ac:dyDescent="0.3">
      <c r="A169" s="29">
        <v>168</v>
      </c>
      <c r="B169" s="15" t="s">
        <v>1760</v>
      </c>
      <c r="C169" s="15" t="s">
        <v>1799</v>
      </c>
      <c r="D169" s="13">
        <v>58</v>
      </c>
      <c r="E169" s="6" t="s">
        <v>1800</v>
      </c>
      <c r="F169" s="16" t="s">
        <v>1801</v>
      </c>
      <c r="G169" s="15" t="s">
        <v>1502</v>
      </c>
      <c r="H169" s="69">
        <v>1</v>
      </c>
      <c r="I169" s="127">
        <v>89</v>
      </c>
      <c r="J169" s="69">
        <v>0</v>
      </c>
      <c r="K169" s="18" t="s">
        <v>1513</v>
      </c>
      <c r="L169" s="18">
        <v>0</v>
      </c>
      <c r="M169" s="18" t="s">
        <v>1513</v>
      </c>
      <c r="N169" s="18" t="s">
        <v>1802</v>
      </c>
      <c r="O169" s="15" t="s">
        <v>1803</v>
      </c>
      <c r="P169" s="29" t="s">
        <v>1804</v>
      </c>
      <c r="Q169" s="19">
        <v>42041</v>
      </c>
      <c r="R169" s="6" t="s">
        <v>1805</v>
      </c>
    </row>
    <row r="170" spans="1:18" s="12" customFormat="1" ht="19.149999999999999" customHeight="1" x14ac:dyDescent="0.3">
      <c r="A170" s="13">
        <v>169</v>
      </c>
      <c r="B170" s="13" t="s">
        <v>75</v>
      </c>
      <c r="C170" s="13" t="s">
        <v>30</v>
      </c>
      <c r="D170" s="13">
        <v>60</v>
      </c>
      <c r="E170" s="21" t="s">
        <v>544</v>
      </c>
      <c r="F170" s="21" t="s">
        <v>545</v>
      </c>
      <c r="G170" s="13" t="s">
        <v>154</v>
      </c>
      <c r="H170" s="18">
        <v>6</v>
      </c>
      <c r="I170" s="127">
        <v>1024</v>
      </c>
      <c r="J170" s="69">
        <v>1</v>
      </c>
      <c r="K170" s="18" t="s">
        <v>950</v>
      </c>
      <c r="L170" s="18">
        <v>0</v>
      </c>
      <c r="M170" s="18" t="s">
        <v>1513</v>
      </c>
      <c r="N170" s="18" t="s">
        <v>1495</v>
      </c>
      <c r="O170" s="28" t="s">
        <v>159</v>
      </c>
      <c r="P170" s="13" t="s">
        <v>160</v>
      </c>
      <c r="Q170" s="19">
        <v>36708</v>
      </c>
      <c r="R170" s="24"/>
    </row>
    <row r="171" spans="1:18" s="12" customFormat="1" ht="19.149999999999999" customHeight="1" x14ac:dyDescent="0.3">
      <c r="A171" s="29">
        <v>170</v>
      </c>
      <c r="B171" s="13" t="s">
        <v>75</v>
      </c>
      <c r="C171" s="13" t="s">
        <v>30</v>
      </c>
      <c r="D171" s="13">
        <v>60</v>
      </c>
      <c r="E171" s="21" t="s">
        <v>1806</v>
      </c>
      <c r="F171" s="21" t="s">
        <v>1807</v>
      </c>
      <c r="G171" s="13" t="s">
        <v>336</v>
      </c>
      <c r="H171" s="18">
        <v>1</v>
      </c>
      <c r="I171" s="127">
        <v>105</v>
      </c>
      <c r="J171" s="69">
        <v>0</v>
      </c>
      <c r="K171" s="18" t="s">
        <v>336</v>
      </c>
      <c r="L171" s="18">
        <v>1</v>
      </c>
      <c r="M171" s="18" t="s">
        <v>1508</v>
      </c>
      <c r="N171" s="18" t="s">
        <v>1495</v>
      </c>
      <c r="O171" s="13" t="s">
        <v>1808</v>
      </c>
      <c r="P171" s="29" t="s">
        <v>1809</v>
      </c>
      <c r="Q171" s="19">
        <v>43201</v>
      </c>
      <c r="R171" s="24"/>
    </row>
    <row r="172" spans="1:18" s="12" customFormat="1" ht="19.149999999999999" customHeight="1" x14ac:dyDescent="0.3">
      <c r="A172" s="13">
        <v>171</v>
      </c>
      <c r="B172" s="15" t="s">
        <v>75</v>
      </c>
      <c r="C172" s="15" t="s">
        <v>30</v>
      </c>
      <c r="D172" s="13">
        <v>60</v>
      </c>
      <c r="E172" s="328" t="s">
        <v>1810</v>
      </c>
      <c r="F172" s="16" t="s">
        <v>1811</v>
      </c>
      <c r="G172" s="15" t="s">
        <v>154</v>
      </c>
      <c r="H172" s="18">
        <v>9</v>
      </c>
      <c r="I172" s="127">
        <v>955</v>
      </c>
      <c r="J172" s="69">
        <v>1</v>
      </c>
      <c r="K172" s="18" t="s">
        <v>1070</v>
      </c>
      <c r="L172" s="18">
        <v>0</v>
      </c>
      <c r="M172" s="18" t="s">
        <v>1513</v>
      </c>
      <c r="N172" s="18" t="s">
        <v>1495</v>
      </c>
      <c r="O172" s="15" t="s">
        <v>155</v>
      </c>
      <c r="P172" s="13" t="s">
        <v>156</v>
      </c>
      <c r="Q172" s="19">
        <v>43581</v>
      </c>
      <c r="R172" s="6" t="s">
        <v>1812</v>
      </c>
    </row>
    <row r="173" spans="1:18" s="26" customFormat="1" ht="19.149999999999999" customHeight="1" x14ac:dyDescent="0.3">
      <c r="A173" s="29">
        <v>172</v>
      </c>
      <c r="B173" s="15" t="s">
        <v>541</v>
      </c>
      <c r="C173" s="15" t="s">
        <v>30</v>
      </c>
      <c r="D173" s="13">
        <v>60</v>
      </c>
      <c r="E173" s="16" t="s">
        <v>1813</v>
      </c>
      <c r="F173" s="16" t="s">
        <v>542</v>
      </c>
      <c r="G173" s="15" t="s">
        <v>164</v>
      </c>
      <c r="H173" s="18">
        <v>5</v>
      </c>
      <c r="I173" s="127">
        <v>719</v>
      </c>
      <c r="J173" s="69">
        <v>0</v>
      </c>
      <c r="K173" s="18" t="s">
        <v>336</v>
      </c>
      <c r="L173" s="18">
        <v>0</v>
      </c>
      <c r="M173" s="18" t="s">
        <v>1513</v>
      </c>
      <c r="N173" s="18" t="s">
        <v>1495</v>
      </c>
      <c r="O173" s="15" t="s">
        <v>155</v>
      </c>
      <c r="P173" s="13" t="s">
        <v>156</v>
      </c>
      <c r="Q173" s="19">
        <v>42761</v>
      </c>
      <c r="R173" s="16"/>
    </row>
    <row r="174" spans="1:18" s="26" customFormat="1" ht="19.149999999999999" customHeight="1" x14ac:dyDescent="0.3">
      <c r="A174" s="13">
        <v>173</v>
      </c>
      <c r="B174" s="13" t="s">
        <v>75</v>
      </c>
      <c r="C174" s="13" t="s">
        <v>30</v>
      </c>
      <c r="D174" s="13">
        <v>60</v>
      </c>
      <c r="E174" s="21" t="s">
        <v>222</v>
      </c>
      <c r="F174" s="21" t="s">
        <v>1814</v>
      </c>
      <c r="G174" s="13" t="s">
        <v>336</v>
      </c>
      <c r="H174" s="18">
        <v>1</v>
      </c>
      <c r="I174" s="127">
        <v>856</v>
      </c>
      <c r="J174" s="69">
        <v>0</v>
      </c>
      <c r="K174" s="18" t="s">
        <v>336</v>
      </c>
      <c r="L174" s="18">
        <v>1</v>
      </c>
      <c r="M174" s="18" t="s">
        <v>1508</v>
      </c>
      <c r="N174" s="18" t="s">
        <v>1495</v>
      </c>
      <c r="O174" s="13" t="s">
        <v>1815</v>
      </c>
      <c r="P174" s="13" t="s">
        <v>543</v>
      </c>
      <c r="Q174" s="19">
        <v>13058</v>
      </c>
      <c r="R174" s="24"/>
    </row>
    <row r="175" spans="1:18" s="12" customFormat="1" ht="19.149999999999999" customHeight="1" x14ac:dyDescent="0.3">
      <c r="A175" s="29">
        <v>174</v>
      </c>
      <c r="B175" s="13" t="s">
        <v>541</v>
      </c>
      <c r="C175" s="13" t="s">
        <v>485</v>
      </c>
      <c r="D175" s="13">
        <v>60</v>
      </c>
      <c r="E175" s="21" t="s">
        <v>546</v>
      </c>
      <c r="F175" s="21" t="s">
        <v>547</v>
      </c>
      <c r="G175" s="13" t="s">
        <v>444</v>
      </c>
      <c r="H175" s="18">
        <v>9</v>
      </c>
      <c r="I175" s="127">
        <v>693</v>
      </c>
      <c r="J175" s="69">
        <v>2</v>
      </c>
      <c r="K175" s="18" t="s">
        <v>1161</v>
      </c>
      <c r="L175" s="18">
        <v>0</v>
      </c>
      <c r="M175" s="18" t="s">
        <v>1513</v>
      </c>
      <c r="N175" s="18" t="s">
        <v>1495</v>
      </c>
      <c r="O175" s="13" t="s">
        <v>159</v>
      </c>
      <c r="P175" s="13" t="s">
        <v>160</v>
      </c>
      <c r="Q175" s="19">
        <v>41627</v>
      </c>
      <c r="R175" s="24"/>
    </row>
    <row r="176" spans="1:18" s="12" customFormat="1" ht="19.149999999999999" customHeight="1" x14ac:dyDescent="0.3">
      <c r="A176" s="13">
        <v>175</v>
      </c>
      <c r="B176" s="13" t="s">
        <v>75</v>
      </c>
      <c r="C176" s="13" t="s">
        <v>29</v>
      </c>
      <c r="D176" s="13">
        <v>61</v>
      </c>
      <c r="E176" s="24" t="s">
        <v>1816</v>
      </c>
      <c r="F176" s="24" t="s">
        <v>1207</v>
      </c>
      <c r="G176" s="13" t="s">
        <v>154</v>
      </c>
      <c r="H176" s="18">
        <v>11</v>
      </c>
      <c r="I176" s="127">
        <v>1992</v>
      </c>
      <c r="J176" s="69">
        <v>3</v>
      </c>
      <c r="K176" s="18" t="s">
        <v>1817</v>
      </c>
      <c r="L176" s="18">
        <v>1</v>
      </c>
      <c r="M176" s="18" t="s">
        <v>424</v>
      </c>
      <c r="N176" s="18" t="s">
        <v>1495</v>
      </c>
      <c r="O176" s="15" t="s">
        <v>155</v>
      </c>
      <c r="P176" s="13" t="s">
        <v>156</v>
      </c>
      <c r="Q176" s="19">
        <v>39954</v>
      </c>
      <c r="R176" s="24"/>
    </row>
    <row r="177" spans="1:18" s="12" customFormat="1" ht="19.149999999999999" customHeight="1" x14ac:dyDescent="0.3">
      <c r="A177" s="29">
        <v>176</v>
      </c>
      <c r="B177" s="13" t="s">
        <v>75</v>
      </c>
      <c r="C177" s="13" t="s">
        <v>29</v>
      </c>
      <c r="D177" s="13">
        <v>61</v>
      </c>
      <c r="E177" s="21" t="s">
        <v>552</v>
      </c>
      <c r="F177" s="21" t="s">
        <v>553</v>
      </c>
      <c r="G177" s="13" t="s">
        <v>164</v>
      </c>
      <c r="H177" s="18">
        <v>10</v>
      </c>
      <c r="I177" s="127">
        <v>837</v>
      </c>
      <c r="J177" s="69">
        <v>10</v>
      </c>
      <c r="K177" s="18" t="s">
        <v>1818</v>
      </c>
      <c r="L177" s="18">
        <v>0</v>
      </c>
      <c r="M177" s="18" t="s">
        <v>1513</v>
      </c>
      <c r="N177" s="18" t="s">
        <v>1495</v>
      </c>
      <c r="O177" s="13" t="s">
        <v>161</v>
      </c>
      <c r="P177" s="13" t="s">
        <v>162</v>
      </c>
      <c r="Q177" s="19">
        <v>40330</v>
      </c>
      <c r="R177" s="36" t="s">
        <v>554</v>
      </c>
    </row>
    <row r="178" spans="1:18" s="26" customFormat="1" ht="19.149999999999999" customHeight="1" x14ac:dyDescent="0.3">
      <c r="A178" s="13">
        <v>177</v>
      </c>
      <c r="B178" s="15" t="s">
        <v>541</v>
      </c>
      <c r="C178" s="15" t="s">
        <v>29</v>
      </c>
      <c r="D178" s="13">
        <v>61</v>
      </c>
      <c r="E178" s="16" t="s">
        <v>1819</v>
      </c>
      <c r="F178" s="14" t="s">
        <v>1154</v>
      </c>
      <c r="G178" s="15" t="s">
        <v>345</v>
      </c>
      <c r="H178" s="18">
        <v>10</v>
      </c>
      <c r="I178" s="127">
        <v>1610</v>
      </c>
      <c r="J178" s="69">
        <v>0</v>
      </c>
      <c r="K178" s="28" t="s">
        <v>1513</v>
      </c>
      <c r="L178" s="18">
        <v>0</v>
      </c>
      <c r="M178" s="18" t="s">
        <v>1513</v>
      </c>
      <c r="N178" s="18" t="s">
        <v>1495</v>
      </c>
      <c r="O178" s="15" t="s">
        <v>155</v>
      </c>
      <c r="P178" s="13" t="s">
        <v>156</v>
      </c>
      <c r="Q178" s="19">
        <v>41795</v>
      </c>
      <c r="R178" s="36" t="s">
        <v>550</v>
      </c>
    </row>
    <row r="179" spans="1:18" s="12" customFormat="1" ht="19.149999999999999" customHeight="1" x14ac:dyDescent="0.3">
      <c r="A179" s="29">
        <v>178</v>
      </c>
      <c r="B179" s="13" t="s">
        <v>541</v>
      </c>
      <c r="C179" s="13" t="s">
        <v>458</v>
      </c>
      <c r="D179" s="13">
        <v>63</v>
      </c>
      <c r="E179" s="24" t="s">
        <v>1820</v>
      </c>
      <c r="F179" s="24" t="s">
        <v>549</v>
      </c>
      <c r="G179" s="13" t="s">
        <v>154</v>
      </c>
      <c r="H179" s="18">
        <v>10</v>
      </c>
      <c r="I179" s="127">
        <v>1465</v>
      </c>
      <c r="J179" s="69">
        <v>0</v>
      </c>
      <c r="K179" s="18" t="s">
        <v>336</v>
      </c>
      <c r="L179" s="18">
        <v>0</v>
      </c>
      <c r="M179" s="18" t="s">
        <v>1513</v>
      </c>
      <c r="N179" s="18" t="s">
        <v>1495</v>
      </c>
      <c r="O179" s="15" t="s">
        <v>155</v>
      </c>
      <c r="P179" s="13" t="s">
        <v>156</v>
      </c>
      <c r="Q179" s="19">
        <v>41529</v>
      </c>
      <c r="R179" s="24"/>
    </row>
    <row r="180" spans="1:18" s="12" customFormat="1" ht="19.149999999999999" customHeight="1" x14ac:dyDescent="0.3">
      <c r="A180" s="13">
        <v>179</v>
      </c>
      <c r="B180" s="15" t="s">
        <v>75</v>
      </c>
      <c r="C180" s="15" t="s">
        <v>34</v>
      </c>
      <c r="D180" s="13">
        <v>63</v>
      </c>
      <c r="E180" s="16" t="s">
        <v>305</v>
      </c>
      <c r="F180" s="16" t="s">
        <v>548</v>
      </c>
      <c r="G180" s="13" t="s">
        <v>164</v>
      </c>
      <c r="H180" s="18">
        <v>7</v>
      </c>
      <c r="I180" s="127">
        <v>958</v>
      </c>
      <c r="J180" s="69">
        <v>0</v>
      </c>
      <c r="K180" s="18" t="s">
        <v>336</v>
      </c>
      <c r="L180" s="18">
        <v>0</v>
      </c>
      <c r="M180" s="18" t="s">
        <v>1513</v>
      </c>
      <c r="N180" s="18" t="s">
        <v>1495</v>
      </c>
      <c r="O180" s="13" t="s">
        <v>161</v>
      </c>
      <c r="P180" s="13" t="s">
        <v>162</v>
      </c>
      <c r="Q180" s="19">
        <v>39051</v>
      </c>
      <c r="R180" s="16"/>
    </row>
    <row r="181" spans="1:18" s="12" customFormat="1" ht="19.149999999999999" customHeight="1" x14ac:dyDescent="0.3">
      <c r="A181" s="29">
        <v>180</v>
      </c>
      <c r="B181" s="15" t="s">
        <v>75</v>
      </c>
      <c r="C181" s="15" t="s">
        <v>48</v>
      </c>
      <c r="D181" s="13">
        <v>64</v>
      </c>
      <c r="E181" s="6" t="s">
        <v>229</v>
      </c>
      <c r="F181" s="14" t="s">
        <v>535</v>
      </c>
      <c r="G181" s="15" t="s">
        <v>164</v>
      </c>
      <c r="H181" s="18">
        <v>8</v>
      </c>
      <c r="I181" s="127">
        <v>733</v>
      </c>
      <c r="J181" s="69">
        <v>7</v>
      </c>
      <c r="K181" s="18" t="s">
        <v>1821</v>
      </c>
      <c r="L181" s="18">
        <v>0</v>
      </c>
      <c r="M181" s="18" t="s">
        <v>1513</v>
      </c>
      <c r="N181" s="18" t="s">
        <v>1495</v>
      </c>
      <c r="O181" s="13" t="s">
        <v>159</v>
      </c>
      <c r="P181" s="13" t="s">
        <v>160</v>
      </c>
      <c r="Q181" s="19">
        <v>43209</v>
      </c>
      <c r="R181" s="6" t="s">
        <v>1822</v>
      </c>
    </row>
    <row r="182" spans="1:18" s="12" customFormat="1" ht="19.149999999999999" customHeight="1" x14ac:dyDescent="0.3">
      <c r="A182" s="13">
        <v>181</v>
      </c>
      <c r="B182" s="13" t="s">
        <v>75</v>
      </c>
      <c r="C182" s="13" t="s">
        <v>48</v>
      </c>
      <c r="D182" s="13">
        <v>64</v>
      </c>
      <c r="E182" s="21" t="s">
        <v>310</v>
      </c>
      <c r="F182" s="24" t="s">
        <v>540</v>
      </c>
      <c r="G182" s="13" t="s">
        <v>164</v>
      </c>
      <c r="H182" s="18">
        <v>9</v>
      </c>
      <c r="I182" s="127">
        <v>1157</v>
      </c>
      <c r="J182" s="69">
        <v>0</v>
      </c>
      <c r="K182" s="18" t="s">
        <v>336</v>
      </c>
      <c r="L182" s="18">
        <v>0</v>
      </c>
      <c r="M182" s="18" t="s">
        <v>1513</v>
      </c>
      <c r="N182" s="18" t="s">
        <v>1495</v>
      </c>
      <c r="O182" s="13" t="s">
        <v>161</v>
      </c>
      <c r="P182" s="13" t="s">
        <v>162</v>
      </c>
      <c r="Q182" s="19">
        <v>40923</v>
      </c>
      <c r="R182" s="24"/>
    </row>
    <row r="183" spans="1:18" s="12" customFormat="1" ht="19.149999999999999" customHeight="1" x14ac:dyDescent="0.3">
      <c r="A183" s="29">
        <v>182</v>
      </c>
      <c r="B183" s="15" t="s">
        <v>75</v>
      </c>
      <c r="C183" s="15" t="s">
        <v>48</v>
      </c>
      <c r="D183" s="13">
        <v>64</v>
      </c>
      <c r="E183" s="16" t="s">
        <v>1823</v>
      </c>
      <c r="F183" s="16" t="s">
        <v>534</v>
      </c>
      <c r="G183" s="15" t="s">
        <v>154</v>
      </c>
      <c r="H183" s="18">
        <v>6</v>
      </c>
      <c r="I183" s="127">
        <v>835</v>
      </c>
      <c r="J183" s="69">
        <v>0</v>
      </c>
      <c r="K183" s="18" t="s">
        <v>336</v>
      </c>
      <c r="L183" s="18">
        <v>0</v>
      </c>
      <c r="M183" s="18" t="s">
        <v>1513</v>
      </c>
      <c r="N183" s="18" t="s">
        <v>1495</v>
      </c>
      <c r="O183" s="15" t="s">
        <v>155</v>
      </c>
      <c r="P183" s="13" t="s">
        <v>156</v>
      </c>
      <c r="Q183" s="19">
        <v>43363</v>
      </c>
      <c r="R183" s="16"/>
    </row>
    <row r="184" spans="1:18" s="54" customFormat="1" ht="19.149999999999999" customHeight="1" x14ac:dyDescent="0.3">
      <c r="A184" s="13">
        <v>183</v>
      </c>
      <c r="B184" s="15" t="s">
        <v>75</v>
      </c>
      <c r="C184" s="15" t="s">
        <v>48</v>
      </c>
      <c r="D184" s="13">
        <v>64</v>
      </c>
      <c r="E184" s="16" t="s">
        <v>1824</v>
      </c>
      <c r="F184" s="16" t="s">
        <v>533</v>
      </c>
      <c r="G184" s="15" t="s">
        <v>154</v>
      </c>
      <c r="H184" s="18">
        <v>9</v>
      </c>
      <c r="I184" s="127">
        <v>1219</v>
      </c>
      <c r="J184" s="69">
        <v>1</v>
      </c>
      <c r="K184" s="18" t="s">
        <v>208</v>
      </c>
      <c r="L184" s="18">
        <v>0</v>
      </c>
      <c r="M184" s="18" t="s">
        <v>1513</v>
      </c>
      <c r="N184" s="18" t="s">
        <v>1495</v>
      </c>
      <c r="O184" s="15" t="s">
        <v>155</v>
      </c>
      <c r="P184" s="13" t="s">
        <v>156</v>
      </c>
      <c r="Q184" s="19">
        <v>38729</v>
      </c>
      <c r="R184" s="16"/>
    </row>
    <row r="185" spans="1:18" s="12" customFormat="1" ht="19.149999999999999" customHeight="1" x14ac:dyDescent="0.3">
      <c r="A185" s="29">
        <v>184</v>
      </c>
      <c r="B185" s="15" t="s">
        <v>75</v>
      </c>
      <c r="C185" s="15" t="s">
        <v>48</v>
      </c>
      <c r="D185" s="13">
        <v>64</v>
      </c>
      <c r="E185" s="16" t="s">
        <v>255</v>
      </c>
      <c r="F185" s="14" t="s">
        <v>536</v>
      </c>
      <c r="G185" s="15" t="s">
        <v>154</v>
      </c>
      <c r="H185" s="18">
        <v>7</v>
      </c>
      <c r="I185" s="127">
        <v>1397</v>
      </c>
      <c r="J185" s="69">
        <v>1</v>
      </c>
      <c r="K185" s="18" t="s">
        <v>1159</v>
      </c>
      <c r="L185" s="18">
        <v>0</v>
      </c>
      <c r="M185" s="18" t="s">
        <v>1513</v>
      </c>
      <c r="N185" s="18" t="s">
        <v>1495</v>
      </c>
      <c r="O185" s="13" t="s">
        <v>159</v>
      </c>
      <c r="P185" s="13" t="s">
        <v>160</v>
      </c>
      <c r="Q185" s="19">
        <v>40963</v>
      </c>
      <c r="R185" s="16"/>
    </row>
    <row r="186" spans="1:18" s="26" customFormat="1" ht="19.149999999999999" customHeight="1" x14ac:dyDescent="0.3">
      <c r="A186" s="13">
        <v>185</v>
      </c>
      <c r="B186" s="13" t="s">
        <v>75</v>
      </c>
      <c r="C186" s="13" t="s">
        <v>48</v>
      </c>
      <c r="D186" s="13">
        <v>64</v>
      </c>
      <c r="E186" s="21" t="s">
        <v>537</v>
      </c>
      <c r="F186" s="24" t="s">
        <v>538</v>
      </c>
      <c r="G186" s="13" t="s">
        <v>164</v>
      </c>
      <c r="H186" s="18">
        <v>10</v>
      </c>
      <c r="I186" s="127">
        <v>918</v>
      </c>
      <c r="J186" s="69">
        <v>10</v>
      </c>
      <c r="K186" s="18" t="s">
        <v>1818</v>
      </c>
      <c r="L186" s="18">
        <v>0</v>
      </c>
      <c r="M186" s="18" t="s">
        <v>1513</v>
      </c>
      <c r="N186" s="18" t="s">
        <v>1495</v>
      </c>
      <c r="O186" s="13" t="s">
        <v>161</v>
      </c>
      <c r="P186" s="13" t="s">
        <v>162</v>
      </c>
      <c r="Q186" s="19">
        <v>38596</v>
      </c>
      <c r="R186" s="36" t="s">
        <v>539</v>
      </c>
    </row>
    <row r="187" spans="1:18" s="26" customFormat="1" ht="19.149999999999999" customHeight="1" x14ac:dyDescent="0.3">
      <c r="A187" s="29">
        <v>186</v>
      </c>
      <c r="B187" s="13" t="s">
        <v>219</v>
      </c>
      <c r="C187" s="13" t="s">
        <v>30</v>
      </c>
      <c r="D187" s="13">
        <v>65</v>
      </c>
      <c r="E187" s="24" t="s">
        <v>1825</v>
      </c>
      <c r="F187" s="24" t="s">
        <v>555</v>
      </c>
      <c r="G187" s="13" t="s">
        <v>154</v>
      </c>
      <c r="H187" s="18">
        <v>7</v>
      </c>
      <c r="I187" s="127">
        <v>1464</v>
      </c>
      <c r="J187" s="69">
        <v>1</v>
      </c>
      <c r="K187" s="18" t="s">
        <v>208</v>
      </c>
      <c r="L187" s="18">
        <v>0</v>
      </c>
      <c r="M187" s="18" t="s">
        <v>1513</v>
      </c>
      <c r="N187" s="18" t="s">
        <v>1495</v>
      </c>
      <c r="O187" s="15" t="s">
        <v>155</v>
      </c>
      <c r="P187" s="13" t="s">
        <v>156</v>
      </c>
      <c r="Q187" s="19">
        <v>40899</v>
      </c>
      <c r="R187" s="24"/>
    </row>
    <row r="188" spans="1:18" s="12" customFormat="1" ht="19.149999999999999" customHeight="1" x14ac:dyDescent="0.3">
      <c r="A188" s="13">
        <v>187</v>
      </c>
      <c r="B188" s="13" t="s">
        <v>557</v>
      </c>
      <c r="C188" s="13" t="s">
        <v>485</v>
      </c>
      <c r="D188" s="13">
        <v>65</v>
      </c>
      <c r="E188" s="24" t="s">
        <v>1826</v>
      </c>
      <c r="F188" s="24" t="s">
        <v>558</v>
      </c>
      <c r="G188" s="13" t="s">
        <v>154</v>
      </c>
      <c r="H188" s="18">
        <v>7</v>
      </c>
      <c r="I188" s="127">
        <v>1163</v>
      </c>
      <c r="J188" s="69">
        <v>0</v>
      </c>
      <c r="K188" s="18" t="s">
        <v>336</v>
      </c>
      <c r="L188" s="18">
        <v>0</v>
      </c>
      <c r="M188" s="18" t="s">
        <v>1513</v>
      </c>
      <c r="N188" s="18" t="s">
        <v>1495</v>
      </c>
      <c r="O188" s="15" t="s">
        <v>155</v>
      </c>
      <c r="P188" s="13" t="s">
        <v>156</v>
      </c>
      <c r="Q188" s="19">
        <v>41340</v>
      </c>
      <c r="R188" s="36" t="s">
        <v>559</v>
      </c>
    </row>
    <row r="189" spans="1:18" s="12" customFormat="1" ht="19.149999999999999" customHeight="1" x14ac:dyDescent="0.3">
      <c r="A189" s="29">
        <v>188</v>
      </c>
      <c r="B189" s="13" t="s">
        <v>219</v>
      </c>
      <c r="C189" s="13" t="s">
        <v>5</v>
      </c>
      <c r="D189" s="13">
        <v>66</v>
      </c>
      <c r="E189" s="24" t="s">
        <v>1827</v>
      </c>
      <c r="F189" s="24" t="s">
        <v>1213</v>
      </c>
      <c r="G189" s="13" t="s">
        <v>154</v>
      </c>
      <c r="H189" s="18">
        <v>9</v>
      </c>
      <c r="I189" s="127">
        <v>1880</v>
      </c>
      <c r="J189" s="69">
        <v>3</v>
      </c>
      <c r="K189" s="18" t="s">
        <v>1269</v>
      </c>
      <c r="L189" s="18">
        <v>1</v>
      </c>
      <c r="M189" s="18" t="s">
        <v>424</v>
      </c>
      <c r="N189" s="18" t="s">
        <v>1495</v>
      </c>
      <c r="O189" s="15" t="s">
        <v>155</v>
      </c>
      <c r="P189" s="13" t="s">
        <v>156</v>
      </c>
      <c r="Q189" s="19">
        <v>37121</v>
      </c>
      <c r="R189" s="24"/>
    </row>
    <row r="190" spans="1:18" s="12" customFormat="1" ht="19.149999999999999" customHeight="1" x14ac:dyDescent="0.3">
      <c r="A190" s="13">
        <v>189</v>
      </c>
      <c r="B190" s="13" t="s">
        <v>1828</v>
      </c>
      <c r="C190" s="13" t="s">
        <v>1756</v>
      </c>
      <c r="D190" s="13">
        <v>66</v>
      </c>
      <c r="E190" s="24" t="s">
        <v>1829</v>
      </c>
      <c r="F190" s="24" t="s">
        <v>1830</v>
      </c>
      <c r="G190" s="13" t="s">
        <v>1513</v>
      </c>
      <c r="H190" s="18">
        <v>1</v>
      </c>
      <c r="I190" s="127">
        <v>72</v>
      </c>
      <c r="J190" s="69">
        <v>0</v>
      </c>
      <c r="K190" s="18" t="s">
        <v>1513</v>
      </c>
      <c r="L190" s="18">
        <v>0</v>
      </c>
      <c r="M190" s="18" t="s">
        <v>1513</v>
      </c>
      <c r="N190" s="18" t="s">
        <v>1495</v>
      </c>
      <c r="O190" s="13" t="s">
        <v>1831</v>
      </c>
      <c r="P190" s="13" t="s">
        <v>1279</v>
      </c>
      <c r="Q190" s="19">
        <v>43944</v>
      </c>
      <c r="R190" s="36" t="s">
        <v>1832</v>
      </c>
    </row>
    <row r="191" spans="1:18" s="12" customFormat="1" ht="19.149999999999999" customHeight="1" x14ac:dyDescent="0.3">
      <c r="A191" s="29">
        <v>190</v>
      </c>
      <c r="B191" s="13" t="s">
        <v>1828</v>
      </c>
      <c r="C191" s="13" t="s">
        <v>1756</v>
      </c>
      <c r="D191" s="13">
        <v>66</v>
      </c>
      <c r="E191" s="24" t="s">
        <v>1833</v>
      </c>
      <c r="F191" s="24" t="s">
        <v>1834</v>
      </c>
      <c r="G191" s="13" t="s">
        <v>1538</v>
      </c>
      <c r="H191" s="18">
        <v>8</v>
      </c>
      <c r="I191" s="127">
        <v>1124</v>
      </c>
      <c r="J191" s="69">
        <v>0</v>
      </c>
      <c r="K191" s="18" t="s">
        <v>1513</v>
      </c>
      <c r="L191" s="18">
        <v>0</v>
      </c>
      <c r="M191" s="18" t="s">
        <v>1513</v>
      </c>
      <c r="N191" s="18" t="s">
        <v>1495</v>
      </c>
      <c r="O191" s="13" t="s">
        <v>161</v>
      </c>
      <c r="P191" s="13" t="s">
        <v>162</v>
      </c>
      <c r="Q191" s="19">
        <v>43570</v>
      </c>
      <c r="R191" s="24"/>
    </row>
    <row r="192" spans="1:18" s="12" customFormat="1" ht="19.149999999999999" customHeight="1" x14ac:dyDescent="0.3">
      <c r="A192" s="13">
        <v>191</v>
      </c>
      <c r="B192" s="13" t="s">
        <v>219</v>
      </c>
      <c r="C192" s="13" t="s">
        <v>29</v>
      </c>
      <c r="D192" s="13">
        <v>67</v>
      </c>
      <c r="E192" s="21" t="s">
        <v>561</v>
      </c>
      <c r="F192" s="21" t="s">
        <v>562</v>
      </c>
      <c r="G192" s="13" t="s">
        <v>154</v>
      </c>
      <c r="H192" s="18">
        <v>8</v>
      </c>
      <c r="I192" s="127">
        <v>1144</v>
      </c>
      <c r="J192" s="69">
        <v>0</v>
      </c>
      <c r="K192" s="18" t="s">
        <v>336</v>
      </c>
      <c r="L192" s="18">
        <v>0</v>
      </c>
      <c r="M192" s="18" t="s">
        <v>1513</v>
      </c>
      <c r="N192" s="18" t="s">
        <v>1495</v>
      </c>
      <c r="O192" s="13" t="s">
        <v>159</v>
      </c>
      <c r="P192" s="13" t="s">
        <v>160</v>
      </c>
      <c r="Q192" s="19">
        <v>36651</v>
      </c>
      <c r="R192" s="24"/>
    </row>
    <row r="193" spans="1:18" s="12" customFormat="1" ht="19.149999999999999" customHeight="1" x14ac:dyDescent="0.3">
      <c r="A193" s="29">
        <v>192</v>
      </c>
      <c r="B193" s="13" t="s">
        <v>219</v>
      </c>
      <c r="C193" s="13" t="s">
        <v>29</v>
      </c>
      <c r="D193" s="13">
        <v>67</v>
      </c>
      <c r="E193" s="21" t="s">
        <v>239</v>
      </c>
      <c r="F193" s="21" t="s">
        <v>563</v>
      </c>
      <c r="G193" s="13" t="s">
        <v>154</v>
      </c>
      <c r="H193" s="18">
        <v>7</v>
      </c>
      <c r="I193" s="127">
        <v>859</v>
      </c>
      <c r="J193" s="69">
        <v>2</v>
      </c>
      <c r="K193" s="18" t="s">
        <v>1554</v>
      </c>
      <c r="L193" s="18">
        <v>0</v>
      </c>
      <c r="M193" s="18" t="s">
        <v>1513</v>
      </c>
      <c r="N193" s="18" t="s">
        <v>1495</v>
      </c>
      <c r="O193" s="13" t="s">
        <v>159</v>
      </c>
      <c r="P193" s="13" t="s">
        <v>160</v>
      </c>
      <c r="Q193" s="19">
        <v>43300</v>
      </c>
      <c r="R193" s="24"/>
    </row>
    <row r="194" spans="1:18" s="12" customFormat="1" ht="19.149999999999999" customHeight="1" x14ac:dyDescent="0.3">
      <c r="A194" s="13">
        <v>193</v>
      </c>
      <c r="B194" s="13" t="s">
        <v>557</v>
      </c>
      <c r="C194" s="13" t="s">
        <v>521</v>
      </c>
      <c r="D194" s="13">
        <v>67</v>
      </c>
      <c r="E194" s="21" t="s">
        <v>565</v>
      </c>
      <c r="F194" s="21" t="s">
        <v>566</v>
      </c>
      <c r="G194" s="13" t="s">
        <v>345</v>
      </c>
      <c r="H194" s="18">
        <v>10</v>
      </c>
      <c r="I194" s="127">
        <v>1669</v>
      </c>
      <c r="J194" s="69">
        <v>0</v>
      </c>
      <c r="K194" s="18" t="s">
        <v>336</v>
      </c>
      <c r="L194" s="18">
        <v>0</v>
      </c>
      <c r="M194" s="18" t="s">
        <v>1513</v>
      </c>
      <c r="N194" s="18" t="s">
        <v>1495</v>
      </c>
      <c r="O194" s="13" t="s">
        <v>159</v>
      </c>
      <c r="P194" s="13" t="s">
        <v>160</v>
      </c>
      <c r="Q194" s="19">
        <v>41790</v>
      </c>
      <c r="R194" s="36" t="s">
        <v>567</v>
      </c>
    </row>
    <row r="195" spans="1:18" s="12" customFormat="1" ht="19.149999999999999" customHeight="1" x14ac:dyDescent="0.3">
      <c r="A195" s="29">
        <v>194</v>
      </c>
      <c r="B195" s="13" t="s">
        <v>1828</v>
      </c>
      <c r="C195" s="13" t="s">
        <v>1835</v>
      </c>
      <c r="D195" s="13">
        <v>67</v>
      </c>
      <c r="E195" s="24" t="s">
        <v>1836</v>
      </c>
      <c r="F195" s="24" t="s">
        <v>1837</v>
      </c>
      <c r="G195" s="13" t="s">
        <v>1633</v>
      </c>
      <c r="H195" s="18">
        <v>5</v>
      </c>
      <c r="I195" s="127">
        <v>1016</v>
      </c>
      <c r="J195" s="69">
        <v>0</v>
      </c>
      <c r="K195" s="18" t="s">
        <v>336</v>
      </c>
      <c r="L195" s="18">
        <v>0</v>
      </c>
      <c r="M195" s="18" t="s">
        <v>1513</v>
      </c>
      <c r="N195" s="18" t="s">
        <v>1495</v>
      </c>
      <c r="O195" s="15" t="s">
        <v>155</v>
      </c>
      <c r="P195" s="13" t="s">
        <v>156</v>
      </c>
      <c r="Q195" s="19">
        <v>43707</v>
      </c>
      <c r="R195" s="24"/>
    </row>
    <row r="196" spans="1:18" s="12" customFormat="1" ht="19.149999999999999" customHeight="1" x14ac:dyDescent="0.3">
      <c r="A196" s="13">
        <v>195</v>
      </c>
      <c r="B196" s="13" t="s">
        <v>219</v>
      </c>
      <c r="C196" s="13" t="s">
        <v>29</v>
      </c>
      <c r="D196" s="13">
        <v>67</v>
      </c>
      <c r="E196" s="21" t="s">
        <v>284</v>
      </c>
      <c r="F196" s="32" t="s">
        <v>564</v>
      </c>
      <c r="G196" s="13" t="s">
        <v>154</v>
      </c>
      <c r="H196" s="18">
        <v>8</v>
      </c>
      <c r="I196" s="127">
        <v>1333</v>
      </c>
      <c r="J196" s="69">
        <v>4</v>
      </c>
      <c r="K196" s="18" t="s">
        <v>1838</v>
      </c>
      <c r="L196" s="18">
        <v>0</v>
      </c>
      <c r="M196" s="18" t="s">
        <v>1513</v>
      </c>
      <c r="N196" s="18" t="s">
        <v>1495</v>
      </c>
      <c r="O196" s="13" t="s">
        <v>161</v>
      </c>
      <c r="P196" s="13" t="s">
        <v>162</v>
      </c>
      <c r="Q196" s="19">
        <v>38306</v>
      </c>
      <c r="R196" s="24"/>
    </row>
    <row r="197" spans="1:18" s="12" customFormat="1" ht="19.149999999999999" customHeight="1" x14ac:dyDescent="0.3">
      <c r="A197" s="29">
        <v>196</v>
      </c>
      <c r="B197" s="13" t="s">
        <v>219</v>
      </c>
      <c r="C197" s="13" t="s">
        <v>29</v>
      </c>
      <c r="D197" s="13">
        <v>67</v>
      </c>
      <c r="E197" s="24" t="s">
        <v>1839</v>
      </c>
      <c r="F197" s="24" t="s">
        <v>560</v>
      </c>
      <c r="G197" s="13" t="s">
        <v>154</v>
      </c>
      <c r="H197" s="18">
        <v>6</v>
      </c>
      <c r="I197" s="127">
        <v>970</v>
      </c>
      <c r="J197" s="69">
        <v>1</v>
      </c>
      <c r="K197" s="18" t="s">
        <v>216</v>
      </c>
      <c r="L197" s="18">
        <v>0</v>
      </c>
      <c r="M197" s="18" t="s">
        <v>1513</v>
      </c>
      <c r="N197" s="18" t="s">
        <v>1495</v>
      </c>
      <c r="O197" s="15" t="s">
        <v>155</v>
      </c>
      <c r="P197" s="13" t="s">
        <v>156</v>
      </c>
      <c r="Q197" s="19">
        <v>42516</v>
      </c>
      <c r="R197" s="24"/>
    </row>
    <row r="198" spans="1:18" s="12" customFormat="1" ht="19.149999999999999" customHeight="1" x14ac:dyDescent="0.3">
      <c r="A198" s="13">
        <v>197</v>
      </c>
      <c r="B198" s="13" t="s">
        <v>1828</v>
      </c>
      <c r="C198" s="13" t="s">
        <v>1835</v>
      </c>
      <c r="D198" s="13">
        <v>67</v>
      </c>
      <c r="E198" s="21" t="s">
        <v>1840</v>
      </c>
      <c r="F198" s="21" t="s">
        <v>1841</v>
      </c>
      <c r="G198" s="13" t="s">
        <v>1538</v>
      </c>
      <c r="H198" s="18">
        <v>7</v>
      </c>
      <c r="I198" s="127">
        <v>1067</v>
      </c>
      <c r="J198" s="69">
        <v>2</v>
      </c>
      <c r="K198" s="18" t="s">
        <v>1554</v>
      </c>
      <c r="L198" s="18">
        <v>0</v>
      </c>
      <c r="M198" s="18" t="s">
        <v>1513</v>
      </c>
      <c r="N198" s="18" t="s">
        <v>1495</v>
      </c>
      <c r="O198" s="13" t="s">
        <v>159</v>
      </c>
      <c r="P198" s="13" t="s">
        <v>160</v>
      </c>
      <c r="Q198" s="19">
        <v>43790</v>
      </c>
      <c r="R198" s="24"/>
    </row>
    <row r="199" spans="1:18" s="12" customFormat="1" ht="19.149999999999999" customHeight="1" x14ac:dyDescent="0.3">
      <c r="A199" s="29">
        <v>198</v>
      </c>
      <c r="B199" s="13" t="s">
        <v>219</v>
      </c>
      <c r="C199" s="13" t="s">
        <v>568</v>
      </c>
      <c r="D199" s="13">
        <v>68</v>
      </c>
      <c r="E199" s="24" t="s">
        <v>1842</v>
      </c>
      <c r="F199" s="24" t="s">
        <v>571</v>
      </c>
      <c r="G199" s="13" t="s">
        <v>1538</v>
      </c>
      <c r="H199" s="18">
        <v>5</v>
      </c>
      <c r="I199" s="127">
        <v>923</v>
      </c>
      <c r="J199" s="69">
        <v>0</v>
      </c>
      <c r="K199" s="18" t="s">
        <v>336</v>
      </c>
      <c r="L199" s="18">
        <v>0</v>
      </c>
      <c r="M199" s="18" t="s">
        <v>1513</v>
      </c>
      <c r="N199" s="18" t="s">
        <v>1495</v>
      </c>
      <c r="O199" s="13" t="s">
        <v>161</v>
      </c>
      <c r="P199" s="13" t="s">
        <v>162</v>
      </c>
      <c r="Q199" s="19">
        <v>42079</v>
      </c>
      <c r="R199" s="36" t="s">
        <v>1843</v>
      </c>
    </row>
    <row r="200" spans="1:18" s="12" customFormat="1" ht="19.149999999999999" customHeight="1" x14ac:dyDescent="0.3">
      <c r="A200" s="13">
        <v>199</v>
      </c>
      <c r="B200" s="13" t="s">
        <v>557</v>
      </c>
      <c r="C200" s="13" t="s">
        <v>568</v>
      </c>
      <c r="D200" s="13">
        <v>68</v>
      </c>
      <c r="E200" s="24" t="s">
        <v>1844</v>
      </c>
      <c r="F200" s="24" t="s">
        <v>569</v>
      </c>
      <c r="G200" s="13" t="s">
        <v>444</v>
      </c>
      <c r="H200" s="18">
        <v>5</v>
      </c>
      <c r="I200" s="127">
        <v>968</v>
      </c>
      <c r="J200" s="69">
        <v>0</v>
      </c>
      <c r="K200" s="18" t="s">
        <v>336</v>
      </c>
      <c r="L200" s="18">
        <v>0</v>
      </c>
      <c r="M200" s="18" t="s">
        <v>1513</v>
      </c>
      <c r="N200" s="18" t="s">
        <v>1495</v>
      </c>
      <c r="O200" s="15" t="s">
        <v>155</v>
      </c>
      <c r="P200" s="13" t="s">
        <v>156</v>
      </c>
      <c r="Q200" s="19">
        <v>41948</v>
      </c>
      <c r="R200" s="36" t="s">
        <v>570</v>
      </c>
    </row>
    <row r="201" spans="1:18" s="12" customFormat="1" ht="19.149999999999999" customHeight="1" x14ac:dyDescent="0.3">
      <c r="A201" s="29">
        <v>200</v>
      </c>
      <c r="B201" s="29" t="s">
        <v>1828</v>
      </c>
      <c r="C201" s="29" t="s">
        <v>1845</v>
      </c>
      <c r="D201" s="29">
        <v>68</v>
      </c>
      <c r="E201" s="51" t="s">
        <v>1846</v>
      </c>
      <c r="F201" s="51" t="s">
        <v>1847</v>
      </c>
      <c r="G201" s="29" t="s">
        <v>1538</v>
      </c>
      <c r="H201" s="18">
        <v>7</v>
      </c>
      <c r="I201" s="18">
        <v>976</v>
      </c>
      <c r="J201" s="29">
        <v>7</v>
      </c>
      <c r="K201" s="29" t="s">
        <v>1848</v>
      </c>
      <c r="L201" s="18">
        <v>0</v>
      </c>
      <c r="M201" s="18" t="s">
        <v>1513</v>
      </c>
      <c r="N201" s="18" t="s">
        <v>1495</v>
      </c>
      <c r="O201" s="13" t="s">
        <v>161</v>
      </c>
      <c r="P201" s="13" t="s">
        <v>162</v>
      </c>
      <c r="Q201" s="19">
        <v>44433</v>
      </c>
      <c r="R201" s="29"/>
    </row>
    <row r="202" spans="1:18" s="12" customFormat="1" ht="19.149999999999999" customHeight="1" x14ac:dyDescent="0.3">
      <c r="A202" s="13">
        <v>201</v>
      </c>
      <c r="B202" s="13" t="s">
        <v>1828</v>
      </c>
      <c r="C202" s="13" t="s">
        <v>1849</v>
      </c>
      <c r="D202" s="13">
        <v>68</v>
      </c>
      <c r="E202" s="21" t="s">
        <v>1850</v>
      </c>
      <c r="F202" s="32" t="s">
        <v>1851</v>
      </c>
      <c r="G202" s="13" t="s">
        <v>1538</v>
      </c>
      <c r="H202" s="18">
        <v>7</v>
      </c>
      <c r="I202" s="127">
        <v>1177</v>
      </c>
      <c r="J202" s="69">
        <v>1</v>
      </c>
      <c r="K202" s="18" t="s">
        <v>1852</v>
      </c>
      <c r="L202" s="18">
        <v>0</v>
      </c>
      <c r="M202" s="18" t="s">
        <v>1513</v>
      </c>
      <c r="N202" s="18" t="s">
        <v>1495</v>
      </c>
      <c r="O202" s="13" t="s">
        <v>161</v>
      </c>
      <c r="P202" s="13" t="s">
        <v>162</v>
      </c>
      <c r="Q202" s="19">
        <v>44006</v>
      </c>
      <c r="R202" s="24"/>
    </row>
    <row r="203" spans="1:18" s="12" customFormat="1" ht="19.149999999999999" customHeight="1" x14ac:dyDescent="0.3">
      <c r="A203" s="29">
        <v>202</v>
      </c>
      <c r="B203" s="13" t="s">
        <v>579</v>
      </c>
      <c r="C203" s="13" t="s">
        <v>469</v>
      </c>
      <c r="D203" s="13">
        <v>70</v>
      </c>
      <c r="E203" s="21" t="s">
        <v>580</v>
      </c>
      <c r="F203" s="21" t="s">
        <v>581</v>
      </c>
      <c r="G203" s="13" t="s">
        <v>345</v>
      </c>
      <c r="H203" s="18">
        <v>7</v>
      </c>
      <c r="I203" s="127">
        <v>1123</v>
      </c>
      <c r="J203" s="69">
        <v>0</v>
      </c>
      <c r="K203" s="18" t="s">
        <v>336</v>
      </c>
      <c r="L203" s="18">
        <v>0</v>
      </c>
      <c r="M203" s="18" t="s">
        <v>1513</v>
      </c>
      <c r="N203" s="18" t="s">
        <v>1495</v>
      </c>
      <c r="O203" s="28" t="s">
        <v>159</v>
      </c>
      <c r="P203" s="13" t="s">
        <v>160</v>
      </c>
      <c r="Q203" s="19">
        <v>41718</v>
      </c>
      <c r="R203" s="36" t="s">
        <v>582</v>
      </c>
    </row>
    <row r="204" spans="1:18" s="12" customFormat="1" ht="19.149999999999999" customHeight="1" x14ac:dyDescent="0.3">
      <c r="A204" s="13">
        <v>203</v>
      </c>
      <c r="B204" s="13" t="s">
        <v>220</v>
      </c>
      <c r="C204" s="13" t="s">
        <v>5</v>
      </c>
      <c r="D204" s="13">
        <v>70</v>
      </c>
      <c r="E204" s="21" t="s">
        <v>301</v>
      </c>
      <c r="F204" s="21" t="s">
        <v>578</v>
      </c>
      <c r="G204" s="13" t="s">
        <v>154</v>
      </c>
      <c r="H204" s="18">
        <v>8</v>
      </c>
      <c r="I204" s="127">
        <v>1141</v>
      </c>
      <c r="J204" s="69">
        <v>2</v>
      </c>
      <c r="K204" s="18" t="s">
        <v>1590</v>
      </c>
      <c r="L204" s="18">
        <v>0</v>
      </c>
      <c r="M204" s="18" t="s">
        <v>1513</v>
      </c>
      <c r="N204" s="18" t="s">
        <v>1495</v>
      </c>
      <c r="O204" s="13" t="s">
        <v>161</v>
      </c>
      <c r="P204" s="13" t="s">
        <v>162</v>
      </c>
      <c r="Q204" s="19">
        <v>38344</v>
      </c>
      <c r="R204" s="24"/>
    </row>
    <row r="205" spans="1:18" s="26" customFormat="1" ht="19.149999999999999" customHeight="1" x14ac:dyDescent="0.3">
      <c r="A205" s="29">
        <v>204</v>
      </c>
      <c r="B205" s="13" t="s">
        <v>220</v>
      </c>
      <c r="C205" s="13" t="s">
        <v>33</v>
      </c>
      <c r="D205" s="13">
        <v>71</v>
      </c>
      <c r="E205" s="21" t="s">
        <v>574</v>
      </c>
      <c r="F205" s="21" t="s">
        <v>1214</v>
      </c>
      <c r="G205" s="13" t="s">
        <v>154</v>
      </c>
      <c r="H205" s="18">
        <v>9</v>
      </c>
      <c r="I205" s="127">
        <v>1480</v>
      </c>
      <c r="J205" s="69">
        <v>1</v>
      </c>
      <c r="K205" s="18" t="s">
        <v>1577</v>
      </c>
      <c r="L205" s="18">
        <v>0</v>
      </c>
      <c r="M205" s="18" t="s">
        <v>1513</v>
      </c>
      <c r="N205" s="18" t="s">
        <v>1495</v>
      </c>
      <c r="O205" s="28" t="s">
        <v>159</v>
      </c>
      <c r="P205" s="13" t="s">
        <v>160</v>
      </c>
      <c r="Q205" s="19">
        <v>37127</v>
      </c>
      <c r="R205" s="24"/>
    </row>
    <row r="206" spans="1:18" s="26" customFormat="1" ht="19.149999999999999" customHeight="1" x14ac:dyDescent="0.3">
      <c r="A206" s="13">
        <v>205</v>
      </c>
      <c r="B206" s="13" t="s">
        <v>220</v>
      </c>
      <c r="C206" s="13" t="s">
        <v>33</v>
      </c>
      <c r="D206" s="13">
        <v>71</v>
      </c>
      <c r="E206" s="24" t="s">
        <v>1853</v>
      </c>
      <c r="F206" s="24" t="s">
        <v>1215</v>
      </c>
      <c r="G206" s="13" t="s">
        <v>345</v>
      </c>
      <c r="H206" s="18">
        <v>11</v>
      </c>
      <c r="I206" s="127">
        <v>2487</v>
      </c>
      <c r="J206" s="69">
        <v>4</v>
      </c>
      <c r="K206" s="18" t="s">
        <v>1854</v>
      </c>
      <c r="L206" s="18">
        <v>0</v>
      </c>
      <c r="M206" s="18" t="s">
        <v>1513</v>
      </c>
      <c r="N206" s="18" t="s">
        <v>1495</v>
      </c>
      <c r="O206" s="15" t="s">
        <v>155</v>
      </c>
      <c r="P206" s="13" t="s">
        <v>156</v>
      </c>
      <c r="Q206" s="19">
        <v>41395</v>
      </c>
      <c r="R206" s="37"/>
    </row>
    <row r="207" spans="1:18" s="26" customFormat="1" ht="19.149999999999999" customHeight="1" x14ac:dyDescent="0.3">
      <c r="A207" s="29">
        <v>206</v>
      </c>
      <c r="B207" s="13" t="s">
        <v>1855</v>
      </c>
      <c r="C207" s="13" t="s">
        <v>1856</v>
      </c>
      <c r="D207" s="13">
        <v>72</v>
      </c>
      <c r="E207" s="24" t="s">
        <v>1857</v>
      </c>
      <c r="F207" s="24" t="s">
        <v>1858</v>
      </c>
      <c r="G207" s="13" t="s">
        <v>1553</v>
      </c>
      <c r="H207" s="18">
        <v>6</v>
      </c>
      <c r="I207" s="127">
        <v>412</v>
      </c>
      <c r="J207" s="69">
        <v>0</v>
      </c>
      <c r="K207" s="18" t="s">
        <v>336</v>
      </c>
      <c r="L207" s="18">
        <v>0</v>
      </c>
      <c r="M207" s="18" t="s">
        <v>1513</v>
      </c>
      <c r="N207" s="18" t="s">
        <v>1495</v>
      </c>
      <c r="O207" s="15" t="s">
        <v>155</v>
      </c>
      <c r="P207" s="13" t="s">
        <v>156</v>
      </c>
      <c r="Q207" s="19">
        <v>44574</v>
      </c>
      <c r="R207" s="36"/>
    </row>
    <row r="208" spans="1:18" s="26" customFormat="1" ht="19.149999999999999" customHeight="1" x14ac:dyDescent="0.3">
      <c r="A208" s="13">
        <v>207</v>
      </c>
      <c r="B208" s="13" t="s">
        <v>220</v>
      </c>
      <c r="C208" s="13" t="s">
        <v>30</v>
      </c>
      <c r="D208" s="13">
        <v>72</v>
      </c>
      <c r="E208" s="63" t="s">
        <v>1859</v>
      </c>
      <c r="F208" s="21" t="s">
        <v>1860</v>
      </c>
      <c r="G208" s="13" t="s">
        <v>336</v>
      </c>
      <c r="H208" s="18">
        <v>2</v>
      </c>
      <c r="I208" s="127">
        <v>210</v>
      </c>
      <c r="J208" s="69">
        <v>0</v>
      </c>
      <c r="K208" s="18" t="s">
        <v>1502</v>
      </c>
      <c r="L208" s="18">
        <v>0</v>
      </c>
      <c r="M208" s="18" t="s">
        <v>1513</v>
      </c>
      <c r="N208" s="18" t="s">
        <v>1495</v>
      </c>
      <c r="O208" s="13" t="s">
        <v>1861</v>
      </c>
      <c r="P208" s="29" t="s">
        <v>880</v>
      </c>
      <c r="Q208" s="19" t="s">
        <v>576</v>
      </c>
      <c r="R208" s="36" t="s">
        <v>1862</v>
      </c>
    </row>
    <row r="209" spans="1:18" s="26" customFormat="1" ht="19.149999999999999" customHeight="1" x14ac:dyDescent="0.3">
      <c r="A209" s="29">
        <v>208</v>
      </c>
      <c r="B209" s="13" t="s">
        <v>1855</v>
      </c>
      <c r="C209" s="13" t="s">
        <v>1740</v>
      </c>
      <c r="D209" s="13">
        <v>73</v>
      </c>
      <c r="E209" s="24" t="s">
        <v>1863</v>
      </c>
      <c r="F209" s="24" t="s">
        <v>1864</v>
      </c>
      <c r="G209" s="13" t="s">
        <v>1538</v>
      </c>
      <c r="H209" s="18">
        <v>4</v>
      </c>
      <c r="I209" s="127">
        <v>363</v>
      </c>
      <c r="J209" s="69">
        <v>0</v>
      </c>
      <c r="K209" s="18" t="s">
        <v>336</v>
      </c>
      <c r="L209" s="18">
        <v>0</v>
      </c>
      <c r="M209" s="18" t="s">
        <v>1513</v>
      </c>
      <c r="N209" s="18" t="s">
        <v>1495</v>
      </c>
      <c r="O209" s="15" t="s">
        <v>155</v>
      </c>
      <c r="P209" s="13" t="s">
        <v>156</v>
      </c>
      <c r="Q209" s="19">
        <v>43797</v>
      </c>
      <c r="R209" s="37"/>
    </row>
    <row r="210" spans="1:18" s="26" customFormat="1" ht="19.149999999999999" customHeight="1" x14ac:dyDescent="0.3">
      <c r="A210" s="13">
        <v>209</v>
      </c>
      <c r="B210" s="13" t="s">
        <v>220</v>
      </c>
      <c r="C210" s="13" t="s">
        <v>34</v>
      </c>
      <c r="D210" s="13">
        <v>73</v>
      </c>
      <c r="E210" s="24" t="s">
        <v>1865</v>
      </c>
      <c r="F210" s="24" t="s">
        <v>577</v>
      </c>
      <c r="G210" s="13" t="s">
        <v>154</v>
      </c>
      <c r="H210" s="18">
        <v>7</v>
      </c>
      <c r="I210" s="127">
        <v>1066</v>
      </c>
      <c r="J210" s="69">
        <v>1</v>
      </c>
      <c r="K210" s="18" t="s">
        <v>1631</v>
      </c>
      <c r="L210" s="18">
        <v>0</v>
      </c>
      <c r="M210" s="18" t="s">
        <v>1513</v>
      </c>
      <c r="N210" s="18" t="s">
        <v>1495</v>
      </c>
      <c r="O210" s="15" t="s">
        <v>155</v>
      </c>
      <c r="P210" s="13" t="s">
        <v>156</v>
      </c>
      <c r="Q210" s="19">
        <v>43434</v>
      </c>
      <c r="R210" s="37"/>
    </row>
    <row r="211" spans="1:18" s="26" customFormat="1" ht="19.149999999999999" customHeight="1" x14ac:dyDescent="0.3">
      <c r="A211" s="29">
        <v>210</v>
      </c>
      <c r="B211" s="13" t="s">
        <v>1866</v>
      </c>
      <c r="C211" s="13" t="s">
        <v>1867</v>
      </c>
      <c r="D211" s="13">
        <v>74</v>
      </c>
      <c r="E211" s="24" t="s">
        <v>1868</v>
      </c>
      <c r="F211" s="24" t="s">
        <v>1869</v>
      </c>
      <c r="G211" s="13" t="s">
        <v>1502</v>
      </c>
      <c r="H211" s="18">
        <v>2</v>
      </c>
      <c r="I211" s="127">
        <v>301</v>
      </c>
      <c r="J211" s="69">
        <v>0</v>
      </c>
      <c r="K211" s="18" t="s">
        <v>1502</v>
      </c>
      <c r="L211" s="18">
        <v>0</v>
      </c>
      <c r="M211" s="18" t="s">
        <v>1513</v>
      </c>
      <c r="N211" s="18" t="s">
        <v>1802</v>
      </c>
      <c r="O211" s="15" t="s">
        <v>1870</v>
      </c>
      <c r="P211" s="29" t="s">
        <v>320</v>
      </c>
      <c r="Q211" s="19">
        <v>42285</v>
      </c>
      <c r="R211" s="37" t="s">
        <v>1871</v>
      </c>
    </row>
    <row r="212" spans="1:18" s="12" customFormat="1" ht="19.149999999999999" customHeight="1" x14ac:dyDescent="0.3">
      <c r="A212" s="13">
        <v>211</v>
      </c>
      <c r="B212" s="13" t="s">
        <v>1872</v>
      </c>
      <c r="C212" s="13" t="s">
        <v>1872</v>
      </c>
      <c r="D212" s="13">
        <v>75</v>
      </c>
      <c r="E212" s="24" t="s">
        <v>1873</v>
      </c>
      <c r="F212" s="24" t="s">
        <v>1874</v>
      </c>
      <c r="G212" s="13" t="s">
        <v>1538</v>
      </c>
      <c r="H212" s="18">
        <v>5</v>
      </c>
      <c r="I212" s="127">
        <v>759</v>
      </c>
      <c r="J212" s="69">
        <v>0</v>
      </c>
      <c r="K212" s="18" t="s">
        <v>1513</v>
      </c>
      <c r="L212" s="18">
        <v>0</v>
      </c>
      <c r="M212" s="18" t="s">
        <v>1513</v>
      </c>
      <c r="N212" s="18" t="s">
        <v>1495</v>
      </c>
      <c r="O212" s="13" t="s">
        <v>161</v>
      </c>
      <c r="P212" s="13" t="s">
        <v>162</v>
      </c>
      <c r="Q212" s="19">
        <v>43850</v>
      </c>
      <c r="R212" s="37"/>
    </row>
    <row r="213" spans="1:18" s="26" customFormat="1" ht="19.149999999999999" customHeight="1" x14ac:dyDescent="0.3">
      <c r="A213" s="29">
        <v>212</v>
      </c>
      <c r="B213" s="13" t="s">
        <v>583</v>
      </c>
      <c r="C213" s="13" t="s">
        <v>51</v>
      </c>
      <c r="D213" s="13">
        <v>75</v>
      </c>
      <c r="E213" s="24" t="s">
        <v>1875</v>
      </c>
      <c r="F213" s="24" t="s">
        <v>584</v>
      </c>
      <c r="G213" s="13" t="s">
        <v>154</v>
      </c>
      <c r="H213" s="18">
        <v>7</v>
      </c>
      <c r="I213" s="127">
        <v>1094</v>
      </c>
      <c r="J213" s="69">
        <v>1</v>
      </c>
      <c r="K213" s="18" t="s">
        <v>1631</v>
      </c>
      <c r="L213" s="18">
        <v>0</v>
      </c>
      <c r="M213" s="18" t="s">
        <v>1513</v>
      </c>
      <c r="N213" s="18" t="s">
        <v>1495</v>
      </c>
      <c r="O213" s="15" t="s">
        <v>155</v>
      </c>
      <c r="P213" s="13" t="s">
        <v>156</v>
      </c>
      <c r="Q213" s="19">
        <v>42338</v>
      </c>
      <c r="R213" s="37"/>
    </row>
    <row r="214" spans="1:18" s="27" customFormat="1" ht="19.149999999999999" customHeight="1" x14ac:dyDescent="0.3">
      <c r="A214" s="13">
        <v>213</v>
      </c>
      <c r="B214" s="13" t="s">
        <v>1872</v>
      </c>
      <c r="C214" s="13" t="s">
        <v>1872</v>
      </c>
      <c r="D214" s="13">
        <v>75</v>
      </c>
      <c r="E214" s="24" t="s">
        <v>1876</v>
      </c>
      <c r="F214" s="24" t="s">
        <v>1877</v>
      </c>
      <c r="G214" s="13" t="s">
        <v>1538</v>
      </c>
      <c r="H214" s="18">
        <v>6</v>
      </c>
      <c r="I214" s="127">
        <v>682</v>
      </c>
      <c r="J214" s="69">
        <v>6</v>
      </c>
      <c r="K214" s="18" t="s">
        <v>1878</v>
      </c>
      <c r="L214" s="18">
        <v>0</v>
      </c>
      <c r="M214" s="18" t="s">
        <v>1513</v>
      </c>
      <c r="N214" s="18" t="s">
        <v>1490</v>
      </c>
      <c r="O214" s="13" t="s">
        <v>161</v>
      </c>
      <c r="P214" s="13" t="s">
        <v>162</v>
      </c>
      <c r="Q214" s="19">
        <v>43983</v>
      </c>
      <c r="R214" s="37"/>
    </row>
    <row r="215" spans="1:18" s="12" customFormat="1" ht="19.149999999999999" customHeight="1" x14ac:dyDescent="0.3">
      <c r="A215" s="29">
        <v>214</v>
      </c>
      <c r="B215" s="13" t="s">
        <v>51</v>
      </c>
      <c r="C215" s="13" t="s">
        <v>1879</v>
      </c>
      <c r="D215" s="13">
        <v>75</v>
      </c>
      <c r="E215" s="21" t="s">
        <v>1880</v>
      </c>
      <c r="F215" s="21" t="s">
        <v>585</v>
      </c>
      <c r="G215" s="13" t="s">
        <v>164</v>
      </c>
      <c r="H215" s="18">
        <v>5</v>
      </c>
      <c r="I215" s="127">
        <v>749</v>
      </c>
      <c r="J215" s="69">
        <v>0</v>
      </c>
      <c r="K215" s="18" t="s">
        <v>336</v>
      </c>
      <c r="L215" s="18">
        <v>0</v>
      </c>
      <c r="M215" s="18" t="s">
        <v>1513</v>
      </c>
      <c r="N215" s="18" t="s">
        <v>1495</v>
      </c>
      <c r="O215" s="13" t="s">
        <v>161</v>
      </c>
      <c r="P215" s="13" t="s">
        <v>162</v>
      </c>
      <c r="Q215" s="19">
        <v>40611</v>
      </c>
      <c r="R215" s="63" t="s">
        <v>586</v>
      </c>
    </row>
    <row r="216" spans="1:18" s="12" customFormat="1" ht="19.149999999999999" customHeight="1" x14ac:dyDescent="0.3">
      <c r="A216" s="13">
        <v>215</v>
      </c>
      <c r="B216" s="13" t="s">
        <v>52</v>
      </c>
      <c r="C216" s="13" t="s">
        <v>53</v>
      </c>
      <c r="D216" s="13">
        <v>76</v>
      </c>
      <c r="E216" s="21" t="s">
        <v>294</v>
      </c>
      <c r="F216" s="21" t="s">
        <v>636</v>
      </c>
      <c r="G216" s="13" t="s">
        <v>1553</v>
      </c>
      <c r="H216" s="18">
        <v>5</v>
      </c>
      <c r="I216" s="127">
        <v>1129</v>
      </c>
      <c r="J216" s="69">
        <v>0</v>
      </c>
      <c r="K216" s="18" t="s">
        <v>336</v>
      </c>
      <c r="L216" s="18">
        <v>0</v>
      </c>
      <c r="M216" s="18" t="s">
        <v>1513</v>
      </c>
      <c r="N216" s="18" t="s">
        <v>1495</v>
      </c>
      <c r="O216" s="13" t="s">
        <v>161</v>
      </c>
      <c r="P216" s="13" t="s">
        <v>162</v>
      </c>
      <c r="Q216" s="19">
        <v>37205</v>
      </c>
      <c r="R216" s="16" t="s">
        <v>1881</v>
      </c>
    </row>
    <row r="217" spans="1:18" s="12" customFormat="1" ht="19.149999999999999" customHeight="1" x14ac:dyDescent="0.3">
      <c r="A217" s="29">
        <v>216</v>
      </c>
      <c r="B217" s="13" t="s">
        <v>1882</v>
      </c>
      <c r="C217" s="13" t="s">
        <v>1883</v>
      </c>
      <c r="D217" s="13">
        <v>76</v>
      </c>
      <c r="E217" s="21" t="s">
        <v>1884</v>
      </c>
      <c r="F217" s="21" t="s">
        <v>1885</v>
      </c>
      <c r="G217" s="13" t="s">
        <v>1538</v>
      </c>
      <c r="H217" s="18">
        <v>6</v>
      </c>
      <c r="I217" s="127">
        <v>791</v>
      </c>
      <c r="J217" s="69">
        <v>0</v>
      </c>
      <c r="K217" s="18" t="s">
        <v>1513</v>
      </c>
      <c r="L217" s="18">
        <v>0</v>
      </c>
      <c r="M217" s="18" t="s">
        <v>1513</v>
      </c>
      <c r="N217" s="18" t="s">
        <v>1495</v>
      </c>
      <c r="O217" s="13" t="s">
        <v>1886</v>
      </c>
      <c r="P217" s="13" t="s">
        <v>160</v>
      </c>
      <c r="Q217" s="19">
        <v>43662</v>
      </c>
      <c r="R217" s="16"/>
    </row>
    <row r="218" spans="1:18" s="12" customFormat="1" ht="19.149999999999999" customHeight="1" x14ac:dyDescent="0.3">
      <c r="A218" s="13">
        <v>217</v>
      </c>
      <c r="B218" s="13" t="s">
        <v>608</v>
      </c>
      <c r="C218" s="13" t="s">
        <v>640</v>
      </c>
      <c r="D218" s="13">
        <v>76</v>
      </c>
      <c r="E218" s="21" t="s">
        <v>256</v>
      </c>
      <c r="F218" s="21" t="s">
        <v>643</v>
      </c>
      <c r="G218" s="13" t="s">
        <v>345</v>
      </c>
      <c r="H218" s="18">
        <v>8</v>
      </c>
      <c r="I218" s="127">
        <v>1895</v>
      </c>
      <c r="J218" s="69">
        <v>3</v>
      </c>
      <c r="K218" s="18" t="s">
        <v>1887</v>
      </c>
      <c r="L218" s="18">
        <v>0</v>
      </c>
      <c r="M218" s="18" t="s">
        <v>1513</v>
      </c>
      <c r="N218" s="18" t="s">
        <v>1495</v>
      </c>
      <c r="O218" s="28" t="s">
        <v>159</v>
      </c>
      <c r="P218" s="13" t="s">
        <v>160</v>
      </c>
      <c r="Q218" s="19">
        <v>41960</v>
      </c>
      <c r="R218" s="16"/>
    </row>
    <row r="219" spans="1:18" s="12" customFormat="1" ht="19.149999999999999" customHeight="1" x14ac:dyDescent="0.3">
      <c r="A219" s="29">
        <v>218</v>
      </c>
      <c r="B219" s="13" t="s">
        <v>608</v>
      </c>
      <c r="C219" s="13" t="s">
        <v>53</v>
      </c>
      <c r="D219" s="13">
        <v>76</v>
      </c>
      <c r="E219" s="21" t="s">
        <v>1888</v>
      </c>
      <c r="F219" s="21" t="s">
        <v>1889</v>
      </c>
      <c r="G219" s="13" t="s">
        <v>1553</v>
      </c>
      <c r="H219" s="18">
        <v>5</v>
      </c>
      <c r="I219" s="127">
        <v>459</v>
      </c>
      <c r="J219" s="69">
        <v>5</v>
      </c>
      <c r="K219" s="18" t="s">
        <v>1890</v>
      </c>
      <c r="L219" s="18">
        <v>0</v>
      </c>
      <c r="M219" s="18" t="s">
        <v>1513</v>
      </c>
      <c r="N219" s="18" t="s">
        <v>1495</v>
      </c>
      <c r="O219" s="13" t="s">
        <v>161</v>
      </c>
      <c r="P219" s="13" t="s">
        <v>162</v>
      </c>
      <c r="Q219" s="19">
        <v>44706</v>
      </c>
      <c r="R219" s="16"/>
    </row>
    <row r="220" spans="1:18" s="26" customFormat="1" ht="19.149999999999999" customHeight="1" x14ac:dyDescent="0.3">
      <c r="A220" s="13">
        <v>219</v>
      </c>
      <c r="B220" s="13" t="s">
        <v>1882</v>
      </c>
      <c r="C220" s="13" t="s">
        <v>1883</v>
      </c>
      <c r="D220" s="13">
        <v>76</v>
      </c>
      <c r="E220" s="24" t="s">
        <v>1891</v>
      </c>
      <c r="F220" s="24" t="s">
        <v>1892</v>
      </c>
      <c r="G220" s="13" t="s">
        <v>1538</v>
      </c>
      <c r="H220" s="18">
        <v>6</v>
      </c>
      <c r="I220" s="127">
        <v>1478</v>
      </c>
      <c r="J220" s="69">
        <v>2</v>
      </c>
      <c r="K220" s="18" t="s">
        <v>1893</v>
      </c>
      <c r="L220" s="18">
        <v>0</v>
      </c>
      <c r="M220" s="18" t="s">
        <v>1513</v>
      </c>
      <c r="N220" s="18" t="s">
        <v>1495</v>
      </c>
      <c r="O220" s="15" t="s">
        <v>155</v>
      </c>
      <c r="P220" s="13" t="s">
        <v>156</v>
      </c>
      <c r="Q220" s="19">
        <v>43910</v>
      </c>
      <c r="R220" s="24"/>
    </row>
    <row r="221" spans="1:18" s="26" customFormat="1" ht="19.149999999999999" customHeight="1" x14ac:dyDescent="0.3">
      <c r="A221" s="29">
        <v>220</v>
      </c>
      <c r="B221" s="13" t="s">
        <v>52</v>
      </c>
      <c r="C221" s="13" t="s">
        <v>640</v>
      </c>
      <c r="D221" s="13">
        <v>76</v>
      </c>
      <c r="E221" s="21" t="s">
        <v>641</v>
      </c>
      <c r="F221" s="21" t="s">
        <v>642</v>
      </c>
      <c r="G221" s="13" t="s">
        <v>345</v>
      </c>
      <c r="H221" s="18">
        <v>6</v>
      </c>
      <c r="I221" s="127">
        <v>889</v>
      </c>
      <c r="J221" s="69">
        <v>0</v>
      </c>
      <c r="K221" s="18" t="s">
        <v>336</v>
      </c>
      <c r="L221" s="18">
        <v>0</v>
      </c>
      <c r="M221" s="18" t="s">
        <v>1513</v>
      </c>
      <c r="N221" s="18" t="s">
        <v>1495</v>
      </c>
      <c r="O221" s="28" t="s">
        <v>159</v>
      </c>
      <c r="P221" s="13" t="s">
        <v>160</v>
      </c>
      <c r="Q221" s="19">
        <v>42251</v>
      </c>
      <c r="R221" s="16"/>
    </row>
    <row r="222" spans="1:18" s="26" customFormat="1" ht="19.149999999999999" customHeight="1" x14ac:dyDescent="0.3">
      <c r="A222" s="13">
        <v>221</v>
      </c>
      <c r="B222" s="13" t="s">
        <v>52</v>
      </c>
      <c r="C222" s="13" t="s">
        <v>53</v>
      </c>
      <c r="D222" s="13">
        <v>76</v>
      </c>
      <c r="E222" s="21" t="s">
        <v>300</v>
      </c>
      <c r="F222" s="21" t="s">
        <v>1216</v>
      </c>
      <c r="G222" s="13" t="s">
        <v>154</v>
      </c>
      <c r="H222" s="18">
        <v>11</v>
      </c>
      <c r="I222" s="127">
        <v>1819</v>
      </c>
      <c r="J222" s="69">
        <v>3</v>
      </c>
      <c r="K222" s="18" t="s">
        <v>3213</v>
      </c>
      <c r="L222" s="18">
        <v>0</v>
      </c>
      <c r="M222" s="18" t="s">
        <v>1513</v>
      </c>
      <c r="N222" s="18" t="s">
        <v>1495</v>
      </c>
      <c r="O222" s="13" t="s">
        <v>161</v>
      </c>
      <c r="P222" s="13" t="s">
        <v>162</v>
      </c>
      <c r="Q222" s="19">
        <v>39534</v>
      </c>
      <c r="R222" s="24" t="s">
        <v>1894</v>
      </c>
    </row>
    <row r="223" spans="1:18" s="20" customFormat="1" ht="19.149999999999999" customHeight="1" x14ac:dyDescent="0.3">
      <c r="A223" s="29">
        <v>222</v>
      </c>
      <c r="B223" s="15" t="s">
        <v>52</v>
      </c>
      <c r="C223" s="15" t="s">
        <v>53</v>
      </c>
      <c r="D223" s="13">
        <v>76</v>
      </c>
      <c r="E223" s="16" t="s">
        <v>1895</v>
      </c>
      <c r="F223" s="16" t="s">
        <v>634</v>
      </c>
      <c r="G223" s="15" t="s">
        <v>154</v>
      </c>
      <c r="H223" s="18">
        <v>8</v>
      </c>
      <c r="I223" s="127">
        <v>1268</v>
      </c>
      <c r="J223" s="69">
        <v>0</v>
      </c>
      <c r="K223" s="18" t="s">
        <v>336</v>
      </c>
      <c r="L223" s="18">
        <v>0</v>
      </c>
      <c r="M223" s="18" t="s">
        <v>1513</v>
      </c>
      <c r="N223" s="18" t="s">
        <v>1495</v>
      </c>
      <c r="O223" s="15" t="s">
        <v>155</v>
      </c>
      <c r="P223" s="13" t="s">
        <v>156</v>
      </c>
      <c r="Q223" s="19">
        <v>38981</v>
      </c>
      <c r="R223" s="16"/>
    </row>
    <row r="224" spans="1:18" s="20" customFormat="1" ht="19.149999999999999" customHeight="1" x14ac:dyDescent="0.3">
      <c r="A224" s="13">
        <v>223</v>
      </c>
      <c r="B224" s="13" t="s">
        <v>1882</v>
      </c>
      <c r="C224" s="13" t="s">
        <v>1883</v>
      </c>
      <c r="D224" s="13">
        <v>76</v>
      </c>
      <c r="E224" s="24" t="s">
        <v>1896</v>
      </c>
      <c r="F224" s="24" t="s">
        <v>1897</v>
      </c>
      <c r="G224" s="13" t="s">
        <v>1538</v>
      </c>
      <c r="H224" s="18">
        <v>5</v>
      </c>
      <c r="I224" s="127">
        <v>640</v>
      </c>
      <c r="J224" s="69">
        <v>0</v>
      </c>
      <c r="K224" s="18" t="s">
        <v>1513</v>
      </c>
      <c r="L224" s="18">
        <v>0</v>
      </c>
      <c r="M224" s="18" t="s">
        <v>1513</v>
      </c>
      <c r="N224" s="18" t="s">
        <v>1495</v>
      </c>
      <c r="O224" s="28" t="s">
        <v>159</v>
      </c>
      <c r="P224" s="13" t="s">
        <v>160</v>
      </c>
      <c r="Q224" s="19">
        <v>44000</v>
      </c>
      <c r="R224" s="24"/>
    </row>
    <row r="225" spans="1:18" s="12" customFormat="1" ht="19.149999999999999" customHeight="1" x14ac:dyDescent="0.3">
      <c r="A225" s="29">
        <v>224</v>
      </c>
      <c r="B225" s="15" t="s">
        <v>52</v>
      </c>
      <c r="C225" s="15" t="s">
        <v>53</v>
      </c>
      <c r="D225" s="13">
        <v>76</v>
      </c>
      <c r="E225" s="16" t="s">
        <v>1898</v>
      </c>
      <c r="F225" s="16" t="s">
        <v>1217</v>
      </c>
      <c r="G225" s="15" t="s">
        <v>154</v>
      </c>
      <c r="H225" s="18">
        <v>8</v>
      </c>
      <c r="I225" s="127">
        <v>1251</v>
      </c>
      <c r="J225" s="69">
        <v>2</v>
      </c>
      <c r="K225" s="18" t="s">
        <v>1158</v>
      </c>
      <c r="L225" s="18">
        <v>0</v>
      </c>
      <c r="M225" s="18" t="s">
        <v>1513</v>
      </c>
      <c r="N225" s="18" t="s">
        <v>1495</v>
      </c>
      <c r="O225" s="15" t="s">
        <v>155</v>
      </c>
      <c r="P225" s="13" t="s">
        <v>156</v>
      </c>
      <c r="Q225" s="19">
        <v>38981</v>
      </c>
      <c r="R225" s="16"/>
    </row>
    <row r="226" spans="1:18" s="12" customFormat="1" ht="19.149999999999999" customHeight="1" x14ac:dyDescent="0.3">
      <c r="A226" s="13">
        <v>225</v>
      </c>
      <c r="B226" s="13" t="s">
        <v>52</v>
      </c>
      <c r="C226" s="13" t="s">
        <v>53</v>
      </c>
      <c r="D226" s="13">
        <v>76</v>
      </c>
      <c r="E226" s="24" t="s">
        <v>1899</v>
      </c>
      <c r="F226" s="24" t="s">
        <v>1218</v>
      </c>
      <c r="G226" s="13" t="s">
        <v>154</v>
      </c>
      <c r="H226" s="18">
        <v>8</v>
      </c>
      <c r="I226" s="127">
        <v>2189</v>
      </c>
      <c r="J226" s="69">
        <v>3</v>
      </c>
      <c r="K226" s="18" t="s">
        <v>1269</v>
      </c>
      <c r="L226" s="18">
        <v>0</v>
      </c>
      <c r="M226" s="18" t="s">
        <v>1513</v>
      </c>
      <c r="N226" s="18" t="s">
        <v>1495</v>
      </c>
      <c r="O226" s="15" t="s">
        <v>155</v>
      </c>
      <c r="P226" s="13" t="s">
        <v>156</v>
      </c>
      <c r="Q226" s="19">
        <v>37300</v>
      </c>
      <c r="R226" s="24"/>
    </row>
    <row r="227" spans="1:18" s="12" customFormat="1" ht="19.149999999999999" customHeight="1" x14ac:dyDescent="0.3">
      <c r="A227" s="29">
        <v>226</v>
      </c>
      <c r="B227" s="13" t="s">
        <v>608</v>
      </c>
      <c r="C227" s="13" t="s">
        <v>53</v>
      </c>
      <c r="D227" s="13">
        <v>76</v>
      </c>
      <c r="E227" s="21" t="s">
        <v>637</v>
      </c>
      <c r="F227" s="21" t="s">
        <v>638</v>
      </c>
      <c r="G227" s="13" t="s">
        <v>444</v>
      </c>
      <c r="H227" s="18">
        <v>4</v>
      </c>
      <c r="I227" s="127">
        <v>248</v>
      </c>
      <c r="J227" s="69">
        <v>4</v>
      </c>
      <c r="K227" s="18" t="s">
        <v>1838</v>
      </c>
      <c r="L227" s="18">
        <v>0</v>
      </c>
      <c r="M227" s="18" t="s">
        <v>1513</v>
      </c>
      <c r="N227" s="18" t="s">
        <v>1495</v>
      </c>
      <c r="O227" s="13" t="s">
        <v>161</v>
      </c>
      <c r="P227" s="13" t="s">
        <v>162</v>
      </c>
      <c r="Q227" s="19">
        <v>41629</v>
      </c>
      <c r="R227" s="16"/>
    </row>
    <row r="228" spans="1:18" s="12" customFormat="1" ht="19.149999999999999" customHeight="1" x14ac:dyDescent="0.3">
      <c r="A228" s="13">
        <v>227</v>
      </c>
      <c r="B228" s="13" t="s">
        <v>52</v>
      </c>
      <c r="C228" s="13" t="s">
        <v>631</v>
      </c>
      <c r="D228" s="13">
        <v>81</v>
      </c>
      <c r="E228" s="24" t="s">
        <v>1900</v>
      </c>
      <c r="F228" s="24" t="s">
        <v>632</v>
      </c>
      <c r="G228" s="13" t="s">
        <v>154</v>
      </c>
      <c r="H228" s="18">
        <v>4</v>
      </c>
      <c r="I228" s="127">
        <v>455</v>
      </c>
      <c r="J228" s="69">
        <v>0</v>
      </c>
      <c r="K228" s="18" t="s">
        <v>336</v>
      </c>
      <c r="L228" s="18">
        <v>0</v>
      </c>
      <c r="M228" s="18" t="s">
        <v>1513</v>
      </c>
      <c r="N228" s="18" t="s">
        <v>1495</v>
      </c>
      <c r="O228" s="15" t="s">
        <v>155</v>
      </c>
      <c r="P228" s="13" t="s">
        <v>156</v>
      </c>
      <c r="Q228" s="19">
        <v>41865</v>
      </c>
      <c r="R228" s="24"/>
    </row>
    <row r="229" spans="1:18" s="44" customFormat="1" ht="19.149999999999999" customHeight="1" x14ac:dyDescent="0.3">
      <c r="A229" s="29">
        <v>228</v>
      </c>
      <c r="B229" s="13" t="s">
        <v>52</v>
      </c>
      <c r="C229" s="13" t="s">
        <v>54</v>
      </c>
      <c r="D229" s="13">
        <v>81</v>
      </c>
      <c r="E229" s="24" t="s">
        <v>1901</v>
      </c>
      <c r="F229" s="24" t="s">
        <v>625</v>
      </c>
      <c r="G229" s="13" t="s">
        <v>154</v>
      </c>
      <c r="H229" s="18">
        <v>8</v>
      </c>
      <c r="I229" s="127">
        <v>1326</v>
      </c>
      <c r="J229" s="69">
        <v>0</v>
      </c>
      <c r="K229" s="18" t="s">
        <v>336</v>
      </c>
      <c r="L229" s="18">
        <v>0</v>
      </c>
      <c r="M229" s="18" t="s">
        <v>1513</v>
      </c>
      <c r="N229" s="18" t="s">
        <v>1495</v>
      </c>
      <c r="O229" s="15" t="s">
        <v>155</v>
      </c>
      <c r="P229" s="13" t="s">
        <v>156</v>
      </c>
      <c r="Q229" s="19">
        <v>36617</v>
      </c>
      <c r="R229" s="24"/>
    </row>
    <row r="230" spans="1:18" s="126" customFormat="1" ht="19.149999999999999" customHeight="1" x14ac:dyDescent="0.3">
      <c r="A230" s="13">
        <v>229</v>
      </c>
      <c r="B230" s="13" t="s">
        <v>52</v>
      </c>
      <c r="C230" s="13" t="s">
        <v>54</v>
      </c>
      <c r="D230" s="13">
        <v>81</v>
      </c>
      <c r="E230" s="24" t="s">
        <v>1902</v>
      </c>
      <c r="F230" s="24" t="s">
        <v>626</v>
      </c>
      <c r="G230" s="13" t="s">
        <v>154</v>
      </c>
      <c r="H230" s="18">
        <v>7</v>
      </c>
      <c r="I230" s="127">
        <v>1282</v>
      </c>
      <c r="J230" s="69">
        <v>4</v>
      </c>
      <c r="K230" s="18" t="s">
        <v>1903</v>
      </c>
      <c r="L230" s="18">
        <v>0</v>
      </c>
      <c r="M230" s="18" t="s">
        <v>1513</v>
      </c>
      <c r="N230" s="18" t="s">
        <v>1495</v>
      </c>
      <c r="O230" s="15" t="s">
        <v>155</v>
      </c>
      <c r="P230" s="13" t="s">
        <v>156</v>
      </c>
      <c r="Q230" s="19">
        <v>42236</v>
      </c>
      <c r="R230" s="24" t="s">
        <v>1904</v>
      </c>
    </row>
    <row r="231" spans="1:18" s="126" customFormat="1" ht="19.149999999999999" customHeight="1" x14ac:dyDescent="0.3">
      <c r="A231" s="29">
        <v>230</v>
      </c>
      <c r="B231" s="13" t="s">
        <v>52</v>
      </c>
      <c r="C231" s="13" t="s">
        <v>54</v>
      </c>
      <c r="D231" s="13">
        <v>81</v>
      </c>
      <c r="E231" s="21" t="s">
        <v>290</v>
      </c>
      <c r="F231" s="21" t="s">
        <v>630</v>
      </c>
      <c r="G231" s="13" t="s">
        <v>154</v>
      </c>
      <c r="H231" s="18">
        <v>6</v>
      </c>
      <c r="I231" s="127">
        <v>785</v>
      </c>
      <c r="J231" s="69">
        <v>1</v>
      </c>
      <c r="K231" s="18" t="s">
        <v>291</v>
      </c>
      <c r="L231" s="18">
        <v>0</v>
      </c>
      <c r="M231" s="18" t="s">
        <v>1513</v>
      </c>
      <c r="N231" s="18" t="s">
        <v>1495</v>
      </c>
      <c r="O231" s="13" t="s">
        <v>161</v>
      </c>
      <c r="P231" s="13" t="s">
        <v>162</v>
      </c>
      <c r="Q231" s="19">
        <v>37100</v>
      </c>
      <c r="R231" s="36" t="s">
        <v>1905</v>
      </c>
    </row>
    <row r="232" spans="1:18" s="126" customFormat="1" ht="19.149999999999999" customHeight="1" x14ac:dyDescent="0.3">
      <c r="A232" s="13">
        <v>231</v>
      </c>
      <c r="B232" s="13" t="s">
        <v>52</v>
      </c>
      <c r="C232" s="13" t="s">
        <v>54</v>
      </c>
      <c r="D232" s="13">
        <v>81</v>
      </c>
      <c r="E232" s="21" t="s">
        <v>251</v>
      </c>
      <c r="F232" s="21" t="s">
        <v>628</v>
      </c>
      <c r="G232" s="13" t="s">
        <v>154</v>
      </c>
      <c r="H232" s="18">
        <v>9</v>
      </c>
      <c r="I232" s="127">
        <v>1234</v>
      </c>
      <c r="J232" s="69">
        <v>2</v>
      </c>
      <c r="K232" s="18" t="s">
        <v>1554</v>
      </c>
      <c r="L232" s="18">
        <v>0</v>
      </c>
      <c r="M232" s="18" t="s">
        <v>1513</v>
      </c>
      <c r="N232" s="18" t="s">
        <v>1495</v>
      </c>
      <c r="O232" s="28" t="s">
        <v>159</v>
      </c>
      <c r="P232" s="13" t="s">
        <v>160</v>
      </c>
      <c r="Q232" s="19">
        <v>43461</v>
      </c>
      <c r="R232" s="16"/>
    </row>
    <row r="233" spans="1:18" s="25" customFormat="1" ht="19.149999999999999" customHeight="1" x14ac:dyDescent="0.25">
      <c r="A233" s="29">
        <v>232</v>
      </c>
      <c r="B233" s="13" t="s">
        <v>52</v>
      </c>
      <c r="C233" s="13" t="s">
        <v>54</v>
      </c>
      <c r="D233" s="13">
        <v>81</v>
      </c>
      <c r="E233" s="21" t="s">
        <v>265</v>
      </c>
      <c r="F233" s="21" t="s">
        <v>629</v>
      </c>
      <c r="G233" s="13" t="s">
        <v>154</v>
      </c>
      <c r="H233" s="18">
        <v>7</v>
      </c>
      <c r="I233" s="127">
        <v>1001</v>
      </c>
      <c r="J233" s="69">
        <v>0</v>
      </c>
      <c r="K233" s="18" t="s">
        <v>336</v>
      </c>
      <c r="L233" s="18">
        <v>0</v>
      </c>
      <c r="M233" s="18" t="s">
        <v>1513</v>
      </c>
      <c r="N233" s="18" t="s">
        <v>1495</v>
      </c>
      <c r="O233" s="28" t="s">
        <v>159</v>
      </c>
      <c r="P233" s="13" t="s">
        <v>160</v>
      </c>
      <c r="Q233" s="19">
        <v>42979</v>
      </c>
      <c r="R233" s="16"/>
    </row>
    <row r="234" spans="1:18" s="26" customFormat="1" ht="19.149999999999999" customHeight="1" x14ac:dyDescent="0.3">
      <c r="A234" s="13">
        <v>233</v>
      </c>
      <c r="B234" s="13" t="s">
        <v>52</v>
      </c>
      <c r="C234" s="13" t="s">
        <v>54</v>
      </c>
      <c r="D234" s="13">
        <v>81</v>
      </c>
      <c r="E234" s="21" t="s">
        <v>1906</v>
      </c>
      <c r="F234" s="21" t="s">
        <v>627</v>
      </c>
      <c r="G234" s="13" t="s">
        <v>164</v>
      </c>
      <c r="H234" s="18">
        <v>6</v>
      </c>
      <c r="I234" s="127">
        <v>714</v>
      </c>
      <c r="J234" s="69">
        <v>0</v>
      </c>
      <c r="K234" s="18" t="s">
        <v>336</v>
      </c>
      <c r="L234" s="18">
        <v>0</v>
      </c>
      <c r="M234" s="18" t="s">
        <v>1513</v>
      </c>
      <c r="N234" s="18" t="s">
        <v>1495</v>
      </c>
      <c r="O234" s="15" t="s">
        <v>155</v>
      </c>
      <c r="P234" s="13" t="s">
        <v>156</v>
      </c>
      <c r="Q234" s="19">
        <v>38715</v>
      </c>
      <c r="R234" s="36" t="s">
        <v>1907</v>
      </c>
    </row>
    <row r="235" spans="1:18" s="12" customFormat="1" ht="19.149999999999999" customHeight="1" x14ac:dyDescent="0.3">
      <c r="A235" s="29">
        <v>234</v>
      </c>
      <c r="B235" s="29" t="s">
        <v>1882</v>
      </c>
      <c r="C235" s="29" t="s">
        <v>1908</v>
      </c>
      <c r="D235" s="29">
        <v>82</v>
      </c>
      <c r="E235" s="51" t="s">
        <v>1909</v>
      </c>
      <c r="F235" s="51" t="s">
        <v>1910</v>
      </c>
      <c r="G235" s="29" t="s">
        <v>1538</v>
      </c>
      <c r="H235" s="18">
        <v>7</v>
      </c>
      <c r="I235" s="18">
        <v>1087</v>
      </c>
      <c r="J235" s="69">
        <v>2</v>
      </c>
      <c r="K235" s="29" t="s">
        <v>1554</v>
      </c>
      <c r="L235" s="18">
        <v>0</v>
      </c>
      <c r="M235" s="18" t="s">
        <v>1513</v>
      </c>
      <c r="N235" s="18" t="s">
        <v>1495</v>
      </c>
      <c r="O235" s="13" t="s">
        <v>159</v>
      </c>
      <c r="P235" s="13" t="s">
        <v>160</v>
      </c>
      <c r="Q235" s="19">
        <v>44359</v>
      </c>
      <c r="R235" s="29"/>
    </row>
    <row r="236" spans="1:18" s="26" customFormat="1" ht="19.149999999999999" customHeight="1" x14ac:dyDescent="0.3">
      <c r="A236" s="13">
        <v>235</v>
      </c>
      <c r="B236" s="15" t="s">
        <v>52</v>
      </c>
      <c r="C236" s="15" t="s">
        <v>55</v>
      </c>
      <c r="D236" s="13">
        <v>85</v>
      </c>
      <c r="E236" s="16" t="s">
        <v>266</v>
      </c>
      <c r="F236" s="14" t="s">
        <v>683</v>
      </c>
      <c r="G236" s="15" t="s">
        <v>154</v>
      </c>
      <c r="H236" s="18">
        <v>7</v>
      </c>
      <c r="I236" s="127">
        <v>902</v>
      </c>
      <c r="J236" s="69">
        <v>0</v>
      </c>
      <c r="K236" s="18" t="s">
        <v>336</v>
      </c>
      <c r="L236" s="18">
        <v>0</v>
      </c>
      <c r="M236" s="18" t="s">
        <v>1513</v>
      </c>
      <c r="N236" s="18" t="s">
        <v>1495</v>
      </c>
      <c r="O236" s="13" t="s">
        <v>159</v>
      </c>
      <c r="P236" s="13" t="s">
        <v>160</v>
      </c>
      <c r="Q236" s="19">
        <v>42601</v>
      </c>
      <c r="R236" s="16"/>
    </row>
    <row r="237" spans="1:18" s="27" customFormat="1" ht="19.149999999999999" customHeight="1" x14ac:dyDescent="0.3">
      <c r="A237" s="29">
        <v>236</v>
      </c>
      <c r="B237" s="13" t="s">
        <v>52</v>
      </c>
      <c r="C237" s="13" t="s">
        <v>55</v>
      </c>
      <c r="D237" s="13">
        <v>85</v>
      </c>
      <c r="E237" s="24" t="s">
        <v>1911</v>
      </c>
      <c r="F237" s="24" t="s">
        <v>682</v>
      </c>
      <c r="G237" s="13" t="s">
        <v>154</v>
      </c>
      <c r="H237" s="18">
        <v>9</v>
      </c>
      <c r="I237" s="127">
        <v>1362</v>
      </c>
      <c r="J237" s="69">
        <v>0</v>
      </c>
      <c r="K237" s="18" t="s">
        <v>336</v>
      </c>
      <c r="L237" s="18">
        <v>0</v>
      </c>
      <c r="M237" s="18" t="s">
        <v>1513</v>
      </c>
      <c r="N237" s="18" t="s">
        <v>1495</v>
      </c>
      <c r="O237" s="15" t="s">
        <v>155</v>
      </c>
      <c r="P237" s="13" t="s">
        <v>156</v>
      </c>
      <c r="Q237" s="19">
        <v>41662</v>
      </c>
      <c r="R237" s="16"/>
    </row>
    <row r="238" spans="1:18" s="26" customFormat="1" ht="19.149999999999999" customHeight="1" x14ac:dyDescent="0.3">
      <c r="A238" s="13">
        <v>237</v>
      </c>
      <c r="B238" s="15" t="s">
        <v>52</v>
      </c>
      <c r="C238" s="15" t="s">
        <v>55</v>
      </c>
      <c r="D238" s="13">
        <v>85</v>
      </c>
      <c r="E238" s="16" t="s">
        <v>684</v>
      </c>
      <c r="F238" s="16" t="s">
        <v>685</v>
      </c>
      <c r="G238" s="15" t="s">
        <v>154</v>
      </c>
      <c r="H238" s="18">
        <v>6</v>
      </c>
      <c r="I238" s="127">
        <v>1098</v>
      </c>
      <c r="J238" s="69">
        <v>0</v>
      </c>
      <c r="K238" s="18" t="s">
        <v>336</v>
      </c>
      <c r="L238" s="18">
        <v>0</v>
      </c>
      <c r="M238" s="18" t="s">
        <v>1513</v>
      </c>
      <c r="N238" s="18" t="s">
        <v>1495</v>
      </c>
      <c r="O238" s="15" t="s">
        <v>1912</v>
      </c>
      <c r="P238" s="13" t="s">
        <v>162</v>
      </c>
      <c r="Q238" s="19">
        <v>42505</v>
      </c>
      <c r="R238" s="16"/>
    </row>
    <row r="239" spans="1:18" s="26" customFormat="1" ht="19.149999999999999" customHeight="1" x14ac:dyDescent="0.3">
      <c r="A239" s="29">
        <v>238</v>
      </c>
      <c r="B239" s="13" t="s">
        <v>52</v>
      </c>
      <c r="C239" s="13" t="s">
        <v>55</v>
      </c>
      <c r="D239" s="13">
        <v>85</v>
      </c>
      <c r="E239" s="24" t="s">
        <v>1913</v>
      </c>
      <c r="F239" s="24" t="s">
        <v>1220</v>
      </c>
      <c r="G239" s="13" t="s">
        <v>154</v>
      </c>
      <c r="H239" s="18">
        <v>8</v>
      </c>
      <c r="I239" s="127">
        <v>1523</v>
      </c>
      <c r="J239" s="69">
        <v>2</v>
      </c>
      <c r="K239" s="18" t="s">
        <v>770</v>
      </c>
      <c r="L239" s="18">
        <v>0</v>
      </c>
      <c r="M239" s="18" t="s">
        <v>1513</v>
      </c>
      <c r="N239" s="18" t="s">
        <v>1495</v>
      </c>
      <c r="O239" s="15" t="s">
        <v>155</v>
      </c>
      <c r="P239" s="13" t="s">
        <v>156</v>
      </c>
      <c r="Q239" s="19">
        <v>41019</v>
      </c>
      <c r="R239" s="16"/>
    </row>
    <row r="240" spans="1:18" s="26" customFormat="1" ht="19.149999999999999" customHeight="1" x14ac:dyDescent="0.3">
      <c r="A240" s="13">
        <v>239</v>
      </c>
      <c r="B240" s="13" t="s">
        <v>52</v>
      </c>
      <c r="C240" s="13" t="s">
        <v>56</v>
      </c>
      <c r="D240" s="13">
        <v>86</v>
      </c>
      <c r="E240" s="16" t="s">
        <v>1914</v>
      </c>
      <c r="F240" s="24" t="s">
        <v>661</v>
      </c>
      <c r="G240" s="13" t="s">
        <v>154</v>
      </c>
      <c r="H240" s="18">
        <v>10</v>
      </c>
      <c r="I240" s="127">
        <v>1391</v>
      </c>
      <c r="J240" s="69">
        <v>0</v>
      </c>
      <c r="K240" s="18" t="s">
        <v>1513</v>
      </c>
      <c r="L240" s="18">
        <v>0</v>
      </c>
      <c r="M240" s="18" t="s">
        <v>3138</v>
      </c>
      <c r="N240" s="18" t="s">
        <v>1495</v>
      </c>
      <c r="O240" s="15" t="s">
        <v>155</v>
      </c>
      <c r="P240" s="13" t="s">
        <v>156</v>
      </c>
      <c r="Q240" s="19">
        <v>40380</v>
      </c>
      <c r="R240" s="30" t="s">
        <v>3140</v>
      </c>
    </row>
    <row r="241" spans="1:18" s="26" customFormat="1" ht="19.149999999999999" customHeight="1" x14ac:dyDescent="0.3">
      <c r="A241" s="29">
        <v>240</v>
      </c>
      <c r="B241" s="13" t="s">
        <v>608</v>
      </c>
      <c r="C241" s="13" t="s">
        <v>667</v>
      </c>
      <c r="D241" s="13">
        <v>86</v>
      </c>
      <c r="E241" s="24" t="s">
        <v>1915</v>
      </c>
      <c r="F241" s="24" t="s">
        <v>668</v>
      </c>
      <c r="G241" s="13" t="s">
        <v>444</v>
      </c>
      <c r="H241" s="18">
        <v>6</v>
      </c>
      <c r="I241" s="127">
        <v>490</v>
      </c>
      <c r="J241" s="69">
        <v>0</v>
      </c>
      <c r="K241" s="18" t="s">
        <v>336</v>
      </c>
      <c r="L241" s="18">
        <v>0</v>
      </c>
      <c r="M241" s="18" t="s">
        <v>1513</v>
      </c>
      <c r="N241" s="18" t="s">
        <v>1495</v>
      </c>
      <c r="O241" s="15" t="s">
        <v>155</v>
      </c>
      <c r="P241" s="13" t="s">
        <v>156</v>
      </c>
      <c r="Q241" s="19">
        <v>41410</v>
      </c>
      <c r="R241" s="123" t="s">
        <v>669</v>
      </c>
    </row>
    <row r="242" spans="1:18" s="26" customFormat="1" ht="19.149999999999999" customHeight="1" x14ac:dyDescent="0.3">
      <c r="A242" s="13">
        <v>241</v>
      </c>
      <c r="B242" s="13" t="s">
        <v>52</v>
      </c>
      <c r="C242" s="13" t="s">
        <v>56</v>
      </c>
      <c r="D242" s="13">
        <v>86</v>
      </c>
      <c r="E242" s="21" t="s">
        <v>665</v>
      </c>
      <c r="F242" s="21" t="s">
        <v>1221</v>
      </c>
      <c r="G242" s="13" t="s">
        <v>154</v>
      </c>
      <c r="H242" s="18">
        <v>8</v>
      </c>
      <c r="I242" s="127">
        <v>1522</v>
      </c>
      <c r="J242" s="69">
        <v>2</v>
      </c>
      <c r="K242" s="18" t="s">
        <v>1637</v>
      </c>
      <c r="L242" s="18">
        <v>0</v>
      </c>
      <c r="M242" s="18" t="s">
        <v>1513</v>
      </c>
      <c r="N242" s="18" t="s">
        <v>1495</v>
      </c>
      <c r="O242" s="28" t="s">
        <v>159</v>
      </c>
      <c r="P242" s="13" t="s">
        <v>160</v>
      </c>
      <c r="Q242" s="19">
        <v>40997</v>
      </c>
      <c r="R242" s="16"/>
    </row>
    <row r="243" spans="1:18" s="12" customFormat="1" ht="19.149999999999999" customHeight="1" x14ac:dyDescent="0.3">
      <c r="A243" s="29">
        <v>242</v>
      </c>
      <c r="B243" s="13" t="s">
        <v>608</v>
      </c>
      <c r="C243" s="13" t="s">
        <v>667</v>
      </c>
      <c r="D243" s="13">
        <v>86</v>
      </c>
      <c r="E243" s="21" t="s">
        <v>670</v>
      </c>
      <c r="F243" s="21" t="s">
        <v>671</v>
      </c>
      <c r="G243" s="13" t="s">
        <v>1553</v>
      </c>
      <c r="H243" s="18">
        <v>6</v>
      </c>
      <c r="I243" s="127">
        <v>916</v>
      </c>
      <c r="J243" s="69">
        <v>0</v>
      </c>
      <c r="K243" s="18" t="s">
        <v>336</v>
      </c>
      <c r="L243" s="18">
        <v>0</v>
      </c>
      <c r="M243" s="18" t="s">
        <v>1513</v>
      </c>
      <c r="N243" s="18" t="s">
        <v>1495</v>
      </c>
      <c r="O243" s="13" t="s">
        <v>159</v>
      </c>
      <c r="P243" s="13" t="s">
        <v>160</v>
      </c>
      <c r="Q243" s="19">
        <v>41565</v>
      </c>
      <c r="R243" s="36" t="s">
        <v>1916</v>
      </c>
    </row>
    <row r="244" spans="1:18" s="12" customFormat="1" ht="19.149999999999999" customHeight="1" x14ac:dyDescent="0.3">
      <c r="A244" s="13">
        <v>243</v>
      </c>
      <c r="B244" s="13" t="s">
        <v>52</v>
      </c>
      <c r="C244" s="13" t="s">
        <v>56</v>
      </c>
      <c r="D244" s="13">
        <v>86</v>
      </c>
      <c r="E244" s="21" t="s">
        <v>259</v>
      </c>
      <c r="F244" s="21" t="s">
        <v>662</v>
      </c>
      <c r="G244" s="13" t="s">
        <v>154</v>
      </c>
      <c r="H244" s="18">
        <v>7</v>
      </c>
      <c r="I244" s="127">
        <v>1114</v>
      </c>
      <c r="J244" s="69">
        <v>0</v>
      </c>
      <c r="K244" s="18" t="s">
        <v>1513</v>
      </c>
      <c r="L244" s="18">
        <v>0</v>
      </c>
      <c r="M244" s="18" t="s">
        <v>1513</v>
      </c>
      <c r="N244" s="18" t="s">
        <v>1495</v>
      </c>
      <c r="O244" s="13" t="s">
        <v>159</v>
      </c>
      <c r="P244" s="13" t="s">
        <v>160</v>
      </c>
      <c r="Q244" s="19">
        <v>37386</v>
      </c>
      <c r="R244" s="24"/>
    </row>
    <row r="245" spans="1:18" s="26" customFormat="1" ht="19.149999999999999" customHeight="1" x14ac:dyDescent="0.3">
      <c r="A245" s="29">
        <v>244</v>
      </c>
      <c r="B245" s="13" t="s">
        <v>52</v>
      </c>
      <c r="C245" s="13" t="s">
        <v>56</v>
      </c>
      <c r="D245" s="13">
        <v>86</v>
      </c>
      <c r="E245" s="21" t="s">
        <v>260</v>
      </c>
      <c r="F245" s="21" t="s">
        <v>663</v>
      </c>
      <c r="G245" s="13" t="s">
        <v>154</v>
      </c>
      <c r="H245" s="18">
        <v>8</v>
      </c>
      <c r="I245" s="127">
        <v>858</v>
      </c>
      <c r="J245" s="69">
        <v>0</v>
      </c>
      <c r="K245" s="18" t="s">
        <v>336</v>
      </c>
      <c r="L245" s="18">
        <v>0</v>
      </c>
      <c r="M245" s="18" t="s">
        <v>1513</v>
      </c>
      <c r="N245" s="18" t="s">
        <v>1495</v>
      </c>
      <c r="O245" s="13" t="s">
        <v>159</v>
      </c>
      <c r="P245" s="13" t="s">
        <v>160</v>
      </c>
      <c r="Q245" s="19">
        <v>42493</v>
      </c>
      <c r="R245" s="36" t="s">
        <v>664</v>
      </c>
    </row>
    <row r="246" spans="1:18" s="26" customFormat="1" ht="19.149999999999999" customHeight="1" x14ac:dyDescent="0.3">
      <c r="A246" s="13">
        <v>245</v>
      </c>
      <c r="B246" s="13" t="s">
        <v>52</v>
      </c>
      <c r="C246" s="13" t="s">
        <v>57</v>
      </c>
      <c r="D246" s="13">
        <v>89</v>
      </c>
      <c r="E246" s="24" t="s">
        <v>1917</v>
      </c>
      <c r="F246" s="24" t="s">
        <v>1918</v>
      </c>
      <c r="G246" s="13" t="s">
        <v>1553</v>
      </c>
      <c r="H246" s="18">
        <v>6</v>
      </c>
      <c r="I246" s="127">
        <v>451</v>
      </c>
      <c r="J246" s="69">
        <v>0</v>
      </c>
      <c r="K246" s="18" t="s">
        <v>1513</v>
      </c>
      <c r="L246" s="18">
        <v>0</v>
      </c>
      <c r="M246" s="18" t="s">
        <v>1513</v>
      </c>
      <c r="N246" s="18" t="s">
        <v>1495</v>
      </c>
      <c r="O246" s="15" t="s">
        <v>155</v>
      </c>
      <c r="P246" s="13" t="s">
        <v>156</v>
      </c>
      <c r="Q246" s="19">
        <v>38714</v>
      </c>
      <c r="R246" s="24"/>
    </row>
    <row r="247" spans="1:18" s="26" customFormat="1" ht="19.149999999999999" customHeight="1" x14ac:dyDescent="0.3">
      <c r="A247" s="29">
        <v>246</v>
      </c>
      <c r="B247" s="13" t="s">
        <v>1919</v>
      </c>
      <c r="C247" s="13" t="s">
        <v>1920</v>
      </c>
      <c r="D247" s="13">
        <v>89</v>
      </c>
      <c r="E247" s="24" t="s">
        <v>1921</v>
      </c>
      <c r="F247" s="24" t="s">
        <v>1922</v>
      </c>
      <c r="G247" s="13" t="s">
        <v>1502</v>
      </c>
      <c r="H247" s="18">
        <v>1</v>
      </c>
      <c r="I247" s="127">
        <v>386</v>
      </c>
      <c r="J247" s="69">
        <v>0</v>
      </c>
      <c r="K247" s="18" t="s">
        <v>1502</v>
      </c>
      <c r="L247" s="18">
        <v>0</v>
      </c>
      <c r="M247" s="18" t="s">
        <v>1513</v>
      </c>
      <c r="N247" s="18" t="s">
        <v>1495</v>
      </c>
      <c r="O247" s="13" t="s">
        <v>1923</v>
      </c>
      <c r="P247" s="29" t="s">
        <v>1924</v>
      </c>
      <c r="Q247" s="19">
        <v>40038</v>
      </c>
      <c r="R247" s="24"/>
    </row>
    <row r="248" spans="1:18" s="26" customFormat="1" ht="19.149999999999999" customHeight="1" x14ac:dyDescent="0.3">
      <c r="A248" s="13">
        <v>247</v>
      </c>
      <c r="B248" s="13" t="s">
        <v>52</v>
      </c>
      <c r="C248" s="13" t="s">
        <v>57</v>
      </c>
      <c r="D248" s="13">
        <v>89</v>
      </c>
      <c r="E248" s="24" t="s">
        <v>1925</v>
      </c>
      <c r="F248" s="24" t="s">
        <v>1223</v>
      </c>
      <c r="G248" s="13" t="s">
        <v>154</v>
      </c>
      <c r="H248" s="18">
        <v>8</v>
      </c>
      <c r="I248" s="127">
        <v>1326</v>
      </c>
      <c r="J248" s="69">
        <v>3</v>
      </c>
      <c r="K248" s="18" t="s">
        <v>1271</v>
      </c>
      <c r="L248" s="18">
        <v>0</v>
      </c>
      <c r="M248" s="18" t="s">
        <v>1513</v>
      </c>
      <c r="N248" s="18" t="s">
        <v>1495</v>
      </c>
      <c r="O248" s="15" t="s">
        <v>155</v>
      </c>
      <c r="P248" s="13" t="s">
        <v>156</v>
      </c>
      <c r="Q248" s="19">
        <v>37855</v>
      </c>
      <c r="R248" s="24"/>
    </row>
    <row r="249" spans="1:18" s="26" customFormat="1" ht="19.149999999999999" customHeight="1" x14ac:dyDescent="0.3">
      <c r="A249" s="29">
        <v>248</v>
      </c>
      <c r="B249" s="13" t="s">
        <v>1919</v>
      </c>
      <c r="C249" s="13" t="s">
        <v>1920</v>
      </c>
      <c r="D249" s="13">
        <v>89</v>
      </c>
      <c r="E249" s="21" t="s">
        <v>1926</v>
      </c>
      <c r="F249" s="24" t="s">
        <v>1927</v>
      </c>
      <c r="G249" s="13" t="s">
        <v>1502</v>
      </c>
      <c r="H249" s="18">
        <v>1</v>
      </c>
      <c r="I249" s="127">
        <v>70</v>
      </c>
      <c r="J249" s="69">
        <v>0</v>
      </c>
      <c r="K249" s="18" t="s">
        <v>1502</v>
      </c>
      <c r="L249" s="18">
        <v>1</v>
      </c>
      <c r="M249" s="18" t="s">
        <v>1508</v>
      </c>
      <c r="N249" s="18" t="s">
        <v>1495</v>
      </c>
      <c r="O249" s="47" t="s">
        <v>1928</v>
      </c>
      <c r="P249" s="29" t="s">
        <v>1929</v>
      </c>
      <c r="Q249" s="19">
        <v>43451</v>
      </c>
      <c r="R249" s="24"/>
    </row>
    <row r="250" spans="1:18" s="26" customFormat="1" ht="19.149999999999999" customHeight="1" x14ac:dyDescent="0.3">
      <c r="A250" s="13">
        <v>249</v>
      </c>
      <c r="B250" s="15" t="s">
        <v>52</v>
      </c>
      <c r="C250" s="15" t="s">
        <v>57</v>
      </c>
      <c r="D250" s="13">
        <v>89</v>
      </c>
      <c r="E250" s="16" t="s">
        <v>245</v>
      </c>
      <c r="F250" s="14" t="s">
        <v>1930</v>
      </c>
      <c r="G250" s="15" t="s">
        <v>154</v>
      </c>
      <c r="H250" s="18">
        <v>8</v>
      </c>
      <c r="I250" s="127">
        <v>1297</v>
      </c>
      <c r="J250" s="69">
        <v>0</v>
      </c>
      <c r="K250" s="18" t="s">
        <v>336</v>
      </c>
      <c r="L250" s="18">
        <v>0</v>
      </c>
      <c r="M250" s="18" t="s">
        <v>1513</v>
      </c>
      <c r="N250" s="18" t="s">
        <v>1495</v>
      </c>
      <c r="O250" s="13" t="s">
        <v>159</v>
      </c>
      <c r="P250" s="13" t="s">
        <v>160</v>
      </c>
      <c r="Q250" s="19">
        <v>40619</v>
      </c>
      <c r="R250" s="37"/>
    </row>
    <row r="251" spans="1:18" s="26" customFormat="1" ht="19.149999999999999" customHeight="1" x14ac:dyDescent="0.3">
      <c r="A251" s="29">
        <v>250</v>
      </c>
      <c r="B251" s="13" t="s">
        <v>52</v>
      </c>
      <c r="C251" s="13" t="s">
        <v>624</v>
      </c>
      <c r="D251" s="13">
        <v>89</v>
      </c>
      <c r="E251" s="24" t="s">
        <v>1931</v>
      </c>
      <c r="F251" s="24" t="s">
        <v>1932</v>
      </c>
      <c r="G251" s="13" t="s">
        <v>154</v>
      </c>
      <c r="H251" s="18">
        <v>8</v>
      </c>
      <c r="I251" s="127">
        <v>1119</v>
      </c>
      <c r="J251" s="69">
        <v>0</v>
      </c>
      <c r="K251" s="18" t="s">
        <v>1513</v>
      </c>
      <c r="L251" s="18">
        <v>0</v>
      </c>
      <c r="M251" s="18" t="s">
        <v>1513</v>
      </c>
      <c r="N251" s="18" t="s">
        <v>1495</v>
      </c>
      <c r="O251" s="15" t="s">
        <v>155</v>
      </c>
      <c r="P251" s="13" t="s">
        <v>156</v>
      </c>
      <c r="Q251" s="19">
        <v>41795</v>
      </c>
      <c r="R251" s="36" t="s">
        <v>1933</v>
      </c>
    </row>
    <row r="252" spans="1:18" s="26" customFormat="1" ht="19.149999999999999" customHeight="1" x14ac:dyDescent="0.3">
      <c r="A252" s="13">
        <v>251</v>
      </c>
      <c r="B252" s="15" t="s">
        <v>52</v>
      </c>
      <c r="C252" s="15" t="s">
        <v>57</v>
      </c>
      <c r="D252" s="13">
        <v>89</v>
      </c>
      <c r="E252" s="16" t="s">
        <v>622</v>
      </c>
      <c r="F252" s="14" t="s">
        <v>1934</v>
      </c>
      <c r="G252" s="15" t="s">
        <v>444</v>
      </c>
      <c r="H252" s="18">
        <v>9</v>
      </c>
      <c r="I252" s="127">
        <v>806</v>
      </c>
      <c r="J252" s="69">
        <v>0</v>
      </c>
      <c r="K252" s="18" t="s">
        <v>336</v>
      </c>
      <c r="L252" s="18">
        <v>0</v>
      </c>
      <c r="M252" s="18" t="s">
        <v>1513</v>
      </c>
      <c r="N252" s="18" t="s">
        <v>1495</v>
      </c>
      <c r="O252" s="28" t="s">
        <v>159</v>
      </c>
      <c r="P252" s="13" t="s">
        <v>160</v>
      </c>
      <c r="Q252" s="19">
        <v>41312</v>
      </c>
      <c r="R252" s="119" t="s">
        <v>623</v>
      </c>
    </row>
    <row r="253" spans="1:18" s="26" customFormat="1" ht="19.149999999999999" customHeight="1" x14ac:dyDescent="0.3">
      <c r="A253" s="29">
        <v>252</v>
      </c>
      <c r="B253" s="13" t="s">
        <v>52</v>
      </c>
      <c r="C253" s="13" t="s">
        <v>57</v>
      </c>
      <c r="D253" s="13">
        <v>89</v>
      </c>
      <c r="E253" s="24" t="s">
        <v>1935</v>
      </c>
      <c r="F253" s="24" t="s">
        <v>1936</v>
      </c>
      <c r="G253" s="13" t="s">
        <v>154</v>
      </c>
      <c r="H253" s="18">
        <v>11</v>
      </c>
      <c r="I253" s="127">
        <v>1773</v>
      </c>
      <c r="J253" s="69">
        <v>1</v>
      </c>
      <c r="K253" s="18" t="s">
        <v>207</v>
      </c>
      <c r="L253" s="18">
        <v>0</v>
      </c>
      <c r="M253" s="18" t="s">
        <v>3138</v>
      </c>
      <c r="N253" s="18" t="s">
        <v>1495</v>
      </c>
      <c r="O253" s="15" t="s">
        <v>155</v>
      </c>
      <c r="P253" s="13" t="s">
        <v>156</v>
      </c>
      <c r="Q253" s="19">
        <v>39337</v>
      </c>
      <c r="R253" s="36" t="s">
        <v>3139</v>
      </c>
    </row>
    <row r="254" spans="1:18" s="26" customFormat="1" ht="19.149999999999999" customHeight="1" x14ac:dyDescent="0.3">
      <c r="A254" s="13">
        <v>253</v>
      </c>
      <c r="B254" s="13" t="s">
        <v>1882</v>
      </c>
      <c r="C254" s="13" t="s">
        <v>1937</v>
      </c>
      <c r="D254" s="13">
        <v>89</v>
      </c>
      <c r="E254" s="24" t="s">
        <v>1938</v>
      </c>
      <c r="F254" s="24" t="s">
        <v>1939</v>
      </c>
      <c r="G254" s="13" t="s">
        <v>1553</v>
      </c>
      <c r="H254" s="18">
        <v>6</v>
      </c>
      <c r="I254" s="127">
        <v>634</v>
      </c>
      <c r="J254" s="69">
        <v>0</v>
      </c>
      <c r="K254" s="18" t="s">
        <v>1513</v>
      </c>
      <c r="L254" s="18">
        <v>0</v>
      </c>
      <c r="M254" s="18" t="s">
        <v>1513</v>
      </c>
      <c r="N254" s="18" t="s">
        <v>1495</v>
      </c>
      <c r="O254" s="15" t="s">
        <v>155</v>
      </c>
      <c r="P254" s="13" t="s">
        <v>156</v>
      </c>
      <c r="Q254" s="19">
        <v>43915</v>
      </c>
      <c r="R254" s="24"/>
    </row>
    <row r="255" spans="1:18" s="26" customFormat="1" ht="19.149999999999999" customHeight="1" x14ac:dyDescent="0.3">
      <c r="A255" s="29">
        <v>254</v>
      </c>
      <c r="B255" s="13" t="s">
        <v>1882</v>
      </c>
      <c r="C255" s="13" t="s">
        <v>1937</v>
      </c>
      <c r="D255" s="13">
        <v>89</v>
      </c>
      <c r="E255" s="24" t="s">
        <v>1940</v>
      </c>
      <c r="F255" s="24" t="s">
        <v>1941</v>
      </c>
      <c r="G255" s="13" t="s">
        <v>1538</v>
      </c>
      <c r="H255" s="18">
        <v>5</v>
      </c>
      <c r="I255" s="127">
        <v>829</v>
      </c>
      <c r="J255" s="69">
        <v>0</v>
      </c>
      <c r="K255" s="18" t="s">
        <v>1513</v>
      </c>
      <c r="L255" s="18">
        <v>0</v>
      </c>
      <c r="M255" s="18" t="s">
        <v>1513</v>
      </c>
      <c r="N255" s="18" t="s">
        <v>1495</v>
      </c>
      <c r="O255" s="13" t="s">
        <v>161</v>
      </c>
      <c r="P255" s="13" t="s">
        <v>162</v>
      </c>
      <c r="Q255" s="19">
        <v>43711</v>
      </c>
      <c r="R255" s="24"/>
    </row>
    <row r="256" spans="1:18" s="26" customFormat="1" ht="19.149999999999999" customHeight="1" x14ac:dyDescent="0.3">
      <c r="A256" s="13">
        <v>255</v>
      </c>
      <c r="B256" s="29" t="s">
        <v>1882</v>
      </c>
      <c r="C256" s="29" t="s">
        <v>1942</v>
      </c>
      <c r="D256" s="29">
        <v>90</v>
      </c>
      <c r="E256" s="51" t="s">
        <v>1943</v>
      </c>
      <c r="F256" s="51" t="s">
        <v>1944</v>
      </c>
      <c r="G256" s="29" t="s">
        <v>1538</v>
      </c>
      <c r="H256" s="18">
        <v>6</v>
      </c>
      <c r="I256" s="18">
        <v>800</v>
      </c>
      <c r="J256" s="69">
        <v>0</v>
      </c>
      <c r="K256" s="18" t="s">
        <v>336</v>
      </c>
      <c r="L256" s="18">
        <v>0</v>
      </c>
      <c r="M256" s="18" t="s">
        <v>1513</v>
      </c>
      <c r="N256" s="18" t="s">
        <v>1495</v>
      </c>
      <c r="O256" s="13" t="s">
        <v>161</v>
      </c>
      <c r="P256" s="13" t="s">
        <v>162</v>
      </c>
      <c r="Q256" s="19">
        <v>44747</v>
      </c>
      <c r="R256" s="29"/>
    </row>
    <row r="257" spans="1:18" s="26" customFormat="1" ht="19.149999999999999" customHeight="1" x14ac:dyDescent="0.3">
      <c r="A257" s="29">
        <v>256</v>
      </c>
      <c r="B257" s="29" t="s">
        <v>1882</v>
      </c>
      <c r="C257" s="29" t="s">
        <v>1942</v>
      </c>
      <c r="D257" s="29">
        <v>90</v>
      </c>
      <c r="E257" s="51" t="s">
        <v>1945</v>
      </c>
      <c r="F257" s="51" t="s">
        <v>1946</v>
      </c>
      <c r="G257" s="29" t="s">
        <v>1538</v>
      </c>
      <c r="H257" s="18">
        <v>6</v>
      </c>
      <c r="I257" s="18">
        <v>795</v>
      </c>
      <c r="J257" s="69">
        <v>6</v>
      </c>
      <c r="K257" s="18" t="s">
        <v>1878</v>
      </c>
      <c r="L257" s="18">
        <v>0</v>
      </c>
      <c r="M257" s="18" t="s">
        <v>1513</v>
      </c>
      <c r="N257" s="18" t="s">
        <v>1495</v>
      </c>
      <c r="O257" s="13" t="s">
        <v>161</v>
      </c>
      <c r="P257" s="13" t="s">
        <v>162</v>
      </c>
      <c r="Q257" s="19">
        <v>44496</v>
      </c>
      <c r="R257" s="29"/>
    </row>
    <row r="258" spans="1:18" s="26" customFormat="1" ht="19.149999999999999" customHeight="1" x14ac:dyDescent="0.3">
      <c r="A258" s="13">
        <v>257</v>
      </c>
      <c r="B258" s="13" t="s">
        <v>52</v>
      </c>
      <c r="C258" s="13" t="s">
        <v>599</v>
      </c>
      <c r="D258" s="13">
        <v>90</v>
      </c>
      <c r="E258" s="32" t="s">
        <v>600</v>
      </c>
      <c r="F258" s="21" t="s">
        <v>601</v>
      </c>
      <c r="G258" s="28" t="s">
        <v>345</v>
      </c>
      <c r="H258" s="18">
        <v>6</v>
      </c>
      <c r="I258" s="127">
        <v>1042</v>
      </c>
      <c r="J258" s="69">
        <v>0</v>
      </c>
      <c r="K258" s="18" t="s">
        <v>336</v>
      </c>
      <c r="L258" s="18">
        <v>0</v>
      </c>
      <c r="M258" s="18" t="s">
        <v>1513</v>
      </c>
      <c r="N258" s="18" t="s">
        <v>1495</v>
      </c>
      <c r="O258" s="13" t="s">
        <v>159</v>
      </c>
      <c r="P258" s="13" t="s">
        <v>160</v>
      </c>
      <c r="Q258" s="19">
        <v>42012</v>
      </c>
      <c r="R258" s="16"/>
    </row>
    <row r="259" spans="1:18" s="26" customFormat="1" ht="19.149999999999999" customHeight="1" x14ac:dyDescent="0.3">
      <c r="A259" s="29">
        <v>258</v>
      </c>
      <c r="B259" s="13" t="s">
        <v>52</v>
      </c>
      <c r="C259" s="13" t="s">
        <v>599</v>
      </c>
      <c r="D259" s="13">
        <v>90</v>
      </c>
      <c r="E259" s="32" t="s">
        <v>602</v>
      </c>
      <c r="F259" s="21" t="s">
        <v>1153</v>
      </c>
      <c r="G259" s="28" t="s">
        <v>345</v>
      </c>
      <c r="H259" s="18">
        <v>7</v>
      </c>
      <c r="I259" s="127">
        <v>1216</v>
      </c>
      <c r="J259" s="69">
        <v>1</v>
      </c>
      <c r="K259" s="18" t="s">
        <v>1163</v>
      </c>
      <c r="L259" s="18">
        <v>0</v>
      </c>
      <c r="M259" s="18" t="s">
        <v>1513</v>
      </c>
      <c r="N259" s="18" t="s">
        <v>1495</v>
      </c>
      <c r="O259" s="28" t="s">
        <v>159</v>
      </c>
      <c r="P259" s="13" t="s">
        <v>160</v>
      </c>
      <c r="Q259" s="19">
        <v>41978</v>
      </c>
      <c r="R259" s="16" t="s">
        <v>1947</v>
      </c>
    </row>
    <row r="260" spans="1:18" s="26" customFormat="1" ht="19.149999999999999" customHeight="1" x14ac:dyDescent="0.3">
      <c r="A260" s="13">
        <v>259</v>
      </c>
      <c r="B260" s="13" t="s">
        <v>1882</v>
      </c>
      <c r="C260" s="13" t="s">
        <v>1942</v>
      </c>
      <c r="D260" s="13">
        <v>90</v>
      </c>
      <c r="E260" s="24" t="s">
        <v>1948</v>
      </c>
      <c r="F260" s="24" t="s">
        <v>1949</v>
      </c>
      <c r="G260" s="13" t="s">
        <v>1553</v>
      </c>
      <c r="H260" s="18">
        <v>5</v>
      </c>
      <c r="I260" s="127">
        <v>374</v>
      </c>
      <c r="J260" s="69">
        <v>0</v>
      </c>
      <c r="K260" s="18" t="s">
        <v>1513</v>
      </c>
      <c r="L260" s="18">
        <v>0</v>
      </c>
      <c r="M260" s="18" t="s">
        <v>1513</v>
      </c>
      <c r="N260" s="18" t="s">
        <v>1495</v>
      </c>
      <c r="O260" s="15" t="s">
        <v>155</v>
      </c>
      <c r="P260" s="13" t="s">
        <v>156</v>
      </c>
      <c r="Q260" s="19">
        <v>44684</v>
      </c>
      <c r="R260" s="36"/>
    </row>
    <row r="261" spans="1:18" s="26" customFormat="1" ht="19.149999999999999" customHeight="1" x14ac:dyDescent="0.3">
      <c r="A261" s="29">
        <v>260</v>
      </c>
      <c r="B261" s="70" t="s">
        <v>52</v>
      </c>
      <c r="C261" s="70" t="s">
        <v>58</v>
      </c>
      <c r="D261" s="130">
        <v>90</v>
      </c>
      <c r="E261" s="6" t="s">
        <v>1950</v>
      </c>
      <c r="F261" s="6" t="s">
        <v>598</v>
      </c>
      <c r="G261" s="70" t="s">
        <v>1513</v>
      </c>
      <c r="H261" s="118">
        <v>2</v>
      </c>
      <c r="I261" s="138">
        <v>113</v>
      </c>
      <c r="J261" s="89">
        <v>0</v>
      </c>
      <c r="K261" s="118" t="s">
        <v>336</v>
      </c>
      <c r="L261" s="118">
        <v>0</v>
      </c>
      <c r="M261" s="118" t="s">
        <v>1513</v>
      </c>
      <c r="N261" s="118" t="s">
        <v>1495</v>
      </c>
      <c r="O261" s="70" t="s">
        <v>1951</v>
      </c>
      <c r="P261" s="131" t="s">
        <v>1952</v>
      </c>
      <c r="Q261" s="52">
        <v>44321</v>
      </c>
      <c r="R261" s="36" t="s">
        <v>1953</v>
      </c>
    </row>
    <row r="262" spans="1:18" s="26" customFormat="1" ht="19.149999999999999" customHeight="1" x14ac:dyDescent="0.3">
      <c r="A262" s="13">
        <v>261</v>
      </c>
      <c r="B262" s="13" t="s">
        <v>52</v>
      </c>
      <c r="C262" s="13" t="s">
        <v>59</v>
      </c>
      <c r="D262" s="13">
        <v>91</v>
      </c>
      <c r="E262" s="63" t="s">
        <v>1954</v>
      </c>
      <c r="F262" s="21" t="s">
        <v>696</v>
      </c>
      <c r="G262" s="13" t="s">
        <v>164</v>
      </c>
      <c r="H262" s="18">
        <v>5</v>
      </c>
      <c r="I262" s="127">
        <v>333</v>
      </c>
      <c r="J262" s="69">
        <v>0</v>
      </c>
      <c r="K262" s="49" t="s">
        <v>336</v>
      </c>
      <c r="L262" s="18">
        <v>0</v>
      </c>
      <c r="M262" s="18" t="s">
        <v>1513</v>
      </c>
      <c r="N262" s="18" t="s">
        <v>1495</v>
      </c>
      <c r="O262" s="28" t="s">
        <v>159</v>
      </c>
      <c r="P262" s="13" t="s">
        <v>160</v>
      </c>
      <c r="Q262" s="19">
        <v>41730</v>
      </c>
      <c r="R262" s="36" t="s">
        <v>1955</v>
      </c>
    </row>
    <row r="263" spans="1:18" s="26" customFormat="1" ht="19.149999999999999" customHeight="1" x14ac:dyDescent="0.3">
      <c r="A263" s="29">
        <v>262</v>
      </c>
      <c r="B263" s="13" t="s">
        <v>1882</v>
      </c>
      <c r="C263" s="13" t="s">
        <v>1956</v>
      </c>
      <c r="D263" s="13">
        <v>91</v>
      </c>
      <c r="E263" s="21" t="s">
        <v>1957</v>
      </c>
      <c r="F263" s="21" t="s">
        <v>1958</v>
      </c>
      <c r="G263" s="13" t="s">
        <v>1553</v>
      </c>
      <c r="H263" s="18">
        <v>8</v>
      </c>
      <c r="I263" s="127">
        <v>516</v>
      </c>
      <c r="J263" s="69">
        <v>0</v>
      </c>
      <c r="K263" s="49" t="s">
        <v>336</v>
      </c>
      <c r="L263" s="18">
        <v>0</v>
      </c>
      <c r="M263" s="18" t="s">
        <v>1513</v>
      </c>
      <c r="N263" s="18" t="s">
        <v>1495</v>
      </c>
      <c r="O263" s="15" t="s">
        <v>155</v>
      </c>
      <c r="P263" s="13" t="s">
        <v>156</v>
      </c>
      <c r="Q263" s="19">
        <v>44575</v>
      </c>
      <c r="R263" s="37"/>
    </row>
    <row r="264" spans="1:18" s="26" customFormat="1" ht="19.149999999999999" customHeight="1" x14ac:dyDescent="0.3">
      <c r="A264" s="13">
        <v>263</v>
      </c>
      <c r="B264" s="13" t="s">
        <v>52</v>
      </c>
      <c r="C264" s="13" t="s">
        <v>59</v>
      </c>
      <c r="D264" s="13">
        <v>91</v>
      </c>
      <c r="E264" s="21" t="s">
        <v>254</v>
      </c>
      <c r="F264" s="21" t="s">
        <v>698</v>
      </c>
      <c r="G264" s="13" t="s">
        <v>154</v>
      </c>
      <c r="H264" s="18">
        <v>5</v>
      </c>
      <c r="I264" s="127">
        <v>932</v>
      </c>
      <c r="J264" s="69">
        <v>0</v>
      </c>
      <c r="K264" s="49" t="s">
        <v>336</v>
      </c>
      <c r="L264" s="18">
        <v>0</v>
      </c>
      <c r="M264" s="18" t="s">
        <v>1513</v>
      </c>
      <c r="N264" s="18" t="s">
        <v>1495</v>
      </c>
      <c r="O264" s="13" t="s">
        <v>159</v>
      </c>
      <c r="P264" s="13" t="s">
        <v>160</v>
      </c>
      <c r="Q264" s="19">
        <v>39697</v>
      </c>
      <c r="R264" s="37"/>
    </row>
    <row r="265" spans="1:18" s="26" customFormat="1" ht="19.149999999999999" customHeight="1" x14ac:dyDescent="0.3">
      <c r="A265" s="29">
        <v>264</v>
      </c>
      <c r="B265" s="13" t="s">
        <v>52</v>
      </c>
      <c r="C265" s="13" t="s">
        <v>59</v>
      </c>
      <c r="D265" s="13">
        <v>91</v>
      </c>
      <c r="E265" s="21" t="s">
        <v>1959</v>
      </c>
      <c r="F265" s="21" t="s">
        <v>697</v>
      </c>
      <c r="G265" s="13" t="s">
        <v>154</v>
      </c>
      <c r="H265" s="18">
        <v>6</v>
      </c>
      <c r="I265" s="127">
        <v>750</v>
      </c>
      <c r="J265" s="69">
        <v>0</v>
      </c>
      <c r="K265" s="49" t="s">
        <v>336</v>
      </c>
      <c r="L265" s="18">
        <v>0</v>
      </c>
      <c r="M265" s="18" t="s">
        <v>1513</v>
      </c>
      <c r="N265" s="18" t="s">
        <v>1495</v>
      </c>
      <c r="O265" s="15" t="s">
        <v>155</v>
      </c>
      <c r="P265" s="13" t="s">
        <v>156</v>
      </c>
      <c r="Q265" s="19">
        <v>42788</v>
      </c>
      <c r="R265" s="37"/>
    </row>
    <row r="266" spans="1:18" s="26" customFormat="1" ht="19.149999999999999" customHeight="1" x14ac:dyDescent="0.3">
      <c r="A266" s="13">
        <v>265</v>
      </c>
      <c r="B266" s="13" t="s">
        <v>52</v>
      </c>
      <c r="C266" s="13" t="s">
        <v>59</v>
      </c>
      <c r="D266" s="13">
        <v>91</v>
      </c>
      <c r="E266" s="24" t="s">
        <v>1960</v>
      </c>
      <c r="F266" s="24" t="s">
        <v>1224</v>
      </c>
      <c r="G266" s="13" t="s">
        <v>154</v>
      </c>
      <c r="H266" s="18">
        <v>8</v>
      </c>
      <c r="I266" s="127">
        <v>1324</v>
      </c>
      <c r="J266" s="69">
        <v>2</v>
      </c>
      <c r="K266" s="18" t="s">
        <v>1270</v>
      </c>
      <c r="L266" s="18">
        <v>0</v>
      </c>
      <c r="M266" s="18" t="s">
        <v>1513</v>
      </c>
      <c r="N266" s="18" t="s">
        <v>1495</v>
      </c>
      <c r="O266" s="15" t="s">
        <v>155</v>
      </c>
      <c r="P266" s="13" t="s">
        <v>156</v>
      </c>
      <c r="Q266" s="19">
        <v>39927</v>
      </c>
      <c r="R266" s="6" t="s">
        <v>1961</v>
      </c>
    </row>
    <row r="267" spans="1:18" s="26" customFormat="1" ht="19.149999999999999" customHeight="1" x14ac:dyDescent="0.3">
      <c r="A267" s="29">
        <v>266</v>
      </c>
      <c r="B267" s="13" t="s">
        <v>52</v>
      </c>
      <c r="C267" s="13" t="s">
        <v>60</v>
      </c>
      <c r="D267" s="13">
        <v>92</v>
      </c>
      <c r="E267" s="21" t="s">
        <v>1962</v>
      </c>
      <c r="F267" s="21" t="s">
        <v>1963</v>
      </c>
      <c r="G267" s="13" t="s">
        <v>336</v>
      </c>
      <c r="H267" s="18">
        <v>1</v>
      </c>
      <c r="I267" s="127">
        <v>283</v>
      </c>
      <c r="J267" s="69">
        <v>0</v>
      </c>
      <c r="K267" s="18" t="s">
        <v>336</v>
      </c>
      <c r="L267" s="18">
        <v>0</v>
      </c>
      <c r="M267" s="18" t="s">
        <v>1513</v>
      </c>
      <c r="N267" s="18" t="s">
        <v>1495</v>
      </c>
      <c r="O267" s="13" t="s">
        <v>1964</v>
      </c>
      <c r="P267" s="15" t="s">
        <v>1965</v>
      </c>
      <c r="Q267" s="19">
        <v>31594</v>
      </c>
      <c r="R267" s="36" t="s">
        <v>1966</v>
      </c>
    </row>
    <row r="268" spans="1:18" s="26" customFormat="1" ht="19.149999999999999" customHeight="1" x14ac:dyDescent="0.3">
      <c r="A268" s="13">
        <v>267</v>
      </c>
      <c r="B268" s="13" t="s">
        <v>52</v>
      </c>
      <c r="C268" s="13" t="s">
        <v>60</v>
      </c>
      <c r="D268" s="13">
        <v>92</v>
      </c>
      <c r="E268" s="21" t="s">
        <v>316</v>
      </c>
      <c r="F268" s="24" t="s">
        <v>1967</v>
      </c>
      <c r="G268" s="13" t="s">
        <v>336</v>
      </c>
      <c r="H268" s="18">
        <v>2</v>
      </c>
      <c r="I268" s="127">
        <v>290</v>
      </c>
      <c r="J268" s="69">
        <v>0</v>
      </c>
      <c r="K268" s="18" t="s">
        <v>336</v>
      </c>
      <c r="L268" s="18">
        <v>0</v>
      </c>
      <c r="M268" s="18" t="s">
        <v>1513</v>
      </c>
      <c r="N268" s="18" t="s">
        <v>1495</v>
      </c>
      <c r="O268" s="47" t="s">
        <v>1968</v>
      </c>
      <c r="P268" s="15" t="s">
        <v>1969</v>
      </c>
      <c r="Q268" s="19">
        <v>26299</v>
      </c>
      <c r="R268" s="24"/>
    </row>
    <row r="269" spans="1:18" s="26" customFormat="1" ht="19.149999999999999" customHeight="1" x14ac:dyDescent="0.3">
      <c r="A269" s="29">
        <v>268</v>
      </c>
      <c r="B269" s="13" t="s">
        <v>52</v>
      </c>
      <c r="C269" s="13" t="s">
        <v>61</v>
      </c>
      <c r="D269" s="13">
        <v>93</v>
      </c>
      <c r="E269" s="21" t="s">
        <v>296</v>
      </c>
      <c r="F269" s="21" t="s">
        <v>656</v>
      </c>
      <c r="G269" s="13" t="s">
        <v>164</v>
      </c>
      <c r="H269" s="18">
        <v>6</v>
      </c>
      <c r="I269" s="127">
        <v>371</v>
      </c>
      <c r="J269" s="69">
        <v>0</v>
      </c>
      <c r="K269" s="18" t="s">
        <v>3430</v>
      </c>
      <c r="L269" s="18">
        <v>0</v>
      </c>
      <c r="M269" s="18" t="s">
        <v>1513</v>
      </c>
      <c r="N269" s="18" t="s">
        <v>1495</v>
      </c>
      <c r="O269" s="13" t="s">
        <v>161</v>
      </c>
      <c r="P269" s="13" t="s">
        <v>162</v>
      </c>
      <c r="Q269" s="19">
        <v>42206</v>
      </c>
      <c r="R269" s="36" t="s">
        <v>657</v>
      </c>
    </row>
    <row r="270" spans="1:18" s="26" customFormat="1" ht="19.149999999999999" customHeight="1" x14ac:dyDescent="0.3">
      <c r="A270" s="13">
        <v>269</v>
      </c>
      <c r="B270" s="13" t="s">
        <v>52</v>
      </c>
      <c r="C270" s="13" t="s">
        <v>61</v>
      </c>
      <c r="D270" s="13">
        <v>93</v>
      </c>
      <c r="E270" s="21" t="s">
        <v>650</v>
      </c>
      <c r="F270" s="21" t="s">
        <v>651</v>
      </c>
      <c r="G270" s="13" t="s">
        <v>154</v>
      </c>
      <c r="H270" s="18">
        <v>9</v>
      </c>
      <c r="I270" s="127">
        <v>1429</v>
      </c>
      <c r="J270" s="69">
        <v>0</v>
      </c>
      <c r="K270" s="18" t="s">
        <v>336</v>
      </c>
      <c r="L270" s="18">
        <v>0</v>
      </c>
      <c r="M270" s="18" t="s">
        <v>1513</v>
      </c>
      <c r="N270" s="18" t="s">
        <v>1495</v>
      </c>
      <c r="O270" s="28" t="s">
        <v>159</v>
      </c>
      <c r="P270" s="13" t="s">
        <v>160</v>
      </c>
      <c r="Q270" s="19">
        <v>39114</v>
      </c>
      <c r="R270" s="24"/>
    </row>
    <row r="271" spans="1:18" s="26" customFormat="1" ht="19.149999999999999" customHeight="1" x14ac:dyDescent="0.3">
      <c r="A271" s="29">
        <v>270</v>
      </c>
      <c r="B271" s="13" t="s">
        <v>52</v>
      </c>
      <c r="C271" s="13" t="s">
        <v>61</v>
      </c>
      <c r="D271" s="13">
        <v>93</v>
      </c>
      <c r="E271" s="21" t="s">
        <v>653</v>
      </c>
      <c r="F271" s="21" t="s">
        <v>654</v>
      </c>
      <c r="G271" s="13" t="s">
        <v>154</v>
      </c>
      <c r="H271" s="18">
        <v>7</v>
      </c>
      <c r="I271" s="127">
        <v>1788</v>
      </c>
      <c r="J271" s="69">
        <v>0</v>
      </c>
      <c r="K271" s="18" t="s">
        <v>336</v>
      </c>
      <c r="L271" s="18">
        <v>0</v>
      </c>
      <c r="M271" s="18" t="s">
        <v>1513</v>
      </c>
      <c r="N271" s="18" t="s">
        <v>1495</v>
      </c>
      <c r="O271" s="28" t="s">
        <v>159</v>
      </c>
      <c r="P271" s="13" t="s">
        <v>160</v>
      </c>
      <c r="Q271" s="19">
        <v>42202</v>
      </c>
      <c r="R271" s="36" t="s">
        <v>655</v>
      </c>
    </row>
    <row r="272" spans="1:18" s="26" customFormat="1" ht="19.149999999999999" customHeight="1" x14ac:dyDescent="0.3">
      <c r="A272" s="13">
        <v>271</v>
      </c>
      <c r="B272" s="13" t="s">
        <v>52</v>
      </c>
      <c r="C272" s="13" t="s">
        <v>61</v>
      </c>
      <c r="D272" s="13">
        <v>93</v>
      </c>
      <c r="E272" s="24" t="s">
        <v>1970</v>
      </c>
      <c r="F272" s="24" t="s">
        <v>1238</v>
      </c>
      <c r="G272" s="13" t="s">
        <v>154</v>
      </c>
      <c r="H272" s="18">
        <v>8</v>
      </c>
      <c r="I272" s="127">
        <v>1608</v>
      </c>
      <c r="J272" s="69">
        <v>2</v>
      </c>
      <c r="K272" s="18" t="s">
        <v>1270</v>
      </c>
      <c r="L272" s="18">
        <v>0</v>
      </c>
      <c r="M272" s="18" t="s">
        <v>1513</v>
      </c>
      <c r="N272" s="18" t="s">
        <v>1495</v>
      </c>
      <c r="O272" s="15" t="s">
        <v>155</v>
      </c>
      <c r="P272" s="13" t="s">
        <v>156</v>
      </c>
      <c r="Q272" s="19">
        <v>39590</v>
      </c>
      <c r="R272" s="43"/>
    </row>
    <row r="273" spans="1:18" s="26" customFormat="1" ht="19.149999999999999" customHeight="1" x14ac:dyDescent="0.3">
      <c r="A273" s="29">
        <v>272</v>
      </c>
      <c r="B273" s="13" t="s">
        <v>1971</v>
      </c>
      <c r="C273" s="13" t="s">
        <v>1972</v>
      </c>
      <c r="D273" s="13">
        <v>93</v>
      </c>
      <c r="E273" s="24" t="s">
        <v>1973</v>
      </c>
      <c r="F273" s="24" t="s">
        <v>1974</v>
      </c>
      <c r="G273" s="13" t="s">
        <v>1502</v>
      </c>
      <c r="H273" s="18">
        <v>1</v>
      </c>
      <c r="I273" s="127">
        <v>199</v>
      </c>
      <c r="J273" s="69">
        <v>0</v>
      </c>
      <c r="K273" s="18" t="s">
        <v>1502</v>
      </c>
      <c r="L273" s="18">
        <v>1</v>
      </c>
      <c r="M273" s="18" t="s">
        <v>1975</v>
      </c>
      <c r="N273" s="18" t="s">
        <v>1495</v>
      </c>
      <c r="O273" s="15" t="s">
        <v>1976</v>
      </c>
      <c r="P273" s="327" t="s">
        <v>1977</v>
      </c>
      <c r="Q273" s="19">
        <v>41274</v>
      </c>
      <c r="R273" s="43" t="s">
        <v>1978</v>
      </c>
    </row>
    <row r="274" spans="1:18" s="26" customFormat="1" ht="19.149999999999999" customHeight="1" x14ac:dyDescent="0.3">
      <c r="A274" s="13">
        <v>273</v>
      </c>
      <c r="B274" s="13" t="s">
        <v>52</v>
      </c>
      <c r="C274" s="13" t="s">
        <v>61</v>
      </c>
      <c r="D274" s="13">
        <v>93</v>
      </c>
      <c r="E274" s="21" t="s">
        <v>1979</v>
      </c>
      <c r="F274" s="21" t="s">
        <v>652</v>
      </c>
      <c r="G274" s="13" t="s">
        <v>154</v>
      </c>
      <c r="H274" s="18">
        <v>8</v>
      </c>
      <c r="I274" s="127">
        <v>1607</v>
      </c>
      <c r="J274" s="69">
        <v>1</v>
      </c>
      <c r="K274" s="18" t="s">
        <v>950</v>
      </c>
      <c r="L274" s="18">
        <v>0</v>
      </c>
      <c r="M274" s="18" t="s">
        <v>1513</v>
      </c>
      <c r="N274" s="18" t="s">
        <v>1495</v>
      </c>
      <c r="O274" s="13" t="s">
        <v>159</v>
      </c>
      <c r="P274" s="13" t="s">
        <v>160</v>
      </c>
      <c r="Q274" s="19">
        <v>38603</v>
      </c>
      <c r="R274" s="16"/>
    </row>
    <row r="275" spans="1:18" s="26" customFormat="1" ht="19.149999999999999" customHeight="1" x14ac:dyDescent="0.3">
      <c r="A275" s="29">
        <v>274</v>
      </c>
      <c r="B275" s="13" t="s">
        <v>52</v>
      </c>
      <c r="C275" s="13" t="s">
        <v>62</v>
      </c>
      <c r="D275" s="13">
        <v>96</v>
      </c>
      <c r="E275" s="32" t="s">
        <v>276</v>
      </c>
      <c r="F275" s="21" t="s">
        <v>592</v>
      </c>
      <c r="G275" s="28" t="s">
        <v>154</v>
      </c>
      <c r="H275" s="18">
        <v>9</v>
      </c>
      <c r="I275" s="127">
        <v>1214</v>
      </c>
      <c r="J275" s="69">
        <v>1</v>
      </c>
      <c r="K275" s="18" t="s">
        <v>3214</v>
      </c>
      <c r="L275" s="18">
        <v>0</v>
      </c>
      <c r="M275" s="18" t="s">
        <v>1513</v>
      </c>
      <c r="N275" s="18" t="s">
        <v>1495</v>
      </c>
      <c r="O275" s="13" t="s">
        <v>161</v>
      </c>
      <c r="P275" s="13" t="s">
        <v>162</v>
      </c>
      <c r="Q275" s="19">
        <v>42964</v>
      </c>
      <c r="R275" s="16"/>
    </row>
    <row r="276" spans="1:18" s="26" customFormat="1" ht="19.149999999999999" customHeight="1" x14ac:dyDescent="0.3">
      <c r="A276" s="13">
        <v>275</v>
      </c>
      <c r="B276" s="13" t="s">
        <v>1882</v>
      </c>
      <c r="C276" s="13" t="s">
        <v>1980</v>
      </c>
      <c r="D276" s="13">
        <v>96</v>
      </c>
      <c r="E276" s="24" t="s">
        <v>1981</v>
      </c>
      <c r="F276" s="24" t="s">
        <v>1982</v>
      </c>
      <c r="G276" s="13" t="s">
        <v>1538</v>
      </c>
      <c r="H276" s="18">
        <v>6</v>
      </c>
      <c r="I276" s="127">
        <v>658</v>
      </c>
      <c r="J276" s="69">
        <v>0</v>
      </c>
      <c r="K276" s="18" t="s">
        <v>1513</v>
      </c>
      <c r="L276" s="18">
        <v>0</v>
      </c>
      <c r="M276" s="18" t="s">
        <v>1513</v>
      </c>
      <c r="N276" s="18" t="s">
        <v>1495</v>
      </c>
      <c r="O276" s="15" t="s">
        <v>155</v>
      </c>
      <c r="P276" s="13" t="s">
        <v>156</v>
      </c>
      <c r="Q276" s="19">
        <v>44022</v>
      </c>
      <c r="R276" s="37"/>
    </row>
    <row r="277" spans="1:18" s="26" customFormat="1" ht="19.149999999999999" customHeight="1" x14ac:dyDescent="0.3">
      <c r="A277" s="29">
        <v>276</v>
      </c>
      <c r="B277" s="13" t="s">
        <v>52</v>
      </c>
      <c r="C277" s="13" t="s">
        <v>62</v>
      </c>
      <c r="D277" s="13">
        <v>96</v>
      </c>
      <c r="E277" s="24" t="s">
        <v>1983</v>
      </c>
      <c r="F277" s="24" t="s">
        <v>588</v>
      </c>
      <c r="G277" s="13" t="s">
        <v>444</v>
      </c>
      <c r="H277" s="18">
        <v>8</v>
      </c>
      <c r="I277" s="127">
        <v>886</v>
      </c>
      <c r="J277" s="69">
        <v>0</v>
      </c>
      <c r="K277" s="18" t="s">
        <v>336</v>
      </c>
      <c r="L277" s="18">
        <v>0</v>
      </c>
      <c r="M277" s="18" t="s">
        <v>1513</v>
      </c>
      <c r="N277" s="18" t="s">
        <v>1495</v>
      </c>
      <c r="O277" s="15" t="s">
        <v>155</v>
      </c>
      <c r="P277" s="13" t="s">
        <v>156</v>
      </c>
      <c r="Q277" s="19">
        <v>41164</v>
      </c>
      <c r="R277" s="37"/>
    </row>
    <row r="278" spans="1:18" s="26" customFormat="1" ht="19.149999999999999" customHeight="1" x14ac:dyDescent="0.3">
      <c r="A278" s="13">
        <v>277</v>
      </c>
      <c r="B278" s="13" t="s">
        <v>52</v>
      </c>
      <c r="C278" s="13" t="s">
        <v>62</v>
      </c>
      <c r="D278" s="13">
        <v>96</v>
      </c>
      <c r="E278" s="21" t="s">
        <v>595</v>
      </c>
      <c r="F278" s="21" t="s">
        <v>596</v>
      </c>
      <c r="G278" s="13" t="s">
        <v>154</v>
      </c>
      <c r="H278" s="18">
        <v>5</v>
      </c>
      <c r="I278" s="127">
        <v>749</v>
      </c>
      <c r="J278" s="69">
        <v>5</v>
      </c>
      <c r="K278" s="18" t="s">
        <v>1652</v>
      </c>
      <c r="L278" s="18">
        <v>0</v>
      </c>
      <c r="M278" s="18" t="s">
        <v>1513</v>
      </c>
      <c r="N278" s="18" t="s">
        <v>1495</v>
      </c>
      <c r="O278" s="13" t="s">
        <v>161</v>
      </c>
      <c r="P278" s="13" t="s">
        <v>162</v>
      </c>
      <c r="Q278" s="19">
        <v>42606</v>
      </c>
      <c r="R278" s="24"/>
    </row>
    <row r="279" spans="1:18" s="26" customFormat="1" ht="19.149999999999999" customHeight="1" x14ac:dyDescent="0.3">
      <c r="A279" s="29">
        <v>278</v>
      </c>
      <c r="B279" s="13" t="s">
        <v>52</v>
      </c>
      <c r="C279" s="13" t="s">
        <v>62</v>
      </c>
      <c r="D279" s="13">
        <v>96</v>
      </c>
      <c r="E279" s="32" t="s">
        <v>243</v>
      </c>
      <c r="F279" s="21" t="s">
        <v>589</v>
      </c>
      <c r="G279" s="28" t="s">
        <v>1553</v>
      </c>
      <c r="H279" s="18">
        <v>8</v>
      </c>
      <c r="I279" s="127">
        <v>745</v>
      </c>
      <c r="J279" s="69">
        <v>8</v>
      </c>
      <c r="K279" s="18" t="s">
        <v>1984</v>
      </c>
      <c r="L279" s="18">
        <v>0</v>
      </c>
      <c r="M279" s="18" t="s">
        <v>1513</v>
      </c>
      <c r="N279" s="18" t="s">
        <v>1495</v>
      </c>
      <c r="O279" s="13" t="s">
        <v>159</v>
      </c>
      <c r="P279" s="13" t="s">
        <v>160</v>
      </c>
      <c r="Q279" s="19">
        <v>37819</v>
      </c>
      <c r="R279" s="16" t="s">
        <v>1985</v>
      </c>
    </row>
    <row r="280" spans="1:18" s="26" customFormat="1" ht="19.149999999999999" customHeight="1" x14ac:dyDescent="0.3">
      <c r="A280" s="13">
        <v>279</v>
      </c>
      <c r="B280" s="13" t="s">
        <v>52</v>
      </c>
      <c r="C280" s="13" t="s">
        <v>62</v>
      </c>
      <c r="D280" s="13">
        <v>96</v>
      </c>
      <c r="E280" s="24" t="s">
        <v>1986</v>
      </c>
      <c r="F280" s="24" t="s">
        <v>1226</v>
      </c>
      <c r="G280" s="13" t="s">
        <v>154</v>
      </c>
      <c r="H280" s="18">
        <v>9</v>
      </c>
      <c r="I280" s="127">
        <v>1704</v>
      </c>
      <c r="J280" s="69">
        <v>4</v>
      </c>
      <c r="K280" s="18" t="s">
        <v>1987</v>
      </c>
      <c r="L280" s="18">
        <v>0</v>
      </c>
      <c r="M280" s="18" t="s">
        <v>1513</v>
      </c>
      <c r="N280" s="18" t="s">
        <v>1495</v>
      </c>
      <c r="O280" s="15" t="s">
        <v>155</v>
      </c>
      <c r="P280" s="13" t="s">
        <v>156</v>
      </c>
      <c r="Q280" s="19">
        <v>39170</v>
      </c>
      <c r="R280" s="50"/>
    </row>
    <row r="281" spans="1:18" s="26" customFormat="1" ht="19.149999999999999" customHeight="1" x14ac:dyDescent="0.3">
      <c r="A281" s="29">
        <v>280</v>
      </c>
      <c r="B281" s="13" t="s">
        <v>52</v>
      </c>
      <c r="C281" s="13" t="s">
        <v>62</v>
      </c>
      <c r="D281" s="13">
        <v>96</v>
      </c>
      <c r="E281" s="21" t="s">
        <v>286</v>
      </c>
      <c r="F281" s="21" t="s">
        <v>593</v>
      </c>
      <c r="G281" s="13" t="s">
        <v>154</v>
      </c>
      <c r="H281" s="18">
        <v>7</v>
      </c>
      <c r="I281" s="127">
        <v>1222</v>
      </c>
      <c r="J281" s="69">
        <v>2</v>
      </c>
      <c r="K281" s="18" t="s">
        <v>1590</v>
      </c>
      <c r="L281" s="18">
        <v>0</v>
      </c>
      <c r="M281" s="18" t="s">
        <v>1513</v>
      </c>
      <c r="N281" s="18" t="s">
        <v>1495</v>
      </c>
      <c r="O281" s="13" t="s">
        <v>161</v>
      </c>
      <c r="P281" s="13" t="s">
        <v>162</v>
      </c>
      <c r="Q281" s="19">
        <v>41243</v>
      </c>
      <c r="R281" s="36" t="s">
        <v>1988</v>
      </c>
    </row>
    <row r="282" spans="1:18" s="26" customFormat="1" ht="19.149999999999999" customHeight="1" x14ac:dyDescent="0.3">
      <c r="A282" s="13">
        <v>281</v>
      </c>
      <c r="B282" s="13" t="s">
        <v>52</v>
      </c>
      <c r="C282" s="13" t="s">
        <v>62</v>
      </c>
      <c r="D282" s="13">
        <v>96</v>
      </c>
      <c r="E282" s="32" t="s">
        <v>304</v>
      </c>
      <c r="F282" s="21" t="s">
        <v>594</v>
      </c>
      <c r="G282" s="28" t="s">
        <v>164</v>
      </c>
      <c r="H282" s="18">
        <v>8</v>
      </c>
      <c r="I282" s="127">
        <v>950</v>
      </c>
      <c r="J282" s="69">
        <v>0</v>
      </c>
      <c r="K282" s="18" t="s">
        <v>336</v>
      </c>
      <c r="L282" s="18">
        <v>0</v>
      </c>
      <c r="M282" s="18" t="s">
        <v>1513</v>
      </c>
      <c r="N282" s="18" t="s">
        <v>1495</v>
      </c>
      <c r="O282" s="13" t="s">
        <v>161</v>
      </c>
      <c r="P282" s="13" t="s">
        <v>162</v>
      </c>
      <c r="Q282" s="19">
        <v>39274</v>
      </c>
      <c r="R282" s="16"/>
    </row>
    <row r="283" spans="1:18" s="126" customFormat="1" ht="19.149999999999999" customHeight="1" x14ac:dyDescent="0.3">
      <c r="A283" s="29">
        <v>282</v>
      </c>
      <c r="B283" s="13" t="s">
        <v>52</v>
      </c>
      <c r="C283" s="13" t="s">
        <v>62</v>
      </c>
      <c r="D283" s="13">
        <v>96</v>
      </c>
      <c r="E283" s="32" t="s">
        <v>590</v>
      </c>
      <c r="F283" s="21" t="s">
        <v>591</v>
      </c>
      <c r="G283" s="28" t="s">
        <v>1553</v>
      </c>
      <c r="H283" s="18">
        <v>6</v>
      </c>
      <c r="I283" s="127">
        <v>474</v>
      </c>
      <c r="J283" s="69">
        <v>5</v>
      </c>
      <c r="K283" s="18" t="s">
        <v>1989</v>
      </c>
      <c r="L283" s="18">
        <v>0</v>
      </c>
      <c r="M283" s="18" t="s">
        <v>1513</v>
      </c>
      <c r="N283" s="18" t="s">
        <v>1495</v>
      </c>
      <c r="O283" s="28" t="s">
        <v>159</v>
      </c>
      <c r="P283" s="13" t="s">
        <v>160</v>
      </c>
      <c r="Q283" s="19">
        <v>40847</v>
      </c>
      <c r="R283" s="16" t="s">
        <v>3218</v>
      </c>
    </row>
    <row r="284" spans="1:18" s="26" customFormat="1" ht="19.149999999999999" customHeight="1" x14ac:dyDescent="0.3">
      <c r="A284" s="13">
        <v>283</v>
      </c>
      <c r="B284" s="13" t="s">
        <v>1882</v>
      </c>
      <c r="C284" s="13" t="s">
        <v>1980</v>
      </c>
      <c r="D284" s="13">
        <v>96</v>
      </c>
      <c r="E284" s="24" t="s">
        <v>1990</v>
      </c>
      <c r="F284" s="24" t="s">
        <v>1991</v>
      </c>
      <c r="G284" s="13" t="s">
        <v>1513</v>
      </c>
      <c r="H284" s="18">
        <v>1</v>
      </c>
      <c r="I284" s="127">
        <v>16</v>
      </c>
      <c r="J284" s="89">
        <v>0</v>
      </c>
      <c r="K284" s="118" t="s">
        <v>336</v>
      </c>
      <c r="L284" s="118">
        <v>0</v>
      </c>
      <c r="M284" s="118" t="s">
        <v>1513</v>
      </c>
      <c r="N284" s="118" t="s">
        <v>1495</v>
      </c>
      <c r="O284" s="15" t="s">
        <v>1992</v>
      </c>
      <c r="P284" s="131" t="s">
        <v>1993</v>
      </c>
      <c r="Q284" s="19">
        <v>44832</v>
      </c>
      <c r="R284" s="43"/>
    </row>
    <row r="285" spans="1:18" s="26" customFormat="1" ht="19.149999999999999" customHeight="1" x14ac:dyDescent="0.3">
      <c r="A285" s="29">
        <v>284</v>
      </c>
      <c r="B285" s="13" t="s">
        <v>52</v>
      </c>
      <c r="C285" s="13" t="s">
        <v>62</v>
      </c>
      <c r="D285" s="13">
        <v>96</v>
      </c>
      <c r="E285" s="21" t="s">
        <v>312</v>
      </c>
      <c r="F285" s="21" t="s">
        <v>1227</v>
      </c>
      <c r="G285" s="13" t="s">
        <v>154</v>
      </c>
      <c r="H285" s="18">
        <v>8</v>
      </c>
      <c r="I285" s="127">
        <v>1720</v>
      </c>
      <c r="J285" s="69">
        <v>3</v>
      </c>
      <c r="K285" s="18" t="s">
        <v>1994</v>
      </c>
      <c r="L285" s="18">
        <v>0</v>
      </c>
      <c r="M285" s="18" t="s">
        <v>1513</v>
      </c>
      <c r="N285" s="18" t="s">
        <v>1495</v>
      </c>
      <c r="O285" s="13" t="s">
        <v>161</v>
      </c>
      <c r="P285" s="13" t="s">
        <v>162</v>
      </c>
      <c r="Q285" s="19">
        <v>40430</v>
      </c>
      <c r="R285" s="50"/>
    </row>
    <row r="286" spans="1:18" s="26" customFormat="1" ht="19.149999999999999" customHeight="1" x14ac:dyDescent="0.3">
      <c r="A286" s="13">
        <v>285</v>
      </c>
      <c r="B286" s="15" t="s">
        <v>52</v>
      </c>
      <c r="C286" s="15" t="s">
        <v>63</v>
      </c>
      <c r="D286" s="13">
        <v>101</v>
      </c>
      <c r="E286" s="16" t="s">
        <v>1995</v>
      </c>
      <c r="F286" s="16" t="s">
        <v>606</v>
      </c>
      <c r="G286" s="15" t="s">
        <v>154</v>
      </c>
      <c r="H286" s="18">
        <v>7</v>
      </c>
      <c r="I286" s="127">
        <v>1165</v>
      </c>
      <c r="J286" s="69">
        <v>0</v>
      </c>
      <c r="K286" s="18" t="s">
        <v>336</v>
      </c>
      <c r="L286" s="18">
        <v>0</v>
      </c>
      <c r="M286" s="18" t="s">
        <v>1513</v>
      </c>
      <c r="N286" s="18" t="s">
        <v>1495</v>
      </c>
      <c r="O286" s="15" t="s">
        <v>155</v>
      </c>
      <c r="P286" s="13" t="s">
        <v>156</v>
      </c>
      <c r="Q286" s="19">
        <v>42579</v>
      </c>
      <c r="R286" s="36" t="s">
        <v>607</v>
      </c>
    </row>
    <row r="287" spans="1:18" s="26" customFormat="1" ht="19.149999999999999" customHeight="1" x14ac:dyDescent="0.3">
      <c r="A287" s="29">
        <v>286</v>
      </c>
      <c r="B287" s="13" t="s">
        <v>608</v>
      </c>
      <c r="C287" s="13" t="s">
        <v>63</v>
      </c>
      <c r="D287" s="13">
        <v>101</v>
      </c>
      <c r="E287" s="16" t="s">
        <v>231</v>
      </c>
      <c r="F287" s="21" t="s">
        <v>609</v>
      </c>
      <c r="G287" s="15" t="s">
        <v>345</v>
      </c>
      <c r="H287" s="18">
        <v>7</v>
      </c>
      <c r="I287" s="127">
        <v>1115</v>
      </c>
      <c r="J287" s="69">
        <v>0</v>
      </c>
      <c r="K287" s="18" t="s">
        <v>336</v>
      </c>
      <c r="L287" s="18">
        <v>0</v>
      </c>
      <c r="M287" s="18" t="s">
        <v>1513</v>
      </c>
      <c r="N287" s="18" t="s">
        <v>1495</v>
      </c>
      <c r="O287" s="28" t="s">
        <v>159</v>
      </c>
      <c r="P287" s="13" t="s">
        <v>160</v>
      </c>
      <c r="Q287" s="19">
        <v>41997</v>
      </c>
      <c r="R287" s="24"/>
    </row>
    <row r="288" spans="1:18" s="26" customFormat="1" ht="19.149999999999999" customHeight="1" x14ac:dyDescent="0.3">
      <c r="A288" s="13">
        <v>287</v>
      </c>
      <c r="B288" s="13" t="s">
        <v>52</v>
      </c>
      <c r="C288" s="13" t="s">
        <v>64</v>
      </c>
      <c r="D288" s="13">
        <v>102</v>
      </c>
      <c r="E288" s="32" t="s">
        <v>280</v>
      </c>
      <c r="F288" s="21" t="s">
        <v>616</v>
      </c>
      <c r="G288" s="28" t="s">
        <v>164</v>
      </c>
      <c r="H288" s="18">
        <v>8</v>
      </c>
      <c r="I288" s="127">
        <v>738</v>
      </c>
      <c r="J288" s="69">
        <v>0</v>
      </c>
      <c r="K288" s="18" t="s">
        <v>1513</v>
      </c>
      <c r="L288" s="18">
        <v>0</v>
      </c>
      <c r="M288" s="18" t="s">
        <v>1513</v>
      </c>
      <c r="N288" s="18" t="s">
        <v>1495</v>
      </c>
      <c r="O288" s="13" t="s">
        <v>161</v>
      </c>
      <c r="P288" s="13" t="s">
        <v>162</v>
      </c>
      <c r="Q288" s="19">
        <v>40617</v>
      </c>
      <c r="R288" s="16"/>
    </row>
    <row r="289" spans="1:18" s="26" customFormat="1" ht="19.149999999999999" customHeight="1" x14ac:dyDescent="0.3">
      <c r="A289" s="29">
        <v>288</v>
      </c>
      <c r="B289" s="15" t="s">
        <v>1882</v>
      </c>
      <c r="C289" s="15" t="s">
        <v>1996</v>
      </c>
      <c r="D289" s="13">
        <v>102</v>
      </c>
      <c r="E289" s="16" t="s">
        <v>1997</v>
      </c>
      <c r="F289" s="16" t="s">
        <v>1998</v>
      </c>
      <c r="G289" s="15" t="s">
        <v>1553</v>
      </c>
      <c r="H289" s="18">
        <v>10</v>
      </c>
      <c r="I289" s="127">
        <v>862</v>
      </c>
      <c r="J289" s="69">
        <v>0</v>
      </c>
      <c r="K289" s="18" t="s">
        <v>336</v>
      </c>
      <c r="L289" s="18">
        <v>0</v>
      </c>
      <c r="M289" s="18" t="s">
        <v>1513</v>
      </c>
      <c r="N289" s="18" t="s">
        <v>1495</v>
      </c>
      <c r="O289" s="15" t="s">
        <v>155</v>
      </c>
      <c r="P289" s="13" t="s">
        <v>156</v>
      </c>
      <c r="Q289" s="19">
        <v>44874</v>
      </c>
      <c r="R289" s="36"/>
    </row>
    <row r="290" spans="1:18" s="26" customFormat="1" ht="19.149999999999999" customHeight="1" x14ac:dyDescent="0.3">
      <c r="A290" s="13">
        <v>289</v>
      </c>
      <c r="B290" s="13" t="s">
        <v>1882</v>
      </c>
      <c r="C290" s="13" t="s">
        <v>1996</v>
      </c>
      <c r="D290" s="13">
        <v>102</v>
      </c>
      <c r="E290" s="32" t="s">
        <v>1999</v>
      </c>
      <c r="F290" s="21" t="s">
        <v>2000</v>
      </c>
      <c r="G290" s="28" t="s">
        <v>1538</v>
      </c>
      <c r="H290" s="18">
        <v>8</v>
      </c>
      <c r="I290" s="127">
        <v>1215</v>
      </c>
      <c r="J290" s="69">
        <v>2</v>
      </c>
      <c r="K290" s="18" t="s">
        <v>2001</v>
      </c>
      <c r="L290" s="18">
        <v>0</v>
      </c>
      <c r="M290" s="18" t="s">
        <v>1513</v>
      </c>
      <c r="N290" s="18" t="s">
        <v>1495</v>
      </c>
      <c r="O290" s="13" t="s">
        <v>161</v>
      </c>
      <c r="P290" s="13" t="s">
        <v>162</v>
      </c>
      <c r="Q290" s="19">
        <v>44141</v>
      </c>
      <c r="R290" s="16"/>
    </row>
    <row r="291" spans="1:18" s="26" customFormat="1" ht="19.149999999999999" customHeight="1" x14ac:dyDescent="0.3">
      <c r="A291" s="29">
        <v>290</v>
      </c>
      <c r="B291" s="13" t="s">
        <v>608</v>
      </c>
      <c r="C291" s="13" t="s">
        <v>64</v>
      </c>
      <c r="D291" s="13">
        <v>102</v>
      </c>
      <c r="E291" s="32" t="s">
        <v>617</v>
      </c>
      <c r="F291" s="21" t="s">
        <v>618</v>
      </c>
      <c r="G291" s="28" t="s">
        <v>444</v>
      </c>
      <c r="H291" s="18">
        <v>6</v>
      </c>
      <c r="I291" s="127">
        <v>454</v>
      </c>
      <c r="J291" s="69">
        <v>0</v>
      </c>
      <c r="K291" s="18" t="s">
        <v>336</v>
      </c>
      <c r="L291" s="18">
        <v>0</v>
      </c>
      <c r="M291" s="18" t="s">
        <v>1513</v>
      </c>
      <c r="N291" s="18" t="s">
        <v>1495</v>
      </c>
      <c r="O291" s="13" t="s">
        <v>161</v>
      </c>
      <c r="P291" s="13" t="s">
        <v>162</v>
      </c>
      <c r="Q291" s="19">
        <v>41996</v>
      </c>
      <c r="R291" s="16"/>
    </row>
    <row r="292" spans="1:18" s="26" customFormat="1" ht="19.149999999999999" customHeight="1" x14ac:dyDescent="0.3">
      <c r="A292" s="13">
        <v>291</v>
      </c>
      <c r="B292" s="29" t="s">
        <v>1882</v>
      </c>
      <c r="C292" s="29" t="s">
        <v>1996</v>
      </c>
      <c r="D292" s="29">
        <v>102</v>
      </c>
      <c r="E292" s="51" t="s">
        <v>2002</v>
      </c>
      <c r="F292" s="51" t="s">
        <v>2003</v>
      </c>
      <c r="G292" s="29" t="s">
        <v>1538</v>
      </c>
      <c r="H292" s="18">
        <v>5</v>
      </c>
      <c r="I292" s="18">
        <v>775</v>
      </c>
      <c r="J292" s="69">
        <v>0</v>
      </c>
      <c r="K292" s="18" t="s">
        <v>336</v>
      </c>
      <c r="L292" s="18">
        <v>0</v>
      </c>
      <c r="M292" s="18" t="s">
        <v>1513</v>
      </c>
      <c r="N292" s="18" t="s">
        <v>1495</v>
      </c>
      <c r="O292" s="13" t="s">
        <v>159</v>
      </c>
      <c r="P292" s="13" t="s">
        <v>160</v>
      </c>
      <c r="Q292" s="19">
        <v>44317</v>
      </c>
      <c r="R292" s="29"/>
    </row>
    <row r="293" spans="1:18" s="26" customFormat="1" ht="19.149999999999999" customHeight="1" x14ac:dyDescent="0.3">
      <c r="A293" s="29">
        <v>292</v>
      </c>
      <c r="B293" s="15" t="s">
        <v>52</v>
      </c>
      <c r="C293" s="15" t="s">
        <v>64</v>
      </c>
      <c r="D293" s="13">
        <v>102</v>
      </c>
      <c r="E293" s="16" t="s">
        <v>270</v>
      </c>
      <c r="F293" s="14" t="s">
        <v>2004</v>
      </c>
      <c r="G293" s="15" t="s">
        <v>154</v>
      </c>
      <c r="H293" s="18">
        <v>3</v>
      </c>
      <c r="I293" s="127">
        <v>328</v>
      </c>
      <c r="J293" s="69">
        <v>0</v>
      </c>
      <c r="K293" s="18" t="s">
        <v>336</v>
      </c>
      <c r="L293" s="18">
        <v>0</v>
      </c>
      <c r="M293" s="18" t="s">
        <v>1513</v>
      </c>
      <c r="N293" s="18" t="s">
        <v>1495</v>
      </c>
      <c r="O293" s="28" t="s">
        <v>159</v>
      </c>
      <c r="P293" s="13" t="s">
        <v>160</v>
      </c>
      <c r="Q293" s="19">
        <v>40534</v>
      </c>
      <c r="R293" s="37"/>
    </row>
    <row r="294" spans="1:18" s="26" customFormat="1" ht="19.149999999999999" customHeight="1" x14ac:dyDescent="0.3">
      <c r="A294" s="13">
        <v>293</v>
      </c>
      <c r="B294" s="13" t="s">
        <v>608</v>
      </c>
      <c r="C294" s="13" t="s">
        <v>619</v>
      </c>
      <c r="D294" s="13">
        <v>102</v>
      </c>
      <c r="E294" s="21" t="s">
        <v>620</v>
      </c>
      <c r="F294" s="21" t="s">
        <v>621</v>
      </c>
      <c r="G294" s="13" t="s">
        <v>345</v>
      </c>
      <c r="H294" s="18">
        <v>2</v>
      </c>
      <c r="I294" s="127">
        <v>172</v>
      </c>
      <c r="J294" s="69">
        <v>0</v>
      </c>
      <c r="K294" s="18" t="s">
        <v>336</v>
      </c>
      <c r="L294" s="18">
        <v>0</v>
      </c>
      <c r="M294" s="18" t="s">
        <v>1513</v>
      </c>
      <c r="N294" s="18" t="s">
        <v>1495</v>
      </c>
      <c r="O294" s="13" t="s">
        <v>159</v>
      </c>
      <c r="P294" s="13" t="s">
        <v>160</v>
      </c>
      <c r="Q294" s="19">
        <v>41452</v>
      </c>
      <c r="R294" s="24"/>
    </row>
    <row r="295" spans="1:18" s="26" customFormat="1" ht="19.149999999999999" customHeight="1" x14ac:dyDescent="0.3">
      <c r="A295" s="29">
        <v>294</v>
      </c>
      <c r="B295" s="15" t="s">
        <v>52</v>
      </c>
      <c r="C295" s="15" t="s">
        <v>65</v>
      </c>
      <c r="D295" s="13">
        <v>103</v>
      </c>
      <c r="E295" s="16" t="s">
        <v>2005</v>
      </c>
      <c r="F295" s="16" t="s">
        <v>2006</v>
      </c>
      <c r="G295" s="15" t="s">
        <v>164</v>
      </c>
      <c r="H295" s="18">
        <v>5</v>
      </c>
      <c r="I295" s="127">
        <v>375</v>
      </c>
      <c r="J295" s="69">
        <v>5</v>
      </c>
      <c r="K295" s="18" t="s">
        <v>1989</v>
      </c>
      <c r="L295" s="18">
        <v>0</v>
      </c>
      <c r="M295" s="18" t="s">
        <v>1513</v>
      </c>
      <c r="N295" s="18" t="s">
        <v>1495</v>
      </c>
      <c r="O295" s="28" t="s">
        <v>159</v>
      </c>
      <c r="P295" s="13" t="s">
        <v>160</v>
      </c>
      <c r="Q295" s="19">
        <v>43800</v>
      </c>
      <c r="R295" s="6" t="s">
        <v>2007</v>
      </c>
    </row>
    <row r="296" spans="1:18" s="26" customFormat="1" ht="19.149999999999999" customHeight="1" x14ac:dyDescent="0.3">
      <c r="A296" s="13">
        <v>295</v>
      </c>
      <c r="B296" s="13" t="s">
        <v>1882</v>
      </c>
      <c r="C296" s="13" t="s">
        <v>2008</v>
      </c>
      <c r="D296" s="13">
        <v>103</v>
      </c>
      <c r="E296" s="21" t="s">
        <v>2009</v>
      </c>
      <c r="F296" s="21" t="s">
        <v>2010</v>
      </c>
      <c r="G296" s="13" t="s">
        <v>1553</v>
      </c>
      <c r="H296" s="18">
        <v>8</v>
      </c>
      <c r="I296" s="127">
        <v>552</v>
      </c>
      <c r="J296" s="69">
        <v>0</v>
      </c>
      <c r="K296" s="18" t="s">
        <v>1513</v>
      </c>
      <c r="L296" s="18">
        <v>0</v>
      </c>
      <c r="M296" s="18" t="s">
        <v>1513</v>
      </c>
      <c r="N296" s="18" t="s">
        <v>1495</v>
      </c>
      <c r="O296" s="15" t="s">
        <v>155</v>
      </c>
      <c r="P296" s="13" t="s">
        <v>156</v>
      </c>
      <c r="Q296" s="19">
        <v>43790</v>
      </c>
      <c r="R296" s="24"/>
    </row>
    <row r="297" spans="1:18" s="26" customFormat="1" ht="19.149999999999999" customHeight="1" x14ac:dyDescent="0.3">
      <c r="A297" s="29">
        <v>296</v>
      </c>
      <c r="B297" s="13" t="s">
        <v>52</v>
      </c>
      <c r="C297" s="13" t="s">
        <v>65</v>
      </c>
      <c r="D297" s="13">
        <v>103</v>
      </c>
      <c r="E297" s="21" t="s">
        <v>2011</v>
      </c>
      <c r="F297" s="21" t="s">
        <v>2012</v>
      </c>
      <c r="G297" s="13" t="s">
        <v>164</v>
      </c>
      <c r="H297" s="18">
        <v>6</v>
      </c>
      <c r="I297" s="127">
        <v>363</v>
      </c>
      <c r="J297" s="69">
        <v>0</v>
      </c>
      <c r="K297" s="18" t="s">
        <v>336</v>
      </c>
      <c r="L297" s="18">
        <v>0</v>
      </c>
      <c r="M297" s="18" t="s">
        <v>1513</v>
      </c>
      <c r="N297" s="18" t="s">
        <v>1495</v>
      </c>
      <c r="O297" s="15" t="s">
        <v>155</v>
      </c>
      <c r="P297" s="13" t="s">
        <v>156</v>
      </c>
      <c r="Q297" s="19">
        <v>43803</v>
      </c>
      <c r="R297" s="36" t="s">
        <v>2013</v>
      </c>
    </row>
    <row r="298" spans="1:18" s="26" customFormat="1" ht="19.149999999999999" customHeight="1" x14ac:dyDescent="0.3">
      <c r="A298" s="13">
        <v>297</v>
      </c>
      <c r="B298" s="13" t="s">
        <v>52</v>
      </c>
      <c r="C298" s="13" t="s">
        <v>66</v>
      </c>
      <c r="D298" s="13">
        <v>104</v>
      </c>
      <c r="E298" s="21" t="s">
        <v>257</v>
      </c>
      <c r="F298" s="21" t="s">
        <v>646</v>
      </c>
      <c r="G298" s="13" t="s">
        <v>1553</v>
      </c>
      <c r="H298" s="18">
        <v>8</v>
      </c>
      <c r="I298" s="127">
        <v>524</v>
      </c>
      <c r="J298" s="69">
        <v>8</v>
      </c>
      <c r="K298" s="18" t="s">
        <v>1984</v>
      </c>
      <c r="L298" s="18">
        <v>0</v>
      </c>
      <c r="M298" s="18" t="s">
        <v>1513</v>
      </c>
      <c r="N298" s="18" t="s">
        <v>1495</v>
      </c>
      <c r="O298" s="13" t="s">
        <v>159</v>
      </c>
      <c r="P298" s="13" t="s">
        <v>160</v>
      </c>
      <c r="Q298" s="19">
        <v>40488</v>
      </c>
      <c r="R298" s="24" t="s">
        <v>2014</v>
      </c>
    </row>
    <row r="299" spans="1:18" s="26" customFormat="1" ht="19.149999999999999" customHeight="1" x14ac:dyDescent="0.3">
      <c r="A299" s="29">
        <v>298</v>
      </c>
      <c r="B299" s="13" t="s">
        <v>52</v>
      </c>
      <c r="C299" s="13" t="s">
        <v>66</v>
      </c>
      <c r="D299" s="13">
        <v>104</v>
      </c>
      <c r="E299" s="21" t="s">
        <v>647</v>
      </c>
      <c r="F299" s="21" t="s">
        <v>648</v>
      </c>
      <c r="G299" s="13" t="s">
        <v>164</v>
      </c>
      <c r="H299" s="18">
        <v>6</v>
      </c>
      <c r="I299" s="127">
        <v>1227</v>
      </c>
      <c r="J299" s="69">
        <v>1</v>
      </c>
      <c r="K299" s="18" t="s">
        <v>398</v>
      </c>
      <c r="L299" s="18">
        <v>0</v>
      </c>
      <c r="M299" s="18" t="s">
        <v>1513</v>
      </c>
      <c r="N299" s="18" t="s">
        <v>1495</v>
      </c>
      <c r="O299" s="13" t="s">
        <v>161</v>
      </c>
      <c r="P299" s="13" t="s">
        <v>162</v>
      </c>
      <c r="Q299" s="19">
        <v>42901</v>
      </c>
      <c r="R299" s="24"/>
    </row>
    <row r="300" spans="1:18" s="26" customFormat="1" ht="19.149999999999999" customHeight="1" x14ac:dyDescent="0.3">
      <c r="A300" s="13">
        <v>299</v>
      </c>
      <c r="B300" s="13" t="s">
        <v>52</v>
      </c>
      <c r="C300" s="13" t="s">
        <v>66</v>
      </c>
      <c r="D300" s="13">
        <v>104</v>
      </c>
      <c r="E300" s="24" t="s">
        <v>2015</v>
      </c>
      <c r="F300" s="24" t="s">
        <v>645</v>
      </c>
      <c r="G300" s="13" t="s">
        <v>164</v>
      </c>
      <c r="H300" s="18">
        <v>4</v>
      </c>
      <c r="I300" s="127">
        <v>462</v>
      </c>
      <c r="J300" s="69">
        <v>0</v>
      </c>
      <c r="K300" s="18" t="s">
        <v>336</v>
      </c>
      <c r="L300" s="18">
        <v>0</v>
      </c>
      <c r="M300" s="18" t="s">
        <v>1513</v>
      </c>
      <c r="N300" s="18" t="s">
        <v>1495</v>
      </c>
      <c r="O300" s="15" t="s">
        <v>155</v>
      </c>
      <c r="P300" s="13" t="s">
        <v>156</v>
      </c>
      <c r="Q300" s="19">
        <v>39506</v>
      </c>
      <c r="R300" s="24"/>
    </row>
    <row r="301" spans="1:18" s="26" customFormat="1" ht="19.149999999999999" customHeight="1" x14ac:dyDescent="0.3">
      <c r="A301" s="29">
        <v>300</v>
      </c>
      <c r="B301" s="13" t="s">
        <v>52</v>
      </c>
      <c r="C301" s="13" t="s">
        <v>66</v>
      </c>
      <c r="D301" s="13">
        <v>104</v>
      </c>
      <c r="E301" s="24" t="s">
        <v>2016</v>
      </c>
      <c r="F301" s="24" t="s">
        <v>644</v>
      </c>
      <c r="G301" s="13" t="s">
        <v>154</v>
      </c>
      <c r="H301" s="18">
        <v>6</v>
      </c>
      <c r="I301" s="127">
        <v>853</v>
      </c>
      <c r="J301" s="69">
        <v>0</v>
      </c>
      <c r="K301" s="18" t="s">
        <v>336</v>
      </c>
      <c r="L301" s="18">
        <v>0</v>
      </c>
      <c r="M301" s="18" t="s">
        <v>1513</v>
      </c>
      <c r="N301" s="18" t="s">
        <v>1495</v>
      </c>
      <c r="O301" s="15" t="s">
        <v>155</v>
      </c>
      <c r="P301" s="13" t="s">
        <v>156</v>
      </c>
      <c r="Q301" s="19">
        <v>43098</v>
      </c>
      <c r="R301" s="24"/>
    </row>
    <row r="302" spans="1:18" s="26" customFormat="1" ht="19.149999999999999" customHeight="1" x14ac:dyDescent="0.3">
      <c r="A302" s="13">
        <v>301</v>
      </c>
      <c r="B302" s="13" t="s">
        <v>1882</v>
      </c>
      <c r="C302" s="13" t="s">
        <v>2017</v>
      </c>
      <c r="D302" s="13">
        <v>104</v>
      </c>
      <c r="E302" s="63" t="s">
        <v>2018</v>
      </c>
      <c r="F302" s="21" t="s">
        <v>1314</v>
      </c>
      <c r="G302" s="13" t="s">
        <v>1538</v>
      </c>
      <c r="H302" s="18">
        <v>5</v>
      </c>
      <c r="I302" s="127">
        <v>652</v>
      </c>
      <c r="J302" s="69">
        <v>2</v>
      </c>
      <c r="K302" s="13" t="s">
        <v>1554</v>
      </c>
      <c r="L302" s="18">
        <v>0</v>
      </c>
      <c r="M302" s="18" t="s">
        <v>1513</v>
      </c>
      <c r="N302" s="18" t="s">
        <v>1495</v>
      </c>
      <c r="O302" s="28" t="s">
        <v>159</v>
      </c>
      <c r="P302" s="13" t="s">
        <v>160</v>
      </c>
      <c r="Q302" s="19">
        <v>44545</v>
      </c>
      <c r="R302" s="36"/>
    </row>
    <row r="303" spans="1:18" s="26" customFormat="1" ht="19.149999999999999" customHeight="1" x14ac:dyDescent="0.3">
      <c r="A303" s="29">
        <v>302</v>
      </c>
      <c r="B303" s="13" t="s">
        <v>1882</v>
      </c>
      <c r="C303" s="13" t="s">
        <v>2017</v>
      </c>
      <c r="D303" s="13">
        <v>104</v>
      </c>
      <c r="E303" s="21" t="s">
        <v>2019</v>
      </c>
      <c r="F303" s="21" t="s">
        <v>2020</v>
      </c>
      <c r="G303" s="13" t="s">
        <v>1553</v>
      </c>
      <c r="H303" s="18">
        <v>5</v>
      </c>
      <c r="I303" s="127">
        <v>448</v>
      </c>
      <c r="J303" s="69">
        <v>0</v>
      </c>
      <c r="K303" s="18" t="s">
        <v>336</v>
      </c>
      <c r="L303" s="18">
        <v>0</v>
      </c>
      <c r="M303" s="18" t="s">
        <v>1513</v>
      </c>
      <c r="N303" s="18" t="s">
        <v>1495</v>
      </c>
      <c r="O303" s="15" t="s">
        <v>155</v>
      </c>
      <c r="P303" s="13" t="s">
        <v>156</v>
      </c>
      <c r="Q303" s="19">
        <v>44022</v>
      </c>
      <c r="R303" s="24" t="s">
        <v>2021</v>
      </c>
    </row>
    <row r="304" spans="1:18" s="26" customFormat="1" ht="19.149999999999999" customHeight="1" x14ac:dyDescent="0.3">
      <c r="A304" s="13">
        <v>303</v>
      </c>
      <c r="B304" s="15" t="s">
        <v>52</v>
      </c>
      <c r="C304" s="15" t="s">
        <v>67</v>
      </c>
      <c r="D304" s="13">
        <v>105</v>
      </c>
      <c r="E304" s="16" t="s">
        <v>2022</v>
      </c>
      <c r="F304" s="16" t="s">
        <v>610</v>
      </c>
      <c r="G304" s="15" t="s">
        <v>164</v>
      </c>
      <c r="H304" s="18">
        <v>6</v>
      </c>
      <c r="I304" s="127">
        <v>695</v>
      </c>
      <c r="J304" s="69">
        <v>0</v>
      </c>
      <c r="K304" s="18" t="s">
        <v>336</v>
      </c>
      <c r="L304" s="18">
        <v>0</v>
      </c>
      <c r="M304" s="18" t="s">
        <v>1513</v>
      </c>
      <c r="N304" s="18" t="s">
        <v>1495</v>
      </c>
      <c r="O304" s="15" t="s">
        <v>155</v>
      </c>
      <c r="P304" s="13" t="s">
        <v>156</v>
      </c>
      <c r="Q304" s="19">
        <v>42726</v>
      </c>
      <c r="R304" s="36" t="s">
        <v>611</v>
      </c>
    </row>
    <row r="305" spans="1:18" s="26" customFormat="1" ht="19.149999999999999" customHeight="1" x14ac:dyDescent="0.3">
      <c r="A305" s="29">
        <v>304</v>
      </c>
      <c r="B305" s="15" t="s">
        <v>52</v>
      </c>
      <c r="C305" s="15" t="s">
        <v>67</v>
      </c>
      <c r="D305" s="13">
        <v>105</v>
      </c>
      <c r="E305" s="16" t="s">
        <v>248</v>
      </c>
      <c r="F305" s="14" t="s">
        <v>612</v>
      </c>
      <c r="G305" s="15" t="s">
        <v>154</v>
      </c>
      <c r="H305" s="18">
        <v>7</v>
      </c>
      <c r="I305" s="127">
        <v>980</v>
      </c>
      <c r="J305" s="69">
        <v>0</v>
      </c>
      <c r="K305" s="18" t="s">
        <v>336</v>
      </c>
      <c r="L305" s="18">
        <v>0</v>
      </c>
      <c r="M305" s="18" t="s">
        <v>1513</v>
      </c>
      <c r="N305" s="18" t="s">
        <v>1495</v>
      </c>
      <c r="O305" s="13" t="s">
        <v>159</v>
      </c>
      <c r="P305" s="13" t="s">
        <v>160</v>
      </c>
      <c r="Q305" s="19">
        <v>42492</v>
      </c>
      <c r="R305" s="30"/>
    </row>
    <row r="306" spans="1:18" s="26" customFormat="1" ht="19.149999999999999" customHeight="1" x14ac:dyDescent="0.3">
      <c r="A306" s="13">
        <v>305</v>
      </c>
      <c r="B306" s="13" t="s">
        <v>1882</v>
      </c>
      <c r="C306" s="13" t="s">
        <v>2023</v>
      </c>
      <c r="D306" s="13">
        <v>105</v>
      </c>
      <c r="E306" s="21" t="s">
        <v>2024</v>
      </c>
      <c r="F306" s="21" t="s">
        <v>2025</v>
      </c>
      <c r="G306" s="13" t="s">
        <v>1538</v>
      </c>
      <c r="H306" s="18">
        <v>7</v>
      </c>
      <c r="I306" s="127">
        <v>613</v>
      </c>
      <c r="J306" s="69">
        <v>7</v>
      </c>
      <c r="K306" s="18" t="s">
        <v>1716</v>
      </c>
      <c r="L306" s="18">
        <v>0</v>
      </c>
      <c r="M306" s="18" t="s">
        <v>1513</v>
      </c>
      <c r="N306" s="18" t="s">
        <v>1495</v>
      </c>
      <c r="O306" s="13" t="s">
        <v>161</v>
      </c>
      <c r="P306" s="13" t="s">
        <v>162</v>
      </c>
      <c r="Q306" s="19">
        <v>44755</v>
      </c>
      <c r="R306" s="24"/>
    </row>
    <row r="307" spans="1:18" s="26" customFormat="1" ht="19.149999999999999" customHeight="1" x14ac:dyDescent="0.3">
      <c r="A307" s="29">
        <v>306</v>
      </c>
      <c r="B307" s="13" t="s">
        <v>1882</v>
      </c>
      <c r="C307" s="13" t="s">
        <v>2026</v>
      </c>
      <c r="D307" s="13">
        <v>107</v>
      </c>
      <c r="E307" s="21" t="s">
        <v>2027</v>
      </c>
      <c r="F307" s="21" t="s">
        <v>2028</v>
      </c>
      <c r="G307" s="13" t="s">
        <v>1553</v>
      </c>
      <c r="H307" s="18">
        <v>7</v>
      </c>
      <c r="I307" s="127">
        <v>875</v>
      </c>
      <c r="J307" s="69">
        <v>0</v>
      </c>
      <c r="K307" s="49" t="s">
        <v>336</v>
      </c>
      <c r="L307" s="18">
        <v>0</v>
      </c>
      <c r="M307" s="18" t="s">
        <v>1513</v>
      </c>
      <c r="N307" s="18" t="s">
        <v>1495</v>
      </c>
      <c r="O307" s="15" t="s">
        <v>155</v>
      </c>
      <c r="P307" s="13" t="s">
        <v>156</v>
      </c>
      <c r="Q307" s="19">
        <v>44175</v>
      </c>
      <c r="R307" s="37"/>
    </row>
    <row r="308" spans="1:18" s="26" customFormat="1" ht="19.149999999999999" customHeight="1" x14ac:dyDescent="0.3">
      <c r="A308" s="13">
        <v>307</v>
      </c>
      <c r="B308" s="13" t="s">
        <v>52</v>
      </c>
      <c r="C308" s="13" t="s">
        <v>68</v>
      </c>
      <c r="D308" s="13">
        <v>107</v>
      </c>
      <c r="E308" s="21" t="s">
        <v>700</v>
      </c>
      <c r="F308" s="21" t="s">
        <v>701</v>
      </c>
      <c r="G308" s="13" t="s">
        <v>164</v>
      </c>
      <c r="H308" s="18">
        <v>5</v>
      </c>
      <c r="I308" s="127">
        <v>250</v>
      </c>
      <c r="J308" s="69">
        <v>0</v>
      </c>
      <c r="K308" s="18" t="s">
        <v>336</v>
      </c>
      <c r="L308" s="18">
        <v>0</v>
      </c>
      <c r="M308" s="18" t="s">
        <v>1513</v>
      </c>
      <c r="N308" s="18" t="s">
        <v>1495</v>
      </c>
      <c r="O308" s="13" t="s">
        <v>161</v>
      </c>
      <c r="P308" s="13" t="s">
        <v>162</v>
      </c>
      <c r="Q308" s="19">
        <v>43245</v>
      </c>
      <c r="R308" s="16" t="s">
        <v>2029</v>
      </c>
    </row>
    <row r="309" spans="1:18" s="26" customFormat="1" ht="19.149999999999999" customHeight="1" x14ac:dyDescent="0.3">
      <c r="A309" s="29">
        <v>308</v>
      </c>
      <c r="B309" s="29" t="s">
        <v>1882</v>
      </c>
      <c r="C309" s="29" t="s">
        <v>2026</v>
      </c>
      <c r="D309" s="29">
        <v>107</v>
      </c>
      <c r="E309" s="51" t="s">
        <v>2030</v>
      </c>
      <c r="F309" s="51" t="s">
        <v>2031</v>
      </c>
      <c r="G309" s="29" t="s">
        <v>1553</v>
      </c>
      <c r="H309" s="18">
        <v>8</v>
      </c>
      <c r="I309" s="18">
        <v>890</v>
      </c>
      <c r="J309" s="69">
        <v>6</v>
      </c>
      <c r="K309" s="18" t="s">
        <v>1634</v>
      </c>
      <c r="L309" s="18">
        <v>0</v>
      </c>
      <c r="M309" s="18" t="s">
        <v>1513</v>
      </c>
      <c r="N309" s="18" t="s">
        <v>1495</v>
      </c>
      <c r="O309" s="13" t="s">
        <v>159</v>
      </c>
      <c r="P309" s="13" t="s">
        <v>160</v>
      </c>
      <c r="Q309" s="19">
        <v>44426</v>
      </c>
      <c r="R309" s="29"/>
    </row>
    <row r="310" spans="1:18" s="26" customFormat="1" ht="19.149999999999999" customHeight="1" x14ac:dyDescent="0.3">
      <c r="A310" s="13">
        <v>309</v>
      </c>
      <c r="B310" s="13" t="s">
        <v>52</v>
      </c>
      <c r="C310" s="13" t="s">
        <v>68</v>
      </c>
      <c r="D310" s="13">
        <v>107</v>
      </c>
      <c r="E310" s="21" t="s">
        <v>314</v>
      </c>
      <c r="F310" s="21" t="s">
        <v>702</v>
      </c>
      <c r="G310" s="13" t="s">
        <v>154</v>
      </c>
      <c r="H310" s="18">
        <v>11</v>
      </c>
      <c r="I310" s="127">
        <v>1523</v>
      </c>
      <c r="J310" s="69">
        <v>5</v>
      </c>
      <c r="K310" s="18" t="s">
        <v>3428</v>
      </c>
      <c r="L310" s="18">
        <v>0</v>
      </c>
      <c r="M310" s="18" t="s">
        <v>1513</v>
      </c>
      <c r="N310" s="18" t="s">
        <v>1495</v>
      </c>
      <c r="O310" s="13" t="s">
        <v>161</v>
      </c>
      <c r="P310" s="13" t="s">
        <v>162</v>
      </c>
      <c r="Q310" s="19">
        <v>42622</v>
      </c>
      <c r="R310" s="16"/>
    </row>
    <row r="311" spans="1:18" s="26" customFormat="1" ht="19.149999999999999" customHeight="1" x14ac:dyDescent="0.3">
      <c r="A311" s="29">
        <v>310</v>
      </c>
      <c r="B311" s="13" t="s">
        <v>52</v>
      </c>
      <c r="C311" s="13" t="s">
        <v>68</v>
      </c>
      <c r="D311" s="13">
        <v>107</v>
      </c>
      <c r="E311" s="21" t="s">
        <v>2032</v>
      </c>
      <c r="F311" s="21" t="s">
        <v>699</v>
      </c>
      <c r="G311" s="13" t="s">
        <v>154</v>
      </c>
      <c r="H311" s="18">
        <v>6</v>
      </c>
      <c r="I311" s="127">
        <v>881</v>
      </c>
      <c r="J311" s="69">
        <v>0</v>
      </c>
      <c r="K311" s="49" t="s">
        <v>336</v>
      </c>
      <c r="L311" s="18">
        <v>0</v>
      </c>
      <c r="M311" s="18" t="s">
        <v>1513</v>
      </c>
      <c r="N311" s="18" t="s">
        <v>1495</v>
      </c>
      <c r="O311" s="15" t="s">
        <v>155</v>
      </c>
      <c r="P311" s="13" t="s">
        <v>156</v>
      </c>
      <c r="Q311" s="19">
        <v>43448</v>
      </c>
      <c r="R311" s="37"/>
    </row>
    <row r="312" spans="1:18" s="26" customFormat="1" ht="19.149999999999999" customHeight="1" x14ac:dyDescent="0.3">
      <c r="A312" s="13">
        <v>311</v>
      </c>
      <c r="B312" s="13" t="s">
        <v>1882</v>
      </c>
      <c r="C312" s="13" t="s">
        <v>2033</v>
      </c>
      <c r="D312" s="13">
        <v>108</v>
      </c>
      <c r="E312" s="21" t="s">
        <v>2034</v>
      </c>
      <c r="F312" s="21" t="s">
        <v>2035</v>
      </c>
      <c r="G312" s="13" t="s">
        <v>1553</v>
      </c>
      <c r="H312" s="18">
        <v>6</v>
      </c>
      <c r="I312" s="127">
        <v>611</v>
      </c>
      <c r="J312" s="69">
        <v>2</v>
      </c>
      <c r="K312" s="18" t="s">
        <v>1590</v>
      </c>
      <c r="L312" s="18">
        <v>0</v>
      </c>
      <c r="M312" s="18" t="s">
        <v>1513</v>
      </c>
      <c r="N312" s="18" t="s">
        <v>1495</v>
      </c>
      <c r="O312" s="15" t="s">
        <v>1912</v>
      </c>
      <c r="P312" s="13" t="s">
        <v>162</v>
      </c>
      <c r="Q312" s="19">
        <v>43475</v>
      </c>
      <c r="R312" s="36" t="s">
        <v>2036</v>
      </c>
    </row>
    <row r="313" spans="1:18" s="26" customFormat="1" ht="19.149999999999999" customHeight="1" x14ac:dyDescent="0.3">
      <c r="A313" s="29">
        <v>312</v>
      </c>
      <c r="B313" s="13" t="s">
        <v>52</v>
      </c>
      <c r="C313" s="13" t="s">
        <v>69</v>
      </c>
      <c r="D313" s="13">
        <v>108</v>
      </c>
      <c r="E313" s="21" t="s">
        <v>263</v>
      </c>
      <c r="F313" s="21" t="s">
        <v>680</v>
      </c>
      <c r="G313" s="13" t="s">
        <v>154</v>
      </c>
      <c r="H313" s="18">
        <v>7</v>
      </c>
      <c r="I313" s="127">
        <v>1091</v>
      </c>
      <c r="J313" s="69">
        <v>0</v>
      </c>
      <c r="K313" s="18" t="s">
        <v>336</v>
      </c>
      <c r="L313" s="18">
        <v>0</v>
      </c>
      <c r="M313" s="18" t="s">
        <v>1513</v>
      </c>
      <c r="N313" s="18" t="s">
        <v>1495</v>
      </c>
      <c r="O313" s="28" t="s">
        <v>159</v>
      </c>
      <c r="P313" s="13" t="s">
        <v>160</v>
      </c>
      <c r="Q313" s="19">
        <v>43355</v>
      </c>
      <c r="R313" s="24"/>
    </row>
    <row r="314" spans="1:18" s="40" customFormat="1" ht="19.149999999999999" customHeight="1" x14ac:dyDescent="0.3">
      <c r="A314" s="13">
        <v>313</v>
      </c>
      <c r="B314" s="13" t="s">
        <v>52</v>
      </c>
      <c r="C314" s="13" t="s">
        <v>69</v>
      </c>
      <c r="D314" s="13">
        <v>108</v>
      </c>
      <c r="E314" s="24" t="s">
        <v>2037</v>
      </c>
      <c r="F314" s="24" t="s">
        <v>677</v>
      </c>
      <c r="G314" s="13" t="s">
        <v>164</v>
      </c>
      <c r="H314" s="18">
        <v>8</v>
      </c>
      <c r="I314" s="127">
        <v>1144</v>
      </c>
      <c r="J314" s="69">
        <v>0</v>
      </c>
      <c r="K314" s="18" t="s">
        <v>336</v>
      </c>
      <c r="L314" s="18">
        <v>0</v>
      </c>
      <c r="M314" s="18" t="s">
        <v>1513</v>
      </c>
      <c r="N314" s="18" t="s">
        <v>1495</v>
      </c>
      <c r="O314" s="15" t="s">
        <v>155</v>
      </c>
      <c r="P314" s="13" t="s">
        <v>156</v>
      </c>
      <c r="Q314" s="19">
        <v>40681</v>
      </c>
      <c r="R314" s="43"/>
    </row>
    <row r="315" spans="1:18" s="26" customFormat="1" ht="19.149999999999999" customHeight="1" x14ac:dyDescent="0.3">
      <c r="A315" s="29">
        <v>314</v>
      </c>
      <c r="B315" s="13" t="s">
        <v>2038</v>
      </c>
      <c r="C315" s="13" t="s">
        <v>2033</v>
      </c>
      <c r="D315" s="13">
        <v>108</v>
      </c>
      <c r="E315" s="21" t="s">
        <v>2039</v>
      </c>
      <c r="F315" s="21" t="s">
        <v>2040</v>
      </c>
      <c r="G315" s="13" t="s">
        <v>1538</v>
      </c>
      <c r="H315" s="18">
        <v>6</v>
      </c>
      <c r="I315" s="127">
        <v>254</v>
      </c>
      <c r="J315" s="69">
        <v>6</v>
      </c>
      <c r="K315" s="18" t="s">
        <v>1878</v>
      </c>
      <c r="L315" s="18">
        <v>0</v>
      </c>
      <c r="M315" s="18" t="s">
        <v>1513</v>
      </c>
      <c r="N315" s="18" t="s">
        <v>1495</v>
      </c>
      <c r="O315" s="15" t="s">
        <v>1912</v>
      </c>
      <c r="P315" s="13" t="s">
        <v>162</v>
      </c>
      <c r="Q315" s="19">
        <v>43962</v>
      </c>
      <c r="R315" s="24"/>
    </row>
    <row r="316" spans="1:18" s="26" customFormat="1" ht="19.149999999999999" customHeight="1" x14ac:dyDescent="0.3">
      <c r="A316" s="13">
        <v>315</v>
      </c>
      <c r="B316" s="13" t="s">
        <v>52</v>
      </c>
      <c r="C316" s="13" t="s">
        <v>69</v>
      </c>
      <c r="D316" s="13">
        <v>108</v>
      </c>
      <c r="E316" s="24" t="s">
        <v>2041</v>
      </c>
      <c r="F316" s="24" t="s">
        <v>676</v>
      </c>
      <c r="G316" s="13" t="s">
        <v>164</v>
      </c>
      <c r="H316" s="18">
        <v>4</v>
      </c>
      <c r="I316" s="127">
        <v>406</v>
      </c>
      <c r="J316" s="69">
        <v>0</v>
      </c>
      <c r="K316" s="18" t="s">
        <v>336</v>
      </c>
      <c r="L316" s="18">
        <v>0</v>
      </c>
      <c r="M316" s="18" t="s">
        <v>1513</v>
      </c>
      <c r="N316" s="18" t="s">
        <v>1495</v>
      </c>
      <c r="O316" s="15" t="s">
        <v>155</v>
      </c>
      <c r="P316" s="13" t="s">
        <v>156</v>
      </c>
      <c r="Q316" s="19">
        <v>43333</v>
      </c>
      <c r="R316" s="43"/>
    </row>
    <row r="317" spans="1:18" s="26" customFormat="1" ht="19.149999999999999" customHeight="1" x14ac:dyDescent="0.3">
      <c r="A317" s="29">
        <v>316</v>
      </c>
      <c r="B317" s="13" t="s">
        <v>1882</v>
      </c>
      <c r="C317" s="13" t="s">
        <v>2033</v>
      </c>
      <c r="D317" s="13">
        <v>108</v>
      </c>
      <c r="E317" s="24" t="s">
        <v>2042</v>
      </c>
      <c r="F317" s="24" t="s">
        <v>2043</v>
      </c>
      <c r="G317" s="13" t="s">
        <v>1538</v>
      </c>
      <c r="H317" s="18">
        <v>8</v>
      </c>
      <c r="I317" s="127">
        <v>1331</v>
      </c>
      <c r="J317" s="69">
        <v>4</v>
      </c>
      <c r="K317" s="18" t="s">
        <v>2044</v>
      </c>
      <c r="L317" s="18">
        <v>0</v>
      </c>
      <c r="M317" s="18" t="s">
        <v>1513</v>
      </c>
      <c r="N317" s="18" t="s">
        <v>1495</v>
      </c>
      <c r="O317" s="28" t="s">
        <v>159</v>
      </c>
      <c r="P317" s="13" t="s">
        <v>160</v>
      </c>
      <c r="Q317" s="19">
        <v>43706</v>
      </c>
      <c r="R317" s="43"/>
    </row>
    <row r="318" spans="1:18" s="26" customFormat="1" ht="19.149999999999999" customHeight="1" x14ac:dyDescent="0.3">
      <c r="A318" s="13">
        <v>317</v>
      </c>
      <c r="B318" s="13" t="s">
        <v>52</v>
      </c>
      <c r="C318" s="13" t="s">
        <v>69</v>
      </c>
      <c r="D318" s="13">
        <v>108</v>
      </c>
      <c r="E318" s="24" t="s">
        <v>2045</v>
      </c>
      <c r="F318" s="24" t="s">
        <v>678</v>
      </c>
      <c r="G318" s="13" t="s">
        <v>164</v>
      </c>
      <c r="H318" s="18">
        <v>8</v>
      </c>
      <c r="I318" s="127">
        <v>671</v>
      </c>
      <c r="J318" s="69">
        <v>0</v>
      </c>
      <c r="K318" s="18" t="s">
        <v>1513</v>
      </c>
      <c r="L318" s="18">
        <v>0</v>
      </c>
      <c r="M318" s="18" t="s">
        <v>1513</v>
      </c>
      <c r="N318" s="18" t="s">
        <v>1495</v>
      </c>
      <c r="O318" s="15" t="s">
        <v>155</v>
      </c>
      <c r="P318" s="13" t="s">
        <v>156</v>
      </c>
      <c r="Q318" s="19">
        <v>43090</v>
      </c>
      <c r="R318" s="123" t="s">
        <v>679</v>
      </c>
    </row>
    <row r="319" spans="1:18" s="26" customFormat="1" ht="19.149999999999999" customHeight="1" x14ac:dyDescent="0.3">
      <c r="A319" s="29">
        <v>318</v>
      </c>
      <c r="B319" s="13" t="s">
        <v>1882</v>
      </c>
      <c r="C319" s="13" t="s">
        <v>2033</v>
      </c>
      <c r="D319" s="13">
        <v>108</v>
      </c>
      <c r="E319" s="24" t="s">
        <v>2046</v>
      </c>
      <c r="F319" s="24" t="s">
        <v>2047</v>
      </c>
      <c r="G319" s="13" t="s">
        <v>1538</v>
      </c>
      <c r="H319" s="18">
        <v>7</v>
      </c>
      <c r="I319" s="127">
        <v>1002</v>
      </c>
      <c r="J319" s="69">
        <v>3</v>
      </c>
      <c r="K319" s="18" t="s">
        <v>2048</v>
      </c>
      <c r="L319" s="18">
        <v>0</v>
      </c>
      <c r="M319" s="18" t="s">
        <v>1513</v>
      </c>
      <c r="N319" s="18" t="s">
        <v>1495</v>
      </c>
      <c r="O319" s="28" t="s">
        <v>159</v>
      </c>
      <c r="P319" s="13" t="s">
        <v>160</v>
      </c>
      <c r="Q319" s="19">
        <v>43481</v>
      </c>
      <c r="R319" s="43"/>
    </row>
    <row r="320" spans="1:18" s="26" customFormat="1" ht="19.149999999999999" customHeight="1" x14ac:dyDescent="0.3">
      <c r="A320" s="13">
        <v>319</v>
      </c>
      <c r="B320" s="29" t="s">
        <v>1882</v>
      </c>
      <c r="C320" s="29" t="s">
        <v>2033</v>
      </c>
      <c r="D320" s="29">
        <v>110</v>
      </c>
      <c r="E320" s="51" t="s">
        <v>2049</v>
      </c>
      <c r="F320" s="51" t="s">
        <v>2050</v>
      </c>
      <c r="G320" s="29" t="s">
        <v>1553</v>
      </c>
      <c r="H320" s="18">
        <v>6</v>
      </c>
      <c r="I320" s="18">
        <v>744</v>
      </c>
      <c r="J320" s="69">
        <v>0</v>
      </c>
      <c r="K320" s="18" t="s">
        <v>336</v>
      </c>
      <c r="L320" s="18">
        <v>0</v>
      </c>
      <c r="M320" s="18" t="s">
        <v>1513</v>
      </c>
      <c r="N320" s="18" t="s">
        <v>1495</v>
      </c>
      <c r="O320" s="15" t="s">
        <v>155</v>
      </c>
      <c r="P320" s="13" t="s">
        <v>156</v>
      </c>
      <c r="Q320" s="19">
        <v>44454</v>
      </c>
      <c r="R320" s="29"/>
    </row>
    <row r="321" spans="1:18" s="26" customFormat="1" ht="19.149999999999999" customHeight="1" x14ac:dyDescent="0.3">
      <c r="A321" s="29">
        <v>320</v>
      </c>
      <c r="B321" s="13" t="s">
        <v>2038</v>
      </c>
      <c r="C321" s="13" t="s">
        <v>2051</v>
      </c>
      <c r="D321" s="13">
        <v>112</v>
      </c>
      <c r="E321" s="21" t="s">
        <v>2052</v>
      </c>
      <c r="F321" s="21" t="s">
        <v>2053</v>
      </c>
      <c r="G321" s="13" t="s">
        <v>1553</v>
      </c>
      <c r="H321" s="18">
        <v>5</v>
      </c>
      <c r="I321" s="127">
        <v>414</v>
      </c>
      <c r="J321" s="69">
        <v>0</v>
      </c>
      <c r="K321" s="18" t="s">
        <v>336</v>
      </c>
      <c r="L321" s="18">
        <v>0</v>
      </c>
      <c r="M321" s="18" t="s">
        <v>1513</v>
      </c>
      <c r="N321" s="18" t="s">
        <v>1495</v>
      </c>
      <c r="O321" s="15" t="s">
        <v>155</v>
      </c>
      <c r="P321" s="13" t="s">
        <v>156</v>
      </c>
      <c r="Q321" s="19">
        <v>44043</v>
      </c>
      <c r="R321" s="24"/>
    </row>
    <row r="322" spans="1:18" s="26" customFormat="1" ht="19.149999999999999" customHeight="1" x14ac:dyDescent="0.3">
      <c r="A322" s="13">
        <v>321</v>
      </c>
      <c r="B322" s="13" t="s">
        <v>52</v>
      </c>
      <c r="C322" s="13" t="s">
        <v>70</v>
      </c>
      <c r="D322" s="13">
        <v>112</v>
      </c>
      <c r="E322" s="21" t="s">
        <v>690</v>
      </c>
      <c r="F322" s="21" t="s">
        <v>691</v>
      </c>
      <c r="G322" s="13" t="s">
        <v>164</v>
      </c>
      <c r="H322" s="18">
        <v>7</v>
      </c>
      <c r="I322" s="127">
        <v>882</v>
      </c>
      <c r="J322" s="69">
        <v>0</v>
      </c>
      <c r="K322" s="18" t="s">
        <v>3431</v>
      </c>
      <c r="L322" s="18">
        <v>0</v>
      </c>
      <c r="M322" s="18" t="s">
        <v>1513</v>
      </c>
      <c r="N322" s="18" t="s">
        <v>1495</v>
      </c>
      <c r="O322" s="13" t="s">
        <v>161</v>
      </c>
      <c r="P322" s="13" t="s">
        <v>162</v>
      </c>
      <c r="Q322" s="19">
        <v>42726</v>
      </c>
      <c r="R322" s="24"/>
    </row>
    <row r="323" spans="1:18" s="26" customFormat="1" ht="19.149999999999999" customHeight="1" x14ac:dyDescent="0.3">
      <c r="A323" s="29">
        <v>322</v>
      </c>
      <c r="B323" s="13" t="s">
        <v>52</v>
      </c>
      <c r="C323" s="13" t="s">
        <v>70</v>
      </c>
      <c r="D323" s="13">
        <v>112</v>
      </c>
      <c r="E323" s="21" t="s">
        <v>313</v>
      </c>
      <c r="F323" s="21" t="s">
        <v>692</v>
      </c>
      <c r="G323" s="13" t="s">
        <v>154</v>
      </c>
      <c r="H323" s="18">
        <v>9</v>
      </c>
      <c r="I323" s="127">
        <v>1653</v>
      </c>
      <c r="J323" s="69">
        <v>0</v>
      </c>
      <c r="K323" s="18" t="s">
        <v>336</v>
      </c>
      <c r="L323" s="18">
        <v>0</v>
      </c>
      <c r="M323" s="18" t="s">
        <v>1513</v>
      </c>
      <c r="N323" s="18" t="s">
        <v>1495</v>
      </c>
      <c r="O323" s="13" t="s">
        <v>161</v>
      </c>
      <c r="P323" s="13" t="s">
        <v>162</v>
      </c>
      <c r="Q323" s="19">
        <v>38183</v>
      </c>
      <c r="R323" s="36" t="s">
        <v>2054</v>
      </c>
    </row>
    <row r="324" spans="1:18" s="26" customFormat="1" ht="19.149999999999999" customHeight="1" x14ac:dyDescent="0.3">
      <c r="A324" s="13">
        <v>323</v>
      </c>
      <c r="B324" s="13" t="s">
        <v>52</v>
      </c>
      <c r="C324" s="13" t="s">
        <v>693</v>
      </c>
      <c r="D324" s="13">
        <v>112</v>
      </c>
      <c r="E324" s="24" t="s">
        <v>2055</v>
      </c>
      <c r="F324" s="24" t="s">
        <v>694</v>
      </c>
      <c r="G324" s="13" t="s">
        <v>154</v>
      </c>
      <c r="H324" s="18">
        <v>3</v>
      </c>
      <c r="I324" s="127">
        <v>341</v>
      </c>
      <c r="J324" s="69">
        <v>0</v>
      </c>
      <c r="K324" s="18" t="s">
        <v>336</v>
      </c>
      <c r="L324" s="18">
        <v>0</v>
      </c>
      <c r="M324" s="18" t="s">
        <v>1513</v>
      </c>
      <c r="N324" s="18" t="s">
        <v>1495</v>
      </c>
      <c r="O324" s="15" t="s">
        <v>155</v>
      </c>
      <c r="P324" s="13" t="s">
        <v>156</v>
      </c>
      <c r="Q324" s="19">
        <v>41843</v>
      </c>
      <c r="R324" s="16"/>
    </row>
    <row r="325" spans="1:18" s="26" customFormat="1" ht="19.149999999999999" customHeight="1" x14ac:dyDescent="0.3">
      <c r="A325" s="29">
        <v>324</v>
      </c>
      <c r="B325" s="13" t="s">
        <v>608</v>
      </c>
      <c r="C325" s="13" t="s">
        <v>70</v>
      </c>
      <c r="D325" s="13">
        <v>112</v>
      </c>
      <c r="E325" s="21" t="s">
        <v>688</v>
      </c>
      <c r="F325" s="21" t="s">
        <v>689</v>
      </c>
      <c r="G325" s="13" t="s">
        <v>444</v>
      </c>
      <c r="H325" s="18">
        <v>7</v>
      </c>
      <c r="I325" s="127">
        <v>921</v>
      </c>
      <c r="J325" s="69">
        <v>1</v>
      </c>
      <c r="K325" s="18" t="s">
        <v>1703</v>
      </c>
      <c r="L325" s="18">
        <v>0</v>
      </c>
      <c r="M325" s="18" t="s">
        <v>1513</v>
      </c>
      <c r="N325" s="18" t="s">
        <v>1495</v>
      </c>
      <c r="O325" s="13" t="s">
        <v>161</v>
      </c>
      <c r="P325" s="13" t="s">
        <v>162</v>
      </c>
      <c r="Q325" s="19">
        <v>41996</v>
      </c>
      <c r="R325" s="36" t="s">
        <v>2056</v>
      </c>
    </row>
    <row r="326" spans="1:18" s="26" customFormat="1" ht="19.149999999999999" customHeight="1" x14ac:dyDescent="0.3">
      <c r="A326" s="13">
        <v>325</v>
      </c>
      <c r="B326" s="15" t="s">
        <v>52</v>
      </c>
      <c r="C326" s="15" t="s">
        <v>70</v>
      </c>
      <c r="D326" s="13">
        <v>112</v>
      </c>
      <c r="E326" s="16" t="s">
        <v>273</v>
      </c>
      <c r="F326" s="14" t="s">
        <v>2057</v>
      </c>
      <c r="G326" s="15" t="s">
        <v>154</v>
      </c>
      <c r="H326" s="18">
        <v>7</v>
      </c>
      <c r="I326" s="127">
        <v>1238</v>
      </c>
      <c r="J326" s="69">
        <v>1</v>
      </c>
      <c r="K326" s="18" t="s">
        <v>1163</v>
      </c>
      <c r="L326" s="18">
        <v>0</v>
      </c>
      <c r="M326" s="18" t="s">
        <v>1513</v>
      </c>
      <c r="N326" s="18" t="s">
        <v>1495</v>
      </c>
      <c r="O326" s="28" t="s">
        <v>159</v>
      </c>
      <c r="P326" s="13" t="s">
        <v>160</v>
      </c>
      <c r="Q326" s="19">
        <v>42726</v>
      </c>
      <c r="R326" s="16"/>
    </row>
    <row r="327" spans="1:18" s="26" customFormat="1" ht="19.149999999999999" customHeight="1" x14ac:dyDescent="0.3">
      <c r="A327" s="29">
        <v>326</v>
      </c>
      <c r="B327" s="13" t="s">
        <v>1919</v>
      </c>
      <c r="C327" s="13" t="s">
        <v>2058</v>
      </c>
      <c r="D327" s="13">
        <v>112</v>
      </c>
      <c r="E327" s="24" t="s">
        <v>2059</v>
      </c>
      <c r="F327" s="24" t="s">
        <v>2060</v>
      </c>
      <c r="G327" s="13" t="s">
        <v>1502</v>
      </c>
      <c r="H327" s="18">
        <v>1</v>
      </c>
      <c r="I327" s="127">
        <v>30</v>
      </c>
      <c r="J327" s="69">
        <v>0</v>
      </c>
      <c r="K327" s="18" t="s">
        <v>1502</v>
      </c>
      <c r="L327" s="18">
        <v>1</v>
      </c>
      <c r="M327" s="18" t="s">
        <v>1508</v>
      </c>
      <c r="N327" s="18" t="s">
        <v>1495</v>
      </c>
      <c r="O327" s="15" t="s">
        <v>2061</v>
      </c>
      <c r="P327" s="13" t="s">
        <v>325</v>
      </c>
      <c r="Q327" s="19">
        <v>42543</v>
      </c>
      <c r="R327" s="16"/>
    </row>
    <row r="328" spans="1:18" s="26" customFormat="1" ht="19.149999999999999" customHeight="1" x14ac:dyDescent="0.3">
      <c r="A328" s="13">
        <v>327</v>
      </c>
      <c r="B328" s="13" t="s">
        <v>52</v>
      </c>
      <c r="C328" s="13" t="s">
        <v>686</v>
      </c>
      <c r="D328" s="13">
        <v>113</v>
      </c>
      <c r="E328" s="24" t="s">
        <v>2062</v>
      </c>
      <c r="F328" s="24" t="s">
        <v>687</v>
      </c>
      <c r="G328" s="13" t="s">
        <v>444</v>
      </c>
      <c r="H328" s="18">
        <v>10</v>
      </c>
      <c r="I328" s="127">
        <v>1143</v>
      </c>
      <c r="J328" s="69">
        <v>0</v>
      </c>
      <c r="K328" s="18" t="s">
        <v>1513</v>
      </c>
      <c r="L328" s="18">
        <v>0</v>
      </c>
      <c r="M328" s="18" t="s">
        <v>1513</v>
      </c>
      <c r="N328" s="18" t="s">
        <v>1495</v>
      </c>
      <c r="O328" s="15" t="s">
        <v>155</v>
      </c>
      <c r="P328" s="13" t="s">
        <v>156</v>
      </c>
      <c r="Q328" s="19">
        <v>42009</v>
      </c>
      <c r="R328" s="16"/>
    </row>
    <row r="329" spans="1:18" s="26" customFormat="1" ht="19.149999999999999" customHeight="1" x14ac:dyDescent="0.3">
      <c r="A329" s="29">
        <v>328</v>
      </c>
      <c r="B329" s="13" t="s">
        <v>1882</v>
      </c>
      <c r="C329" s="13" t="s">
        <v>2063</v>
      </c>
      <c r="D329" s="13">
        <v>114</v>
      </c>
      <c r="E329" s="21" t="s">
        <v>2064</v>
      </c>
      <c r="F329" s="21" t="s">
        <v>2065</v>
      </c>
      <c r="G329" s="13" t="s">
        <v>1538</v>
      </c>
      <c r="H329" s="18">
        <v>7</v>
      </c>
      <c r="I329" s="127">
        <v>1256</v>
      </c>
      <c r="J329" s="89">
        <v>1</v>
      </c>
      <c r="K329" s="118" t="s">
        <v>2066</v>
      </c>
      <c r="L329" s="18">
        <v>0</v>
      </c>
      <c r="M329" s="18" t="s">
        <v>1513</v>
      </c>
      <c r="N329" s="18" t="s">
        <v>1495</v>
      </c>
      <c r="O329" s="13" t="s">
        <v>161</v>
      </c>
      <c r="P329" s="13" t="s">
        <v>162</v>
      </c>
      <c r="Q329" s="19">
        <v>44109</v>
      </c>
      <c r="R329" s="24"/>
    </row>
    <row r="330" spans="1:18" s="26" customFormat="1" ht="19.149999999999999" customHeight="1" x14ac:dyDescent="0.3">
      <c r="A330" s="13">
        <v>329</v>
      </c>
      <c r="B330" s="13" t="s">
        <v>608</v>
      </c>
      <c r="C330" s="13" t="s">
        <v>659</v>
      </c>
      <c r="D330" s="13">
        <v>114</v>
      </c>
      <c r="E330" s="21" t="s">
        <v>258</v>
      </c>
      <c r="F330" s="21" t="s">
        <v>660</v>
      </c>
      <c r="G330" s="13" t="s">
        <v>1553</v>
      </c>
      <c r="H330" s="18">
        <v>2</v>
      </c>
      <c r="I330" s="127">
        <v>164</v>
      </c>
      <c r="J330" s="69">
        <v>0</v>
      </c>
      <c r="K330" s="18" t="s">
        <v>336</v>
      </c>
      <c r="L330" s="18">
        <v>0</v>
      </c>
      <c r="M330" s="18" t="s">
        <v>1513</v>
      </c>
      <c r="N330" s="18" t="s">
        <v>1495</v>
      </c>
      <c r="O330" s="28" t="s">
        <v>159</v>
      </c>
      <c r="P330" s="13" t="s">
        <v>160</v>
      </c>
      <c r="Q330" s="19">
        <v>41474</v>
      </c>
      <c r="R330" s="24" t="s">
        <v>2067</v>
      </c>
    </row>
    <row r="331" spans="1:18" s="26" customFormat="1" ht="19.149999999999999" customHeight="1" x14ac:dyDescent="0.3">
      <c r="A331" s="29">
        <v>330</v>
      </c>
      <c r="B331" s="13" t="s">
        <v>52</v>
      </c>
      <c r="C331" s="13" t="s">
        <v>72</v>
      </c>
      <c r="D331" s="13">
        <v>114</v>
      </c>
      <c r="E331" s="24" t="s">
        <v>2068</v>
      </c>
      <c r="F331" s="24" t="s">
        <v>658</v>
      </c>
      <c r="G331" s="13" t="s">
        <v>164</v>
      </c>
      <c r="H331" s="18">
        <v>8</v>
      </c>
      <c r="I331" s="127">
        <v>1001</v>
      </c>
      <c r="J331" s="69">
        <v>0</v>
      </c>
      <c r="K331" s="18" t="s">
        <v>336</v>
      </c>
      <c r="L331" s="18">
        <v>0</v>
      </c>
      <c r="M331" s="18" t="s">
        <v>1513</v>
      </c>
      <c r="N331" s="18" t="s">
        <v>1495</v>
      </c>
      <c r="O331" s="15" t="s">
        <v>155</v>
      </c>
      <c r="P331" s="13" t="s">
        <v>156</v>
      </c>
      <c r="Q331" s="19">
        <v>43248</v>
      </c>
      <c r="R331" s="43"/>
    </row>
    <row r="332" spans="1:18" s="26" customFormat="1" ht="19.149999999999999" customHeight="1" x14ac:dyDescent="0.3">
      <c r="A332" s="13">
        <v>331</v>
      </c>
      <c r="B332" s="13" t="s">
        <v>52</v>
      </c>
      <c r="C332" s="13" t="s">
        <v>613</v>
      </c>
      <c r="D332" s="13">
        <v>115</v>
      </c>
      <c r="E332" s="32" t="s">
        <v>2069</v>
      </c>
      <c r="F332" s="21" t="s">
        <v>2070</v>
      </c>
      <c r="G332" s="28" t="s">
        <v>444</v>
      </c>
      <c r="H332" s="18">
        <v>4</v>
      </c>
      <c r="I332" s="127">
        <v>478</v>
      </c>
      <c r="J332" s="69">
        <v>0</v>
      </c>
      <c r="K332" s="18" t="s">
        <v>336</v>
      </c>
      <c r="L332" s="18">
        <v>0</v>
      </c>
      <c r="M332" s="18" t="s">
        <v>1513</v>
      </c>
      <c r="N332" s="18" t="s">
        <v>1495</v>
      </c>
      <c r="O332" s="15" t="s">
        <v>155</v>
      </c>
      <c r="P332" s="13" t="s">
        <v>156</v>
      </c>
      <c r="Q332" s="19">
        <v>43614</v>
      </c>
      <c r="R332" s="6" t="s">
        <v>2071</v>
      </c>
    </row>
    <row r="333" spans="1:18" s="26" customFormat="1" ht="19.149999999999999" customHeight="1" x14ac:dyDescent="0.3">
      <c r="A333" s="29">
        <v>332</v>
      </c>
      <c r="B333" s="13" t="s">
        <v>608</v>
      </c>
      <c r="C333" s="13" t="s">
        <v>2072</v>
      </c>
      <c r="D333" s="13">
        <v>115</v>
      </c>
      <c r="E333" s="24" t="s">
        <v>2073</v>
      </c>
      <c r="F333" s="24" t="s">
        <v>614</v>
      </c>
      <c r="G333" s="13" t="s">
        <v>345</v>
      </c>
      <c r="H333" s="18">
        <v>4</v>
      </c>
      <c r="I333" s="127">
        <v>424</v>
      </c>
      <c r="J333" s="69">
        <v>0</v>
      </c>
      <c r="K333" s="18" t="s">
        <v>336</v>
      </c>
      <c r="L333" s="18">
        <v>0</v>
      </c>
      <c r="M333" s="18" t="s">
        <v>1513</v>
      </c>
      <c r="N333" s="18" t="s">
        <v>1495</v>
      </c>
      <c r="O333" s="15" t="s">
        <v>155</v>
      </c>
      <c r="P333" s="13" t="s">
        <v>156</v>
      </c>
      <c r="Q333" s="19">
        <v>41943</v>
      </c>
      <c r="R333" s="50"/>
    </row>
    <row r="334" spans="1:18" s="26" customFormat="1" ht="19.149999999999999" customHeight="1" x14ac:dyDescent="0.3">
      <c r="A334" s="13">
        <v>333</v>
      </c>
      <c r="B334" s="13" t="s">
        <v>608</v>
      </c>
      <c r="C334" s="13" t="s">
        <v>613</v>
      </c>
      <c r="D334" s="13">
        <v>115</v>
      </c>
      <c r="E334" s="32" t="s">
        <v>279</v>
      </c>
      <c r="F334" s="21" t="s">
        <v>615</v>
      </c>
      <c r="G334" s="28" t="s">
        <v>345</v>
      </c>
      <c r="H334" s="18">
        <v>5</v>
      </c>
      <c r="I334" s="127">
        <v>712</v>
      </c>
      <c r="J334" s="69">
        <v>0</v>
      </c>
      <c r="K334" s="18" t="s">
        <v>336</v>
      </c>
      <c r="L334" s="18">
        <v>0</v>
      </c>
      <c r="M334" s="18" t="s">
        <v>1513</v>
      </c>
      <c r="N334" s="18" t="s">
        <v>1495</v>
      </c>
      <c r="O334" s="13" t="s">
        <v>161</v>
      </c>
      <c r="P334" s="13" t="s">
        <v>162</v>
      </c>
      <c r="Q334" s="19">
        <v>43362</v>
      </c>
      <c r="R334" s="16"/>
    </row>
    <row r="335" spans="1:18" s="26" customFormat="1" ht="19.149999999999999" customHeight="1" x14ac:dyDescent="0.3">
      <c r="A335" s="29">
        <v>334</v>
      </c>
      <c r="B335" s="29" t="s">
        <v>1882</v>
      </c>
      <c r="C335" s="29" t="s">
        <v>2072</v>
      </c>
      <c r="D335" s="29">
        <v>115</v>
      </c>
      <c r="E335" s="51" t="s">
        <v>2074</v>
      </c>
      <c r="F335" s="51" t="s">
        <v>2075</v>
      </c>
      <c r="G335" s="29" t="s">
        <v>1538</v>
      </c>
      <c r="H335" s="18">
        <v>6</v>
      </c>
      <c r="I335" s="18">
        <v>806</v>
      </c>
      <c r="J335" s="69">
        <v>0</v>
      </c>
      <c r="K335" s="18" t="s">
        <v>336</v>
      </c>
      <c r="L335" s="18">
        <v>0</v>
      </c>
      <c r="M335" s="18" t="s">
        <v>1513</v>
      </c>
      <c r="N335" s="18" t="s">
        <v>1495</v>
      </c>
      <c r="O335" s="15" t="s">
        <v>155</v>
      </c>
      <c r="P335" s="13" t="s">
        <v>156</v>
      </c>
      <c r="Q335" s="19">
        <v>44314</v>
      </c>
      <c r="R335" s="29"/>
    </row>
    <row r="336" spans="1:18" s="26" customFormat="1" ht="19.149999999999999" customHeight="1" x14ac:dyDescent="0.3">
      <c r="A336" s="13">
        <v>335</v>
      </c>
      <c r="B336" s="13" t="s">
        <v>1882</v>
      </c>
      <c r="C336" s="15" t="s">
        <v>2076</v>
      </c>
      <c r="D336" s="13">
        <v>116</v>
      </c>
      <c r="E336" s="24" t="s">
        <v>2077</v>
      </c>
      <c r="F336" s="24" t="s">
        <v>2078</v>
      </c>
      <c r="G336" s="13" t="s">
        <v>1538</v>
      </c>
      <c r="H336" s="18">
        <v>6</v>
      </c>
      <c r="I336" s="127">
        <v>640</v>
      </c>
      <c r="J336" s="69">
        <v>0</v>
      </c>
      <c r="K336" s="18" t="s">
        <v>1513</v>
      </c>
      <c r="L336" s="18">
        <v>0</v>
      </c>
      <c r="M336" s="18" t="s">
        <v>1494</v>
      </c>
      <c r="N336" s="18" t="s">
        <v>1495</v>
      </c>
      <c r="O336" s="15" t="s">
        <v>155</v>
      </c>
      <c r="P336" s="13" t="s">
        <v>156</v>
      </c>
      <c r="Q336" s="19">
        <v>43846</v>
      </c>
      <c r="R336" s="16"/>
    </row>
    <row r="337" spans="1:18" s="26" customFormat="1" ht="19.149999999999999" customHeight="1" x14ac:dyDescent="0.3">
      <c r="A337" s="29">
        <v>336</v>
      </c>
      <c r="B337" s="13" t="s">
        <v>52</v>
      </c>
      <c r="C337" s="15" t="s">
        <v>74</v>
      </c>
      <c r="D337" s="13">
        <v>116</v>
      </c>
      <c r="E337" s="24" t="s">
        <v>2079</v>
      </c>
      <c r="F337" s="24" t="s">
        <v>704</v>
      </c>
      <c r="G337" s="13" t="s">
        <v>154</v>
      </c>
      <c r="H337" s="18">
        <v>7</v>
      </c>
      <c r="I337" s="127">
        <v>1026</v>
      </c>
      <c r="J337" s="69">
        <v>2</v>
      </c>
      <c r="K337" s="18" t="s">
        <v>1270</v>
      </c>
      <c r="L337" s="18">
        <v>0</v>
      </c>
      <c r="M337" s="18" t="s">
        <v>1513</v>
      </c>
      <c r="N337" s="18" t="s">
        <v>1495</v>
      </c>
      <c r="O337" s="15" t="s">
        <v>155</v>
      </c>
      <c r="P337" s="13" t="s">
        <v>156</v>
      </c>
      <c r="Q337" s="19">
        <v>43187</v>
      </c>
      <c r="R337" s="16"/>
    </row>
    <row r="338" spans="1:18" s="12" customFormat="1" ht="19.149999999999999" customHeight="1" x14ac:dyDescent="0.3">
      <c r="A338" s="13">
        <v>337</v>
      </c>
      <c r="B338" s="13" t="s">
        <v>1882</v>
      </c>
      <c r="C338" s="13" t="s">
        <v>2076</v>
      </c>
      <c r="D338" s="13">
        <v>116</v>
      </c>
      <c r="E338" s="24" t="s">
        <v>2080</v>
      </c>
      <c r="F338" s="24" t="s">
        <v>2081</v>
      </c>
      <c r="G338" s="13" t="s">
        <v>1513</v>
      </c>
      <c r="H338" s="18">
        <v>1</v>
      </c>
      <c r="I338" s="127">
        <v>40</v>
      </c>
      <c r="J338" s="69">
        <v>0</v>
      </c>
      <c r="K338" s="18" t="s">
        <v>336</v>
      </c>
      <c r="L338" s="18">
        <v>0</v>
      </c>
      <c r="M338" s="18" t="s">
        <v>1513</v>
      </c>
      <c r="N338" s="18" t="s">
        <v>1495</v>
      </c>
      <c r="O338" s="15" t="s">
        <v>2082</v>
      </c>
      <c r="P338" s="13" t="s">
        <v>2083</v>
      </c>
      <c r="Q338" s="19">
        <v>44631</v>
      </c>
      <c r="R338" s="16"/>
    </row>
    <row r="339" spans="1:18" s="12" customFormat="1" ht="19.149999999999999" customHeight="1" x14ac:dyDescent="0.3">
      <c r="A339" s="29">
        <v>338</v>
      </c>
      <c r="B339" s="29" t="s">
        <v>1882</v>
      </c>
      <c r="C339" s="29" t="s">
        <v>2076</v>
      </c>
      <c r="D339" s="29">
        <v>116</v>
      </c>
      <c r="E339" s="51" t="s">
        <v>2084</v>
      </c>
      <c r="F339" s="51" t="s">
        <v>2085</v>
      </c>
      <c r="G339" s="29" t="s">
        <v>1538</v>
      </c>
      <c r="H339" s="18">
        <v>7</v>
      </c>
      <c r="I339" s="18">
        <v>1157</v>
      </c>
      <c r="J339" s="29">
        <v>3</v>
      </c>
      <c r="K339" s="29" t="s">
        <v>2086</v>
      </c>
      <c r="L339" s="18">
        <v>0</v>
      </c>
      <c r="M339" s="18" t="s">
        <v>1513</v>
      </c>
      <c r="N339" s="18" t="s">
        <v>1495</v>
      </c>
      <c r="O339" s="13" t="s">
        <v>159</v>
      </c>
      <c r="P339" s="13" t="s">
        <v>160</v>
      </c>
      <c r="Q339" s="19">
        <v>44426</v>
      </c>
      <c r="R339" s="51" t="s">
        <v>2087</v>
      </c>
    </row>
    <row r="340" spans="1:18" s="12" customFormat="1" ht="19.149999999999999" customHeight="1" x14ac:dyDescent="0.3">
      <c r="A340" s="13">
        <v>339</v>
      </c>
      <c r="B340" s="13" t="s">
        <v>52</v>
      </c>
      <c r="C340" s="15" t="s">
        <v>74</v>
      </c>
      <c r="D340" s="13">
        <v>116</v>
      </c>
      <c r="E340" s="24" t="s">
        <v>2088</v>
      </c>
      <c r="F340" s="24" t="s">
        <v>703</v>
      </c>
      <c r="G340" s="13" t="s">
        <v>154</v>
      </c>
      <c r="H340" s="18">
        <v>8</v>
      </c>
      <c r="I340" s="127">
        <v>1406</v>
      </c>
      <c r="J340" s="69">
        <v>2</v>
      </c>
      <c r="K340" s="18" t="s">
        <v>770</v>
      </c>
      <c r="L340" s="18">
        <v>0</v>
      </c>
      <c r="M340" s="18" t="s">
        <v>1513</v>
      </c>
      <c r="N340" s="18" t="s">
        <v>1495</v>
      </c>
      <c r="O340" s="15" t="s">
        <v>155</v>
      </c>
      <c r="P340" s="13" t="s">
        <v>156</v>
      </c>
      <c r="Q340" s="19">
        <v>40474</v>
      </c>
      <c r="R340" s="14" t="s">
        <v>2089</v>
      </c>
    </row>
    <row r="341" spans="1:18" s="12" customFormat="1" ht="19.149999999999999" customHeight="1" x14ac:dyDescent="0.3">
      <c r="A341" s="29">
        <v>340</v>
      </c>
      <c r="B341" s="13" t="s">
        <v>52</v>
      </c>
      <c r="C341" s="13" t="s">
        <v>74</v>
      </c>
      <c r="D341" s="13">
        <v>116</v>
      </c>
      <c r="E341" s="21" t="s">
        <v>707</v>
      </c>
      <c r="F341" s="21" t="s">
        <v>708</v>
      </c>
      <c r="G341" s="13" t="s">
        <v>444</v>
      </c>
      <c r="H341" s="18">
        <v>8</v>
      </c>
      <c r="I341" s="127">
        <v>716</v>
      </c>
      <c r="J341" s="69">
        <v>8</v>
      </c>
      <c r="K341" s="18" t="s">
        <v>2090</v>
      </c>
      <c r="L341" s="18">
        <v>0</v>
      </c>
      <c r="M341" s="18" t="s">
        <v>1513</v>
      </c>
      <c r="N341" s="18" t="s">
        <v>1495</v>
      </c>
      <c r="O341" s="13" t="s">
        <v>161</v>
      </c>
      <c r="P341" s="13" t="s">
        <v>162</v>
      </c>
      <c r="Q341" s="19">
        <v>42202</v>
      </c>
      <c r="R341" s="16"/>
    </row>
    <row r="342" spans="1:18" s="12" customFormat="1" ht="19.149999999999999" customHeight="1" x14ac:dyDescent="0.3">
      <c r="A342" s="13">
        <v>341</v>
      </c>
      <c r="B342" s="13" t="s">
        <v>1882</v>
      </c>
      <c r="C342" s="13" t="s">
        <v>2076</v>
      </c>
      <c r="D342" s="13">
        <v>116</v>
      </c>
      <c r="E342" s="24" t="s">
        <v>2091</v>
      </c>
      <c r="F342" s="24" t="s">
        <v>2092</v>
      </c>
      <c r="G342" s="13" t="s">
        <v>1513</v>
      </c>
      <c r="H342" s="18">
        <v>2</v>
      </c>
      <c r="I342" s="127">
        <v>150</v>
      </c>
      <c r="J342" s="69">
        <v>0</v>
      </c>
      <c r="K342" s="18" t="s">
        <v>1513</v>
      </c>
      <c r="L342" s="18">
        <v>0</v>
      </c>
      <c r="M342" s="18" t="s">
        <v>1513</v>
      </c>
      <c r="N342" s="18" t="s">
        <v>1802</v>
      </c>
      <c r="O342" s="15" t="s">
        <v>2093</v>
      </c>
      <c r="P342" s="13" t="s">
        <v>2094</v>
      </c>
      <c r="Q342" s="19">
        <v>44901</v>
      </c>
      <c r="R342" s="16"/>
    </row>
    <row r="343" spans="1:18" s="12" customFormat="1" ht="19.149999999999999" customHeight="1" x14ac:dyDescent="0.3">
      <c r="A343" s="29">
        <v>342</v>
      </c>
      <c r="B343" s="13" t="s">
        <v>1882</v>
      </c>
      <c r="C343" s="15" t="s">
        <v>2076</v>
      </c>
      <c r="D343" s="13">
        <v>116</v>
      </c>
      <c r="E343" s="24" t="s">
        <v>2095</v>
      </c>
      <c r="F343" s="24" t="s">
        <v>2096</v>
      </c>
      <c r="G343" s="13" t="s">
        <v>1553</v>
      </c>
      <c r="H343" s="18">
        <v>4</v>
      </c>
      <c r="I343" s="127">
        <v>379</v>
      </c>
      <c r="J343" s="69">
        <v>0</v>
      </c>
      <c r="K343" s="18" t="s">
        <v>1513</v>
      </c>
      <c r="L343" s="18">
        <v>0</v>
      </c>
      <c r="M343" s="18" t="s">
        <v>1513</v>
      </c>
      <c r="N343" s="18" t="s">
        <v>1495</v>
      </c>
      <c r="O343" s="15" t="s">
        <v>155</v>
      </c>
      <c r="P343" s="13" t="s">
        <v>156</v>
      </c>
      <c r="Q343" s="19">
        <v>43691</v>
      </c>
      <c r="R343" s="16"/>
    </row>
    <row r="344" spans="1:18" s="12" customFormat="1" ht="19.149999999999999" customHeight="1" x14ac:dyDescent="0.3">
      <c r="A344" s="13">
        <v>343</v>
      </c>
      <c r="B344" s="15" t="s">
        <v>52</v>
      </c>
      <c r="C344" s="15" t="s">
        <v>74</v>
      </c>
      <c r="D344" s="13">
        <v>116</v>
      </c>
      <c r="E344" s="16" t="s">
        <v>275</v>
      </c>
      <c r="F344" s="14" t="s">
        <v>706</v>
      </c>
      <c r="G344" s="15" t="s">
        <v>154</v>
      </c>
      <c r="H344" s="18">
        <v>5</v>
      </c>
      <c r="I344" s="127">
        <v>680</v>
      </c>
      <c r="J344" s="69">
        <v>0</v>
      </c>
      <c r="K344" s="18" t="s">
        <v>336</v>
      </c>
      <c r="L344" s="18">
        <v>0</v>
      </c>
      <c r="M344" s="18" t="s">
        <v>1513</v>
      </c>
      <c r="N344" s="18" t="s">
        <v>1495</v>
      </c>
      <c r="O344" s="28" t="s">
        <v>159</v>
      </c>
      <c r="P344" s="13" t="s">
        <v>160</v>
      </c>
      <c r="Q344" s="19">
        <v>42639</v>
      </c>
      <c r="R344" s="16"/>
    </row>
    <row r="345" spans="1:18" s="12" customFormat="1" ht="19.149999999999999" customHeight="1" x14ac:dyDescent="0.3">
      <c r="A345" s="29">
        <v>344</v>
      </c>
      <c r="B345" s="15" t="s">
        <v>52</v>
      </c>
      <c r="C345" s="15" t="s">
        <v>74</v>
      </c>
      <c r="D345" s="13">
        <v>116</v>
      </c>
      <c r="E345" s="16" t="s">
        <v>244</v>
      </c>
      <c r="F345" s="14" t="s">
        <v>705</v>
      </c>
      <c r="G345" s="15" t="s">
        <v>154</v>
      </c>
      <c r="H345" s="18">
        <v>8</v>
      </c>
      <c r="I345" s="127">
        <v>1098</v>
      </c>
      <c r="J345" s="69">
        <v>0</v>
      </c>
      <c r="K345" s="18" t="s">
        <v>336</v>
      </c>
      <c r="L345" s="18">
        <v>0</v>
      </c>
      <c r="M345" s="18" t="s">
        <v>1513</v>
      </c>
      <c r="N345" s="18" t="s">
        <v>1495</v>
      </c>
      <c r="O345" s="28" t="s">
        <v>159</v>
      </c>
      <c r="P345" s="13" t="s">
        <v>160</v>
      </c>
      <c r="Q345" s="19">
        <v>38988</v>
      </c>
      <c r="R345" s="16"/>
    </row>
    <row r="346" spans="1:18" s="12" customFormat="1" ht="19.149999999999999" customHeight="1" x14ac:dyDescent="0.3">
      <c r="A346" s="13">
        <v>345</v>
      </c>
      <c r="B346" s="15" t="s">
        <v>52</v>
      </c>
      <c r="C346" s="15" t="s">
        <v>75</v>
      </c>
      <c r="D346" s="13">
        <v>117</v>
      </c>
      <c r="E346" s="16" t="s">
        <v>230</v>
      </c>
      <c r="F346" s="14" t="s">
        <v>605</v>
      </c>
      <c r="G346" s="15" t="s">
        <v>154</v>
      </c>
      <c r="H346" s="18">
        <v>3</v>
      </c>
      <c r="I346" s="127">
        <v>231</v>
      </c>
      <c r="J346" s="69">
        <v>0</v>
      </c>
      <c r="K346" s="18" t="s">
        <v>336</v>
      </c>
      <c r="L346" s="18">
        <v>0</v>
      </c>
      <c r="M346" s="18" t="s">
        <v>1513</v>
      </c>
      <c r="N346" s="18" t="s">
        <v>1495</v>
      </c>
      <c r="O346" s="13" t="s">
        <v>1886</v>
      </c>
      <c r="P346" s="13" t="s">
        <v>160</v>
      </c>
      <c r="Q346" s="19">
        <v>41117</v>
      </c>
      <c r="R346" s="30"/>
    </row>
    <row r="347" spans="1:18" s="12" customFormat="1" ht="19.149999999999999" customHeight="1" x14ac:dyDescent="0.3">
      <c r="A347" s="29">
        <v>346</v>
      </c>
      <c r="B347" s="15" t="s">
        <v>52</v>
      </c>
      <c r="C347" s="15" t="s">
        <v>75</v>
      </c>
      <c r="D347" s="13">
        <v>117</v>
      </c>
      <c r="E347" s="16" t="s">
        <v>2097</v>
      </c>
      <c r="F347" s="16" t="s">
        <v>604</v>
      </c>
      <c r="G347" s="15" t="s">
        <v>164</v>
      </c>
      <c r="H347" s="18">
        <v>8</v>
      </c>
      <c r="I347" s="127">
        <v>1202</v>
      </c>
      <c r="J347" s="69">
        <v>0</v>
      </c>
      <c r="K347" s="18" t="s">
        <v>336</v>
      </c>
      <c r="L347" s="18">
        <v>0</v>
      </c>
      <c r="M347" s="18" t="s">
        <v>1513</v>
      </c>
      <c r="N347" s="18" t="s">
        <v>1495</v>
      </c>
      <c r="O347" s="15" t="s">
        <v>155</v>
      </c>
      <c r="P347" s="13" t="s">
        <v>156</v>
      </c>
      <c r="Q347" s="19">
        <v>43008</v>
      </c>
      <c r="R347" s="24"/>
    </row>
    <row r="348" spans="1:18" s="12" customFormat="1" ht="19.149999999999999" customHeight="1" x14ac:dyDescent="0.3">
      <c r="A348" s="13">
        <v>347</v>
      </c>
      <c r="B348" s="13" t="s">
        <v>52</v>
      </c>
      <c r="C348" s="13" t="s">
        <v>673</v>
      </c>
      <c r="D348" s="13">
        <v>118</v>
      </c>
      <c r="E348" s="21" t="s">
        <v>297</v>
      </c>
      <c r="F348" s="21" t="s">
        <v>674</v>
      </c>
      <c r="G348" s="13" t="s">
        <v>164</v>
      </c>
      <c r="H348" s="18">
        <v>4</v>
      </c>
      <c r="I348" s="127">
        <v>338</v>
      </c>
      <c r="J348" s="69">
        <v>3</v>
      </c>
      <c r="K348" s="18" t="s">
        <v>2098</v>
      </c>
      <c r="L348" s="18">
        <v>0</v>
      </c>
      <c r="M348" s="18" t="s">
        <v>1513</v>
      </c>
      <c r="N348" s="18" t="s">
        <v>1495</v>
      </c>
      <c r="O348" s="13" t="s">
        <v>161</v>
      </c>
      <c r="P348" s="13" t="s">
        <v>162</v>
      </c>
      <c r="Q348" s="19">
        <v>40894</v>
      </c>
      <c r="R348" s="31"/>
    </row>
    <row r="349" spans="1:18" s="44" customFormat="1" ht="19.149999999999999" customHeight="1" x14ac:dyDescent="0.3">
      <c r="A349" s="29">
        <v>348</v>
      </c>
      <c r="B349" s="13" t="s">
        <v>1882</v>
      </c>
      <c r="C349" s="13" t="s">
        <v>2099</v>
      </c>
      <c r="D349" s="13">
        <v>118</v>
      </c>
      <c r="E349" s="21" t="s">
        <v>2100</v>
      </c>
      <c r="F349" s="21" t="s">
        <v>2101</v>
      </c>
      <c r="G349" s="13" t="s">
        <v>1538</v>
      </c>
      <c r="H349" s="18">
        <v>7</v>
      </c>
      <c r="I349" s="127">
        <v>724</v>
      </c>
      <c r="J349" s="69">
        <v>0</v>
      </c>
      <c r="K349" s="18" t="s">
        <v>336</v>
      </c>
      <c r="L349" s="18">
        <v>0</v>
      </c>
      <c r="M349" s="18" t="s">
        <v>1513</v>
      </c>
      <c r="N349" s="18" t="s">
        <v>1495</v>
      </c>
      <c r="O349" s="15" t="s">
        <v>155</v>
      </c>
      <c r="P349" s="13" t="s">
        <v>156</v>
      </c>
      <c r="Q349" s="19">
        <v>44027</v>
      </c>
      <c r="R349" s="31"/>
    </row>
    <row r="350" spans="1:18" s="44" customFormat="1" ht="19.149999999999999" customHeight="1" x14ac:dyDescent="0.3">
      <c r="A350" s="13">
        <v>349</v>
      </c>
      <c r="B350" s="13" t="s">
        <v>1882</v>
      </c>
      <c r="C350" s="13" t="s">
        <v>2102</v>
      </c>
      <c r="D350" s="13">
        <v>119</v>
      </c>
      <c r="E350" s="21" t="s">
        <v>2103</v>
      </c>
      <c r="F350" s="21" t="s">
        <v>2104</v>
      </c>
      <c r="G350" s="13" t="s">
        <v>1553</v>
      </c>
      <c r="H350" s="18">
        <v>5</v>
      </c>
      <c r="I350" s="127">
        <v>415</v>
      </c>
      <c r="J350" s="69">
        <v>0</v>
      </c>
      <c r="K350" s="18" t="s">
        <v>336</v>
      </c>
      <c r="L350" s="18">
        <v>0</v>
      </c>
      <c r="M350" s="18" t="s">
        <v>1513</v>
      </c>
      <c r="N350" s="18" t="s">
        <v>1495</v>
      </c>
      <c r="O350" s="15" t="s">
        <v>155</v>
      </c>
      <c r="P350" s="13" t="s">
        <v>156</v>
      </c>
      <c r="Q350" s="19">
        <v>43992</v>
      </c>
      <c r="R350" s="31"/>
    </row>
    <row r="351" spans="1:18" s="44" customFormat="1" ht="19.149999999999999" customHeight="1" x14ac:dyDescent="0.3">
      <c r="A351" s="29">
        <v>350</v>
      </c>
      <c r="B351" s="13" t="s">
        <v>1882</v>
      </c>
      <c r="C351" s="13" t="s">
        <v>2102</v>
      </c>
      <c r="D351" s="13">
        <v>119</v>
      </c>
      <c r="E351" s="63" t="s">
        <v>2105</v>
      </c>
      <c r="F351" s="21" t="s">
        <v>2106</v>
      </c>
      <c r="G351" s="13" t="s">
        <v>1513</v>
      </c>
      <c r="H351" s="18">
        <v>2</v>
      </c>
      <c r="I351" s="127">
        <v>98</v>
      </c>
      <c r="J351" s="69">
        <v>0</v>
      </c>
      <c r="K351" s="18" t="s">
        <v>1513</v>
      </c>
      <c r="L351" s="18">
        <v>0</v>
      </c>
      <c r="M351" s="18" t="s">
        <v>1513</v>
      </c>
      <c r="N351" s="18" t="s">
        <v>1802</v>
      </c>
      <c r="O351" s="13" t="s">
        <v>2107</v>
      </c>
      <c r="P351" s="13" t="s">
        <v>873</v>
      </c>
      <c r="Q351" s="19">
        <v>43817</v>
      </c>
      <c r="R351" s="6" t="s">
        <v>2108</v>
      </c>
    </row>
    <row r="352" spans="1:18" s="12" customFormat="1" ht="19.149999999999999" customHeight="1" x14ac:dyDescent="0.3">
      <c r="A352" s="13">
        <v>351</v>
      </c>
      <c r="B352" s="13" t="s">
        <v>1882</v>
      </c>
      <c r="C352" s="13" t="s">
        <v>2109</v>
      </c>
      <c r="D352" s="13">
        <v>122</v>
      </c>
      <c r="E352" s="63" t="s">
        <v>2110</v>
      </c>
      <c r="F352" s="21" t="s">
        <v>2111</v>
      </c>
      <c r="G352" s="13" t="s">
        <v>1513</v>
      </c>
      <c r="H352" s="18">
        <v>2</v>
      </c>
      <c r="I352" s="127">
        <v>99</v>
      </c>
      <c r="J352" s="69">
        <v>0</v>
      </c>
      <c r="K352" s="18" t="s">
        <v>1513</v>
      </c>
      <c r="L352" s="18">
        <v>0</v>
      </c>
      <c r="M352" s="18" t="s">
        <v>1513</v>
      </c>
      <c r="N352" s="18" t="s">
        <v>1802</v>
      </c>
      <c r="O352" s="13" t="s">
        <v>2112</v>
      </c>
      <c r="P352" s="13" t="s">
        <v>2113</v>
      </c>
      <c r="Q352" s="19">
        <v>44562</v>
      </c>
      <c r="R352" s="120"/>
    </row>
    <row r="353" spans="1:18" s="12" customFormat="1" ht="19.149999999999999" customHeight="1" x14ac:dyDescent="0.3">
      <c r="A353" s="29">
        <v>352</v>
      </c>
      <c r="B353" s="13" t="s">
        <v>1882</v>
      </c>
      <c r="C353" s="13" t="s">
        <v>2109</v>
      </c>
      <c r="D353" s="13">
        <v>122</v>
      </c>
      <c r="E353" s="63" t="s">
        <v>2114</v>
      </c>
      <c r="F353" s="21" t="s">
        <v>870</v>
      </c>
      <c r="G353" s="13" t="s">
        <v>1513</v>
      </c>
      <c r="H353" s="18">
        <v>2</v>
      </c>
      <c r="I353" s="127">
        <v>136</v>
      </c>
      <c r="J353" s="69">
        <v>0</v>
      </c>
      <c r="K353" s="18" t="s">
        <v>1513</v>
      </c>
      <c r="L353" s="18">
        <v>0</v>
      </c>
      <c r="M353" s="18" t="s">
        <v>1513</v>
      </c>
      <c r="N353" s="18" t="s">
        <v>1802</v>
      </c>
      <c r="O353" s="13" t="s">
        <v>871</v>
      </c>
      <c r="P353" s="13" t="s">
        <v>872</v>
      </c>
      <c r="Q353" s="19">
        <v>43546</v>
      </c>
      <c r="R353" s="120" t="s">
        <v>2115</v>
      </c>
    </row>
    <row r="354" spans="1:18" s="44" customFormat="1" ht="19.149999999999999" customHeight="1" x14ac:dyDescent="0.3">
      <c r="A354" s="13">
        <v>353</v>
      </c>
      <c r="B354" s="13" t="s">
        <v>608</v>
      </c>
      <c r="C354" s="13" t="s">
        <v>77</v>
      </c>
      <c r="D354" s="13">
        <v>123</v>
      </c>
      <c r="E354" s="21" t="s">
        <v>2116</v>
      </c>
      <c r="F354" s="24" t="s">
        <v>2117</v>
      </c>
      <c r="G354" s="13" t="s">
        <v>336</v>
      </c>
      <c r="H354" s="18">
        <v>1</v>
      </c>
      <c r="I354" s="127">
        <v>152</v>
      </c>
      <c r="J354" s="69">
        <v>0</v>
      </c>
      <c r="K354" s="18" t="s">
        <v>336</v>
      </c>
      <c r="L354" s="18">
        <v>0</v>
      </c>
      <c r="M354" s="18" t="s">
        <v>1513</v>
      </c>
      <c r="N354" s="18" t="s">
        <v>1495</v>
      </c>
      <c r="O354" s="13" t="s">
        <v>2118</v>
      </c>
      <c r="P354" s="15" t="s">
        <v>675</v>
      </c>
      <c r="Q354" s="19">
        <v>16372</v>
      </c>
      <c r="R354" s="16"/>
    </row>
    <row r="355" spans="1:18" s="12" customFormat="1" ht="19.149999999999999" customHeight="1" x14ac:dyDescent="0.3">
      <c r="A355" s="29">
        <v>354</v>
      </c>
      <c r="B355" s="13" t="s">
        <v>78</v>
      </c>
      <c r="C355" s="13" t="s">
        <v>79</v>
      </c>
      <c r="D355" s="13">
        <v>124</v>
      </c>
      <c r="E355" s="21" t="s">
        <v>2119</v>
      </c>
      <c r="F355" s="21" t="s">
        <v>2120</v>
      </c>
      <c r="G355" s="13" t="s">
        <v>164</v>
      </c>
      <c r="H355" s="18">
        <v>6</v>
      </c>
      <c r="I355" s="127">
        <v>448</v>
      </c>
      <c r="J355" s="69">
        <v>4</v>
      </c>
      <c r="K355" s="18" t="s">
        <v>2121</v>
      </c>
      <c r="L355" s="18">
        <v>0</v>
      </c>
      <c r="M355" s="18" t="s">
        <v>1513</v>
      </c>
      <c r="N355" s="18" t="s">
        <v>1495</v>
      </c>
      <c r="O355" s="13" t="s">
        <v>159</v>
      </c>
      <c r="P355" s="13" t="s">
        <v>160</v>
      </c>
      <c r="Q355" s="19">
        <v>41760</v>
      </c>
      <c r="R355" s="36" t="s">
        <v>2122</v>
      </c>
    </row>
    <row r="356" spans="1:18" s="12" customFormat="1" ht="19.149999999999999" customHeight="1" x14ac:dyDescent="0.3">
      <c r="A356" s="13">
        <v>355</v>
      </c>
      <c r="B356" s="13" t="s">
        <v>78</v>
      </c>
      <c r="C356" s="13" t="s">
        <v>79</v>
      </c>
      <c r="D356" s="13">
        <v>124</v>
      </c>
      <c r="E356" s="24" t="s">
        <v>2123</v>
      </c>
      <c r="F356" s="24" t="s">
        <v>1230</v>
      </c>
      <c r="G356" s="13" t="s">
        <v>154</v>
      </c>
      <c r="H356" s="18">
        <v>12</v>
      </c>
      <c r="I356" s="127">
        <v>1714</v>
      </c>
      <c r="J356" s="69">
        <v>1</v>
      </c>
      <c r="K356" s="18" t="s">
        <v>3424</v>
      </c>
      <c r="L356" s="18">
        <v>1</v>
      </c>
      <c r="M356" s="18" t="s">
        <v>3141</v>
      </c>
      <c r="N356" s="18" t="s">
        <v>1495</v>
      </c>
      <c r="O356" s="15" t="s">
        <v>155</v>
      </c>
      <c r="P356" s="13" t="s">
        <v>156</v>
      </c>
      <c r="Q356" s="19">
        <v>39506</v>
      </c>
      <c r="R356" s="16"/>
    </row>
    <row r="357" spans="1:18" s="45" customFormat="1" ht="19.149999999999999" customHeight="1" x14ac:dyDescent="0.3">
      <c r="A357" s="29">
        <v>356</v>
      </c>
      <c r="B357" s="13" t="s">
        <v>78</v>
      </c>
      <c r="C357" s="13" t="s">
        <v>79</v>
      </c>
      <c r="D357" s="13">
        <v>124</v>
      </c>
      <c r="E357" s="21" t="s">
        <v>721</v>
      </c>
      <c r="F357" s="21" t="s">
        <v>722</v>
      </c>
      <c r="G357" s="13" t="s">
        <v>164</v>
      </c>
      <c r="H357" s="18">
        <v>7</v>
      </c>
      <c r="I357" s="127">
        <v>1134</v>
      </c>
      <c r="J357" s="69">
        <v>0</v>
      </c>
      <c r="K357" s="18" t="s">
        <v>336</v>
      </c>
      <c r="L357" s="18">
        <v>0</v>
      </c>
      <c r="M357" s="18" t="s">
        <v>1513</v>
      </c>
      <c r="N357" s="18" t="s">
        <v>1495</v>
      </c>
      <c r="O357" s="13" t="s">
        <v>161</v>
      </c>
      <c r="P357" s="13" t="s">
        <v>162</v>
      </c>
      <c r="Q357" s="19">
        <v>42810</v>
      </c>
      <c r="R357" s="24"/>
    </row>
    <row r="358" spans="1:18" s="12" customFormat="1" ht="19.149999999999999" customHeight="1" x14ac:dyDescent="0.3">
      <c r="A358" s="13">
        <v>357</v>
      </c>
      <c r="B358" s="13" t="s">
        <v>78</v>
      </c>
      <c r="C358" s="13" t="s">
        <v>79</v>
      </c>
      <c r="D358" s="13">
        <v>124</v>
      </c>
      <c r="E358" s="21" t="s">
        <v>2124</v>
      </c>
      <c r="F358" s="21" t="s">
        <v>2125</v>
      </c>
      <c r="G358" s="13" t="s">
        <v>1538</v>
      </c>
      <c r="H358" s="18">
        <v>6</v>
      </c>
      <c r="I358" s="127">
        <v>987</v>
      </c>
      <c r="J358" s="69">
        <v>6</v>
      </c>
      <c r="K358" s="18" t="s">
        <v>1878</v>
      </c>
      <c r="L358" s="18">
        <v>0</v>
      </c>
      <c r="M358" s="18" t="s">
        <v>1513</v>
      </c>
      <c r="N358" s="18" t="s">
        <v>1495</v>
      </c>
      <c r="O358" s="13" t="s">
        <v>161</v>
      </c>
      <c r="P358" s="13" t="s">
        <v>162</v>
      </c>
      <c r="Q358" s="19">
        <v>44742</v>
      </c>
      <c r="R358" s="24"/>
    </row>
    <row r="359" spans="1:18" s="12" customFormat="1" ht="19.149999999999999" customHeight="1" x14ac:dyDescent="0.3">
      <c r="A359" s="29">
        <v>358</v>
      </c>
      <c r="B359" s="13" t="s">
        <v>78</v>
      </c>
      <c r="C359" s="13" t="s">
        <v>80</v>
      </c>
      <c r="D359" s="13">
        <v>125</v>
      </c>
      <c r="E359" s="21" t="s">
        <v>264</v>
      </c>
      <c r="F359" s="21" t="s">
        <v>714</v>
      </c>
      <c r="G359" s="13" t="s">
        <v>1538</v>
      </c>
      <c r="H359" s="18">
        <v>8</v>
      </c>
      <c r="I359" s="127">
        <v>1079</v>
      </c>
      <c r="J359" s="69">
        <v>2</v>
      </c>
      <c r="K359" s="18" t="s">
        <v>2126</v>
      </c>
      <c r="L359" s="18">
        <v>0</v>
      </c>
      <c r="M359" s="18" t="s">
        <v>1513</v>
      </c>
      <c r="N359" s="18" t="s">
        <v>1495</v>
      </c>
      <c r="O359" s="13" t="s">
        <v>159</v>
      </c>
      <c r="P359" s="13" t="s">
        <v>160</v>
      </c>
      <c r="Q359" s="19">
        <v>42915</v>
      </c>
      <c r="R359" s="16"/>
    </row>
    <row r="360" spans="1:18" s="12" customFormat="1" ht="19.149999999999999" customHeight="1" x14ac:dyDescent="0.3">
      <c r="A360" s="13">
        <v>359</v>
      </c>
      <c r="B360" s="13" t="s">
        <v>78</v>
      </c>
      <c r="C360" s="13" t="s">
        <v>80</v>
      </c>
      <c r="D360" s="13">
        <v>125</v>
      </c>
      <c r="E360" s="21" t="s">
        <v>302</v>
      </c>
      <c r="F360" s="21" t="s">
        <v>715</v>
      </c>
      <c r="G360" s="13" t="s">
        <v>164</v>
      </c>
      <c r="H360" s="18">
        <v>8</v>
      </c>
      <c r="I360" s="127">
        <v>797</v>
      </c>
      <c r="J360" s="69">
        <v>0</v>
      </c>
      <c r="K360" s="18" t="s">
        <v>336</v>
      </c>
      <c r="L360" s="18">
        <v>0</v>
      </c>
      <c r="M360" s="18" t="s">
        <v>1513</v>
      </c>
      <c r="N360" s="18" t="s">
        <v>1495</v>
      </c>
      <c r="O360" s="13" t="s">
        <v>161</v>
      </c>
      <c r="P360" s="13" t="s">
        <v>162</v>
      </c>
      <c r="Q360" s="19">
        <v>39394</v>
      </c>
      <c r="R360" s="24"/>
    </row>
    <row r="361" spans="1:18" s="12" customFormat="1" ht="19.149999999999999" customHeight="1" x14ac:dyDescent="0.3">
      <c r="A361" s="29">
        <v>360</v>
      </c>
      <c r="B361" s="13" t="s">
        <v>78</v>
      </c>
      <c r="C361" s="15" t="s">
        <v>717</v>
      </c>
      <c r="D361" s="13">
        <v>125</v>
      </c>
      <c r="E361" s="24" t="s">
        <v>2127</v>
      </c>
      <c r="F361" s="24" t="s">
        <v>718</v>
      </c>
      <c r="G361" s="13" t="s">
        <v>154</v>
      </c>
      <c r="H361" s="18">
        <v>10</v>
      </c>
      <c r="I361" s="127">
        <v>1947</v>
      </c>
      <c r="J361" s="69">
        <v>0</v>
      </c>
      <c r="K361" s="18" t="s">
        <v>336</v>
      </c>
      <c r="L361" s="18">
        <v>0</v>
      </c>
      <c r="M361" s="18" t="s">
        <v>1513</v>
      </c>
      <c r="N361" s="18" t="s">
        <v>1495</v>
      </c>
      <c r="O361" s="15" t="s">
        <v>155</v>
      </c>
      <c r="P361" s="13" t="s">
        <v>156</v>
      </c>
      <c r="Q361" s="19">
        <v>41158</v>
      </c>
      <c r="R361" s="16"/>
    </row>
    <row r="362" spans="1:18" s="12" customFormat="1" ht="19.149999999999999" customHeight="1" x14ac:dyDescent="0.3">
      <c r="A362" s="13">
        <v>361</v>
      </c>
      <c r="B362" s="13" t="s">
        <v>78</v>
      </c>
      <c r="C362" s="13" t="s">
        <v>80</v>
      </c>
      <c r="D362" s="13">
        <v>125</v>
      </c>
      <c r="E362" s="21" t="s">
        <v>236</v>
      </c>
      <c r="F362" s="21" t="s">
        <v>713</v>
      </c>
      <c r="G362" s="13" t="s">
        <v>1553</v>
      </c>
      <c r="H362" s="18">
        <v>7</v>
      </c>
      <c r="I362" s="127">
        <v>687</v>
      </c>
      <c r="J362" s="69">
        <v>5</v>
      </c>
      <c r="K362" s="18" t="s">
        <v>1989</v>
      </c>
      <c r="L362" s="18">
        <v>0</v>
      </c>
      <c r="M362" s="18" t="s">
        <v>1513</v>
      </c>
      <c r="N362" s="18" t="s">
        <v>1495</v>
      </c>
      <c r="O362" s="13" t="s">
        <v>159</v>
      </c>
      <c r="P362" s="13" t="s">
        <v>160</v>
      </c>
      <c r="Q362" s="19">
        <v>38653</v>
      </c>
      <c r="R362" s="16" t="s">
        <v>2128</v>
      </c>
    </row>
    <row r="363" spans="1:18" s="12" customFormat="1" ht="19.149999999999999" customHeight="1" x14ac:dyDescent="0.3">
      <c r="A363" s="29">
        <v>362</v>
      </c>
      <c r="B363" s="13" t="s">
        <v>78</v>
      </c>
      <c r="C363" s="13" t="s">
        <v>80</v>
      </c>
      <c r="D363" s="13">
        <v>125</v>
      </c>
      <c r="E363" s="21" t="s">
        <v>303</v>
      </c>
      <c r="F363" s="21" t="s">
        <v>716</v>
      </c>
      <c r="G363" s="13" t="s">
        <v>164</v>
      </c>
      <c r="H363" s="18">
        <v>9</v>
      </c>
      <c r="I363" s="127">
        <v>767</v>
      </c>
      <c r="J363" s="69">
        <v>7</v>
      </c>
      <c r="K363" s="18" t="s">
        <v>1716</v>
      </c>
      <c r="L363" s="18">
        <v>0</v>
      </c>
      <c r="M363" s="18" t="s">
        <v>1513</v>
      </c>
      <c r="N363" s="18" t="s">
        <v>1495</v>
      </c>
      <c r="O363" s="13" t="s">
        <v>161</v>
      </c>
      <c r="P363" s="13" t="s">
        <v>162</v>
      </c>
      <c r="Q363" s="19">
        <v>42641</v>
      </c>
      <c r="R363" s="24" t="s">
        <v>2129</v>
      </c>
    </row>
    <row r="364" spans="1:18" s="12" customFormat="1" ht="19.149999999999999" customHeight="1" x14ac:dyDescent="0.3">
      <c r="A364" s="13">
        <v>363</v>
      </c>
      <c r="B364" s="28" t="s">
        <v>2130</v>
      </c>
      <c r="C364" s="28" t="s">
        <v>2131</v>
      </c>
      <c r="D364" s="28">
        <v>126</v>
      </c>
      <c r="E364" s="32" t="s">
        <v>2132</v>
      </c>
      <c r="F364" s="32" t="s">
        <v>2133</v>
      </c>
      <c r="G364" s="28" t="s">
        <v>1502</v>
      </c>
      <c r="H364" s="33">
        <v>1</v>
      </c>
      <c r="I364" s="144">
        <v>111</v>
      </c>
      <c r="J364" s="91">
        <v>0</v>
      </c>
      <c r="K364" s="33" t="s">
        <v>1502</v>
      </c>
      <c r="L364" s="33">
        <v>1</v>
      </c>
      <c r="M364" s="33" t="s">
        <v>1508</v>
      </c>
      <c r="N364" s="18" t="s">
        <v>1495</v>
      </c>
      <c r="O364" s="28" t="s">
        <v>2134</v>
      </c>
      <c r="P364" s="28" t="s">
        <v>2135</v>
      </c>
      <c r="Q364" s="34">
        <v>42818</v>
      </c>
      <c r="R364" s="63" t="s">
        <v>2136</v>
      </c>
    </row>
    <row r="365" spans="1:18" s="12" customFormat="1" ht="19.149999999999999" customHeight="1" x14ac:dyDescent="0.3">
      <c r="A365" s="29">
        <v>364</v>
      </c>
      <c r="B365" s="13" t="s">
        <v>78</v>
      </c>
      <c r="C365" s="15" t="s">
        <v>81</v>
      </c>
      <c r="D365" s="13">
        <v>126</v>
      </c>
      <c r="E365" s="24" t="s">
        <v>2137</v>
      </c>
      <c r="F365" s="24" t="s">
        <v>709</v>
      </c>
      <c r="G365" s="13" t="s">
        <v>154</v>
      </c>
      <c r="H365" s="18">
        <v>8</v>
      </c>
      <c r="I365" s="127">
        <v>1396</v>
      </c>
      <c r="J365" s="69">
        <v>1</v>
      </c>
      <c r="K365" s="18" t="s">
        <v>216</v>
      </c>
      <c r="L365" s="18">
        <v>0</v>
      </c>
      <c r="M365" s="18" t="s">
        <v>1513</v>
      </c>
      <c r="N365" s="18" t="s">
        <v>1495</v>
      </c>
      <c r="O365" s="15" t="s">
        <v>155</v>
      </c>
      <c r="P365" s="13" t="s">
        <v>156</v>
      </c>
      <c r="Q365" s="19">
        <v>41074</v>
      </c>
      <c r="R365" s="16"/>
    </row>
    <row r="366" spans="1:18" s="12" customFormat="1" ht="19.149999999999999" customHeight="1" x14ac:dyDescent="0.3">
      <c r="A366" s="13">
        <v>365</v>
      </c>
      <c r="B366" s="13" t="s">
        <v>78</v>
      </c>
      <c r="C366" s="13" t="s">
        <v>82</v>
      </c>
      <c r="D366" s="13">
        <v>127</v>
      </c>
      <c r="E366" s="21" t="s">
        <v>242</v>
      </c>
      <c r="F366" s="21" t="s">
        <v>710</v>
      </c>
      <c r="G366" s="13" t="s">
        <v>154</v>
      </c>
      <c r="H366" s="18">
        <v>5</v>
      </c>
      <c r="I366" s="127">
        <v>719</v>
      </c>
      <c r="J366" s="69">
        <v>0</v>
      </c>
      <c r="K366" s="18" t="s">
        <v>336</v>
      </c>
      <c r="L366" s="18">
        <v>0</v>
      </c>
      <c r="M366" s="18" t="s">
        <v>1513</v>
      </c>
      <c r="N366" s="18" t="s">
        <v>1495</v>
      </c>
      <c r="O366" s="28" t="s">
        <v>159</v>
      </c>
      <c r="P366" s="13" t="s">
        <v>160</v>
      </c>
      <c r="Q366" s="19">
        <v>40078</v>
      </c>
      <c r="R366" s="16"/>
    </row>
    <row r="367" spans="1:18" s="12" customFormat="1" ht="19.149999999999999" customHeight="1" x14ac:dyDescent="0.3">
      <c r="A367" s="29">
        <v>366</v>
      </c>
      <c r="B367" s="13" t="s">
        <v>78</v>
      </c>
      <c r="C367" s="13" t="s">
        <v>83</v>
      </c>
      <c r="D367" s="13">
        <v>129</v>
      </c>
      <c r="E367" s="21" t="s">
        <v>293</v>
      </c>
      <c r="F367" s="24" t="s">
        <v>711</v>
      </c>
      <c r="G367" s="13" t="s">
        <v>164</v>
      </c>
      <c r="H367" s="18">
        <v>5</v>
      </c>
      <c r="I367" s="127">
        <v>585</v>
      </c>
      <c r="J367" s="69">
        <v>0</v>
      </c>
      <c r="K367" s="18" t="s">
        <v>1513</v>
      </c>
      <c r="L367" s="18">
        <v>0</v>
      </c>
      <c r="M367" s="18" t="s">
        <v>1513</v>
      </c>
      <c r="N367" s="18" t="s">
        <v>1495</v>
      </c>
      <c r="O367" s="13" t="s">
        <v>161</v>
      </c>
      <c r="P367" s="13" t="s">
        <v>162</v>
      </c>
      <c r="Q367" s="19">
        <v>39874</v>
      </c>
      <c r="R367" s="16"/>
    </row>
    <row r="368" spans="1:18" s="12" customFormat="1" ht="19.149999999999999" customHeight="1" x14ac:dyDescent="0.3">
      <c r="A368" s="13">
        <v>367</v>
      </c>
      <c r="B368" s="29" t="s">
        <v>2138</v>
      </c>
      <c r="C368" s="29" t="s">
        <v>2139</v>
      </c>
      <c r="D368" s="29">
        <v>129</v>
      </c>
      <c r="E368" s="51" t="s">
        <v>2140</v>
      </c>
      <c r="F368" s="51" t="s">
        <v>2141</v>
      </c>
      <c r="G368" s="29" t="s">
        <v>1553</v>
      </c>
      <c r="H368" s="18">
        <v>5</v>
      </c>
      <c r="I368" s="18">
        <v>516</v>
      </c>
      <c r="J368" s="69">
        <v>0</v>
      </c>
      <c r="K368" s="18" t="s">
        <v>336</v>
      </c>
      <c r="L368" s="18">
        <v>0</v>
      </c>
      <c r="M368" s="18" t="s">
        <v>1513</v>
      </c>
      <c r="N368" s="18" t="s">
        <v>1495</v>
      </c>
      <c r="O368" s="13" t="s">
        <v>159</v>
      </c>
      <c r="P368" s="13" t="s">
        <v>160</v>
      </c>
      <c r="Q368" s="19">
        <v>44316</v>
      </c>
      <c r="R368" s="29"/>
    </row>
    <row r="369" spans="1:18" s="12" customFormat="1" ht="19.149999999999999" customHeight="1" x14ac:dyDescent="0.3">
      <c r="A369" s="29">
        <v>368</v>
      </c>
      <c r="B369" s="13" t="s">
        <v>2130</v>
      </c>
      <c r="C369" s="13" t="s">
        <v>2142</v>
      </c>
      <c r="D369" s="13">
        <v>130</v>
      </c>
      <c r="E369" s="63" t="s">
        <v>2143</v>
      </c>
      <c r="F369" s="21" t="s">
        <v>2144</v>
      </c>
      <c r="G369" s="13" t="s">
        <v>1502</v>
      </c>
      <c r="H369" s="18">
        <v>3</v>
      </c>
      <c r="I369" s="127">
        <v>268</v>
      </c>
      <c r="J369" s="69">
        <v>0</v>
      </c>
      <c r="K369" s="18" t="s">
        <v>1502</v>
      </c>
      <c r="L369" s="18">
        <v>0</v>
      </c>
      <c r="M369" s="18" t="s">
        <v>1513</v>
      </c>
      <c r="N369" s="18" t="s">
        <v>1802</v>
      </c>
      <c r="O369" s="28" t="s">
        <v>2145</v>
      </c>
      <c r="P369" s="13" t="s">
        <v>2146</v>
      </c>
      <c r="Q369" s="19">
        <v>42621</v>
      </c>
      <c r="R369" s="6" t="s">
        <v>2147</v>
      </c>
    </row>
    <row r="370" spans="1:18" s="12" customFormat="1" ht="19.149999999999999" customHeight="1" x14ac:dyDescent="0.3">
      <c r="A370" s="13">
        <v>369</v>
      </c>
      <c r="B370" s="13" t="s">
        <v>2130</v>
      </c>
      <c r="C370" s="13" t="s">
        <v>2148</v>
      </c>
      <c r="D370" s="13">
        <v>131</v>
      </c>
      <c r="E370" s="21" t="s">
        <v>2149</v>
      </c>
      <c r="F370" s="21" t="s">
        <v>2150</v>
      </c>
      <c r="G370" s="13" t="s">
        <v>1502</v>
      </c>
      <c r="H370" s="18">
        <v>2</v>
      </c>
      <c r="I370" s="127">
        <v>98</v>
      </c>
      <c r="J370" s="69">
        <v>0</v>
      </c>
      <c r="K370" s="18" t="s">
        <v>1502</v>
      </c>
      <c r="L370" s="18">
        <v>0</v>
      </c>
      <c r="M370" s="18" t="s">
        <v>1513</v>
      </c>
      <c r="N370" s="18" t="s">
        <v>1802</v>
      </c>
      <c r="O370" s="13" t="s">
        <v>2151</v>
      </c>
      <c r="P370" s="13" t="s">
        <v>723</v>
      </c>
      <c r="Q370" s="19">
        <v>41737</v>
      </c>
      <c r="R370" s="36" t="s">
        <v>2152</v>
      </c>
    </row>
    <row r="371" spans="1:18" s="26" customFormat="1" ht="19.149999999999999" customHeight="1" x14ac:dyDescent="0.3">
      <c r="A371" s="29">
        <v>370</v>
      </c>
      <c r="B371" s="13" t="s">
        <v>2130</v>
      </c>
      <c r="C371" s="13" t="s">
        <v>2153</v>
      </c>
      <c r="D371" s="13">
        <v>132</v>
      </c>
      <c r="E371" s="21" t="s">
        <v>2154</v>
      </c>
      <c r="F371" s="21" t="s">
        <v>2155</v>
      </c>
      <c r="G371" s="13" t="s">
        <v>1502</v>
      </c>
      <c r="H371" s="18">
        <v>2</v>
      </c>
      <c r="I371" s="127">
        <v>136</v>
      </c>
      <c r="J371" s="69">
        <v>0</v>
      </c>
      <c r="K371" s="18" t="s">
        <v>1502</v>
      </c>
      <c r="L371" s="18">
        <v>0</v>
      </c>
      <c r="M371" s="18" t="s">
        <v>1513</v>
      </c>
      <c r="N371" s="18" t="s">
        <v>1802</v>
      </c>
      <c r="O371" s="13" t="s">
        <v>2156</v>
      </c>
      <c r="P371" s="13" t="s">
        <v>2157</v>
      </c>
      <c r="Q371" s="19">
        <v>43145</v>
      </c>
      <c r="R371" s="36" t="s">
        <v>2158</v>
      </c>
    </row>
    <row r="372" spans="1:18" s="26" customFormat="1" ht="19.149999999999999" customHeight="1" x14ac:dyDescent="0.3">
      <c r="A372" s="13">
        <v>371</v>
      </c>
      <c r="B372" s="13" t="s">
        <v>2130</v>
      </c>
      <c r="C372" s="13" t="s">
        <v>2159</v>
      </c>
      <c r="D372" s="13">
        <v>133</v>
      </c>
      <c r="E372" s="63" t="s">
        <v>2160</v>
      </c>
      <c r="F372" s="24" t="s">
        <v>2161</v>
      </c>
      <c r="G372" s="13" t="s">
        <v>1502</v>
      </c>
      <c r="H372" s="18">
        <v>2</v>
      </c>
      <c r="I372" s="127">
        <v>149</v>
      </c>
      <c r="J372" s="69">
        <v>0</v>
      </c>
      <c r="K372" s="18" t="s">
        <v>1502</v>
      </c>
      <c r="L372" s="18">
        <v>0</v>
      </c>
      <c r="M372" s="18" t="s">
        <v>1513</v>
      </c>
      <c r="N372" s="18" t="s">
        <v>1802</v>
      </c>
      <c r="O372" s="13" t="s">
        <v>2162</v>
      </c>
      <c r="P372" s="29" t="s">
        <v>712</v>
      </c>
      <c r="Q372" s="19">
        <v>42229</v>
      </c>
      <c r="R372" s="6" t="s">
        <v>2163</v>
      </c>
    </row>
    <row r="373" spans="1:18" s="12" customFormat="1" ht="19.149999999999999" customHeight="1" x14ac:dyDescent="0.3">
      <c r="A373" s="29">
        <v>372</v>
      </c>
      <c r="B373" s="13" t="s">
        <v>2130</v>
      </c>
      <c r="C373" s="13" t="s">
        <v>2164</v>
      </c>
      <c r="D373" s="13">
        <v>134</v>
      </c>
      <c r="E373" s="21" t="s">
        <v>2165</v>
      </c>
      <c r="F373" s="21" t="s">
        <v>2166</v>
      </c>
      <c r="G373" s="13" t="s">
        <v>1502</v>
      </c>
      <c r="H373" s="18">
        <v>2</v>
      </c>
      <c r="I373" s="127">
        <v>99</v>
      </c>
      <c r="J373" s="69">
        <v>0</v>
      </c>
      <c r="K373" s="18" t="s">
        <v>1502</v>
      </c>
      <c r="L373" s="18">
        <v>0</v>
      </c>
      <c r="M373" s="18" t="s">
        <v>1513</v>
      </c>
      <c r="N373" s="18" t="s">
        <v>1802</v>
      </c>
      <c r="O373" s="15" t="s">
        <v>2167</v>
      </c>
      <c r="P373" s="13" t="s">
        <v>869</v>
      </c>
      <c r="Q373" s="19">
        <v>42360</v>
      </c>
      <c r="R373" s="36" t="s">
        <v>2168</v>
      </c>
    </row>
    <row r="374" spans="1:18" s="26" customFormat="1" ht="19.149999999999999" customHeight="1" x14ac:dyDescent="0.3">
      <c r="A374" s="13">
        <v>373</v>
      </c>
      <c r="B374" s="13" t="s">
        <v>2138</v>
      </c>
      <c r="C374" s="15" t="s">
        <v>2169</v>
      </c>
      <c r="D374" s="13">
        <v>135</v>
      </c>
      <c r="E374" s="36" t="s">
        <v>2170</v>
      </c>
      <c r="F374" s="24" t="s">
        <v>2171</v>
      </c>
      <c r="G374" s="13" t="s">
        <v>1513</v>
      </c>
      <c r="H374" s="18">
        <v>2</v>
      </c>
      <c r="I374" s="127">
        <v>113</v>
      </c>
      <c r="J374" s="69">
        <v>0</v>
      </c>
      <c r="K374" s="18" t="s">
        <v>1513</v>
      </c>
      <c r="L374" s="18">
        <v>0</v>
      </c>
      <c r="M374" s="18" t="s">
        <v>1513</v>
      </c>
      <c r="N374" s="18" t="s">
        <v>1802</v>
      </c>
      <c r="O374" s="15" t="s">
        <v>2172</v>
      </c>
      <c r="P374" s="13" t="s">
        <v>868</v>
      </c>
      <c r="Q374" s="19">
        <v>43642</v>
      </c>
      <c r="R374" s="6" t="s">
        <v>2173</v>
      </c>
    </row>
    <row r="375" spans="1:18" s="26" customFormat="1" ht="19.149999999999999" customHeight="1" x14ac:dyDescent="0.3">
      <c r="A375" s="29">
        <v>374</v>
      </c>
      <c r="B375" s="13" t="s">
        <v>2130</v>
      </c>
      <c r="C375" s="15" t="s">
        <v>2174</v>
      </c>
      <c r="D375" s="13">
        <v>135</v>
      </c>
      <c r="E375" s="36" t="s">
        <v>2175</v>
      </c>
      <c r="F375" s="24" t="s">
        <v>2176</v>
      </c>
      <c r="G375" s="13" t="s">
        <v>1502</v>
      </c>
      <c r="H375" s="18">
        <v>2</v>
      </c>
      <c r="I375" s="127">
        <v>101</v>
      </c>
      <c r="J375" s="69">
        <v>0</v>
      </c>
      <c r="K375" s="18" t="s">
        <v>1502</v>
      </c>
      <c r="L375" s="18">
        <v>0</v>
      </c>
      <c r="M375" s="18" t="s">
        <v>1513</v>
      </c>
      <c r="N375" s="18" t="s">
        <v>1802</v>
      </c>
      <c r="O375" s="15" t="s">
        <v>2177</v>
      </c>
      <c r="P375" s="13" t="s">
        <v>719</v>
      </c>
      <c r="Q375" s="19">
        <v>42874</v>
      </c>
      <c r="R375" s="6" t="s">
        <v>2173</v>
      </c>
    </row>
    <row r="376" spans="1:18" s="44" customFormat="1" ht="19.149999999999999" customHeight="1" x14ac:dyDescent="0.3">
      <c r="A376" s="13">
        <v>375</v>
      </c>
      <c r="B376" s="13" t="s">
        <v>2130</v>
      </c>
      <c r="C376" s="13" t="s">
        <v>2178</v>
      </c>
      <c r="D376" s="13">
        <v>136</v>
      </c>
      <c r="E376" s="63" t="s">
        <v>2179</v>
      </c>
      <c r="F376" s="21" t="s">
        <v>2180</v>
      </c>
      <c r="G376" s="13" t="s">
        <v>1502</v>
      </c>
      <c r="H376" s="18">
        <v>3</v>
      </c>
      <c r="I376" s="127">
        <v>228</v>
      </c>
      <c r="J376" s="69">
        <v>0</v>
      </c>
      <c r="K376" s="18" t="s">
        <v>1502</v>
      </c>
      <c r="L376" s="18">
        <v>0</v>
      </c>
      <c r="M376" s="18" t="s">
        <v>1513</v>
      </c>
      <c r="N376" s="18" t="s">
        <v>1802</v>
      </c>
      <c r="O376" s="15" t="s">
        <v>2181</v>
      </c>
      <c r="P376" s="13" t="s">
        <v>2182</v>
      </c>
      <c r="Q376" s="19">
        <v>42691</v>
      </c>
      <c r="R376" s="36" t="s">
        <v>2183</v>
      </c>
    </row>
    <row r="377" spans="1:18" s="44" customFormat="1" ht="19.149999999999999" customHeight="1" x14ac:dyDescent="0.3">
      <c r="A377" s="29">
        <v>376</v>
      </c>
      <c r="B377" s="13" t="s">
        <v>2130</v>
      </c>
      <c r="C377" s="13" t="s">
        <v>2184</v>
      </c>
      <c r="D377" s="13">
        <v>137</v>
      </c>
      <c r="E377" s="63" t="s">
        <v>2185</v>
      </c>
      <c r="F377" s="21" t="s">
        <v>2186</v>
      </c>
      <c r="G377" s="13" t="s">
        <v>1502</v>
      </c>
      <c r="H377" s="18">
        <v>3</v>
      </c>
      <c r="I377" s="127">
        <v>322</v>
      </c>
      <c r="J377" s="69">
        <v>0</v>
      </c>
      <c r="K377" s="18" t="s">
        <v>1502</v>
      </c>
      <c r="L377" s="18">
        <v>0</v>
      </c>
      <c r="M377" s="18" t="s">
        <v>1513</v>
      </c>
      <c r="N377" s="18" t="s">
        <v>1802</v>
      </c>
      <c r="O377" s="13" t="s">
        <v>2187</v>
      </c>
      <c r="P377" s="13" t="s">
        <v>724</v>
      </c>
      <c r="Q377" s="19">
        <v>41993</v>
      </c>
      <c r="R377" s="36" t="s">
        <v>2188</v>
      </c>
    </row>
    <row r="378" spans="1:18" s="44" customFormat="1" ht="19.149999999999999" customHeight="1" x14ac:dyDescent="0.3">
      <c r="A378" s="13">
        <v>377</v>
      </c>
      <c r="B378" s="13" t="s">
        <v>2130</v>
      </c>
      <c r="C378" s="13" t="s">
        <v>2189</v>
      </c>
      <c r="D378" s="13">
        <v>138</v>
      </c>
      <c r="E378" s="63" t="s">
        <v>2190</v>
      </c>
      <c r="F378" s="24" t="s">
        <v>2191</v>
      </c>
      <c r="G378" s="13" t="s">
        <v>1502</v>
      </c>
      <c r="H378" s="69">
        <v>2</v>
      </c>
      <c r="I378" s="127">
        <v>201</v>
      </c>
      <c r="J378" s="69">
        <v>0</v>
      </c>
      <c r="K378" s="18" t="s">
        <v>1502</v>
      </c>
      <c r="L378" s="18">
        <v>0</v>
      </c>
      <c r="M378" s="18" t="s">
        <v>1513</v>
      </c>
      <c r="N378" s="18" t="s">
        <v>1802</v>
      </c>
      <c r="O378" s="13" t="s">
        <v>2192</v>
      </c>
      <c r="P378" s="13" t="s">
        <v>2193</v>
      </c>
      <c r="Q378" s="19">
        <v>43140</v>
      </c>
      <c r="R378" s="6" t="s">
        <v>2194</v>
      </c>
    </row>
    <row r="379" spans="1:18" s="44" customFormat="1" ht="19.149999999999999" customHeight="1" x14ac:dyDescent="0.3">
      <c r="A379" s="29">
        <v>378</v>
      </c>
      <c r="B379" s="13" t="s">
        <v>2138</v>
      </c>
      <c r="C379" s="13" t="s">
        <v>2195</v>
      </c>
      <c r="D379" s="13">
        <v>138</v>
      </c>
      <c r="E379" s="21" t="s">
        <v>2196</v>
      </c>
      <c r="F379" s="24" t="s">
        <v>2197</v>
      </c>
      <c r="G379" s="13" t="s">
        <v>1513</v>
      </c>
      <c r="H379" s="18">
        <v>2</v>
      </c>
      <c r="I379" s="127">
        <v>94</v>
      </c>
      <c r="J379" s="69">
        <v>0</v>
      </c>
      <c r="K379" s="18" t="s">
        <v>1513</v>
      </c>
      <c r="L379" s="18">
        <v>0</v>
      </c>
      <c r="M379" s="18" t="s">
        <v>1513</v>
      </c>
      <c r="N379" s="18" t="s">
        <v>1802</v>
      </c>
      <c r="O379" s="15" t="s">
        <v>322</v>
      </c>
      <c r="P379" s="13" t="s">
        <v>867</v>
      </c>
      <c r="Q379" s="19">
        <v>43634</v>
      </c>
      <c r="R379" s="16"/>
    </row>
    <row r="380" spans="1:18" s="44" customFormat="1" ht="19.149999999999999" customHeight="1" x14ac:dyDescent="0.3">
      <c r="A380" s="13">
        <v>379</v>
      </c>
      <c r="B380" s="29" t="s">
        <v>2138</v>
      </c>
      <c r="C380" s="29" t="s">
        <v>2198</v>
      </c>
      <c r="D380" s="29">
        <v>139</v>
      </c>
      <c r="E380" s="51" t="s">
        <v>2199</v>
      </c>
      <c r="F380" s="51" t="s">
        <v>2200</v>
      </c>
      <c r="G380" s="29" t="s">
        <v>1553</v>
      </c>
      <c r="H380" s="18">
        <v>1</v>
      </c>
      <c r="I380" s="18">
        <v>92</v>
      </c>
      <c r="J380" s="29">
        <v>0</v>
      </c>
      <c r="K380" s="29" t="s">
        <v>1513</v>
      </c>
      <c r="L380" s="29">
        <v>0</v>
      </c>
      <c r="M380" s="29" t="s">
        <v>1513</v>
      </c>
      <c r="N380" s="29" t="s">
        <v>1495</v>
      </c>
      <c r="O380" s="15" t="s">
        <v>155</v>
      </c>
      <c r="P380" s="13" t="s">
        <v>156</v>
      </c>
      <c r="Q380" s="19">
        <v>44617</v>
      </c>
      <c r="R380" s="51"/>
    </row>
    <row r="381" spans="1:18" s="12" customFormat="1" ht="19.149999999999999" customHeight="1" x14ac:dyDescent="0.3">
      <c r="A381" s="29">
        <v>380</v>
      </c>
      <c r="B381" s="29" t="s">
        <v>2138</v>
      </c>
      <c r="C381" s="29" t="s">
        <v>2198</v>
      </c>
      <c r="D381" s="29">
        <v>139</v>
      </c>
      <c r="E381" s="51" t="s">
        <v>2201</v>
      </c>
      <c r="F381" s="51" t="s">
        <v>2202</v>
      </c>
      <c r="G381" s="29" t="s">
        <v>1553</v>
      </c>
      <c r="H381" s="18">
        <v>2</v>
      </c>
      <c r="I381" s="18">
        <v>99</v>
      </c>
      <c r="J381" s="29">
        <v>0</v>
      </c>
      <c r="K381" s="29" t="s">
        <v>1513</v>
      </c>
      <c r="L381" s="29">
        <v>0</v>
      </c>
      <c r="M381" s="29" t="s">
        <v>1513</v>
      </c>
      <c r="N381" s="29" t="s">
        <v>1802</v>
      </c>
      <c r="O381" s="15" t="s">
        <v>155</v>
      </c>
      <c r="P381" s="13" t="s">
        <v>156</v>
      </c>
      <c r="Q381" s="19">
        <v>43365</v>
      </c>
      <c r="R381" s="51" t="s">
        <v>2203</v>
      </c>
    </row>
    <row r="382" spans="1:18" s="12" customFormat="1" ht="19.149999999999999" customHeight="1" x14ac:dyDescent="0.3">
      <c r="A382" s="13">
        <v>381</v>
      </c>
      <c r="B382" s="13" t="s">
        <v>2138</v>
      </c>
      <c r="C382" s="13" t="s">
        <v>2204</v>
      </c>
      <c r="D382" s="13">
        <v>140</v>
      </c>
      <c r="E382" s="21" t="s">
        <v>2205</v>
      </c>
      <c r="F382" s="24" t="s">
        <v>2206</v>
      </c>
      <c r="G382" s="13" t="s">
        <v>1513</v>
      </c>
      <c r="H382" s="18">
        <v>2</v>
      </c>
      <c r="I382" s="127">
        <v>93</v>
      </c>
      <c r="J382" s="69">
        <v>0</v>
      </c>
      <c r="K382" s="18" t="s">
        <v>1513</v>
      </c>
      <c r="L382" s="18">
        <v>0</v>
      </c>
      <c r="M382" s="18" t="s">
        <v>1513</v>
      </c>
      <c r="N382" s="18" t="s">
        <v>1802</v>
      </c>
      <c r="O382" s="15" t="s">
        <v>2207</v>
      </c>
      <c r="P382" s="327" t="s">
        <v>2208</v>
      </c>
      <c r="Q382" s="19">
        <v>44568</v>
      </c>
      <c r="R382" s="16"/>
    </row>
    <row r="383" spans="1:18" s="12" customFormat="1" ht="19.149999999999999" customHeight="1" x14ac:dyDescent="0.3">
      <c r="A383" s="29">
        <v>382</v>
      </c>
      <c r="B383" s="13" t="s">
        <v>89</v>
      </c>
      <c r="C383" s="13" t="s">
        <v>90</v>
      </c>
      <c r="D383" s="13">
        <v>142</v>
      </c>
      <c r="E383" s="21" t="s">
        <v>272</v>
      </c>
      <c r="F383" s="21" t="s">
        <v>738</v>
      </c>
      <c r="G383" s="13" t="s">
        <v>154</v>
      </c>
      <c r="H383" s="18">
        <v>8</v>
      </c>
      <c r="I383" s="127">
        <v>1282</v>
      </c>
      <c r="J383" s="69">
        <v>1</v>
      </c>
      <c r="K383" s="18" t="s">
        <v>1162</v>
      </c>
      <c r="L383" s="18">
        <v>0</v>
      </c>
      <c r="M383" s="18" t="s">
        <v>1513</v>
      </c>
      <c r="N383" s="18" t="s">
        <v>1495</v>
      </c>
      <c r="O383" s="28" t="s">
        <v>159</v>
      </c>
      <c r="P383" s="13" t="s">
        <v>160</v>
      </c>
      <c r="Q383" s="23">
        <v>42699</v>
      </c>
      <c r="R383" s="24"/>
    </row>
    <row r="384" spans="1:18" s="12" customFormat="1" ht="19.149999999999999" customHeight="1" x14ac:dyDescent="0.3">
      <c r="A384" s="13">
        <v>383</v>
      </c>
      <c r="B384" s="13" t="s">
        <v>89</v>
      </c>
      <c r="C384" s="13" t="s">
        <v>90</v>
      </c>
      <c r="D384" s="13">
        <v>142</v>
      </c>
      <c r="E384" s="24" t="s">
        <v>2209</v>
      </c>
      <c r="F384" s="24" t="s">
        <v>730</v>
      </c>
      <c r="G384" s="13" t="s">
        <v>164</v>
      </c>
      <c r="H384" s="18">
        <v>8</v>
      </c>
      <c r="I384" s="127">
        <v>904</v>
      </c>
      <c r="J384" s="69">
        <v>0</v>
      </c>
      <c r="K384" s="18" t="s">
        <v>336</v>
      </c>
      <c r="L384" s="18">
        <v>0</v>
      </c>
      <c r="M384" s="18" t="s">
        <v>1513</v>
      </c>
      <c r="N384" s="18" t="s">
        <v>1495</v>
      </c>
      <c r="O384" s="15" t="s">
        <v>155</v>
      </c>
      <c r="P384" s="13" t="s">
        <v>156</v>
      </c>
      <c r="Q384" s="19">
        <v>39653</v>
      </c>
      <c r="R384" s="43"/>
    </row>
    <row r="385" spans="1:18" s="12" customFormat="1" ht="19.149999999999999" customHeight="1" x14ac:dyDescent="0.3">
      <c r="A385" s="29">
        <v>384</v>
      </c>
      <c r="B385" s="13" t="s">
        <v>89</v>
      </c>
      <c r="C385" s="13" t="s">
        <v>90</v>
      </c>
      <c r="D385" s="13">
        <v>142</v>
      </c>
      <c r="E385" s="24" t="s">
        <v>2210</v>
      </c>
      <c r="F385" s="24" t="s">
        <v>731</v>
      </c>
      <c r="G385" s="13" t="s">
        <v>154</v>
      </c>
      <c r="H385" s="18">
        <v>10</v>
      </c>
      <c r="I385" s="127">
        <v>1821</v>
      </c>
      <c r="J385" s="69">
        <v>1</v>
      </c>
      <c r="K385" s="18" t="s">
        <v>207</v>
      </c>
      <c r="L385" s="18">
        <v>1</v>
      </c>
      <c r="M385" s="18" t="s">
        <v>3142</v>
      </c>
      <c r="N385" s="18" t="s">
        <v>1495</v>
      </c>
      <c r="O385" s="15" t="s">
        <v>155</v>
      </c>
      <c r="P385" s="13" t="s">
        <v>156</v>
      </c>
      <c r="Q385" s="19">
        <v>39364</v>
      </c>
      <c r="R385" s="36" t="s">
        <v>2211</v>
      </c>
    </row>
    <row r="386" spans="1:18" s="12" customFormat="1" ht="19.149999999999999" customHeight="1" x14ac:dyDescent="0.3">
      <c r="A386" s="13">
        <v>385</v>
      </c>
      <c r="B386" s="13" t="s">
        <v>89</v>
      </c>
      <c r="C386" s="13" t="s">
        <v>90</v>
      </c>
      <c r="D386" s="13">
        <v>142</v>
      </c>
      <c r="E386" s="21" t="s">
        <v>2212</v>
      </c>
      <c r="F386" s="24" t="s">
        <v>732</v>
      </c>
      <c r="G386" s="13" t="s">
        <v>154</v>
      </c>
      <c r="H386" s="18">
        <v>11</v>
      </c>
      <c r="I386" s="127">
        <v>1535</v>
      </c>
      <c r="J386" s="69">
        <v>0</v>
      </c>
      <c r="K386" s="18" t="s">
        <v>336</v>
      </c>
      <c r="L386" s="18">
        <v>0</v>
      </c>
      <c r="M386" s="18" t="s">
        <v>1513</v>
      </c>
      <c r="N386" s="18" t="s">
        <v>1495</v>
      </c>
      <c r="O386" s="15" t="s">
        <v>155</v>
      </c>
      <c r="P386" s="13" t="s">
        <v>156</v>
      </c>
      <c r="Q386" s="23">
        <v>43432</v>
      </c>
      <c r="R386" s="36" t="s">
        <v>733</v>
      </c>
    </row>
    <row r="387" spans="1:18" s="12" customFormat="1" ht="19.149999999999999" customHeight="1" x14ac:dyDescent="0.3">
      <c r="A387" s="29">
        <v>386</v>
      </c>
      <c r="B387" s="13" t="s">
        <v>89</v>
      </c>
      <c r="C387" s="13" t="s">
        <v>90</v>
      </c>
      <c r="D387" s="13">
        <v>142</v>
      </c>
      <c r="E387" s="21" t="s">
        <v>2213</v>
      </c>
      <c r="F387" s="21" t="s">
        <v>741</v>
      </c>
      <c r="G387" s="13" t="s">
        <v>164</v>
      </c>
      <c r="H387" s="18">
        <v>4</v>
      </c>
      <c r="I387" s="127">
        <v>380</v>
      </c>
      <c r="J387" s="69">
        <v>0</v>
      </c>
      <c r="K387" s="18" t="s">
        <v>336</v>
      </c>
      <c r="L387" s="18">
        <v>0</v>
      </c>
      <c r="M387" s="18" t="s">
        <v>1513</v>
      </c>
      <c r="N387" s="18" t="s">
        <v>1495</v>
      </c>
      <c r="O387" s="13" t="s">
        <v>161</v>
      </c>
      <c r="P387" s="13" t="s">
        <v>162</v>
      </c>
      <c r="Q387" s="19">
        <v>43434</v>
      </c>
      <c r="R387" s="36" t="s">
        <v>2214</v>
      </c>
    </row>
    <row r="388" spans="1:18" s="12" customFormat="1" ht="19.149999999999999" customHeight="1" x14ac:dyDescent="0.3">
      <c r="A388" s="13">
        <v>387</v>
      </c>
      <c r="B388" s="13" t="s">
        <v>89</v>
      </c>
      <c r="C388" s="13" t="s">
        <v>90</v>
      </c>
      <c r="D388" s="13">
        <v>142</v>
      </c>
      <c r="E388" s="21" t="s">
        <v>739</v>
      </c>
      <c r="F388" s="21" t="s">
        <v>740</v>
      </c>
      <c r="G388" s="13" t="s">
        <v>164</v>
      </c>
      <c r="H388" s="18">
        <v>8</v>
      </c>
      <c r="I388" s="127">
        <v>1013</v>
      </c>
      <c r="J388" s="69">
        <v>0</v>
      </c>
      <c r="K388" s="18" t="s">
        <v>336</v>
      </c>
      <c r="L388" s="18">
        <v>0</v>
      </c>
      <c r="M388" s="18" t="s">
        <v>1513</v>
      </c>
      <c r="N388" s="18" t="s">
        <v>1495</v>
      </c>
      <c r="O388" s="13" t="s">
        <v>161</v>
      </c>
      <c r="P388" s="13" t="s">
        <v>162</v>
      </c>
      <c r="Q388" s="19">
        <v>43082</v>
      </c>
      <c r="R388" s="24"/>
    </row>
    <row r="389" spans="1:18" s="44" customFormat="1" ht="19.149999999999999" customHeight="1" x14ac:dyDescent="0.3">
      <c r="A389" s="29">
        <v>388</v>
      </c>
      <c r="B389" s="13" t="s">
        <v>89</v>
      </c>
      <c r="C389" s="13" t="s">
        <v>90</v>
      </c>
      <c r="D389" s="13">
        <v>142</v>
      </c>
      <c r="E389" s="21" t="s">
        <v>736</v>
      </c>
      <c r="F389" s="21" t="s">
        <v>1231</v>
      </c>
      <c r="G389" s="13" t="s">
        <v>154</v>
      </c>
      <c r="H389" s="18">
        <v>6</v>
      </c>
      <c r="I389" s="127">
        <v>1286</v>
      </c>
      <c r="J389" s="69">
        <v>1</v>
      </c>
      <c r="K389" s="18" t="s">
        <v>1577</v>
      </c>
      <c r="L389" s="18">
        <v>0</v>
      </c>
      <c r="M389" s="18" t="s">
        <v>1513</v>
      </c>
      <c r="N389" s="18" t="s">
        <v>1495</v>
      </c>
      <c r="O389" s="13" t="s">
        <v>159</v>
      </c>
      <c r="P389" s="13" t="s">
        <v>160</v>
      </c>
      <c r="Q389" s="23">
        <v>41207</v>
      </c>
      <c r="R389" s="24"/>
    </row>
    <row r="390" spans="1:18" s="12" customFormat="1" ht="19.149999999999999" customHeight="1" x14ac:dyDescent="0.3">
      <c r="A390" s="13">
        <v>389</v>
      </c>
      <c r="B390" s="13" t="s">
        <v>2215</v>
      </c>
      <c r="C390" s="13" t="s">
        <v>2216</v>
      </c>
      <c r="D390" s="13">
        <v>142</v>
      </c>
      <c r="E390" s="24" t="s">
        <v>2217</v>
      </c>
      <c r="F390" s="24" t="s">
        <v>2218</v>
      </c>
      <c r="G390" s="13" t="s">
        <v>1553</v>
      </c>
      <c r="H390" s="18">
        <v>8</v>
      </c>
      <c r="I390" s="127">
        <v>676</v>
      </c>
      <c r="J390" s="69">
        <v>0</v>
      </c>
      <c r="K390" s="18" t="s">
        <v>336</v>
      </c>
      <c r="L390" s="18">
        <v>0</v>
      </c>
      <c r="M390" s="18" t="s">
        <v>1513</v>
      </c>
      <c r="N390" s="18" t="s">
        <v>1495</v>
      </c>
      <c r="O390" s="15" t="s">
        <v>155</v>
      </c>
      <c r="P390" s="13" t="s">
        <v>156</v>
      </c>
      <c r="Q390" s="19">
        <v>43497</v>
      </c>
      <c r="R390" s="43" t="s">
        <v>3438</v>
      </c>
    </row>
    <row r="391" spans="1:18" s="12" customFormat="1" ht="19.149999999999999" customHeight="1" x14ac:dyDescent="0.3">
      <c r="A391" s="29">
        <v>390</v>
      </c>
      <c r="B391" s="13" t="s">
        <v>734</v>
      </c>
      <c r="C391" s="13" t="s">
        <v>90</v>
      </c>
      <c r="D391" s="13">
        <v>142</v>
      </c>
      <c r="E391" s="24" t="s">
        <v>2219</v>
      </c>
      <c r="F391" s="24" t="s">
        <v>735</v>
      </c>
      <c r="G391" s="13" t="s">
        <v>345</v>
      </c>
      <c r="H391" s="18">
        <v>8</v>
      </c>
      <c r="I391" s="127">
        <v>1675</v>
      </c>
      <c r="J391" s="69">
        <v>1</v>
      </c>
      <c r="K391" s="18" t="s">
        <v>208</v>
      </c>
      <c r="L391" s="18">
        <v>0</v>
      </c>
      <c r="M391" s="18" t="s">
        <v>1513</v>
      </c>
      <c r="N391" s="18" t="s">
        <v>1495</v>
      </c>
      <c r="O391" s="15" t="s">
        <v>155</v>
      </c>
      <c r="P391" s="13" t="s">
        <v>156</v>
      </c>
      <c r="Q391" s="19">
        <v>41753</v>
      </c>
      <c r="R391" s="43"/>
    </row>
    <row r="392" spans="1:18" s="12" customFormat="1" ht="19.149999999999999" customHeight="1" x14ac:dyDescent="0.3">
      <c r="A392" s="13">
        <v>391</v>
      </c>
      <c r="B392" s="29" t="s">
        <v>2215</v>
      </c>
      <c r="C392" s="29" t="s">
        <v>2220</v>
      </c>
      <c r="D392" s="29">
        <v>147</v>
      </c>
      <c r="E392" s="51" t="s">
        <v>2221</v>
      </c>
      <c r="F392" s="51" t="s">
        <v>2222</v>
      </c>
      <c r="G392" s="29" t="s">
        <v>1553</v>
      </c>
      <c r="H392" s="18">
        <v>6</v>
      </c>
      <c r="I392" s="18">
        <v>463</v>
      </c>
      <c r="J392" s="69">
        <v>0</v>
      </c>
      <c r="K392" s="18" t="s">
        <v>336</v>
      </c>
      <c r="L392" s="18">
        <v>0</v>
      </c>
      <c r="M392" s="18" t="s">
        <v>1513</v>
      </c>
      <c r="N392" s="18" t="s">
        <v>1495</v>
      </c>
      <c r="O392" s="15" t="s">
        <v>155</v>
      </c>
      <c r="P392" s="13" t="s">
        <v>156</v>
      </c>
      <c r="Q392" s="19">
        <v>44300</v>
      </c>
      <c r="R392" s="29"/>
    </row>
    <row r="393" spans="1:18" s="12" customFormat="1" ht="19.149999999999999" customHeight="1" x14ac:dyDescent="0.3">
      <c r="A393" s="29">
        <v>392</v>
      </c>
      <c r="B393" s="13" t="s">
        <v>89</v>
      </c>
      <c r="C393" s="13" t="s">
        <v>91</v>
      </c>
      <c r="D393" s="13">
        <v>147</v>
      </c>
      <c r="E393" s="21" t="s">
        <v>742</v>
      </c>
      <c r="F393" s="21" t="s">
        <v>743</v>
      </c>
      <c r="G393" s="13" t="s">
        <v>164</v>
      </c>
      <c r="H393" s="18">
        <v>4</v>
      </c>
      <c r="I393" s="127">
        <v>578</v>
      </c>
      <c r="J393" s="69">
        <v>0</v>
      </c>
      <c r="K393" s="18" t="s">
        <v>336</v>
      </c>
      <c r="L393" s="18">
        <v>0</v>
      </c>
      <c r="M393" s="18" t="s">
        <v>1513</v>
      </c>
      <c r="N393" s="18" t="s">
        <v>1495</v>
      </c>
      <c r="O393" s="13" t="s">
        <v>161</v>
      </c>
      <c r="P393" s="13" t="s">
        <v>162</v>
      </c>
      <c r="Q393" s="19">
        <v>41262</v>
      </c>
      <c r="R393" s="36" t="s">
        <v>2223</v>
      </c>
    </row>
    <row r="394" spans="1:18" s="44" customFormat="1" ht="19.149999999999999" customHeight="1" x14ac:dyDescent="0.3">
      <c r="A394" s="13">
        <v>393</v>
      </c>
      <c r="B394" s="13" t="s">
        <v>2215</v>
      </c>
      <c r="C394" s="13" t="s">
        <v>2220</v>
      </c>
      <c r="D394" s="13">
        <v>147</v>
      </c>
      <c r="E394" s="21" t="s">
        <v>2224</v>
      </c>
      <c r="F394" s="21" t="s">
        <v>2225</v>
      </c>
      <c r="G394" s="13" t="s">
        <v>1553</v>
      </c>
      <c r="H394" s="18">
        <v>5</v>
      </c>
      <c r="I394" s="127">
        <v>746</v>
      </c>
      <c r="J394" s="69">
        <v>0</v>
      </c>
      <c r="K394" s="18" t="s">
        <v>1513</v>
      </c>
      <c r="L394" s="18">
        <v>0</v>
      </c>
      <c r="M394" s="18" t="s">
        <v>1513</v>
      </c>
      <c r="N394" s="18" t="s">
        <v>1495</v>
      </c>
      <c r="O394" s="28" t="s">
        <v>159</v>
      </c>
      <c r="P394" s="13" t="s">
        <v>160</v>
      </c>
      <c r="Q394" s="19">
        <v>43727</v>
      </c>
      <c r="R394" s="24"/>
    </row>
    <row r="395" spans="1:18" s="44" customFormat="1" ht="19.149999999999999" customHeight="1" x14ac:dyDescent="0.3">
      <c r="A395" s="29">
        <v>394</v>
      </c>
      <c r="B395" s="13" t="s">
        <v>89</v>
      </c>
      <c r="C395" s="13" t="s">
        <v>92</v>
      </c>
      <c r="D395" s="13">
        <v>148</v>
      </c>
      <c r="E395" s="21" t="s">
        <v>307</v>
      </c>
      <c r="F395" s="21" t="s">
        <v>725</v>
      </c>
      <c r="G395" s="13" t="s">
        <v>164</v>
      </c>
      <c r="H395" s="18">
        <v>7</v>
      </c>
      <c r="I395" s="127">
        <v>1200</v>
      </c>
      <c r="J395" s="69">
        <v>0</v>
      </c>
      <c r="K395" s="18" t="s">
        <v>336</v>
      </c>
      <c r="L395" s="18">
        <v>0</v>
      </c>
      <c r="M395" s="18" t="s">
        <v>1513</v>
      </c>
      <c r="N395" s="18" t="s">
        <v>1495</v>
      </c>
      <c r="O395" s="13" t="s">
        <v>161</v>
      </c>
      <c r="P395" s="13" t="s">
        <v>162</v>
      </c>
      <c r="Q395" s="19">
        <v>40848</v>
      </c>
      <c r="R395" s="36" t="s">
        <v>726</v>
      </c>
    </row>
    <row r="396" spans="1:18" s="12" customFormat="1" ht="19.149999999999999" customHeight="1" x14ac:dyDescent="0.3">
      <c r="A396" s="13">
        <v>395</v>
      </c>
      <c r="B396" s="29" t="s">
        <v>2215</v>
      </c>
      <c r="C396" s="29" t="s">
        <v>2226</v>
      </c>
      <c r="D396" s="29">
        <v>148</v>
      </c>
      <c r="E396" s="51" t="s">
        <v>2227</v>
      </c>
      <c r="F396" s="51" t="s">
        <v>2228</v>
      </c>
      <c r="G396" s="29" t="s">
        <v>1553</v>
      </c>
      <c r="H396" s="18">
        <v>6</v>
      </c>
      <c r="I396" s="18">
        <v>642</v>
      </c>
      <c r="J396" s="69">
        <v>0</v>
      </c>
      <c r="K396" s="18" t="s">
        <v>336</v>
      </c>
      <c r="L396" s="18">
        <v>0</v>
      </c>
      <c r="M396" s="18" t="s">
        <v>1513</v>
      </c>
      <c r="N396" s="18" t="s">
        <v>1495</v>
      </c>
      <c r="O396" s="15" t="s">
        <v>155</v>
      </c>
      <c r="P396" s="13" t="s">
        <v>156</v>
      </c>
      <c r="Q396" s="19">
        <v>44684</v>
      </c>
      <c r="R396" s="29"/>
    </row>
    <row r="397" spans="1:18" s="12" customFormat="1" ht="19.149999999999999" customHeight="1" x14ac:dyDescent="0.3">
      <c r="A397" s="29">
        <v>396</v>
      </c>
      <c r="B397" s="29" t="s">
        <v>2215</v>
      </c>
      <c r="C397" s="29" t="s">
        <v>2229</v>
      </c>
      <c r="D397" s="29">
        <v>149</v>
      </c>
      <c r="E397" s="51" t="s">
        <v>2230</v>
      </c>
      <c r="F397" s="51" t="s">
        <v>2231</v>
      </c>
      <c r="G397" s="29" t="s">
        <v>1538</v>
      </c>
      <c r="H397" s="18">
        <v>2</v>
      </c>
      <c r="I397" s="18">
        <v>91</v>
      </c>
      <c r="J397" s="69">
        <v>0</v>
      </c>
      <c r="K397" s="18" t="s">
        <v>336</v>
      </c>
      <c r="L397" s="18">
        <v>0</v>
      </c>
      <c r="M397" s="18" t="s">
        <v>1513</v>
      </c>
      <c r="N397" s="18" t="s">
        <v>1802</v>
      </c>
      <c r="O397" s="13" t="s">
        <v>189</v>
      </c>
      <c r="P397" s="29" t="s">
        <v>190</v>
      </c>
      <c r="Q397" s="19">
        <v>44316</v>
      </c>
      <c r="R397" s="29"/>
    </row>
    <row r="398" spans="1:18" s="12" customFormat="1" ht="19.149999999999999" customHeight="1" x14ac:dyDescent="0.3">
      <c r="A398" s="13">
        <v>397</v>
      </c>
      <c r="B398" s="28" t="s">
        <v>2233</v>
      </c>
      <c r="C398" s="28" t="s">
        <v>2234</v>
      </c>
      <c r="D398" s="28">
        <v>150</v>
      </c>
      <c r="E398" s="63" t="s">
        <v>2235</v>
      </c>
      <c r="F398" s="32" t="s">
        <v>2236</v>
      </c>
      <c r="G398" s="28" t="s">
        <v>1502</v>
      </c>
      <c r="H398" s="33">
        <v>2</v>
      </c>
      <c r="I398" s="144">
        <v>95</v>
      </c>
      <c r="J398" s="91">
        <v>0</v>
      </c>
      <c r="K398" s="33" t="s">
        <v>1502</v>
      </c>
      <c r="L398" s="18">
        <v>0</v>
      </c>
      <c r="M398" s="18" t="s">
        <v>1513</v>
      </c>
      <c r="N398" s="18" t="s">
        <v>1802</v>
      </c>
      <c r="O398" s="28" t="s">
        <v>2237</v>
      </c>
      <c r="P398" s="28" t="s">
        <v>2238</v>
      </c>
      <c r="Q398" s="34">
        <v>43314</v>
      </c>
      <c r="R398" s="63" t="s">
        <v>2239</v>
      </c>
    </row>
    <row r="399" spans="1:18" s="12" customFormat="1" ht="19.149999999999999" customHeight="1" x14ac:dyDescent="0.3">
      <c r="A399" s="29">
        <v>398</v>
      </c>
      <c r="B399" s="28" t="s">
        <v>2233</v>
      </c>
      <c r="C399" s="28" t="s">
        <v>2240</v>
      </c>
      <c r="D399" s="28">
        <v>151</v>
      </c>
      <c r="E399" s="63" t="s">
        <v>2241</v>
      </c>
      <c r="F399" s="32" t="s">
        <v>2242</v>
      </c>
      <c r="G399" s="28" t="s">
        <v>1502</v>
      </c>
      <c r="H399" s="33">
        <v>2</v>
      </c>
      <c r="I399" s="144">
        <v>97</v>
      </c>
      <c r="J399" s="91">
        <v>0</v>
      </c>
      <c r="K399" s="33" t="s">
        <v>1502</v>
      </c>
      <c r="L399" s="18">
        <v>0</v>
      </c>
      <c r="M399" s="18" t="s">
        <v>1513</v>
      </c>
      <c r="N399" s="18" t="s">
        <v>1802</v>
      </c>
      <c r="O399" s="28" t="s">
        <v>2243</v>
      </c>
      <c r="P399" s="28" t="s">
        <v>2244</v>
      </c>
      <c r="Q399" s="34">
        <v>42656</v>
      </c>
      <c r="R399" s="63" t="s">
        <v>2245</v>
      </c>
    </row>
    <row r="400" spans="1:18" s="12" customFormat="1" ht="19.149999999999999" customHeight="1" x14ac:dyDescent="0.3">
      <c r="A400" s="13">
        <v>399</v>
      </c>
      <c r="B400" s="13" t="s">
        <v>89</v>
      </c>
      <c r="C400" s="13" t="s">
        <v>727</v>
      </c>
      <c r="D400" s="13">
        <v>153</v>
      </c>
      <c r="E400" s="21" t="s">
        <v>728</v>
      </c>
      <c r="F400" s="21" t="s">
        <v>729</v>
      </c>
      <c r="G400" s="13" t="s">
        <v>444</v>
      </c>
      <c r="H400" s="18">
        <v>4</v>
      </c>
      <c r="I400" s="127">
        <v>372</v>
      </c>
      <c r="J400" s="69">
        <v>0</v>
      </c>
      <c r="K400" s="18" t="s">
        <v>336</v>
      </c>
      <c r="L400" s="18">
        <v>0</v>
      </c>
      <c r="M400" s="18" t="s">
        <v>1513</v>
      </c>
      <c r="N400" s="18" t="s">
        <v>1495</v>
      </c>
      <c r="O400" s="13" t="s">
        <v>161</v>
      </c>
      <c r="P400" s="13" t="s">
        <v>162</v>
      </c>
      <c r="Q400" s="19">
        <v>42368</v>
      </c>
      <c r="R400" s="24"/>
    </row>
    <row r="401" spans="1:18" s="12" customFormat="1" ht="19.149999999999999" customHeight="1" x14ac:dyDescent="0.3">
      <c r="A401" s="29">
        <v>400</v>
      </c>
      <c r="B401" s="28" t="s">
        <v>2233</v>
      </c>
      <c r="C401" s="28" t="s">
        <v>2246</v>
      </c>
      <c r="D401" s="28">
        <v>154</v>
      </c>
      <c r="E401" s="32" t="s">
        <v>2247</v>
      </c>
      <c r="F401" s="32" t="s">
        <v>2248</v>
      </c>
      <c r="G401" s="28" t="s">
        <v>1502</v>
      </c>
      <c r="H401" s="33">
        <v>3</v>
      </c>
      <c r="I401" s="144">
        <v>234</v>
      </c>
      <c r="J401" s="91">
        <v>0</v>
      </c>
      <c r="K401" s="33" t="s">
        <v>1502</v>
      </c>
      <c r="L401" s="18">
        <v>0</v>
      </c>
      <c r="M401" s="18" t="s">
        <v>1513</v>
      </c>
      <c r="N401" s="18" t="s">
        <v>1495</v>
      </c>
      <c r="O401" s="28" t="s">
        <v>2249</v>
      </c>
      <c r="P401" s="28" t="s">
        <v>2250</v>
      </c>
      <c r="Q401" s="34">
        <v>43405</v>
      </c>
      <c r="R401" s="32"/>
    </row>
    <row r="402" spans="1:18" s="12" customFormat="1" ht="19.149999999999999" customHeight="1" x14ac:dyDescent="0.3">
      <c r="A402" s="13">
        <v>401</v>
      </c>
      <c r="B402" s="13" t="s">
        <v>2215</v>
      </c>
      <c r="C402" s="13" t="s">
        <v>2251</v>
      </c>
      <c r="D402" s="13">
        <v>155</v>
      </c>
      <c r="E402" s="24" t="s">
        <v>2252</v>
      </c>
      <c r="F402" s="24" t="s">
        <v>2253</v>
      </c>
      <c r="G402" s="13" t="s">
        <v>1553</v>
      </c>
      <c r="H402" s="18">
        <v>5</v>
      </c>
      <c r="I402" s="127">
        <v>799</v>
      </c>
      <c r="J402" s="69">
        <v>0</v>
      </c>
      <c r="K402" s="18" t="s">
        <v>336</v>
      </c>
      <c r="L402" s="18">
        <v>0</v>
      </c>
      <c r="M402" s="18" t="s">
        <v>1513</v>
      </c>
      <c r="N402" s="18" t="s">
        <v>1495</v>
      </c>
      <c r="O402" s="15" t="s">
        <v>155</v>
      </c>
      <c r="P402" s="13" t="s">
        <v>156</v>
      </c>
      <c r="Q402" s="19">
        <v>43574</v>
      </c>
      <c r="R402" s="24"/>
    </row>
    <row r="403" spans="1:18" s="12" customFormat="1" ht="19.149999999999999" customHeight="1" x14ac:dyDescent="0.3">
      <c r="A403" s="29">
        <v>402</v>
      </c>
      <c r="B403" s="28" t="s">
        <v>2233</v>
      </c>
      <c r="C403" s="28" t="s">
        <v>2251</v>
      </c>
      <c r="D403" s="28">
        <v>155</v>
      </c>
      <c r="E403" s="32" t="s">
        <v>2254</v>
      </c>
      <c r="F403" s="32" t="s">
        <v>2255</v>
      </c>
      <c r="G403" s="28" t="s">
        <v>1513</v>
      </c>
      <c r="H403" s="33">
        <v>2</v>
      </c>
      <c r="I403" s="144">
        <v>92</v>
      </c>
      <c r="J403" s="91">
        <v>0</v>
      </c>
      <c r="K403" s="33" t="s">
        <v>1502</v>
      </c>
      <c r="L403" s="18">
        <v>0</v>
      </c>
      <c r="M403" s="18" t="s">
        <v>1513</v>
      </c>
      <c r="N403" s="18" t="s">
        <v>1802</v>
      </c>
      <c r="O403" s="28" t="s">
        <v>2256</v>
      </c>
      <c r="P403" s="28" t="s">
        <v>2257</v>
      </c>
      <c r="Q403" s="34">
        <v>44701</v>
      </c>
      <c r="R403" s="32"/>
    </row>
    <row r="404" spans="1:18" s="12" customFormat="1" ht="19.149999999999999" customHeight="1" x14ac:dyDescent="0.3">
      <c r="A404" s="13">
        <v>403</v>
      </c>
      <c r="B404" s="13" t="s">
        <v>96</v>
      </c>
      <c r="C404" s="13" t="s">
        <v>97</v>
      </c>
      <c r="D404" s="13">
        <v>157</v>
      </c>
      <c r="E404" s="24" t="s">
        <v>2258</v>
      </c>
      <c r="F404" s="24" t="s">
        <v>755</v>
      </c>
      <c r="G404" s="13" t="s">
        <v>154</v>
      </c>
      <c r="H404" s="18">
        <v>8</v>
      </c>
      <c r="I404" s="127">
        <v>1017</v>
      </c>
      <c r="J404" s="69">
        <v>0</v>
      </c>
      <c r="K404" s="18" t="s">
        <v>1513</v>
      </c>
      <c r="L404" s="18">
        <v>1</v>
      </c>
      <c r="M404" s="18" t="s">
        <v>1530</v>
      </c>
      <c r="N404" s="18" t="s">
        <v>1495</v>
      </c>
      <c r="O404" s="15" t="s">
        <v>155</v>
      </c>
      <c r="P404" s="13" t="s">
        <v>156</v>
      </c>
      <c r="Q404" s="19">
        <v>39172</v>
      </c>
      <c r="R404" s="24"/>
    </row>
    <row r="405" spans="1:18" s="12" customFormat="1" ht="19.149999999999999" customHeight="1" x14ac:dyDescent="0.3">
      <c r="A405" s="29">
        <v>404</v>
      </c>
      <c r="B405" s="13" t="s">
        <v>2259</v>
      </c>
      <c r="C405" s="13" t="s">
        <v>2260</v>
      </c>
      <c r="D405" s="13">
        <v>157</v>
      </c>
      <c r="E405" s="21" t="s">
        <v>2261</v>
      </c>
      <c r="F405" s="21" t="s">
        <v>2262</v>
      </c>
      <c r="G405" s="13" t="s">
        <v>1502</v>
      </c>
      <c r="H405" s="69">
        <v>1</v>
      </c>
      <c r="I405" s="127">
        <v>50</v>
      </c>
      <c r="J405" s="69">
        <v>0</v>
      </c>
      <c r="K405" s="18" t="s">
        <v>1502</v>
      </c>
      <c r="L405" s="18">
        <v>1</v>
      </c>
      <c r="M405" s="18" t="s">
        <v>1508</v>
      </c>
      <c r="N405" s="18" t="s">
        <v>1495</v>
      </c>
      <c r="O405" s="13" t="s">
        <v>2263</v>
      </c>
      <c r="P405" s="327" t="s">
        <v>2264</v>
      </c>
      <c r="Q405" s="19">
        <v>42692</v>
      </c>
      <c r="R405" s="24" t="s">
        <v>2265</v>
      </c>
    </row>
    <row r="406" spans="1:18" s="12" customFormat="1" ht="19.149999999999999" customHeight="1" x14ac:dyDescent="0.3">
      <c r="A406" s="13">
        <v>405</v>
      </c>
      <c r="B406" s="13" t="s">
        <v>2259</v>
      </c>
      <c r="C406" s="13" t="s">
        <v>2260</v>
      </c>
      <c r="D406" s="13">
        <v>157</v>
      </c>
      <c r="E406" s="63" t="s">
        <v>2266</v>
      </c>
      <c r="F406" s="21" t="s">
        <v>2267</v>
      </c>
      <c r="G406" s="13" t="s">
        <v>1502</v>
      </c>
      <c r="H406" s="18">
        <v>1</v>
      </c>
      <c r="I406" s="127">
        <v>170</v>
      </c>
      <c r="J406" s="69">
        <v>0</v>
      </c>
      <c r="K406" s="18" t="s">
        <v>1502</v>
      </c>
      <c r="L406" s="18">
        <v>0</v>
      </c>
      <c r="M406" s="18" t="s">
        <v>1513</v>
      </c>
      <c r="N406" s="18" t="s">
        <v>1495</v>
      </c>
      <c r="O406" s="13" t="s">
        <v>2268</v>
      </c>
      <c r="P406" s="29" t="s">
        <v>2269</v>
      </c>
      <c r="Q406" s="19">
        <v>42714</v>
      </c>
      <c r="R406" s="36" t="s">
        <v>2270</v>
      </c>
    </row>
    <row r="407" spans="1:18" s="27" customFormat="1" ht="19.149999999999999" customHeight="1" x14ac:dyDescent="0.3">
      <c r="A407" s="29">
        <v>406</v>
      </c>
      <c r="B407" s="13" t="s">
        <v>96</v>
      </c>
      <c r="C407" s="13" t="s">
        <v>97</v>
      </c>
      <c r="D407" s="13">
        <v>157</v>
      </c>
      <c r="E407" s="21" t="s">
        <v>2271</v>
      </c>
      <c r="F407" s="21" t="s">
        <v>2272</v>
      </c>
      <c r="G407" s="13" t="s">
        <v>1538</v>
      </c>
      <c r="H407" s="18">
        <v>10</v>
      </c>
      <c r="I407" s="127">
        <v>1648</v>
      </c>
      <c r="J407" s="69">
        <v>2</v>
      </c>
      <c r="K407" s="18" t="s">
        <v>1158</v>
      </c>
      <c r="L407" s="18">
        <v>0</v>
      </c>
      <c r="M407" s="18" t="s">
        <v>1513</v>
      </c>
      <c r="N407" s="18" t="s">
        <v>1495</v>
      </c>
      <c r="O407" s="15" t="s">
        <v>155</v>
      </c>
      <c r="P407" s="13" t="s">
        <v>156</v>
      </c>
      <c r="Q407" s="19">
        <v>43523</v>
      </c>
      <c r="R407" s="36" t="s">
        <v>2273</v>
      </c>
    </row>
    <row r="408" spans="1:18" s="27" customFormat="1" ht="19.149999999999999" customHeight="1" x14ac:dyDescent="0.3">
      <c r="A408" s="13">
        <v>407</v>
      </c>
      <c r="B408" s="13" t="s">
        <v>96</v>
      </c>
      <c r="C408" s="13" t="s">
        <v>97</v>
      </c>
      <c r="D408" s="13">
        <v>157</v>
      </c>
      <c r="E408" s="21" t="s">
        <v>309</v>
      </c>
      <c r="F408" s="21" t="s">
        <v>758</v>
      </c>
      <c r="G408" s="13" t="s">
        <v>154</v>
      </c>
      <c r="H408" s="18">
        <v>9</v>
      </c>
      <c r="I408" s="127">
        <v>1306</v>
      </c>
      <c r="J408" s="69">
        <v>2</v>
      </c>
      <c r="K408" s="18" t="s">
        <v>3432</v>
      </c>
      <c r="L408" s="18">
        <v>0</v>
      </c>
      <c r="M408" s="18" t="s">
        <v>1513</v>
      </c>
      <c r="N408" s="18" t="s">
        <v>1495</v>
      </c>
      <c r="O408" s="13" t="s">
        <v>161</v>
      </c>
      <c r="P408" s="13" t="s">
        <v>162</v>
      </c>
      <c r="Q408" s="19">
        <v>38561</v>
      </c>
      <c r="R408" s="21"/>
    </row>
    <row r="409" spans="1:18" s="25" customFormat="1" ht="19.149999999999999" customHeight="1" x14ac:dyDescent="0.25">
      <c r="A409" s="29">
        <v>408</v>
      </c>
      <c r="B409" s="13" t="s">
        <v>756</v>
      </c>
      <c r="C409" s="13" t="s">
        <v>97</v>
      </c>
      <c r="D409" s="13">
        <v>157</v>
      </c>
      <c r="E409" s="24" t="s">
        <v>2274</v>
      </c>
      <c r="F409" s="24" t="s">
        <v>1233</v>
      </c>
      <c r="G409" s="13" t="s">
        <v>154</v>
      </c>
      <c r="H409" s="18">
        <v>11</v>
      </c>
      <c r="I409" s="127">
        <v>1422</v>
      </c>
      <c r="J409" s="69">
        <v>2</v>
      </c>
      <c r="K409" s="18" t="s">
        <v>1270</v>
      </c>
      <c r="L409" s="18">
        <v>0</v>
      </c>
      <c r="M409" s="18" t="s">
        <v>1513</v>
      </c>
      <c r="N409" s="18" t="s">
        <v>1495</v>
      </c>
      <c r="O409" s="15" t="s">
        <v>155</v>
      </c>
      <c r="P409" s="13" t="s">
        <v>156</v>
      </c>
      <c r="Q409" s="19">
        <v>41334</v>
      </c>
      <c r="R409" s="24"/>
    </row>
    <row r="410" spans="1:18" s="12" customFormat="1" ht="19.149999999999999" customHeight="1" x14ac:dyDescent="0.3">
      <c r="A410" s="13">
        <v>409</v>
      </c>
      <c r="B410" s="13" t="s">
        <v>2275</v>
      </c>
      <c r="C410" s="13" t="s">
        <v>2276</v>
      </c>
      <c r="D410" s="13">
        <v>157</v>
      </c>
      <c r="E410" s="21" t="s">
        <v>2277</v>
      </c>
      <c r="F410" s="21" t="s">
        <v>2278</v>
      </c>
      <c r="G410" s="13" t="s">
        <v>1553</v>
      </c>
      <c r="H410" s="18">
        <v>4</v>
      </c>
      <c r="I410" s="127">
        <v>317</v>
      </c>
      <c r="J410" s="69">
        <v>2</v>
      </c>
      <c r="K410" s="18" t="s">
        <v>2279</v>
      </c>
      <c r="L410" s="18">
        <v>0</v>
      </c>
      <c r="M410" s="18" t="s">
        <v>1513</v>
      </c>
      <c r="N410" s="18" t="s">
        <v>1495</v>
      </c>
      <c r="O410" s="13" t="s">
        <v>189</v>
      </c>
      <c r="P410" s="29" t="s">
        <v>190</v>
      </c>
      <c r="Q410" s="19">
        <v>44099</v>
      </c>
      <c r="R410" s="21"/>
    </row>
    <row r="411" spans="1:18" s="12" customFormat="1" ht="19.149999999999999" customHeight="1" x14ac:dyDescent="0.3">
      <c r="A411" s="29">
        <v>410</v>
      </c>
      <c r="B411" s="13" t="s">
        <v>2275</v>
      </c>
      <c r="C411" s="13" t="s">
        <v>2276</v>
      </c>
      <c r="D411" s="13">
        <v>158</v>
      </c>
      <c r="E411" s="21" t="s">
        <v>2280</v>
      </c>
      <c r="F411" s="21" t="s">
        <v>2281</v>
      </c>
      <c r="G411" s="13" t="s">
        <v>1553</v>
      </c>
      <c r="H411" s="18">
        <v>6</v>
      </c>
      <c r="I411" s="127">
        <v>639</v>
      </c>
      <c r="J411" s="69">
        <v>0</v>
      </c>
      <c r="K411" s="18" t="s">
        <v>1513</v>
      </c>
      <c r="L411" s="18">
        <v>0</v>
      </c>
      <c r="M411" s="18" t="s">
        <v>1513</v>
      </c>
      <c r="N411" s="18" t="s">
        <v>1495</v>
      </c>
      <c r="O411" s="28" t="s">
        <v>159</v>
      </c>
      <c r="P411" s="13" t="s">
        <v>160</v>
      </c>
      <c r="Q411" s="19">
        <v>44918</v>
      </c>
      <c r="R411" s="24"/>
    </row>
    <row r="412" spans="1:18" s="12" customFormat="1" ht="19.149999999999999" customHeight="1" x14ac:dyDescent="0.3">
      <c r="A412" s="13">
        <v>411</v>
      </c>
      <c r="B412" s="29" t="s">
        <v>2275</v>
      </c>
      <c r="C412" s="29" t="s">
        <v>2276</v>
      </c>
      <c r="D412" s="29">
        <v>159</v>
      </c>
      <c r="E412" s="51" t="s">
        <v>2282</v>
      </c>
      <c r="F412" s="51" t="s">
        <v>2283</v>
      </c>
      <c r="G412" s="29" t="s">
        <v>1553</v>
      </c>
      <c r="H412" s="18">
        <v>8</v>
      </c>
      <c r="I412" s="18">
        <v>964</v>
      </c>
      <c r="J412" s="29">
        <v>0</v>
      </c>
      <c r="K412" s="18" t="s">
        <v>336</v>
      </c>
      <c r="L412" s="18">
        <v>0</v>
      </c>
      <c r="M412" s="18" t="s">
        <v>1513</v>
      </c>
      <c r="N412" s="18" t="s">
        <v>1495</v>
      </c>
      <c r="O412" s="15" t="s">
        <v>155</v>
      </c>
      <c r="P412" s="13" t="s">
        <v>156</v>
      </c>
      <c r="Q412" s="19">
        <v>44405</v>
      </c>
      <c r="R412" s="29"/>
    </row>
    <row r="413" spans="1:18" s="12" customFormat="1" ht="19.149999999999999" customHeight="1" x14ac:dyDescent="0.3">
      <c r="A413" s="29">
        <v>412</v>
      </c>
      <c r="B413" s="29" t="s">
        <v>2275</v>
      </c>
      <c r="C413" s="29" t="s">
        <v>2276</v>
      </c>
      <c r="D413" s="29">
        <v>159</v>
      </c>
      <c r="E413" s="51" t="s">
        <v>2284</v>
      </c>
      <c r="F413" s="51" t="s">
        <v>2285</v>
      </c>
      <c r="G413" s="29" t="s">
        <v>1553</v>
      </c>
      <c r="H413" s="18">
        <v>6</v>
      </c>
      <c r="I413" s="18">
        <v>658</v>
      </c>
      <c r="J413" s="29">
        <v>3</v>
      </c>
      <c r="K413" s="29" t="s">
        <v>2286</v>
      </c>
      <c r="L413" s="18">
        <v>0</v>
      </c>
      <c r="M413" s="18" t="s">
        <v>1513</v>
      </c>
      <c r="N413" s="18" t="s">
        <v>1495</v>
      </c>
      <c r="O413" s="13" t="s">
        <v>159</v>
      </c>
      <c r="P413" s="13" t="s">
        <v>160</v>
      </c>
      <c r="Q413" s="19">
        <v>44518</v>
      </c>
      <c r="R413" s="29"/>
    </row>
    <row r="414" spans="1:18" s="12" customFormat="1" ht="19.149999999999999" customHeight="1" x14ac:dyDescent="0.3">
      <c r="A414" s="13">
        <v>413</v>
      </c>
      <c r="B414" s="13" t="s">
        <v>96</v>
      </c>
      <c r="C414" s="13" t="s">
        <v>98</v>
      </c>
      <c r="D414" s="13">
        <v>160</v>
      </c>
      <c r="E414" s="21" t="s">
        <v>277</v>
      </c>
      <c r="F414" s="21" t="s">
        <v>746</v>
      </c>
      <c r="G414" s="13" t="s">
        <v>164</v>
      </c>
      <c r="H414" s="18">
        <v>7</v>
      </c>
      <c r="I414" s="127">
        <v>802</v>
      </c>
      <c r="J414" s="69">
        <v>0</v>
      </c>
      <c r="K414" s="18" t="s">
        <v>336</v>
      </c>
      <c r="L414" s="18">
        <v>0</v>
      </c>
      <c r="M414" s="18" t="s">
        <v>1513</v>
      </c>
      <c r="N414" s="18" t="s">
        <v>1495</v>
      </c>
      <c r="O414" s="13" t="s">
        <v>161</v>
      </c>
      <c r="P414" s="13" t="s">
        <v>162</v>
      </c>
      <c r="Q414" s="19">
        <v>38380</v>
      </c>
      <c r="R414" s="21"/>
    </row>
    <row r="415" spans="1:18" s="12" customFormat="1" ht="19.149999999999999" customHeight="1" x14ac:dyDescent="0.3">
      <c r="A415" s="29">
        <v>414</v>
      </c>
      <c r="B415" s="13" t="s">
        <v>2259</v>
      </c>
      <c r="C415" s="13" t="s">
        <v>2287</v>
      </c>
      <c r="D415" s="13">
        <v>160</v>
      </c>
      <c r="E415" s="63" t="s">
        <v>2288</v>
      </c>
      <c r="F415" s="21" t="s">
        <v>2289</v>
      </c>
      <c r="G415" s="13" t="s">
        <v>1502</v>
      </c>
      <c r="H415" s="69">
        <v>2</v>
      </c>
      <c r="I415" s="127">
        <v>150</v>
      </c>
      <c r="J415" s="69">
        <v>0</v>
      </c>
      <c r="K415" s="18" t="s">
        <v>1502</v>
      </c>
      <c r="L415" s="18">
        <v>0</v>
      </c>
      <c r="M415" s="18" t="s">
        <v>1513</v>
      </c>
      <c r="N415" s="18" t="s">
        <v>1802</v>
      </c>
      <c r="O415" s="13" t="s">
        <v>2290</v>
      </c>
      <c r="P415" s="13" t="s">
        <v>2291</v>
      </c>
      <c r="Q415" s="19">
        <v>43344</v>
      </c>
      <c r="R415" s="63" t="s">
        <v>2292</v>
      </c>
    </row>
    <row r="416" spans="1:18" s="12" customFormat="1" ht="19.149999999999999" customHeight="1" x14ac:dyDescent="0.3">
      <c r="A416" s="13">
        <v>415</v>
      </c>
      <c r="B416" s="13" t="s">
        <v>96</v>
      </c>
      <c r="C416" s="13" t="s">
        <v>748</v>
      </c>
      <c r="D416" s="13">
        <v>161</v>
      </c>
      <c r="E416" s="21" t="s">
        <v>2293</v>
      </c>
      <c r="F416" s="21" t="s">
        <v>749</v>
      </c>
      <c r="G416" s="13" t="s">
        <v>164</v>
      </c>
      <c r="H416" s="18">
        <v>5</v>
      </c>
      <c r="I416" s="127">
        <v>763</v>
      </c>
      <c r="J416" s="69">
        <v>0</v>
      </c>
      <c r="K416" s="18" t="s">
        <v>336</v>
      </c>
      <c r="L416" s="18">
        <v>0</v>
      </c>
      <c r="M416" s="18" t="s">
        <v>1513</v>
      </c>
      <c r="N416" s="18" t="s">
        <v>1495</v>
      </c>
      <c r="O416" s="15" t="s">
        <v>155</v>
      </c>
      <c r="P416" s="13" t="s">
        <v>156</v>
      </c>
      <c r="Q416" s="19">
        <v>43105</v>
      </c>
      <c r="R416" s="63" t="s">
        <v>750</v>
      </c>
    </row>
    <row r="417" spans="1:18" s="12" customFormat="1" ht="19.149999999999999" customHeight="1" x14ac:dyDescent="0.3">
      <c r="A417" s="29">
        <v>416</v>
      </c>
      <c r="B417" s="13" t="s">
        <v>2259</v>
      </c>
      <c r="C417" s="13" t="s">
        <v>2294</v>
      </c>
      <c r="D417" s="13">
        <v>161</v>
      </c>
      <c r="E417" s="21" t="s">
        <v>2295</v>
      </c>
      <c r="F417" s="21" t="s">
        <v>2296</v>
      </c>
      <c r="G417" s="13" t="s">
        <v>1502</v>
      </c>
      <c r="H417" s="18">
        <v>3</v>
      </c>
      <c r="I417" s="127">
        <v>236</v>
      </c>
      <c r="J417" s="69">
        <v>0</v>
      </c>
      <c r="K417" s="18" t="s">
        <v>1502</v>
      </c>
      <c r="L417" s="18">
        <v>0</v>
      </c>
      <c r="M417" s="18" t="s">
        <v>1513</v>
      </c>
      <c r="N417" s="18" t="s">
        <v>1495</v>
      </c>
      <c r="O417" s="15" t="s">
        <v>2297</v>
      </c>
      <c r="P417" s="13"/>
      <c r="Q417" s="19">
        <v>43092</v>
      </c>
      <c r="R417" s="63" t="s">
        <v>2298</v>
      </c>
    </row>
    <row r="418" spans="1:18" s="26" customFormat="1" ht="19.149999999999999" customHeight="1" x14ac:dyDescent="0.3">
      <c r="A418" s="13">
        <v>417</v>
      </c>
      <c r="B418" s="13" t="s">
        <v>96</v>
      </c>
      <c r="C418" s="13" t="s">
        <v>100</v>
      </c>
      <c r="D418" s="13">
        <v>162</v>
      </c>
      <c r="E418" s="21" t="s">
        <v>753</v>
      </c>
      <c r="F418" s="21" t="s">
        <v>754</v>
      </c>
      <c r="G418" s="13" t="s">
        <v>154</v>
      </c>
      <c r="H418" s="18">
        <v>6</v>
      </c>
      <c r="I418" s="127">
        <v>1020</v>
      </c>
      <c r="J418" s="69">
        <v>0</v>
      </c>
      <c r="K418" s="18" t="s">
        <v>336</v>
      </c>
      <c r="L418" s="18">
        <v>0</v>
      </c>
      <c r="M418" s="18" t="s">
        <v>1513</v>
      </c>
      <c r="N418" s="18" t="s">
        <v>1495</v>
      </c>
      <c r="O418" s="28" t="s">
        <v>159</v>
      </c>
      <c r="P418" s="13" t="s">
        <v>160</v>
      </c>
      <c r="Q418" s="19">
        <v>41663</v>
      </c>
      <c r="R418" s="16"/>
    </row>
    <row r="419" spans="1:18" s="44" customFormat="1" ht="19.149999999999999" customHeight="1" x14ac:dyDescent="0.3">
      <c r="A419" s="29">
        <v>418</v>
      </c>
      <c r="B419" s="13" t="s">
        <v>96</v>
      </c>
      <c r="C419" s="13" t="s">
        <v>101</v>
      </c>
      <c r="D419" s="13">
        <v>163</v>
      </c>
      <c r="E419" s="24" t="s">
        <v>2299</v>
      </c>
      <c r="F419" s="24" t="s">
        <v>751</v>
      </c>
      <c r="G419" s="13" t="s">
        <v>164</v>
      </c>
      <c r="H419" s="18">
        <v>8</v>
      </c>
      <c r="I419" s="127">
        <v>820</v>
      </c>
      <c r="J419" s="69">
        <v>0</v>
      </c>
      <c r="K419" s="18" t="s">
        <v>336</v>
      </c>
      <c r="L419" s="18">
        <v>0</v>
      </c>
      <c r="M419" s="18" t="s">
        <v>1513</v>
      </c>
      <c r="N419" s="18" t="s">
        <v>1495</v>
      </c>
      <c r="O419" s="15" t="s">
        <v>155</v>
      </c>
      <c r="P419" s="13" t="s">
        <v>156</v>
      </c>
      <c r="Q419" s="19">
        <v>42214</v>
      </c>
      <c r="R419" s="43"/>
    </row>
    <row r="420" spans="1:18" s="12" customFormat="1" ht="19.149999999999999" customHeight="1" x14ac:dyDescent="0.3">
      <c r="A420" s="13">
        <v>419</v>
      </c>
      <c r="B420" s="13" t="s">
        <v>96</v>
      </c>
      <c r="C420" s="13" t="s">
        <v>101</v>
      </c>
      <c r="D420" s="13">
        <v>163</v>
      </c>
      <c r="E420" s="21" t="s">
        <v>250</v>
      </c>
      <c r="F420" s="21" t="s">
        <v>752</v>
      </c>
      <c r="G420" s="13" t="s">
        <v>164</v>
      </c>
      <c r="H420" s="18">
        <v>7</v>
      </c>
      <c r="I420" s="127">
        <v>945</v>
      </c>
      <c r="J420" s="69">
        <v>0</v>
      </c>
      <c r="K420" s="18" t="s">
        <v>336</v>
      </c>
      <c r="L420" s="18">
        <v>0</v>
      </c>
      <c r="M420" s="18" t="s">
        <v>1513</v>
      </c>
      <c r="N420" s="18" t="s">
        <v>1495</v>
      </c>
      <c r="O420" s="28" t="s">
        <v>159</v>
      </c>
      <c r="P420" s="13" t="s">
        <v>160</v>
      </c>
      <c r="Q420" s="19">
        <v>40658</v>
      </c>
      <c r="R420" s="16"/>
    </row>
    <row r="421" spans="1:18" s="12" customFormat="1" ht="19.149999999999999" customHeight="1" x14ac:dyDescent="0.3">
      <c r="A421" s="29">
        <v>420</v>
      </c>
      <c r="B421" s="13" t="s">
        <v>2275</v>
      </c>
      <c r="C421" s="13" t="s">
        <v>2300</v>
      </c>
      <c r="D421" s="13">
        <v>164</v>
      </c>
      <c r="E421" s="21" t="s">
        <v>2301</v>
      </c>
      <c r="F421" s="21" t="s">
        <v>2302</v>
      </c>
      <c r="G421" s="13" t="s">
        <v>1538</v>
      </c>
      <c r="H421" s="18">
        <v>5</v>
      </c>
      <c r="I421" s="127">
        <v>660</v>
      </c>
      <c r="J421" s="69">
        <v>0</v>
      </c>
      <c r="K421" s="18" t="s">
        <v>336</v>
      </c>
      <c r="L421" s="18">
        <v>0</v>
      </c>
      <c r="M421" s="18" t="s">
        <v>1513</v>
      </c>
      <c r="N421" s="18" t="s">
        <v>1495</v>
      </c>
      <c r="O421" s="15" t="s">
        <v>155</v>
      </c>
      <c r="P421" s="13" t="s">
        <v>156</v>
      </c>
      <c r="Q421" s="19">
        <v>44098</v>
      </c>
      <c r="R421" s="16"/>
    </row>
    <row r="422" spans="1:18" s="12" customFormat="1" ht="19.149999999999999" customHeight="1" x14ac:dyDescent="0.3">
      <c r="A422" s="13">
        <v>421</v>
      </c>
      <c r="B422" s="13" t="s">
        <v>2275</v>
      </c>
      <c r="C422" s="13" t="s">
        <v>2300</v>
      </c>
      <c r="D422" s="13">
        <v>164</v>
      </c>
      <c r="E422" s="21" t="s">
        <v>2303</v>
      </c>
      <c r="F422" s="21" t="s">
        <v>2304</v>
      </c>
      <c r="G422" s="13" t="s">
        <v>1553</v>
      </c>
      <c r="H422" s="18">
        <v>5</v>
      </c>
      <c r="I422" s="127">
        <v>452</v>
      </c>
      <c r="J422" s="69">
        <v>0</v>
      </c>
      <c r="K422" s="18" t="s">
        <v>336</v>
      </c>
      <c r="L422" s="18">
        <v>0</v>
      </c>
      <c r="M422" s="18" t="s">
        <v>1513</v>
      </c>
      <c r="N422" s="18" t="s">
        <v>1495</v>
      </c>
      <c r="O422" s="13" t="s">
        <v>161</v>
      </c>
      <c r="P422" s="13" t="s">
        <v>162</v>
      </c>
      <c r="Q422" s="19">
        <v>44084</v>
      </c>
      <c r="R422" s="16" t="s">
        <v>2305</v>
      </c>
    </row>
    <row r="423" spans="1:18" s="12" customFormat="1" ht="19.149999999999999" customHeight="1" x14ac:dyDescent="0.3">
      <c r="A423" s="29">
        <v>422</v>
      </c>
      <c r="B423" s="13" t="s">
        <v>2275</v>
      </c>
      <c r="C423" s="13" t="s">
        <v>2306</v>
      </c>
      <c r="D423" s="13">
        <v>166</v>
      </c>
      <c r="E423" s="21" t="s">
        <v>2307</v>
      </c>
      <c r="F423" s="24" t="s">
        <v>2308</v>
      </c>
      <c r="G423" s="13" t="s">
        <v>1553</v>
      </c>
      <c r="H423" s="18">
        <v>7</v>
      </c>
      <c r="I423" s="127">
        <v>704</v>
      </c>
      <c r="J423" s="69">
        <v>4</v>
      </c>
      <c r="K423" s="18" t="s">
        <v>2309</v>
      </c>
      <c r="L423" s="18">
        <v>0</v>
      </c>
      <c r="M423" s="18" t="s">
        <v>1513</v>
      </c>
      <c r="N423" s="18" t="s">
        <v>1495</v>
      </c>
      <c r="O423" s="28" t="s">
        <v>159</v>
      </c>
      <c r="P423" s="13" t="s">
        <v>160</v>
      </c>
      <c r="Q423" s="19">
        <v>44175</v>
      </c>
      <c r="R423" s="24"/>
    </row>
    <row r="424" spans="1:18" s="12" customFormat="1" ht="19.149999999999999" customHeight="1" x14ac:dyDescent="0.3">
      <c r="A424" s="13">
        <v>423</v>
      </c>
      <c r="B424" s="13" t="s">
        <v>96</v>
      </c>
      <c r="C424" s="13" t="s">
        <v>103</v>
      </c>
      <c r="D424" s="13">
        <v>166</v>
      </c>
      <c r="E424" s="24" t="s">
        <v>2310</v>
      </c>
      <c r="F424" s="24" t="s">
        <v>747</v>
      </c>
      <c r="G424" s="13" t="s">
        <v>444</v>
      </c>
      <c r="H424" s="18">
        <v>7</v>
      </c>
      <c r="I424" s="127">
        <v>1075</v>
      </c>
      <c r="J424" s="69">
        <v>0</v>
      </c>
      <c r="K424" s="18" t="s">
        <v>336</v>
      </c>
      <c r="L424" s="18">
        <v>0</v>
      </c>
      <c r="M424" s="18" t="s">
        <v>1513</v>
      </c>
      <c r="N424" s="18" t="s">
        <v>1495</v>
      </c>
      <c r="O424" s="15" t="s">
        <v>155</v>
      </c>
      <c r="P424" s="13" t="s">
        <v>156</v>
      </c>
      <c r="Q424" s="19">
        <v>41979</v>
      </c>
      <c r="R424" s="43"/>
    </row>
    <row r="425" spans="1:18" s="12" customFormat="1" ht="19.149999999999999" customHeight="1" x14ac:dyDescent="0.3">
      <c r="A425" s="29">
        <v>424</v>
      </c>
      <c r="B425" s="13" t="s">
        <v>2259</v>
      </c>
      <c r="C425" s="13" t="s">
        <v>2311</v>
      </c>
      <c r="D425" s="13">
        <v>168</v>
      </c>
      <c r="E425" s="21" t="s">
        <v>2312</v>
      </c>
      <c r="F425" s="21" t="s">
        <v>2313</v>
      </c>
      <c r="G425" s="13" t="s">
        <v>1502</v>
      </c>
      <c r="H425" s="18">
        <v>2</v>
      </c>
      <c r="I425" s="127">
        <v>166</v>
      </c>
      <c r="J425" s="69">
        <v>0</v>
      </c>
      <c r="K425" s="18" t="s">
        <v>1502</v>
      </c>
      <c r="L425" s="18">
        <v>0</v>
      </c>
      <c r="M425" s="18" t="s">
        <v>1513</v>
      </c>
      <c r="N425" s="18" t="s">
        <v>1495</v>
      </c>
      <c r="O425" s="13" t="s">
        <v>2314</v>
      </c>
      <c r="P425" s="13"/>
      <c r="Q425" s="19">
        <v>42753</v>
      </c>
      <c r="R425" s="21"/>
    </row>
    <row r="426" spans="1:18" s="12" customFormat="1" ht="19.149999999999999" customHeight="1" x14ac:dyDescent="0.3">
      <c r="A426" s="13">
        <v>425</v>
      </c>
      <c r="B426" s="13" t="s">
        <v>96</v>
      </c>
      <c r="C426" s="13" t="s">
        <v>104</v>
      </c>
      <c r="D426" s="13">
        <v>168</v>
      </c>
      <c r="E426" s="21" t="s">
        <v>223</v>
      </c>
      <c r="F426" s="21" t="s">
        <v>2315</v>
      </c>
      <c r="G426" s="13" t="s">
        <v>336</v>
      </c>
      <c r="H426" s="18">
        <v>2</v>
      </c>
      <c r="I426" s="127">
        <v>108</v>
      </c>
      <c r="J426" s="69">
        <v>0</v>
      </c>
      <c r="K426" s="18" t="s">
        <v>336</v>
      </c>
      <c r="L426" s="18">
        <v>0</v>
      </c>
      <c r="M426" s="18" t="s">
        <v>1513</v>
      </c>
      <c r="N426" s="18" t="s">
        <v>1495</v>
      </c>
      <c r="O426" s="13" t="s">
        <v>2316</v>
      </c>
      <c r="P426" s="13"/>
      <c r="Q426" s="19">
        <v>39854</v>
      </c>
      <c r="R426" s="21"/>
    </row>
    <row r="427" spans="1:18" s="12" customFormat="1" ht="19.149999999999999" customHeight="1" x14ac:dyDescent="0.3">
      <c r="A427" s="29">
        <v>426</v>
      </c>
      <c r="B427" s="13" t="s">
        <v>2259</v>
      </c>
      <c r="C427" s="13" t="s">
        <v>2317</v>
      </c>
      <c r="D427" s="13">
        <v>169</v>
      </c>
      <c r="E427" s="63" t="s">
        <v>2318</v>
      </c>
      <c r="F427" s="21" t="s">
        <v>2319</v>
      </c>
      <c r="G427" s="13" t="s">
        <v>1502</v>
      </c>
      <c r="H427" s="18">
        <v>2</v>
      </c>
      <c r="I427" s="127">
        <v>154</v>
      </c>
      <c r="J427" s="69">
        <v>0</v>
      </c>
      <c r="K427" s="18" t="s">
        <v>1502</v>
      </c>
      <c r="L427" s="18">
        <v>0</v>
      </c>
      <c r="M427" s="18" t="s">
        <v>1513</v>
      </c>
      <c r="N427" s="18" t="s">
        <v>1802</v>
      </c>
      <c r="O427" s="28" t="s">
        <v>2320</v>
      </c>
      <c r="P427" s="13" t="s">
        <v>2321</v>
      </c>
      <c r="Q427" s="19">
        <v>42377</v>
      </c>
      <c r="R427" s="6" t="s">
        <v>2322</v>
      </c>
    </row>
    <row r="428" spans="1:18" s="12" customFormat="1" ht="19.149999999999999" customHeight="1" x14ac:dyDescent="0.3">
      <c r="A428" s="13">
        <v>427</v>
      </c>
      <c r="B428" s="13" t="s">
        <v>2259</v>
      </c>
      <c r="C428" s="13" t="s">
        <v>2323</v>
      </c>
      <c r="D428" s="13">
        <v>170</v>
      </c>
      <c r="E428" s="36" t="s">
        <v>2324</v>
      </c>
      <c r="F428" s="24" t="s">
        <v>2325</v>
      </c>
      <c r="G428" s="13" t="s">
        <v>1502</v>
      </c>
      <c r="H428" s="18">
        <v>2</v>
      </c>
      <c r="I428" s="127">
        <v>98</v>
      </c>
      <c r="J428" s="69">
        <v>0</v>
      </c>
      <c r="K428" s="18" t="s">
        <v>1502</v>
      </c>
      <c r="L428" s="18">
        <v>0</v>
      </c>
      <c r="M428" s="18" t="s">
        <v>1513</v>
      </c>
      <c r="N428" s="18" t="s">
        <v>1802</v>
      </c>
      <c r="O428" s="15" t="s">
        <v>2326</v>
      </c>
      <c r="P428" s="13" t="s">
        <v>2327</v>
      </c>
      <c r="Q428" s="19">
        <v>43139</v>
      </c>
      <c r="R428" s="36" t="s">
        <v>2328</v>
      </c>
    </row>
    <row r="429" spans="1:18" s="12" customFormat="1" ht="19.149999999999999" customHeight="1" x14ac:dyDescent="0.3">
      <c r="A429" s="29">
        <v>428</v>
      </c>
      <c r="B429" s="13" t="s">
        <v>96</v>
      </c>
      <c r="C429" s="13" t="s">
        <v>105</v>
      </c>
      <c r="D429" s="13">
        <v>171</v>
      </c>
      <c r="E429" s="21" t="s">
        <v>760</v>
      </c>
      <c r="F429" s="21" t="s">
        <v>761</v>
      </c>
      <c r="G429" s="13" t="s">
        <v>164</v>
      </c>
      <c r="H429" s="18">
        <v>5</v>
      </c>
      <c r="I429" s="127">
        <v>657</v>
      </c>
      <c r="J429" s="69">
        <v>0</v>
      </c>
      <c r="K429" s="18" t="s">
        <v>336</v>
      </c>
      <c r="L429" s="18">
        <v>0</v>
      </c>
      <c r="M429" s="18" t="s">
        <v>1513</v>
      </c>
      <c r="N429" s="18" t="s">
        <v>1495</v>
      </c>
      <c r="O429" s="13" t="s">
        <v>161</v>
      </c>
      <c r="P429" s="13" t="s">
        <v>162</v>
      </c>
      <c r="Q429" s="19">
        <v>43005</v>
      </c>
      <c r="R429" s="21"/>
    </row>
    <row r="430" spans="1:18" s="12" customFormat="1" ht="19.149999999999999" customHeight="1" x14ac:dyDescent="0.3">
      <c r="A430" s="13">
        <v>429</v>
      </c>
      <c r="B430" s="13" t="s">
        <v>96</v>
      </c>
      <c r="C430" s="13" t="s">
        <v>105</v>
      </c>
      <c r="D430" s="13">
        <v>171</v>
      </c>
      <c r="E430" s="36" t="s">
        <v>2329</v>
      </c>
      <c r="F430" s="24" t="s">
        <v>759</v>
      </c>
      <c r="G430" s="13" t="s">
        <v>154</v>
      </c>
      <c r="H430" s="18">
        <v>6</v>
      </c>
      <c r="I430" s="127">
        <v>869</v>
      </c>
      <c r="J430" s="69">
        <v>0</v>
      </c>
      <c r="K430" s="18" t="s">
        <v>336</v>
      </c>
      <c r="L430" s="18">
        <v>0</v>
      </c>
      <c r="M430" s="18" t="s">
        <v>1513</v>
      </c>
      <c r="N430" s="18" t="s">
        <v>1495</v>
      </c>
      <c r="O430" s="15" t="s">
        <v>155</v>
      </c>
      <c r="P430" s="13" t="s">
        <v>156</v>
      </c>
      <c r="Q430" s="19">
        <v>40899</v>
      </c>
      <c r="R430" s="36" t="s">
        <v>2330</v>
      </c>
    </row>
    <row r="431" spans="1:18" s="12" customFormat="1" ht="19.149999999999999" customHeight="1" x14ac:dyDescent="0.3">
      <c r="A431" s="29">
        <v>430</v>
      </c>
      <c r="B431" s="13" t="s">
        <v>2259</v>
      </c>
      <c r="C431" s="13" t="s">
        <v>2331</v>
      </c>
      <c r="D431" s="13">
        <v>172</v>
      </c>
      <c r="E431" s="24" t="s">
        <v>2332</v>
      </c>
      <c r="F431" s="21" t="s">
        <v>2333</v>
      </c>
      <c r="G431" s="13" t="s">
        <v>1502</v>
      </c>
      <c r="H431" s="18">
        <v>2</v>
      </c>
      <c r="I431" s="127">
        <v>99</v>
      </c>
      <c r="J431" s="69">
        <v>0</v>
      </c>
      <c r="K431" s="18" t="s">
        <v>1502</v>
      </c>
      <c r="L431" s="18">
        <v>0</v>
      </c>
      <c r="M431" s="18" t="s">
        <v>1513</v>
      </c>
      <c r="N431" s="18" t="s">
        <v>1802</v>
      </c>
      <c r="O431" s="28" t="s">
        <v>2334</v>
      </c>
      <c r="P431" s="13" t="s">
        <v>2335</v>
      </c>
      <c r="Q431" s="19">
        <v>42837</v>
      </c>
      <c r="R431" s="16"/>
    </row>
    <row r="432" spans="1:18" s="12" customFormat="1" ht="19.149999999999999" customHeight="1" x14ac:dyDescent="0.3">
      <c r="A432" s="13">
        <v>431</v>
      </c>
      <c r="B432" s="13" t="s">
        <v>2259</v>
      </c>
      <c r="C432" s="13" t="s">
        <v>2336</v>
      </c>
      <c r="D432" s="13">
        <v>173</v>
      </c>
      <c r="E432" s="21" t="s">
        <v>2337</v>
      </c>
      <c r="F432" s="21" t="s">
        <v>2338</v>
      </c>
      <c r="G432" s="13" t="s">
        <v>1502</v>
      </c>
      <c r="H432" s="18">
        <v>2</v>
      </c>
      <c r="I432" s="127">
        <v>99</v>
      </c>
      <c r="J432" s="69">
        <v>0</v>
      </c>
      <c r="K432" s="18" t="s">
        <v>1502</v>
      </c>
      <c r="L432" s="18">
        <v>0</v>
      </c>
      <c r="M432" s="18" t="s">
        <v>1513</v>
      </c>
      <c r="N432" s="18" t="s">
        <v>1802</v>
      </c>
      <c r="O432" s="13" t="s">
        <v>2339</v>
      </c>
      <c r="P432" s="29" t="s">
        <v>2340</v>
      </c>
      <c r="Q432" s="19">
        <v>43003</v>
      </c>
      <c r="R432" s="36" t="s">
        <v>2341</v>
      </c>
    </row>
    <row r="433" spans="1:18" s="12" customFormat="1" ht="19.149999999999999" customHeight="1" x14ac:dyDescent="0.3">
      <c r="A433" s="29">
        <v>432</v>
      </c>
      <c r="B433" s="13" t="s">
        <v>2342</v>
      </c>
      <c r="C433" s="13" t="s">
        <v>2343</v>
      </c>
      <c r="D433" s="13">
        <v>174</v>
      </c>
      <c r="E433" s="24" t="s">
        <v>2344</v>
      </c>
      <c r="F433" s="24" t="s">
        <v>2345</v>
      </c>
      <c r="G433" s="13" t="s">
        <v>1553</v>
      </c>
      <c r="H433" s="18">
        <v>7</v>
      </c>
      <c r="I433" s="127">
        <v>732</v>
      </c>
      <c r="J433" s="69">
        <v>0</v>
      </c>
      <c r="K433" s="18" t="s">
        <v>336</v>
      </c>
      <c r="L433" s="18">
        <v>0</v>
      </c>
      <c r="M433" s="18" t="s">
        <v>1513</v>
      </c>
      <c r="N433" s="33" t="s">
        <v>1495</v>
      </c>
      <c r="O433" s="13" t="s">
        <v>159</v>
      </c>
      <c r="P433" s="13" t="s">
        <v>160</v>
      </c>
      <c r="Q433" s="19">
        <v>44140</v>
      </c>
      <c r="R433" s="24"/>
    </row>
    <row r="434" spans="1:18" s="12" customFormat="1" ht="19.149999999999999" customHeight="1" x14ac:dyDescent="0.3">
      <c r="A434" s="13">
        <v>433</v>
      </c>
      <c r="B434" s="13" t="s">
        <v>108</v>
      </c>
      <c r="C434" s="13" t="s">
        <v>109</v>
      </c>
      <c r="D434" s="13">
        <v>174</v>
      </c>
      <c r="E434" s="21" t="s">
        <v>2346</v>
      </c>
      <c r="F434" s="63" t="s">
        <v>892</v>
      </c>
      <c r="G434" s="13" t="s">
        <v>164</v>
      </c>
      <c r="H434" s="18">
        <v>8</v>
      </c>
      <c r="I434" s="127">
        <v>1058</v>
      </c>
      <c r="J434" s="69">
        <v>0</v>
      </c>
      <c r="K434" s="18" t="s">
        <v>336</v>
      </c>
      <c r="L434" s="18">
        <v>0</v>
      </c>
      <c r="M434" s="18" t="s">
        <v>1513</v>
      </c>
      <c r="N434" s="18" t="s">
        <v>1495</v>
      </c>
      <c r="O434" s="13" t="s">
        <v>161</v>
      </c>
      <c r="P434" s="13" t="s">
        <v>162</v>
      </c>
      <c r="Q434" s="19">
        <v>39139</v>
      </c>
      <c r="R434" s="36"/>
    </row>
    <row r="435" spans="1:18" s="12" customFormat="1" ht="19.149999999999999" customHeight="1" x14ac:dyDescent="0.3">
      <c r="A435" s="29">
        <v>434</v>
      </c>
      <c r="B435" s="29" t="s">
        <v>2342</v>
      </c>
      <c r="C435" s="29" t="s">
        <v>2343</v>
      </c>
      <c r="D435" s="29">
        <v>174</v>
      </c>
      <c r="E435" s="51" t="s">
        <v>2347</v>
      </c>
      <c r="F435" s="51" t="s">
        <v>2348</v>
      </c>
      <c r="G435" s="29" t="s">
        <v>1553</v>
      </c>
      <c r="H435" s="18">
        <v>7</v>
      </c>
      <c r="I435" s="18">
        <v>686</v>
      </c>
      <c r="J435" s="69">
        <v>7</v>
      </c>
      <c r="K435" s="18" t="s">
        <v>1821</v>
      </c>
      <c r="L435" s="18">
        <v>0</v>
      </c>
      <c r="M435" s="18" t="s">
        <v>1513</v>
      </c>
      <c r="N435" s="18" t="s">
        <v>1495</v>
      </c>
      <c r="O435" s="13" t="s">
        <v>159</v>
      </c>
      <c r="P435" s="13" t="s">
        <v>160</v>
      </c>
      <c r="Q435" s="19">
        <v>44534</v>
      </c>
      <c r="R435" s="29"/>
    </row>
    <row r="436" spans="1:18" s="12" customFormat="1" ht="19.149999999999999" customHeight="1" x14ac:dyDescent="0.3">
      <c r="A436" s="13">
        <v>435</v>
      </c>
      <c r="B436" s="13" t="s">
        <v>108</v>
      </c>
      <c r="C436" s="13" t="s">
        <v>2349</v>
      </c>
      <c r="D436" s="13">
        <v>174</v>
      </c>
      <c r="E436" s="36" t="s">
        <v>2350</v>
      </c>
      <c r="F436" s="24" t="s">
        <v>2351</v>
      </c>
      <c r="G436" s="13" t="s">
        <v>1502</v>
      </c>
      <c r="H436" s="91">
        <v>1</v>
      </c>
      <c r="I436" s="144">
        <v>98</v>
      </c>
      <c r="J436" s="91">
        <v>0</v>
      </c>
      <c r="K436" s="18" t="s">
        <v>336</v>
      </c>
      <c r="L436" s="18">
        <v>1</v>
      </c>
      <c r="M436" s="18" t="s">
        <v>1508</v>
      </c>
      <c r="N436" s="18" t="s">
        <v>1495</v>
      </c>
      <c r="O436" s="13" t="s">
        <v>1311</v>
      </c>
      <c r="P436" s="13" t="s">
        <v>1310</v>
      </c>
      <c r="Q436" s="19">
        <v>39952</v>
      </c>
      <c r="R436" s="36" t="s">
        <v>2352</v>
      </c>
    </row>
    <row r="437" spans="1:18" s="12" customFormat="1" ht="19.149999999999999" customHeight="1" x14ac:dyDescent="0.3">
      <c r="A437" s="29">
        <v>436</v>
      </c>
      <c r="B437" s="13" t="s">
        <v>108</v>
      </c>
      <c r="C437" s="13" t="s">
        <v>109</v>
      </c>
      <c r="D437" s="13">
        <v>174</v>
      </c>
      <c r="E437" s="21" t="s">
        <v>269</v>
      </c>
      <c r="F437" s="21" t="s">
        <v>773</v>
      </c>
      <c r="G437" s="13" t="s">
        <v>154</v>
      </c>
      <c r="H437" s="18">
        <v>6</v>
      </c>
      <c r="I437" s="127">
        <v>1040</v>
      </c>
      <c r="J437" s="69">
        <v>0</v>
      </c>
      <c r="K437" s="18" t="s">
        <v>336</v>
      </c>
      <c r="L437" s="18">
        <v>0</v>
      </c>
      <c r="M437" s="18" t="s">
        <v>1513</v>
      </c>
      <c r="N437" s="33" t="s">
        <v>1495</v>
      </c>
      <c r="O437" s="13" t="s">
        <v>159</v>
      </c>
      <c r="P437" s="13" t="s">
        <v>160</v>
      </c>
      <c r="Q437" s="19">
        <v>41179</v>
      </c>
      <c r="R437" s="24"/>
    </row>
    <row r="438" spans="1:18" s="12" customFormat="1" ht="19.149999999999999" customHeight="1" x14ac:dyDescent="0.3">
      <c r="A438" s="13">
        <v>437</v>
      </c>
      <c r="B438" s="13" t="s">
        <v>108</v>
      </c>
      <c r="C438" s="13" t="s">
        <v>109</v>
      </c>
      <c r="D438" s="13">
        <v>174</v>
      </c>
      <c r="E438" s="21" t="s">
        <v>771</v>
      </c>
      <c r="F438" s="21" t="s">
        <v>772</v>
      </c>
      <c r="G438" s="13" t="s">
        <v>154</v>
      </c>
      <c r="H438" s="18">
        <v>8</v>
      </c>
      <c r="I438" s="127">
        <v>1632</v>
      </c>
      <c r="J438" s="69">
        <v>0</v>
      </c>
      <c r="K438" s="18" t="s">
        <v>1513</v>
      </c>
      <c r="L438" s="18">
        <v>0</v>
      </c>
      <c r="M438" s="18" t="s">
        <v>1513</v>
      </c>
      <c r="N438" s="33" t="s">
        <v>1495</v>
      </c>
      <c r="O438" s="28" t="s">
        <v>159</v>
      </c>
      <c r="P438" s="13" t="s">
        <v>160</v>
      </c>
      <c r="Q438" s="19">
        <v>38135</v>
      </c>
      <c r="R438" s="24"/>
    </row>
    <row r="439" spans="1:18" s="12" customFormat="1" ht="19.149999999999999" customHeight="1" x14ac:dyDescent="0.3">
      <c r="A439" s="29">
        <v>438</v>
      </c>
      <c r="B439" s="13" t="s">
        <v>108</v>
      </c>
      <c r="C439" s="13" t="s">
        <v>109</v>
      </c>
      <c r="D439" s="13">
        <v>174</v>
      </c>
      <c r="E439" s="24" t="s">
        <v>2353</v>
      </c>
      <c r="F439" s="24" t="s">
        <v>1234</v>
      </c>
      <c r="G439" s="13" t="s">
        <v>345</v>
      </c>
      <c r="H439" s="18">
        <v>7</v>
      </c>
      <c r="I439" s="127">
        <v>1795</v>
      </c>
      <c r="J439" s="69">
        <v>2</v>
      </c>
      <c r="K439" s="18" t="s">
        <v>770</v>
      </c>
      <c r="L439" s="18">
        <v>0</v>
      </c>
      <c r="M439" s="18" t="s">
        <v>1513</v>
      </c>
      <c r="N439" s="33" t="s">
        <v>1495</v>
      </c>
      <c r="O439" s="15" t="s">
        <v>155</v>
      </c>
      <c r="P439" s="13" t="s">
        <v>156</v>
      </c>
      <c r="Q439" s="19">
        <v>41879</v>
      </c>
      <c r="R439" s="24"/>
    </row>
    <row r="440" spans="1:18" s="12" customFormat="1" ht="19.149999999999999" customHeight="1" x14ac:dyDescent="0.3">
      <c r="A440" s="13">
        <v>439</v>
      </c>
      <c r="B440" s="13" t="s">
        <v>108</v>
      </c>
      <c r="C440" s="13" t="s">
        <v>109</v>
      </c>
      <c r="D440" s="13">
        <v>174</v>
      </c>
      <c r="E440" s="24" t="s">
        <v>2354</v>
      </c>
      <c r="F440" s="24" t="s">
        <v>768</v>
      </c>
      <c r="G440" s="13" t="s">
        <v>154</v>
      </c>
      <c r="H440" s="18">
        <v>8</v>
      </c>
      <c r="I440" s="127">
        <v>1275</v>
      </c>
      <c r="J440" s="69">
        <v>1</v>
      </c>
      <c r="K440" s="18" t="s">
        <v>1797</v>
      </c>
      <c r="L440" s="18">
        <v>0</v>
      </c>
      <c r="M440" s="18" t="s">
        <v>1513</v>
      </c>
      <c r="N440" s="33" t="s">
        <v>1495</v>
      </c>
      <c r="O440" s="15" t="s">
        <v>155</v>
      </c>
      <c r="P440" s="13" t="s">
        <v>156</v>
      </c>
      <c r="Q440" s="19">
        <v>42403</v>
      </c>
      <c r="R440" s="24"/>
    </row>
    <row r="441" spans="1:18" s="12" customFormat="1" ht="19.149999999999999" customHeight="1" x14ac:dyDescent="0.3">
      <c r="A441" s="29">
        <v>440</v>
      </c>
      <c r="B441" s="15" t="s">
        <v>108</v>
      </c>
      <c r="C441" s="15" t="s">
        <v>109</v>
      </c>
      <c r="D441" s="13">
        <v>174</v>
      </c>
      <c r="E441" s="16" t="s">
        <v>324</v>
      </c>
      <c r="F441" s="16" t="s">
        <v>2355</v>
      </c>
      <c r="G441" s="15" t="s">
        <v>336</v>
      </c>
      <c r="H441" s="18">
        <v>4</v>
      </c>
      <c r="I441" s="127">
        <v>662</v>
      </c>
      <c r="J441" s="69">
        <v>0</v>
      </c>
      <c r="K441" s="18" t="s">
        <v>336</v>
      </c>
      <c r="L441" s="18">
        <v>0</v>
      </c>
      <c r="M441" s="18" t="s">
        <v>1513</v>
      </c>
      <c r="N441" s="33" t="s">
        <v>1495</v>
      </c>
      <c r="O441" s="15" t="s">
        <v>2356</v>
      </c>
      <c r="P441" s="13" t="s">
        <v>775</v>
      </c>
      <c r="Q441" s="19">
        <v>37869</v>
      </c>
      <c r="R441" s="6" t="s">
        <v>2357</v>
      </c>
    </row>
    <row r="442" spans="1:18" s="12" customFormat="1" ht="19.149999999999999" customHeight="1" x14ac:dyDescent="0.3">
      <c r="A442" s="13">
        <v>441</v>
      </c>
      <c r="B442" s="15" t="s">
        <v>2358</v>
      </c>
      <c r="C442" s="15" t="s">
        <v>2349</v>
      </c>
      <c r="D442" s="13">
        <v>174</v>
      </c>
      <c r="E442" s="16" t="s">
        <v>2359</v>
      </c>
      <c r="F442" s="16" t="s">
        <v>2360</v>
      </c>
      <c r="G442" s="15" t="s">
        <v>336</v>
      </c>
      <c r="H442" s="18">
        <v>1</v>
      </c>
      <c r="I442" s="127">
        <v>94</v>
      </c>
      <c r="J442" s="69">
        <v>0</v>
      </c>
      <c r="K442" s="18" t="s">
        <v>1502</v>
      </c>
      <c r="L442" s="18">
        <v>0</v>
      </c>
      <c r="M442" s="18" t="s">
        <v>1513</v>
      </c>
      <c r="N442" s="33" t="s">
        <v>1495</v>
      </c>
      <c r="O442" s="15" t="s">
        <v>2361</v>
      </c>
      <c r="P442" s="13" t="s">
        <v>2362</v>
      </c>
      <c r="Q442" s="19">
        <v>42597</v>
      </c>
      <c r="R442" s="16"/>
    </row>
    <row r="443" spans="1:18" s="12" customFormat="1" ht="19.149999999999999" customHeight="1" x14ac:dyDescent="0.3">
      <c r="A443" s="29">
        <v>442</v>
      </c>
      <c r="B443" s="15" t="s">
        <v>2358</v>
      </c>
      <c r="C443" s="15" t="s">
        <v>2349</v>
      </c>
      <c r="D443" s="13">
        <v>174</v>
      </c>
      <c r="E443" s="16" t="s">
        <v>2363</v>
      </c>
      <c r="F443" s="16" t="s">
        <v>2360</v>
      </c>
      <c r="G443" s="15" t="s">
        <v>336</v>
      </c>
      <c r="H443" s="18">
        <v>5</v>
      </c>
      <c r="I443" s="127">
        <v>760</v>
      </c>
      <c r="J443" s="69">
        <v>0</v>
      </c>
      <c r="K443" s="18" t="s">
        <v>1502</v>
      </c>
      <c r="L443" s="18">
        <v>0</v>
      </c>
      <c r="M443" s="18" t="s">
        <v>1513</v>
      </c>
      <c r="N443" s="33" t="s">
        <v>1495</v>
      </c>
      <c r="O443" s="15" t="s">
        <v>2361</v>
      </c>
      <c r="P443" s="13" t="s">
        <v>2364</v>
      </c>
      <c r="Q443" s="19">
        <v>42489</v>
      </c>
      <c r="R443" s="16"/>
    </row>
    <row r="444" spans="1:18" s="12" customFormat="1" ht="19.149999999999999" customHeight="1" x14ac:dyDescent="0.3">
      <c r="A444" s="13">
        <v>443</v>
      </c>
      <c r="B444" s="13" t="s">
        <v>108</v>
      </c>
      <c r="C444" s="13" t="s">
        <v>109</v>
      </c>
      <c r="D444" s="13">
        <v>174</v>
      </c>
      <c r="E444" s="24" t="s">
        <v>2365</v>
      </c>
      <c r="F444" s="24" t="s">
        <v>767</v>
      </c>
      <c r="G444" s="13" t="s">
        <v>154</v>
      </c>
      <c r="H444" s="18">
        <v>5</v>
      </c>
      <c r="I444" s="127">
        <v>720</v>
      </c>
      <c r="J444" s="69">
        <v>0</v>
      </c>
      <c r="K444" s="18" t="s">
        <v>336</v>
      </c>
      <c r="L444" s="18">
        <v>0</v>
      </c>
      <c r="M444" s="18" t="s">
        <v>1513</v>
      </c>
      <c r="N444" s="33" t="s">
        <v>1495</v>
      </c>
      <c r="O444" s="15" t="s">
        <v>155</v>
      </c>
      <c r="P444" s="13" t="s">
        <v>156</v>
      </c>
      <c r="Q444" s="19">
        <v>43214</v>
      </c>
      <c r="R444" s="24"/>
    </row>
    <row r="445" spans="1:18" s="12" customFormat="1" ht="19.149999999999999" customHeight="1" x14ac:dyDescent="0.3">
      <c r="A445" s="29">
        <v>444</v>
      </c>
      <c r="B445" s="13" t="s">
        <v>108</v>
      </c>
      <c r="C445" s="13" t="s">
        <v>109</v>
      </c>
      <c r="D445" s="13">
        <v>174</v>
      </c>
      <c r="E445" s="21" t="s">
        <v>2366</v>
      </c>
      <c r="F445" s="21" t="s">
        <v>774</v>
      </c>
      <c r="G445" s="13" t="s">
        <v>1553</v>
      </c>
      <c r="H445" s="18">
        <v>10</v>
      </c>
      <c r="I445" s="127">
        <v>850</v>
      </c>
      <c r="J445" s="69">
        <v>7</v>
      </c>
      <c r="K445" s="18" t="s">
        <v>2367</v>
      </c>
      <c r="L445" s="18">
        <v>0</v>
      </c>
      <c r="M445" s="18" t="s">
        <v>1513</v>
      </c>
      <c r="N445" s="33" t="s">
        <v>1495</v>
      </c>
      <c r="O445" s="13" t="s">
        <v>189</v>
      </c>
      <c r="P445" s="29" t="s">
        <v>190</v>
      </c>
      <c r="Q445" s="52">
        <v>38339</v>
      </c>
      <c r="R445" s="36" t="s">
        <v>2368</v>
      </c>
    </row>
    <row r="446" spans="1:18" s="12" customFormat="1" ht="19.149999999999999" customHeight="1" x14ac:dyDescent="0.3">
      <c r="A446" s="13">
        <v>445</v>
      </c>
      <c r="B446" s="29" t="s">
        <v>2342</v>
      </c>
      <c r="C446" s="29" t="s">
        <v>2343</v>
      </c>
      <c r="D446" s="29">
        <v>176</v>
      </c>
      <c r="E446" s="51" t="s">
        <v>2369</v>
      </c>
      <c r="F446" s="51" t="s">
        <v>2370</v>
      </c>
      <c r="G446" s="29" t="s">
        <v>1553</v>
      </c>
      <c r="H446" s="18">
        <v>6</v>
      </c>
      <c r="I446" s="18">
        <v>806</v>
      </c>
      <c r="J446" s="29">
        <v>0</v>
      </c>
      <c r="K446" s="18" t="s">
        <v>336</v>
      </c>
      <c r="L446" s="18">
        <v>0</v>
      </c>
      <c r="M446" s="18" t="s">
        <v>1513</v>
      </c>
      <c r="N446" s="18" t="s">
        <v>1495</v>
      </c>
      <c r="O446" s="15" t="s">
        <v>155</v>
      </c>
      <c r="P446" s="13" t="s">
        <v>156</v>
      </c>
      <c r="Q446" s="19">
        <v>44518</v>
      </c>
      <c r="R446" s="29"/>
    </row>
    <row r="447" spans="1:18" s="12" customFormat="1" ht="19.149999999999999" customHeight="1" x14ac:dyDescent="0.3">
      <c r="A447" s="29">
        <v>446</v>
      </c>
      <c r="B447" s="13" t="s">
        <v>108</v>
      </c>
      <c r="C447" s="13" t="s">
        <v>110</v>
      </c>
      <c r="D447" s="13">
        <v>177</v>
      </c>
      <c r="E447" s="24" t="s">
        <v>2371</v>
      </c>
      <c r="F447" s="24" t="s">
        <v>762</v>
      </c>
      <c r="G447" s="13" t="s">
        <v>164</v>
      </c>
      <c r="H447" s="18">
        <v>5</v>
      </c>
      <c r="I447" s="127">
        <v>975</v>
      </c>
      <c r="J447" s="69">
        <v>0</v>
      </c>
      <c r="K447" s="18" t="s">
        <v>336</v>
      </c>
      <c r="L447" s="18">
        <v>0</v>
      </c>
      <c r="M447" s="18" t="s">
        <v>1513</v>
      </c>
      <c r="N447" s="33" t="s">
        <v>1495</v>
      </c>
      <c r="O447" s="15" t="s">
        <v>155</v>
      </c>
      <c r="P447" s="13" t="s">
        <v>156</v>
      </c>
      <c r="Q447" s="19">
        <v>43195</v>
      </c>
      <c r="R447" s="36" t="s">
        <v>2372</v>
      </c>
    </row>
    <row r="448" spans="1:18" s="12" customFormat="1" ht="19.149999999999999" customHeight="1" x14ac:dyDescent="0.3">
      <c r="A448" s="13">
        <v>447</v>
      </c>
      <c r="B448" s="15" t="s">
        <v>108</v>
      </c>
      <c r="C448" s="15" t="s">
        <v>110</v>
      </c>
      <c r="D448" s="13">
        <v>177</v>
      </c>
      <c r="E448" s="16" t="s">
        <v>233</v>
      </c>
      <c r="F448" s="16" t="s">
        <v>763</v>
      </c>
      <c r="G448" s="15" t="s">
        <v>154</v>
      </c>
      <c r="H448" s="18">
        <v>7</v>
      </c>
      <c r="I448" s="127">
        <v>1085</v>
      </c>
      <c r="J448" s="69">
        <v>0</v>
      </c>
      <c r="K448" s="18" t="s">
        <v>336</v>
      </c>
      <c r="L448" s="18">
        <v>0</v>
      </c>
      <c r="M448" s="18" t="s">
        <v>1513</v>
      </c>
      <c r="N448" s="33" t="s">
        <v>1495</v>
      </c>
      <c r="O448" s="13" t="s">
        <v>159</v>
      </c>
      <c r="P448" s="13" t="s">
        <v>160</v>
      </c>
      <c r="Q448" s="19">
        <v>43040</v>
      </c>
      <c r="R448" s="121" t="s">
        <v>764</v>
      </c>
    </row>
    <row r="449" spans="1:18" s="12" customFormat="1" ht="19.149999999999999" customHeight="1" x14ac:dyDescent="0.25">
      <c r="A449" s="29">
        <v>448</v>
      </c>
      <c r="B449" s="29" t="s">
        <v>108</v>
      </c>
      <c r="C449" s="29" t="s">
        <v>110</v>
      </c>
      <c r="D449" s="13">
        <v>177</v>
      </c>
      <c r="E449" s="51" t="s">
        <v>234</v>
      </c>
      <c r="F449" s="51" t="s">
        <v>865</v>
      </c>
      <c r="G449" s="29" t="s">
        <v>154</v>
      </c>
      <c r="H449" s="118">
        <v>7</v>
      </c>
      <c r="I449" s="138">
        <v>1014</v>
      </c>
      <c r="J449" s="89">
        <v>0</v>
      </c>
      <c r="K449" s="29" t="s">
        <v>336</v>
      </c>
      <c r="L449" s="18">
        <v>0</v>
      </c>
      <c r="M449" s="18" t="s">
        <v>1513</v>
      </c>
      <c r="N449" s="33" t="s">
        <v>1495</v>
      </c>
      <c r="O449" s="28" t="s">
        <v>159</v>
      </c>
      <c r="P449" s="13" t="s">
        <v>160</v>
      </c>
      <c r="Q449" s="52">
        <v>43217</v>
      </c>
      <c r="R449" s="53"/>
    </row>
    <row r="450" spans="1:18" s="12" customFormat="1" ht="19.149999999999999" customHeight="1" x14ac:dyDescent="0.3">
      <c r="A450" s="13">
        <v>449</v>
      </c>
      <c r="B450" s="13" t="s">
        <v>108</v>
      </c>
      <c r="C450" s="13" t="s">
        <v>111</v>
      </c>
      <c r="D450" s="13">
        <v>178</v>
      </c>
      <c r="E450" s="24" t="s">
        <v>2373</v>
      </c>
      <c r="F450" s="24" t="s">
        <v>766</v>
      </c>
      <c r="G450" s="13" t="s">
        <v>164</v>
      </c>
      <c r="H450" s="18">
        <v>7</v>
      </c>
      <c r="I450" s="127">
        <v>1123</v>
      </c>
      <c r="J450" s="69">
        <v>0</v>
      </c>
      <c r="K450" s="18" t="s">
        <v>336</v>
      </c>
      <c r="L450" s="18">
        <v>0</v>
      </c>
      <c r="M450" s="18" t="s">
        <v>1513</v>
      </c>
      <c r="N450" s="33" t="s">
        <v>1495</v>
      </c>
      <c r="O450" s="15" t="s">
        <v>155</v>
      </c>
      <c r="P450" s="13" t="s">
        <v>156</v>
      </c>
      <c r="Q450" s="19">
        <v>38141</v>
      </c>
      <c r="R450" s="36" t="s">
        <v>2374</v>
      </c>
    </row>
    <row r="451" spans="1:18" s="12" customFormat="1" ht="19.149999999999999" customHeight="1" x14ac:dyDescent="0.3">
      <c r="A451" s="29">
        <v>450</v>
      </c>
      <c r="B451" s="13" t="s">
        <v>2342</v>
      </c>
      <c r="C451" s="13" t="s">
        <v>2375</v>
      </c>
      <c r="D451" s="13">
        <v>178</v>
      </c>
      <c r="E451" s="24" t="s">
        <v>2376</v>
      </c>
      <c r="F451" s="24" t="s">
        <v>2377</v>
      </c>
      <c r="G451" s="13" t="s">
        <v>1553</v>
      </c>
      <c r="H451" s="18">
        <v>7</v>
      </c>
      <c r="I451" s="127">
        <v>1243</v>
      </c>
      <c r="J451" s="69">
        <v>0</v>
      </c>
      <c r="K451" s="18" t="s">
        <v>336</v>
      </c>
      <c r="L451" s="18">
        <v>0</v>
      </c>
      <c r="M451" s="18" t="s">
        <v>1513</v>
      </c>
      <c r="N451" s="33" t="s">
        <v>1495</v>
      </c>
      <c r="O451" s="28" t="s">
        <v>159</v>
      </c>
      <c r="P451" s="13" t="s">
        <v>160</v>
      </c>
      <c r="Q451" s="19">
        <v>43524</v>
      </c>
      <c r="R451" s="24"/>
    </row>
    <row r="452" spans="1:18" s="12" customFormat="1" ht="19.149999999999999" customHeight="1" x14ac:dyDescent="0.3">
      <c r="A452" s="13">
        <v>451</v>
      </c>
      <c r="B452" s="13" t="s">
        <v>776</v>
      </c>
      <c r="C452" s="13" t="s">
        <v>777</v>
      </c>
      <c r="D452" s="13">
        <v>179</v>
      </c>
      <c r="E452" s="24" t="s">
        <v>2378</v>
      </c>
      <c r="F452" s="24" t="s">
        <v>778</v>
      </c>
      <c r="G452" s="13" t="s">
        <v>444</v>
      </c>
      <c r="H452" s="18">
        <v>4</v>
      </c>
      <c r="I452" s="127">
        <v>553</v>
      </c>
      <c r="J452" s="69">
        <v>0</v>
      </c>
      <c r="K452" s="18" t="s">
        <v>336</v>
      </c>
      <c r="L452" s="18">
        <v>0</v>
      </c>
      <c r="M452" s="18" t="s">
        <v>1513</v>
      </c>
      <c r="N452" s="33" t="s">
        <v>1495</v>
      </c>
      <c r="O452" s="15" t="s">
        <v>155</v>
      </c>
      <c r="P452" s="13" t="s">
        <v>156</v>
      </c>
      <c r="Q452" s="19">
        <v>41666</v>
      </c>
      <c r="R452" s="24"/>
    </row>
    <row r="453" spans="1:18" s="12" customFormat="1" ht="19.149999999999999" customHeight="1" x14ac:dyDescent="0.3">
      <c r="A453" s="29">
        <v>452</v>
      </c>
      <c r="B453" s="13" t="s">
        <v>2342</v>
      </c>
      <c r="C453" s="13" t="s">
        <v>2379</v>
      </c>
      <c r="D453" s="13">
        <v>180</v>
      </c>
      <c r="E453" s="36" t="s">
        <v>2380</v>
      </c>
      <c r="F453" s="24" t="s">
        <v>2381</v>
      </c>
      <c r="G453" s="13" t="s">
        <v>1513</v>
      </c>
      <c r="H453" s="33">
        <v>3</v>
      </c>
      <c r="I453" s="144">
        <v>257</v>
      </c>
      <c r="J453" s="91">
        <v>0</v>
      </c>
      <c r="K453" s="18" t="s">
        <v>1513</v>
      </c>
      <c r="L453" s="18">
        <v>0</v>
      </c>
      <c r="M453" s="18" t="s">
        <v>1513</v>
      </c>
      <c r="N453" s="18" t="s">
        <v>1495</v>
      </c>
      <c r="O453" s="13" t="s">
        <v>2382</v>
      </c>
      <c r="P453" s="131" t="s">
        <v>2383</v>
      </c>
      <c r="Q453" s="19">
        <v>44554</v>
      </c>
      <c r="R453" s="36" t="s">
        <v>2384</v>
      </c>
    </row>
    <row r="454" spans="1:18" s="12" customFormat="1" ht="19.149999999999999" customHeight="1" x14ac:dyDescent="0.3">
      <c r="A454" s="13">
        <v>453</v>
      </c>
      <c r="B454" s="15" t="s">
        <v>2358</v>
      </c>
      <c r="C454" s="15" t="s">
        <v>2385</v>
      </c>
      <c r="D454" s="13">
        <v>181</v>
      </c>
      <c r="E454" s="6" t="s">
        <v>2386</v>
      </c>
      <c r="F454" s="16" t="s">
        <v>2387</v>
      </c>
      <c r="G454" s="15" t="s">
        <v>1502</v>
      </c>
      <c r="H454" s="18">
        <v>2</v>
      </c>
      <c r="I454" s="127">
        <v>99</v>
      </c>
      <c r="J454" s="69">
        <v>0</v>
      </c>
      <c r="K454" s="18" t="s">
        <v>1502</v>
      </c>
      <c r="L454" s="18">
        <v>0</v>
      </c>
      <c r="M454" s="18" t="s">
        <v>1513</v>
      </c>
      <c r="N454" s="18" t="s">
        <v>1802</v>
      </c>
      <c r="O454" s="15" t="s">
        <v>2388</v>
      </c>
      <c r="P454" s="13" t="s">
        <v>883</v>
      </c>
      <c r="Q454" s="19">
        <v>41512</v>
      </c>
      <c r="R454" s="6" t="s">
        <v>2389</v>
      </c>
    </row>
    <row r="455" spans="1:18" s="12" customFormat="1" ht="19.149999999999999" customHeight="1" x14ac:dyDescent="0.3">
      <c r="A455" s="29">
        <v>454</v>
      </c>
      <c r="B455" s="13" t="s">
        <v>2358</v>
      </c>
      <c r="C455" s="13" t="s">
        <v>2390</v>
      </c>
      <c r="D455" s="13">
        <v>182</v>
      </c>
      <c r="E455" s="36" t="s">
        <v>2391</v>
      </c>
      <c r="F455" s="24" t="s">
        <v>2392</v>
      </c>
      <c r="G455" s="13" t="s">
        <v>1502</v>
      </c>
      <c r="H455" s="18">
        <v>2</v>
      </c>
      <c r="I455" s="127">
        <v>90</v>
      </c>
      <c r="J455" s="69">
        <v>0</v>
      </c>
      <c r="K455" s="18" t="s">
        <v>1502</v>
      </c>
      <c r="L455" s="18">
        <v>0</v>
      </c>
      <c r="M455" s="18" t="s">
        <v>1513</v>
      </c>
      <c r="N455" s="18" t="s">
        <v>1802</v>
      </c>
      <c r="O455" s="15" t="s">
        <v>2393</v>
      </c>
      <c r="P455" s="13" t="s">
        <v>765</v>
      </c>
      <c r="Q455" s="19">
        <v>41920</v>
      </c>
      <c r="R455" s="36" t="s">
        <v>2394</v>
      </c>
    </row>
    <row r="456" spans="1:18" s="12" customFormat="1" ht="19.149999999999999" customHeight="1" x14ac:dyDescent="0.3">
      <c r="A456" s="13">
        <v>455</v>
      </c>
      <c r="B456" s="13" t="s">
        <v>2358</v>
      </c>
      <c r="C456" s="13" t="s">
        <v>2395</v>
      </c>
      <c r="D456" s="13">
        <v>183</v>
      </c>
      <c r="E456" s="24" t="s">
        <v>2396</v>
      </c>
      <c r="F456" s="24" t="s">
        <v>2397</v>
      </c>
      <c r="G456" s="13" t="s">
        <v>1502</v>
      </c>
      <c r="H456" s="18">
        <v>2</v>
      </c>
      <c r="I456" s="127">
        <v>98</v>
      </c>
      <c r="J456" s="69">
        <v>0</v>
      </c>
      <c r="K456" s="18" t="s">
        <v>1502</v>
      </c>
      <c r="L456" s="18">
        <v>0</v>
      </c>
      <c r="M456" s="18" t="s">
        <v>1513</v>
      </c>
      <c r="N456" s="18" t="s">
        <v>1802</v>
      </c>
      <c r="O456" s="15" t="s">
        <v>2398</v>
      </c>
      <c r="P456" s="29" t="s">
        <v>779</v>
      </c>
      <c r="Q456" s="52">
        <v>42212</v>
      </c>
      <c r="R456" s="36" t="s">
        <v>2399</v>
      </c>
    </row>
    <row r="457" spans="1:18" s="26" customFormat="1" ht="19.149999999999999" customHeight="1" x14ac:dyDescent="0.3">
      <c r="A457" s="29">
        <v>456</v>
      </c>
      <c r="B457" s="13" t="s">
        <v>2358</v>
      </c>
      <c r="C457" s="13" t="s">
        <v>2400</v>
      </c>
      <c r="D457" s="13">
        <v>184</v>
      </c>
      <c r="E457" s="21" t="s">
        <v>2401</v>
      </c>
      <c r="F457" s="24" t="s">
        <v>2402</v>
      </c>
      <c r="G457" s="13" t="s">
        <v>1502</v>
      </c>
      <c r="H457" s="18">
        <v>2</v>
      </c>
      <c r="I457" s="127">
        <v>98</v>
      </c>
      <c r="J457" s="69">
        <v>0</v>
      </c>
      <c r="K457" s="18" t="s">
        <v>1502</v>
      </c>
      <c r="L457" s="18">
        <v>0</v>
      </c>
      <c r="M457" s="18" t="s">
        <v>1513</v>
      </c>
      <c r="N457" s="18" t="s">
        <v>1802</v>
      </c>
      <c r="O457" s="13" t="s">
        <v>2403</v>
      </c>
      <c r="P457" s="13" t="s">
        <v>1282</v>
      </c>
      <c r="Q457" s="19">
        <v>41810</v>
      </c>
      <c r="R457" s="16"/>
    </row>
    <row r="458" spans="1:18" s="26" customFormat="1" ht="19.149999999999999" customHeight="1" x14ac:dyDescent="0.3">
      <c r="A458" s="13">
        <v>457</v>
      </c>
      <c r="B458" s="13" t="s">
        <v>2342</v>
      </c>
      <c r="C458" s="13" t="s">
        <v>2404</v>
      </c>
      <c r="D458" s="13">
        <v>186</v>
      </c>
      <c r="E458" s="63" t="s">
        <v>2405</v>
      </c>
      <c r="F458" s="21" t="s">
        <v>2406</v>
      </c>
      <c r="G458" s="13" t="s">
        <v>1513</v>
      </c>
      <c r="H458" s="18">
        <v>2</v>
      </c>
      <c r="I458" s="127">
        <v>94</v>
      </c>
      <c r="J458" s="69">
        <v>0</v>
      </c>
      <c r="K458" s="18" t="s">
        <v>336</v>
      </c>
      <c r="L458" s="18">
        <v>0</v>
      </c>
      <c r="M458" s="18" t="s">
        <v>1513</v>
      </c>
      <c r="N458" s="18" t="s">
        <v>1802</v>
      </c>
      <c r="O458" s="13" t="s">
        <v>2407</v>
      </c>
      <c r="P458" s="131" t="s">
        <v>2408</v>
      </c>
      <c r="Q458" s="19">
        <v>44900</v>
      </c>
      <c r="R458" s="36" t="s">
        <v>2409</v>
      </c>
    </row>
    <row r="459" spans="1:18" s="26" customFormat="1" ht="19.149999999999999" customHeight="1" x14ac:dyDescent="0.3">
      <c r="A459" s="29">
        <v>458</v>
      </c>
      <c r="B459" s="13" t="s">
        <v>2358</v>
      </c>
      <c r="C459" s="13" t="s">
        <v>2410</v>
      </c>
      <c r="D459" s="13">
        <v>187</v>
      </c>
      <c r="E459" s="21" t="s">
        <v>2411</v>
      </c>
      <c r="F459" s="24" t="s">
        <v>2412</v>
      </c>
      <c r="G459" s="13" t="s">
        <v>1502</v>
      </c>
      <c r="H459" s="18">
        <v>2</v>
      </c>
      <c r="I459" s="127">
        <v>149</v>
      </c>
      <c r="J459" s="69">
        <v>0</v>
      </c>
      <c r="K459" s="18" t="s">
        <v>1502</v>
      </c>
      <c r="L459" s="18">
        <v>0</v>
      </c>
      <c r="M459" s="18" t="s">
        <v>1513</v>
      </c>
      <c r="N459" s="18" t="s">
        <v>1802</v>
      </c>
      <c r="O459" s="13" t="s">
        <v>2413</v>
      </c>
      <c r="P459" s="29" t="s">
        <v>1280</v>
      </c>
      <c r="Q459" s="19">
        <v>42334</v>
      </c>
      <c r="R459" s="16"/>
    </row>
    <row r="460" spans="1:18" s="26" customFormat="1" ht="19.149999999999999" customHeight="1" x14ac:dyDescent="0.3">
      <c r="A460" s="13">
        <v>459</v>
      </c>
      <c r="B460" s="15" t="s">
        <v>2414</v>
      </c>
      <c r="C460" s="15" t="s">
        <v>2415</v>
      </c>
      <c r="D460" s="13">
        <v>188</v>
      </c>
      <c r="E460" s="16" t="s">
        <v>2416</v>
      </c>
      <c r="F460" s="16" t="s">
        <v>2417</v>
      </c>
      <c r="G460" s="15" t="s">
        <v>1502</v>
      </c>
      <c r="H460" s="18">
        <v>2</v>
      </c>
      <c r="I460" s="127">
        <v>93</v>
      </c>
      <c r="J460" s="69">
        <v>0</v>
      </c>
      <c r="K460" s="18" t="s">
        <v>1502</v>
      </c>
      <c r="L460" s="18">
        <v>0</v>
      </c>
      <c r="M460" s="18" t="s">
        <v>1513</v>
      </c>
      <c r="N460" s="33" t="s">
        <v>1802</v>
      </c>
      <c r="O460" s="15" t="s">
        <v>2418</v>
      </c>
      <c r="P460" s="13" t="s">
        <v>2419</v>
      </c>
      <c r="Q460" s="19">
        <v>41810</v>
      </c>
      <c r="R460" s="6" t="s">
        <v>2420</v>
      </c>
    </row>
    <row r="461" spans="1:18" s="26" customFormat="1" ht="19.149999999999999" customHeight="1" x14ac:dyDescent="0.3">
      <c r="A461" s="29">
        <v>460</v>
      </c>
      <c r="B461" s="130" t="s">
        <v>2358</v>
      </c>
      <c r="C461" s="130" t="s">
        <v>2421</v>
      </c>
      <c r="D461" s="130">
        <v>189</v>
      </c>
      <c r="E461" s="63" t="s">
        <v>2422</v>
      </c>
      <c r="F461" s="36" t="s">
        <v>2423</v>
      </c>
      <c r="G461" s="130" t="s">
        <v>1502</v>
      </c>
      <c r="H461" s="118">
        <v>2</v>
      </c>
      <c r="I461" s="138">
        <v>98</v>
      </c>
      <c r="J461" s="89">
        <v>0</v>
      </c>
      <c r="K461" s="118" t="s">
        <v>1502</v>
      </c>
      <c r="L461" s="118">
        <v>0</v>
      </c>
      <c r="M461" s="118" t="s">
        <v>1513</v>
      </c>
      <c r="N461" s="118" t="s">
        <v>1802</v>
      </c>
      <c r="O461" s="130" t="s">
        <v>2424</v>
      </c>
      <c r="P461" s="131" t="s">
        <v>1952</v>
      </c>
      <c r="Q461" s="52">
        <v>44200</v>
      </c>
      <c r="R461" s="6" t="s">
        <v>2425</v>
      </c>
    </row>
    <row r="462" spans="1:18" s="26" customFormat="1" ht="19.149999999999999" customHeight="1" x14ac:dyDescent="0.3">
      <c r="A462" s="13">
        <v>461</v>
      </c>
      <c r="B462" s="13" t="s">
        <v>119</v>
      </c>
      <c r="C462" s="13" t="s">
        <v>120</v>
      </c>
      <c r="D462" s="13">
        <v>190</v>
      </c>
      <c r="E462" s="24" t="s">
        <v>2426</v>
      </c>
      <c r="F462" s="24" t="s">
        <v>783</v>
      </c>
      <c r="G462" s="13" t="s">
        <v>154</v>
      </c>
      <c r="H462" s="18">
        <v>5</v>
      </c>
      <c r="I462" s="127">
        <v>978</v>
      </c>
      <c r="J462" s="69">
        <v>0</v>
      </c>
      <c r="K462" s="18" t="s">
        <v>336</v>
      </c>
      <c r="L462" s="18">
        <v>0</v>
      </c>
      <c r="M462" s="18" t="s">
        <v>1513</v>
      </c>
      <c r="N462" s="18" t="s">
        <v>1495</v>
      </c>
      <c r="O462" s="15" t="s">
        <v>155</v>
      </c>
      <c r="P462" s="13" t="s">
        <v>156</v>
      </c>
      <c r="Q462" s="19">
        <v>38338</v>
      </c>
      <c r="R462" s="24"/>
    </row>
    <row r="463" spans="1:18" s="26" customFormat="1" ht="19.149999999999999" customHeight="1" x14ac:dyDescent="0.3">
      <c r="A463" s="29">
        <v>462</v>
      </c>
      <c r="B463" s="15" t="s">
        <v>119</v>
      </c>
      <c r="C463" s="15" t="s">
        <v>120</v>
      </c>
      <c r="D463" s="13">
        <v>190</v>
      </c>
      <c r="E463" s="16" t="s">
        <v>285</v>
      </c>
      <c r="F463" s="16" t="s">
        <v>785</v>
      </c>
      <c r="G463" s="15" t="s">
        <v>164</v>
      </c>
      <c r="H463" s="18">
        <v>7</v>
      </c>
      <c r="I463" s="127">
        <v>996</v>
      </c>
      <c r="J463" s="69">
        <v>0</v>
      </c>
      <c r="K463" s="18" t="s">
        <v>336</v>
      </c>
      <c r="L463" s="18">
        <v>0</v>
      </c>
      <c r="M463" s="18" t="s">
        <v>1513</v>
      </c>
      <c r="N463" s="18" t="s">
        <v>1495</v>
      </c>
      <c r="O463" s="13" t="s">
        <v>161</v>
      </c>
      <c r="P463" s="13" t="s">
        <v>162</v>
      </c>
      <c r="Q463" s="19">
        <v>42598</v>
      </c>
      <c r="R463" s="6" t="s">
        <v>786</v>
      </c>
    </row>
    <row r="464" spans="1:18" s="12" customFormat="1" ht="19.149999999999999" customHeight="1" x14ac:dyDescent="0.3">
      <c r="A464" s="13">
        <v>463</v>
      </c>
      <c r="B464" s="13" t="s">
        <v>119</v>
      </c>
      <c r="C464" s="13" t="s">
        <v>120</v>
      </c>
      <c r="D464" s="13">
        <v>190</v>
      </c>
      <c r="E464" s="24" t="s">
        <v>2427</v>
      </c>
      <c r="F464" s="24" t="s">
        <v>784</v>
      </c>
      <c r="G464" s="13" t="s">
        <v>154</v>
      </c>
      <c r="H464" s="18">
        <v>8</v>
      </c>
      <c r="I464" s="127">
        <v>1300</v>
      </c>
      <c r="J464" s="69">
        <v>0</v>
      </c>
      <c r="K464" s="18" t="s">
        <v>336</v>
      </c>
      <c r="L464" s="18">
        <v>0</v>
      </c>
      <c r="M464" s="18" t="s">
        <v>1513</v>
      </c>
      <c r="N464" s="18" t="s">
        <v>1495</v>
      </c>
      <c r="O464" s="15" t="s">
        <v>155</v>
      </c>
      <c r="P464" s="13" t="s">
        <v>156</v>
      </c>
      <c r="Q464" s="19">
        <v>43308</v>
      </c>
      <c r="R464" s="36" t="s">
        <v>2428</v>
      </c>
    </row>
    <row r="465" spans="1:18" s="12" customFormat="1" ht="19.149999999999999" customHeight="1" x14ac:dyDescent="0.3">
      <c r="A465" s="29">
        <v>464</v>
      </c>
      <c r="B465" s="13" t="s">
        <v>119</v>
      </c>
      <c r="C465" s="13" t="s">
        <v>121</v>
      </c>
      <c r="D465" s="13">
        <v>191</v>
      </c>
      <c r="E465" s="21" t="s">
        <v>298</v>
      </c>
      <c r="F465" s="24" t="s">
        <v>793</v>
      </c>
      <c r="G465" s="13" t="s">
        <v>444</v>
      </c>
      <c r="H465" s="18">
        <v>8</v>
      </c>
      <c r="I465" s="127">
        <v>1138</v>
      </c>
      <c r="J465" s="69">
        <v>0</v>
      </c>
      <c r="K465" s="18" t="s">
        <v>336</v>
      </c>
      <c r="L465" s="18">
        <v>0</v>
      </c>
      <c r="M465" s="18" t="s">
        <v>1513</v>
      </c>
      <c r="N465" s="18" t="s">
        <v>1495</v>
      </c>
      <c r="O465" s="13" t="s">
        <v>161</v>
      </c>
      <c r="P465" s="13" t="s">
        <v>162</v>
      </c>
      <c r="Q465" s="19">
        <v>43089</v>
      </c>
      <c r="R465" s="24"/>
    </row>
    <row r="466" spans="1:18" s="12" customFormat="1" ht="19.149999999999999" customHeight="1" x14ac:dyDescent="0.3">
      <c r="A466" s="13">
        <v>465</v>
      </c>
      <c r="B466" s="13" t="s">
        <v>119</v>
      </c>
      <c r="C466" s="13" t="s">
        <v>121</v>
      </c>
      <c r="D466" s="13">
        <v>191</v>
      </c>
      <c r="E466" s="24" t="s">
        <v>2429</v>
      </c>
      <c r="F466" s="24" t="s">
        <v>792</v>
      </c>
      <c r="G466" s="13" t="s">
        <v>1538</v>
      </c>
      <c r="H466" s="18">
        <v>8</v>
      </c>
      <c r="I466" s="127">
        <v>872</v>
      </c>
      <c r="J466" s="69">
        <v>0</v>
      </c>
      <c r="K466" s="18" t="s">
        <v>336</v>
      </c>
      <c r="L466" s="18">
        <v>0</v>
      </c>
      <c r="M466" s="18" t="s">
        <v>1513</v>
      </c>
      <c r="N466" s="18" t="s">
        <v>1495</v>
      </c>
      <c r="O466" s="15" t="s">
        <v>155</v>
      </c>
      <c r="P466" s="13" t="s">
        <v>156</v>
      </c>
      <c r="Q466" s="19">
        <v>42046</v>
      </c>
      <c r="R466" s="24"/>
    </row>
    <row r="467" spans="1:18" s="12" customFormat="1" ht="19.149999999999999" customHeight="1" x14ac:dyDescent="0.3">
      <c r="A467" s="29">
        <v>466</v>
      </c>
      <c r="B467" s="13" t="s">
        <v>119</v>
      </c>
      <c r="C467" s="13" t="s">
        <v>122</v>
      </c>
      <c r="D467" s="13">
        <v>192</v>
      </c>
      <c r="E467" s="24" t="s">
        <v>2430</v>
      </c>
      <c r="F467" s="24" t="s">
        <v>787</v>
      </c>
      <c r="G467" s="13" t="s">
        <v>154</v>
      </c>
      <c r="H467" s="18">
        <v>8</v>
      </c>
      <c r="I467" s="127">
        <v>1188</v>
      </c>
      <c r="J467" s="69">
        <v>0</v>
      </c>
      <c r="K467" s="18" t="s">
        <v>336</v>
      </c>
      <c r="L467" s="18">
        <v>0</v>
      </c>
      <c r="M467" s="18" t="s">
        <v>1513</v>
      </c>
      <c r="N467" s="18" t="s">
        <v>1495</v>
      </c>
      <c r="O467" s="15" t="s">
        <v>155</v>
      </c>
      <c r="P467" s="13" t="s">
        <v>156</v>
      </c>
      <c r="Q467" s="19">
        <v>37974</v>
      </c>
      <c r="R467" s="24"/>
    </row>
    <row r="468" spans="1:18" s="12" customFormat="1" ht="19.149999999999999" customHeight="1" x14ac:dyDescent="0.3">
      <c r="A468" s="13">
        <v>467</v>
      </c>
      <c r="B468" s="13" t="s">
        <v>119</v>
      </c>
      <c r="C468" s="13" t="s">
        <v>122</v>
      </c>
      <c r="D468" s="13">
        <v>192</v>
      </c>
      <c r="E468" s="21" t="s">
        <v>295</v>
      </c>
      <c r="F468" s="24" t="s">
        <v>790</v>
      </c>
      <c r="G468" s="13" t="s">
        <v>164</v>
      </c>
      <c r="H468" s="18">
        <v>7</v>
      </c>
      <c r="I468" s="127">
        <v>920</v>
      </c>
      <c r="J468" s="69">
        <v>0</v>
      </c>
      <c r="K468" s="18" t="s">
        <v>336</v>
      </c>
      <c r="L468" s="18">
        <v>0</v>
      </c>
      <c r="M468" s="18" t="s">
        <v>1513</v>
      </c>
      <c r="N468" s="18" t="s">
        <v>1495</v>
      </c>
      <c r="O468" s="13" t="s">
        <v>161</v>
      </c>
      <c r="P468" s="13" t="s">
        <v>162</v>
      </c>
      <c r="Q468" s="19">
        <v>40658</v>
      </c>
      <c r="R468" s="125" t="s">
        <v>791</v>
      </c>
    </row>
    <row r="469" spans="1:18" s="26" customFormat="1" ht="19.149999999999999" customHeight="1" x14ac:dyDescent="0.3">
      <c r="A469" s="29">
        <v>468</v>
      </c>
      <c r="B469" s="13" t="s">
        <v>119</v>
      </c>
      <c r="C469" s="13" t="s">
        <v>122</v>
      </c>
      <c r="D469" s="13">
        <v>192</v>
      </c>
      <c r="E469" s="24" t="s">
        <v>2431</v>
      </c>
      <c r="F469" s="24" t="s">
        <v>788</v>
      </c>
      <c r="G469" s="13" t="s">
        <v>154</v>
      </c>
      <c r="H469" s="18">
        <v>9</v>
      </c>
      <c r="I469" s="127">
        <v>1449</v>
      </c>
      <c r="J469" s="69">
        <v>0</v>
      </c>
      <c r="K469" s="18" t="s">
        <v>336</v>
      </c>
      <c r="L469" s="18">
        <v>0</v>
      </c>
      <c r="M469" s="18" t="s">
        <v>1513</v>
      </c>
      <c r="N469" s="18" t="s">
        <v>1495</v>
      </c>
      <c r="O469" s="15" t="s">
        <v>155</v>
      </c>
      <c r="P469" s="13" t="s">
        <v>156</v>
      </c>
      <c r="Q469" s="19">
        <v>43098</v>
      </c>
      <c r="R469" s="36" t="s">
        <v>789</v>
      </c>
    </row>
    <row r="470" spans="1:18" s="26" customFormat="1" ht="19.149999999999999" customHeight="1" x14ac:dyDescent="0.3">
      <c r="A470" s="13">
        <v>469</v>
      </c>
      <c r="B470" s="13" t="s">
        <v>119</v>
      </c>
      <c r="C470" s="13" t="s">
        <v>123</v>
      </c>
      <c r="D470" s="13">
        <v>193</v>
      </c>
      <c r="E470" s="24" t="s">
        <v>2432</v>
      </c>
      <c r="F470" s="24" t="s">
        <v>782</v>
      </c>
      <c r="G470" s="13" t="s">
        <v>164</v>
      </c>
      <c r="H470" s="18">
        <v>6</v>
      </c>
      <c r="I470" s="127">
        <v>665</v>
      </c>
      <c r="J470" s="69">
        <v>0</v>
      </c>
      <c r="K470" s="18" t="s">
        <v>1513</v>
      </c>
      <c r="L470" s="18">
        <v>0</v>
      </c>
      <c r="M470" s="18" t="s">
        <v>1513</v>
      </c>
      <c r="N470" s="18" t="s">
        <v>1495</v>
      </c>
      <c r="O470" s="15" t="s">
        <v>155</v>
      </c>
      <c r="P470" s="13" t="s">
        <v>156</v>
      </c>
      <c r="Q470" s="19">
        <v>43006</v>
      </c>
      <c r="R470" s="24"/>
    </row>
    <row r="471" spans="1:18" s="12" customFormat="1" ht="19.149999999999999" customHeight="1" x14ac:dyDescent="0.3">
      <c r="A471" s="29">
        <v>470</v>
      </c>
      <c r="B471" s="13" t="s">
        <v>119</v>
      </c>
      <c r="C471" s="13" t="s">
        <v>124</v>
      </c>
      <c r="D471" s="13">
        <v>194</v>
      </c>
      <c r="E471" s="24" t="s">
        <v>2433</v>
      </c>
      <c r="F471" s="24" t="s">
        <v>781</v>
      </c>
      <c r="G471" s="13" t="s">
        <v>164</v>
      </c>
      <c r="H471" s="18">
        <v>7</v>
      </c>
      <c r="I471" s="127">
        <v>1204</v>
      </c>
      <c r="J471" s="69">
        <v>0</v>
      </c>
      <c r="K471" s="18" t="s">
        <v>336</v>
      </c>
      <c r="L471" s="18">
        <v>0</v>
      </c>
      <c r="M471" s="18" t="s">
        <v>1513</v>
      </c>
      <c r="N471" s="18" t="s">
        <v>1495</v>
      </c>
      <c r="O471" s="15" t="s">
        <v>155</v>
      </c>
      <c r="P471" s="13" t="s">
        <v>156</v>
      </c>
      <c r="Q471" s="19">
        <v>42759</v>
      </c>
      <c r="R471" s="24"/>
    </row>
    <row r="472" spans="1:18" s="12" customFormat="1" ht="19.149999999999999" customHeight="1" x14ac:dyDescent="0.3">
      <c r="A472" s="13">
        <v>471</v>
      </c>
      <c r="B472" s="13" t="s">
        <v>119</v>
      </c>
      <c r="C472" s="13" t="s">
        <v>124</v>
      </c>
      <c r="D472" s="13">
        <v>194</v>
      </c>
      <c r="E472" s="24" t="s">
        <v>2434</v>
      </c>
      <c r="F472" s="24" t="s">
        <v>780</v>
      </c>
      <c r="G472" s="13" t="s">
        <v>154</v>
      </c>
      <c r="H472" s="18">
        <v>4</v>
      </c>
      <c r="I472" s="127">
        <v>670</v>
      </c>
      <c r="J472" s="69">
        <v>0</v>
      </c>
      <c r="K472" s="18" t="s">
        <v>336</v>
      </c>
      <c r="L472" s="18">
        <v>0</v>
      </c>
      <c r="M472" s="18" t="s">
        <v>1513</v>
      </c>
      <c r="N472" s="18" t="s">
        <v>1495</v>
      </c>
      <c r="O472" s="15" t="s">
        <v>155</v>
      </c>
      <c r="P472" s="13" t="s">
        <v>156</v>
      </c>
      <c r="Q472" s="19">
        <v>42853</v>
      </c>
      <c r="R472" s="24"/>
    </row>
    <row r="473" spans="1:18" s="12" customFormat="1" ht="19.149999999999999" customHeight="1" x14ac:dyDescent="0.3">
      <c r="A473" s="29">
        <v>472</v>
      </c>
      <c r="B473" s="130" t="s">
        <v>2435</v>
      </c>
      <c r="C473" s="130" t="s">
        <v>2436</v>
      </c>
      <c r="D473" s="130">
        <v>195</v>
      </c>
      <c r="E473" s="63" t="s">
        <v>2437</v>
      </c>
      <c r="F473" s="63" t="s">
        <v>2438</v>
      </c>
      <c r="G473" s="130" t="s">
        <v>1502</v>
      </c>
      <c r="H473" s="118">
        <v>2</v>
      </c>
      <c r="I473" s="138">
        <v>99</v>
      </c>
      <c r="J473" s="89">
        <v>0</v>
      </c>
      <c r="K473" s="118" t="s">
        <v>1502</v>
      </c>
      <c r="L473" s="118">
        <v>0</v>
      </c>
      <c r="M473" s="118" t="s">
        <v>1513</v>
      </c>
      <c r="N473" s="118" t="s">
        <v>1802</v>
      </c>
      <c r="O473" s="130" t="s">
        <v>2439</v>
      </c>
      <c r="P473" s="131" t="s">
        <v>1952</v>
      </c>
      <c r="Q473" s="52">
        <v>44428</v>
      </c>
      <c r="R473" s="63"/>
    </row>
    <row r="474" spans="1:18" s="12" customFormat="1" ht="19.149999999999999" customHeight="1" x14ac:dyDescent="0.3">
      <c r="A474" s="13">
        <v>473</v>
      </c>
      <c r="B474" s="130" t="s">
        <v>2440</v>
      </c>
      <c r="C474" s="130" t="s">
        <v>2441</v>
      </c>
      <c r="D474" s="130">
        <v>196</v>
      </c>
      <c r="E474" s="63" t="s">
        <v>2442</v>
      </c>
      <c r="F474" s="63" t="s">
        <v>2443</v>
      </c>
      <c r="G474" s="130" t="s">
        <v>1502</v>
      </c>
      <c r="H474" s="118">
        <v>2</v>
      </c>
      <c r="I474" s="138">
        <v>95</v>
      </c>
      <c r="J474" s="89">
        <v>0</v>
      </c>
      <c r="K474" s="118" t="s">
        <v>1502</v>
      </c>
      <c r="L474" s="118">
        <v>0</v>
      </c>
      <c r="M474" s="118" t="s">
        <v>1513</v>
      </c>
      <c r="N474" s="118" t="s">
        <v>1802</v>
      </c>
      <c r="O474" s="130" t="s">
        <v>2444</v>
      </c>
      <c r="P474" s="131" t="s">
        <v>1952</v>
      </c>
      <c r="Q474" s="52">
        <v>44253</v>
      </c>
      <c r="R474" s="63" t="s">
        <v>2445</v>
      </c>
    </row>
    <row r="475" spans="1:18" s="12" customFormat="1" ht="19.149999999999999" customHeight="1" x14ac:dyDescent="0.3">
      <c r="A475" s="29">
        <v>474</v>
      </c>
      <c r="B475" s="15" t="s">
        <v>2440</v>
      </c>
      <c r="C475" s="15" t="s">
        <v>2446</v>
      </c>
      <c r="D475" s="13">
        <v>197</v>
      </c>
      <c r="E475" s="16" t="s">
        <v>2447</v>
      </c>
      <c r="F475" s="16" t="s">
        <v>2448</v>
      </c>
      <c r="G475" s="15" t="s">
        <v>1502</v>
      </c>
      <c r="H475" s="18">
        <v>2</v>
      </c>
      <c r="I475" s="127">
        <v>140</v>
      </c>
      <c r="J475" s="69">
        <v>0</v>
      </c>
      <c r="K475" s="18" t="s">
        <v>1502</v>
      </c>
      <c r="L475" s="18">
        <v>0</v>
      </c>
      <c r="M475" s="18" t="s">
        <v>1513</v>
      </c>
      <c r="N475" s="18" t="s">
        <v>1495</v>
      </c>
      <c r="O475" s="15" t="s">
        <v>2449</v>
      </c>
      <c r="P475" s="13" t="s">
        <v>882</v>
      </c>
      <c r="Q475" s="19">
        <v>41752</v>
      </c>
      <c r="R475" s="16"/>
    </row>
    <row r="476" spans="1:18" s="12" customFormat="1" ht="19.149999999999999" customHeight="1" x14ac:dyDescent="0.3">
      <c r="A476" s="13">
        <v>475</v>
      </c>
      <c r="B476" s="28" t="s">
        <v>2440</v>
      </c>
      <c r="C476" s="28" t="s">
        <v>2450</v>
      </c>
      <c r="D476" s="28">
        <v>198</v>
      </c>
      <c r="E476" s="63" t="s">
        <v>2451</v>
      </c>
      <c r="F476" s="32" t="s">
        <v>2452</v>
      </c>
      <c r="G476" s="28" t="s">
        <v>1502</v>
      </c>
      <c r="H476" s="33">
        <v>2</v>
      </c>
      <c r="I476" s="144">
        <v>141</v>
      </c>
      <c r="J476" s="91">
        <v>0</v>
      </c>
      <c r="K476" s="33" t="s">
        <v>1502</v>
      </c>
      <c r="L476" s="18">
        <v>0</v>
      </c>
      <c r="M476" s="18" t="s">
        <v>1513</v>
      </c>
      <c r="N476" s="18" t="s">
        <v>1802</v>
      </c>
      <c r="O476" s="28" t="s">
        <v>2453</v>
      </c>
      <c r="P476" s="28" t="s">
        <v>2454</v>
      </c>
      <c r="Q476" s="34">
        <v>42422</v>
      </c>
      <c r="R476" s="63" t="s">
        <v>2455</v>
      </c>
    </row>
    <row r="477" spans="1:18" s="12" customFormat="1" ht="19.149999999999999" customHeight="1" x14ac:dyDescent="0.3">
      <c r="A477" s="29">
        <v>476</v>
      </c>
      <c r="B477" s="13" t="s">
        <v>2435</v>
      </c>
      <c r="C477" s="13" t="s">
        <v>2456</v>
      </c>
      <c r="D477" s="13">
        <v>199</v>
      </c>
      <c r="E477" s="63" t="s">
        <v>2457</v>
      </c>
      <c r="F477" s="21" t="s">
        <v>2458</v>
      </c>
      <c r="G477" s="13" t="s">
        <v>1513</v>
      </c>
      <c r="H477" s="18">
        <v>2</v>
      </c>
      <c r="I477" s="127">
        <v>92</v>
      </c>
      <c r="J477" s="69">
        <v>0</v>
      </c>
      <c r="K477" s="18" t="s">
        <v>1513</v>
      </c>
      <c r="L477" s="18">
        <v>0</v>
      </c>
      <c r="M477" s="18" t="s">
        <v>1513</v>
      </c>
      <c r="N477" s="18" t="s">
        <v>1802</v>
      </c>
      <c r="O477" s="13" t="s">
        <v>318</v>
      </c>
      <c r="P477" s="13" t="s">
        <v>319</v>
      </c>
      <c r="Q477" s="19">
        <v>43560</v>
      </c>
      <c r="R477" s="36" t="s">
        <v>2459</v>
      </c>
    </row>
    <row r="478" spans="1:18" s="12" customFormat="1" ht="19.149999999999999" customHeight="1" x14ac:dyDescent="0.3">
      <c r="A478" s="13">
        <v>477</v>
      </c>
      <c r="B478" s="13" t="s">
        <v>2440</v>
      </c>
      <c r="C478" s="13" t="s">
        <v>2460</v>
      </c>
      <c r="D478" s="13">
        <v>200</v>
      </c>
      <c r="E478" s="36" t="s">
        <v>2461</v>
      </c>
      <c r="F478" s="24" t="s">
        <v>2462</v>
      </c>
      <c r="G478" s="13" t="s">
        <v>1502</v>
      </c>
      <c r="H478" s="18">
        <v>2</v>
      </c>
      <c r="I478" s="127">
        <v>124</v>
      </c>
      <c r="J478" s="69">
        <v>0</v>
      </c>
      <c r="K478" s="18" t="s">
        <v>1502</v>
      </c>
      <c r="L478" s="18">
        <v>0</v>
      </c>
      <c r="M478" s="18" t="s">
        <v>1513</v>
      </c>
      <c r="N478" s="18" t="s">
        <v>1802</v>
      </c>
      <c r="O478" s="13" t="s">
        <v>2463</v>
      </c>
      <c r="P478" s="131" t="s">
        <v>1952</v>
      </c>
      <c r="Q478" s="19">
        <v>43143</v>
      </c>
      <c r="R478" s="36" t="s">
        <v>2464</v>
      </c>
    </row>
    <row r="479" spans="1:18" s="12" customFormat="1" ht="19.149999999999999" customHeight="1" x14ac:dyDescent="0.3">
      <c r="A479" s="29">
        <v>478</v>
      </c>
      <c r="B479" s="15" t="s">
        <v>2440</v>
      </c>
      <c r="C479" s="15" t="s">
        <v>2465</v>
      </c>
      <c r="D479" s="13">
        <v>201</v>
      </c>
      <c r="E479" s="6" t="s">
        <v>2466</v>
      </c>
      <c r="F479" s="14" t="s">
        <v>2467</v>
      </c>
      <c r="G479" s="15" t="s">
        <v>1502</v>
      </c>
      <c r="H479" s="18">
        <v>2</v>
      </c>
      <c r="I479" s="127">
        <v>99</v>
      </c>
      <c r="J479" s="69">
        <v>0</v>
      </c>
      <c r="K479" s="18" t="s">
        <v>1502</v>
      </c>
      <c r="L479" s="18">
        <v>0</v>
      </c>
      <c r="M479" s="18" t="s">
        <v>1513</v>
      </c>
      <c r="N479" s="18" t="s">
        <v>1802</v>
      </c>
      <c r="O479" s="13" t="s">
        <v>2468</v>
      </c>
      <c r="P479" s="29" t="s">
        <v>794</v>
      </c>
      <c r="Q479" s="19">
        <v>42296</v>
      </c>
      <c r="R479" s="6" t="s">
        <v>2469</v>
      </c>
    </row>
    <row r="480" spans="1:18" s="12" customFormat="1" ht="19.149999999999999" customHeight="1" x14ac:dyDescent="0.3">
      <c r="A480" s="13">
        <v>479</v>
      </c>
      <c r="B480" s="13" t="s">
        <v>2435</v>
      </c>
      <c r="C480" s="13" t="s">
        <v>2470</v>
      </c>
      <c r="D480" s="13">
        <v>203</v>
      </c>
      <c r="E480" s="36" t="s">
        <v>2471</v>
      </c>
      <c r="F480" s="24" t="s">
        <v>2472</v>
      </c>
      <c r="G480" s="13" t="s">
        <v>1513</v>
      </c>
      <c r="H480" s="18">
        <v>2</v>
      </c>
      <c r="I480" s="127">
        <v>136</v>
      </c>
      <c r="J480" s="69">
        <v>0</v>
      </c>
      <c r="K480" s="18" t="s">
        <v>1502</v>
      </c>
      <c r="L480" s="18">
        <v>0</v>
      </c>
      <c r="M480" s="18" t="s">
        <v>1513</v>
      </c>
      <c r="N480" s="18" t="s">
        <v>1802</v>
      </c>
      <c r="O480" s="13" t="s">
        <v>2473</v>
      </c>
      <c r="P480" s="13" t="s">
        <v>2474</v>
      </c>
      <c r="Q480" s="19">
        <v>44390</v>
      </c>
      <c r="R480" s="36"/>
    </row>
    <row r="481" spans="1:18" s="12" customFormat="1" ht="19.149999999999999" customHeight="1" x14ac:dyDescent="0.3">
      <c r="A481" s="29">
        <v>480</v>
      </c>
      <c r="B481" s="13" t="s">
        <v>2435</v>
      </c>
      <c r="C481" s="13" t="s">
        <v>2475</v>
      </c>
      <c r="D481" s="13">
        <v>204</v>
      </c>
      <c r="E481" s="36" t="s">
        <v>2476</v>
      </c>
      <c r="F481" s="24" t="s">
        <v>2477</v>
      </c>
      <c r="G481" s="13" t="s">
        <v>1513</v>
      </c>
      <c r="H481" s="18">
        <v>2</v>
      </c>
      <c r="I481" s="127">
        <v>93</v>
      </c>
      <c r="J481" s="69">
        <v>0</v>
      </c>
      <c r="K481" s="18" t="s">
        <v>1502</v>
      </c>
      <c r="L481" s="18">
        <v>0</v>
      </c>
      <c r="M481" s="18" t="s">
        <v>1513</v>
      </c>
      <c r="N481" s="18" t="s">
        <v>1802</v>
      </c>
      <c r="O481" s="13" t="s">
        <v>2478</v>
      </c>
      <c r="P481" s="13" t="s">
        <v>2479</v>
      </c>
      <c r="Q481" s="19">
        <v>44916</v>
      </c>
      <c r="R481" s="36"/>
    </row>
    <row r="482" spans="1:18" s="12" customFormat="1" ht="19.149999999999999" customHeight="1" x14ac:dyDescent="0.3">
      <c r="A482" s="13">
        <v>481</v>
      </c>
      <c r="B482" s="13" t="s">
        <v>2435</v>
      </c>
      <c r="C482" s="13" t="s">
        <v>2480</v>
      </c>
      <c r="D482" s="13">
        <v>207</v>
      </c>
      <c r="E482" s="63" t="s">
        <v>2481</v>
      </c>
      <c r="F482" s="21" t="s">
        <v>2482</v>
      </c>
      <c r="G482" s="13" t="s">
        <v>1513</v>
      </c>
      <c r="H482" s="18">
        <v>2</v>
      </c>
      <c r="I482" s="127">
        <v>109</v>
      </c>
      <c r="J482" s="69">
        <v>0</v>
      </c>
      <c r="K482" s="18" t="s">
        <v>1513</v>
      </c>
      <c r="L482" s="18">
        <v>0</v>
      </c>
      <c r="M482" s="18" t="s">
        <v>1513</v>
      </c>
      <c r="N482" s="18" t="s">
        <v>1802</v>
      </c>
      <c r="O482" s="13" t="s">
        <v>2483</v>
      </c>
      <c r="P482" s="13" t="s">
        <v>2484</v>
      </c>
      <c r="Q482" s="19">
        <v>44259</v>
      </c>
      <c r="R482" s="36"/>
    </row>
    <row r="483" spans="1:18" s="12" customFormat="1" ht="19.149999999999999" customHeight="1" x14ac:dyDescent="0.3">
      <c r="A483" s="29">
        <v>482</v>
      </c>
      <c r="B483" s="13" t="s">
        <v>2440</v>
      </c>
      <c r="C483" s="13" t="s">
        <v>2485</v>
      </c>
      <c r="D483" s="13">
        <v>209</v>
      </c>
      <c r="E483" s="36" t="s">
        <v>2486</v>
      </c>
      <c r="F483" s="24" t="s">
        <v>2487</v>
      </c>
      <c r="G483" s="13" t="s">
        <v>1502</v>
      </c>
      <c r="H483" s="18">
        <v>2</v>
      </c>
      <c r="I483" s="127">
        <v>98</v>
      </c>
      <c r="J483" s="69">
        <v>0</v>
      </c>
      <c r="K483" s="18" t="s">
        <v>1502</v>
      </c>
      <c r="L483" s="18">
        <v>0</v>
      </c>
      <c r="M483" s="18" t="s">
        <v>1513</v>
      </c>
      <c r="N483" s="18" t="s">
        <v>1802</v>
      </c>
      <c r="O483" s="13" t="s">
        <v>2488</v>
      </c>
      <c r="P483" s="13" t="s">
        <v>2489</v>
      </c>
      <c r="Q483" s="19">
        <v>43004</v>
      </c>
      <c r="R483" s="36" t="s">
        <v>2490</v>
      </c>
    </row>
    <row r="484" spans="1:18" s="25" customFormat="1" ht="19.149999999999999" customHeight="1" x14ac:dyDescent="0.25">
      <c r="A484" s="13">
        <v>483</v>
      </c>
      <c r="B484" s="15" t="s">
        <v>2440</v>
      </c>
      <c r="C484" s="15" t="s">
        <v>2491</v>
      </c>
      <c r="D484" s="13">
        <v>210</v>
      </c>
      <c r="E484" s="16" t="s">
        <v>2492</v>
      </c>
      <c r="F484" s="14" t="s">
        <v>2493</v>
      </c>
      <c r="G484" s="15" t="s">
        <v>1502</v>
      </c>
      <c r="H484" s="18">
        <v>2</v>
      </c>
      <c r="I484" s="127">
        <v>98</v>
      </c>
      <c r="J484" s="69">
        <v>0</v>
      </c>
      <c r="K484" s="18" t="s">
        <v>1502</v>
      </c>
      <c r="L484" s="18">
        <v>0</v>
      </c>
      <c r="M484" s="18" t="s">
        <v>1513</v>
      </c>
      <c r="N484" s="18" t="s">
        <v>1802</v>
      </c>
      <c r="O484" s="13" t="s">
        <v>2494</v>
      </c>
      <c r="P484" s="13" t="s">
        <v>2495</v>
      </c>
      <c r="Q484" s="19">
        <v>42936</v>
      </c>
      <c r="R484" s="6" t="s">
        <v>2496</v>
      </c>
    </row>
    <row r="485" spans="1:18" s="25" customFormat="1" ht="19.149999999999999" customHeight="1" x14ac:dyDescent="0.25">
      <c r="A485" s="29">
        <v>484</v>
      </c>
      <c r="B485" s="15" t="s">
        <v>127</v>
      </c>
      <c r="C485" s="15" t="s">
        <v>128</v>
      </c>
      <c r="D485" s="13">
        <v>212</v>
      </c>
      <c r="E485" s="16" t="s">
        <v>281</v>
      </c>
      <c r="F485" s="16" t="s">
        <v>823</v>
      </c>
      <c r="G485" s="15" t="s">
        <v>154</v>
      </c>
      <c r="H485" s="18">
        <v>6</v>
      </c>
      <c r="I485" s="127">
        <v>663</v>
      </c>
      <c r="J485" s="69">
        <v>0</v>
      </c>
      <c r="K485" s="18" t="s">
        <v>336</v>
      </c>
      <c r="L485" s="18">
        <v>0</v>
      </c>
      <c r="M485" s="18" t="s">
        <v>1513</v>
      </c>
      <c r="N485" s="18" t="s">
        <v>1495</v>
      </c>
      <c r="O485" s="13" t="s">
        <v>161</v>
      </c>
      <c r="P485" s="13" t="s">
        <v>162</v>
      </c>
      <c r="Q485" s="19">
        <v>43004</v>
      </c>
      <c r="R485" s="16"/>
    </row>
    <row r="486" spans="1:18" s="26" customFormat="1" ht="19.149999999999999" customHeight="1" x14ac:dyDescent="0.3">
      <c r="A486" s="13">
        <v>485</v>
      </c>
      <c r="B486" s="15" t="s">
        <v>127</v>
      </c>
      <c r="C486" s="15" t="s">
        <v>128</v>
      </c>
      <c r="D486" s="13">
        <v>212</v>
      </c>
      <c r="E486" s="16" t="s">
        <v>2497</v>
      </c>
      <c r="F486" s="16" t="s">
        <v>2498</v>
      </c>
      <c r="G486" s="15" t="s">
        <v>1538</v>
      </c>
      <c r="H486" s="18">
        <v>7</v>
      </c>
      <c r="I486" s="127">
        <v>868</v>
      </c>
      <c r="J486" s="69">
        <v>7</v>
      </c>
      <c r="K486" s="18" t="s">
        <v>2499</v>
      </c>
      <c r="L486" s="18">
        <v>0</v>
      </c>
      <c r="M486" s="18" t="s">
        <v>1513</v>
      </c>
      <c r="N486" s="18" t="s">
        <v>1495</v>
      </c>
      <c r="O486" s="13" t="s">
        <v>161</v>
      </c>
      <c r="P486" s="13" t="s">
        <v>162</v>
      </c>
      <c r="Q486" s="19">
        <v>44905</v>
      </c>
      <c r="R486" s="16"/>
    </row>
    <row r="487" spans="1:18" s="26" customFormat="1" ht="19.149999999999999" customHeight="1" x14ac:dyDescent="0.3">
      <c r="A487" s="29">
        <v>486</v>
      </c>
      <c r="B487" s="15" t="s">
        <v>2500</v>
      </c>
      <c r="C487" s="15" t="s">
        <v>2501</v>
      </c>
      <c r="D487" s="13">
        <v>212</v>
      </c>
      <c r="E487" s="6" t="s">
        <v>2502</v>
      </c>
      <c r="F487" s="16" t="s">
        <v>2503</v>
      </c>
      <c r="G487" s="15" t="s">
        <v>1502</v>
      </c>
      <c r="H487" s="18">
        <v>1</v>
      </c>
      <c r="I487" s="127">
        <v>262</v>
      </c>
      <c r="J487" s="69">
        <v>0</v>
      </c>
      <c r="K487" s="18" t="s">
        <v>1502</v>
      </c>
      <c r="L487" s="18">
        <v>1</v>
      </c>
      <c r="M487" s="18" t="s">
        <v>1508</v>
      </c>
      <c r="N487" s="18" t="s">
        <v>1495</v>
      </c>
      <c r="O487" s="13" t="s">
        <v>2504</v>
      </c>
      <c r="P487" s="13" t="s">
        <v>875</v>
      </c>
      <c r="Q487" s="19">
        <v>42788</v>
      </c>
      <c r="R487" s="6" t="s">
        <v>2505</v>
      </c>
    </row>
    <row r="488" spans="1:18" s="12" customFormat="1" ht="19.149999999999999" customHeight="1" x14ac:dyDescent="0.3">
      <c r="A488" s="13">
        <v>487</v>
      </c>
      <c r="B488" s="13" t="s">
        <v>127</v>
      </c>
      <c r="C488" s="13" t="s">
        <v>128</v>
      </c>
      <c r="D488" s="13">
        <v>212</v>
      </c>
      <c r="E488" s="24" t="s">
        <v>2506</v>
      </c>
      <c r="F488" s="24" t="s">
        <v>820</v>
      </c>
      <c r="G488" s="13" t="s">
        <v>164</v>
      </c>
      <c r="H488" s="18">
        <v>8</v>
      </c>
      <c r="I488" s="127">
        <v>1007</v>
      </c>
      <c r="J488" s="69">
        <v>0</v>
      </c>
      <c r="K488" s="18" t="s">
        <v>336</v>
      </c>
      <c r="L488" s="18">
        <v>0</v>
      </c>
      <c r="M488" s="18" t="s">
        <v>1513</v>
      </c>
      <c r="N488" s="18" t="s">
        <v>1495</v>
      </c>
      <c r="O488" s="15" t="s">
        <v>155</v>
      </c>
      <c r="P488" s="13" t="s">
        <v>156</v>
      </c>
      <c r="Q488" s="19">
        <v>38963</v>
      </c>
      <c r="R488" s="24"/>
    </row>
    <row r="489" spans="1:18" s="12" customFormat="1" ht="19.149999999999999" customHeight="1" x14ac:dyDescent="0.3">
      <c r="A489" s="29">
        <v>488</v>
      </c>
      <c r="B489" s="13" t="s">
        <v>127</v>
      </c>
      <c r="C489" s="13" t="s">
        <v>128</v>
      </c>
      <c r="D489" s="13">
        <v>212</v>
      </c>
      <c r="E489" s="21" t="s">
        <v>274</v>
      </c>
      <c r="F489" s="21" t="s">
        <v>822</v>
      </c>
      <c r="G489" s="13" t="s">
        <v>1553</v>
      </c>
      <c r="H489" s="18">
        <v>8</v>
      </c>
      <c r="I489" s="127">
        <v>712</v>
      </c>
      <c r="J489" s="69">
        <v>8</v>
      </c>
      <c r="K489" s="18" t="s">
        <v>1984</v>
      </c>
      <c r="L489" s="18">
        <v>0</v>
      </c>
      <c r="M489" s="18" t="s">
        <v>1513</v>
      </c>
      <c r="N489" s="18" t="s">
        <v>1495</v>
      </c>
      <c r="O489" s="28" t="s">
        <v>159</v>
      </c>
      <c r="P489" s="13" t="s">
        <v>160</v>
      </c>
      <c r="Q489" s="19">
        <v>38090</v>
      </c>
      <c r="R489" s="24" t="s">
        <v>2507</v>
      </c>
    </row>
    <row r="490" spans="1:18" s="12" customFormat="1" ht="19.149999999999999" customHeight="1" x14ac:dyDescent="0.3">
      <c r="A490" s="13">
        <v>489</v>
      </c>
      <c r="B490" s="15" t="s">
        <v>127</v>
      </c>
      <c r="C490" s="15" t="s">
        <v>129</v>
      </c>
      <c r="D490" s="13">
        <v>215</v>
      </c>
      <c r="E490" s="16" t="s">
        <v>228</v>
      </c>
      <c r="F490" s="14" t="s">
        <v>798</v>
      </c>
      <c r="G490" s="15" t="s">
        <v>444</v>
      </c>
      <c r="H490" s="18">
        <v>2</v>
      </c>
      <c r="I490" s="127">
        <v>279</v>
      </c>
      <c r="J490" s="69">
        <v>0</v>
      </c>
      <c r="K490" s="18" t="s">
        <v>336</v>
      </c>
      <c r="L490" s="18">
        <v>0</v>
      </c>
      <c r="M490" s="18" t="s">
        <v>1513</v>
      </c>
      <c r="N490" s="18" t="s">
        <v>1495</v>
      </c>
      <c r="O490" s="28" t="s">
        <v>159</v>
      </c>
      <c r="P490" s="13" t="s">
        <v>160</v>
      </c>
      <c r="Q490" s="19">
        <v>40909</v>
      </c>
      <c r="R490" s="16"/>
    </row>
    <row r="491" spans="1:18" s="12" customFormat="1" ht="19.149999999999999" customHeight="1" x14ac:dyDescent="0.3">
      <c r="A491" s="29">
        <v>490</v>
      </c>
      <c r="B491" s="13" t="s">
        <v>127</v>
      </c>
      <c r="C491" s="13" t="s">
        <v>129</v>
      </c>
      <c r="D491" s="13">
        <v>215</v>
      </c>
      <c r="E491" s="21" t="s">
        <v>799</v>
      </c>
      <c r="F491" s="21" t="s">
        <v>800</v>
      </c>
      <c r="G491" s="13" t="s">
        <v>154</v>
      </c>
      <c r="H491" s="18">
        <v>6</v>
      </c>
      <c r="I491" s="127">
        <v>767</v>
      </c>
      <c r="J491" s="69">
        <v>0</v>
      </c>
      <c r="K491" s="18" t="s">
        <v>336</v>
      </c>
      <c r="L491" s="18">
        <v>0</v>
      </c>
      <c r="M491" s="18" t="s">
        <v>1513</v>
      </c>
      <c r="N491" s="18" t="s">
        <v>1495</v>
      </c>
      <c r="O491" s="13" t="s">
        <v>189</v>
      </c>
      <c r="P491" s="29" t="s">
        <v>190</v>
      </c>
      <c r="Q491" s="19">
        <v>42971</v>
      </c>
      <c r="R491" s="24"/>
    </row>
    <row r="492" spans="1:18" s="12" customFormat="1" ht="19.149999999999999" customHeight="1" x14ac:dyDescent="0.3">
      <c r="A492" s="13">
        <v>491</v>
      </c>
      <c r="B492" s="15" t="s">
        <v>2508</v>
      </c>
      <c r="C492" s="13" t="s">
        <v>2509</v>
      </c>
      <c r="D492" s="13">
        <v>215</v>
      </c>
      <c r="E492" s="21" t="s">
        <v>2510</v>
      </c>
      <c r="F492" s="21" t="s">
        <v>2511</v>
      </c>
      <c r="G492" s="13" t="s">
        <v>1553</v>
      </c>
      <c r="H492" s="18">
        <v>3</v>
      </c>
      <c r="I492" s="127">
        <v>359</v>
      </c>
      <c r="J492" s="69">
        <v>1</v>
      </c>
      <c r="K492" s="18" t="s">
        <v>2512</v>
      </c>
      <c r="L492" s="18">
        <v>0</v>
      </c>
      <c r="M492" s="18" t="s">
        <v>1513</v>
      </c>
      <c r="N492" s="18" t="s">
        <v>1495</v>
      </c>
      <c r="O492" s="13" t="s">
        <v>161</v>
      </c>
      <c r="P492" s="13" t="s">
        <v>162</v>
      </c>
      <c r="Q492" s="19">
        <v>44905</v>
      </c>
      <c r="R492" s="21" t="s">
        <v>2513</v>
      </c>
    </row>
    <row r="493" spans="1:18" s="12" customFormat="1" ht="19.149999999999999" customHeight="1" x14ac:dyDescent="0.3">
      <c r="A493" s="29">
        <v>492</v>
      </c>
      <c r="B493" s="29" t="s">
        <v>2508</v>
      </c>
      <c r="C493" s="29" t="s">
        <v>2509</v>
      </c>
      <c r="D493" s="29">
        <v>215</v>
      </c>
      <c r="E493" s="51" t="s">
        <v>2514</v>
      </c>
      <c r="F493" s="51" t="s">
        <v>2515</v>
      </c>
      <c r="G493" s="29" t="s">
        <v>1553</v>
      </c>
      <c r="H493" s="18">
        <v>6</v>
      </c>
      <c r="I493" s="18">
        <v>848</v>
      </c>
      <c r="J493" s="69">
        <v>4</v>
      </c>
      <c r="K493" s="18" t="s">
        <v>2121</v>
      </c>
      <c r="L493" s="18">
        <v>0</v>
      </c>
      <c r="M493" s="18" t="s">
        <v>1513</v>
      </c>
      <c r="N493" s="18" t="s">
        <v>1495</v>
      </c>
      <c r="O493" s="13" t="s">
        <v>159</v>
      </c>
      <c r="P493" s="13" t="s">
        <v>160</v>
      </c>
      <c r="Q493" s="19">
        <v>44414</v>
      </c>
      <c r="R493" s="29"/>
    </row>
    <row r="494" spans="1:18" s="26" customFormat="1" ht="19.149999999999999" customHeight="1" x14ac:dyDescent="0.3">
      <c r="A494" s="13">
        <v>493</v>
      </c>
      <c r="B494" s="13" t="s">
        <v>127</v>
      </c>
      <c r="C494" s="13" t="s">
        <v>130</v>
      </c>
      <c r="D494" s="13">
        <v>216</v>
      </c>
      <c r="E494" s="21" t="s">
        <v>810</v>
      </c>
      <c r="F494" s="21" t="s">
        <v>811</v>
      </c>
      <c r="G494" s="13" t="s">
        <v>164</v>
      </c>
      <c r="H494" s="18">
        <v>4</v>
      </c>
      <c r="I494" s="127">
        <v>642</v>
      </c>
      <c r="J494" s="69">
        <v>0</v>
      </c>
      <c r="K494" s="18" t="s">
        <v>336</v>
      </c>
      <c r="L494" s="18">
        <v>0</v>
      </c>
      <c r="M494" s="18" t="s">
        <v>1513</v>
      </c>
      <c r="N494" s="18" t="s">
        <v>1495</v>
      </c>
      <c r="O494" s="13" t="s">
        <v>161</v>
      </c>
      <c r="P494" s="13" t="s">
        <v>162</v>
      </c>
      <c r="Q494" s="19">
        <v>42278</v>
      </c>
      <c r="R494" s="6" t="s">
        <v>812</v>
      </c>
    </row>
    <row r="495" spans="1:18" s="26" customFormat="1" ht="19.149999999999999" customHeight="1" x14ac:dyDescent="0.3">
      <c r="A495" s="29">
        <v>494</v>
      </c>
      <c r="B495" s="15" t="s">
        <v>127</v>
      </c>
      <c r="C495" s="15" t="s">
        <v>130</v>
      </c>
      <c r="D495" s="13">
        <v>216</v>
      </c>
      <c r="E495" s="16" t="s">
        <v>2516</v>
      </c>
      <c r="F495" s="16" t="s">
        <v>809</v>
      </c>
      <c r="G495" s="15" t="s">
        <v>164</v>
      </c>
      <c r="H495" s="18">
        <v>5</v>
      </c>
      <c r="I495" s="127">
        <v>816</v>
      </c>
      <c r="J495" s="69">
        <v>0</v>
      </c>
      <c r="K495" s="18" t="s">
        <v>336</v>
      </c>
      <c r="L495" s="18">
        <v>0</v>
      </c>
      <c r="M495" s="18" t="s">
        <v>1513</v>
      </c>
      <c r="N495" s="18" t="s">
        <v>1495</v>
      </c>
      <c r="O495" s="15" t="s">
        <v>155</v>
      </c>
      <c r="P495" s="13" t="s">
        <v>156</v>
      </c>
      <c r="Q495" s="19">
        <v>42668</v>
      </c>
      <c r="R495" s="16"/>
    </row>
    <row r="496" spans="1:18" s="26" customFormat="1" ht="19.149999999999999" customHeight="1" x14ac:dyDescent="0.3">
      <c r="A496" s="13">
        <v>495</v>
      </c>
      <c r="B496" s="13" t="s">
        <v>127</v>
      </c>
      <c r="C496" s="13" t="s">
        <v>816</v>
      </c>
      <c r="D496" s="13">
        <v>217</v>
      </c>
      <c r="E496" s="21" t="s">
        <v>2517</v>
      </c>
      <c r="F496" s="21" t="s">
        <v>817</v>
      </c>
      <c r="G496" s="13" t="s">
        <v>444</v>
      </c>
      <c r="H496" s="18">
        <v>6</v>
      </c>
      <c r="I496" s="127">
        <v>674</v>
      </c>
      <c r="J496" s="69">
        <v>0</v>
      </c>
      <c r="K496" s="18" t="s">
        <v>336</v>
      </c>
      <c r="L496" s="18">
        <v>0</v>
      </c>
      <c r="M496" s="18" t="s">
        <v>1513</v>
      </c>
      <c r="N496" s="18" t="s">
        <v>1495</v>
      </c>
      <c r="O496" s="15" t="s">
        <v>155</v>
      </c>
      <c r="P496" s="13" t="s">
        <v>156</v>
      </c>
      <c r="Q496" s="19">
        <v>41913</v>
      </c>
      <c r="R496" s="6" t="s">
        <v>818</v>
      </c>
    </row>
    <row r="497" spans="1:18" s="26" customFormat="1" ht="19.149999999999999" customHeight="1" x14ac:dyDescent="0.3">
      <c r="A497" s="29">
        <v>496</v>
      </c>
      <c r="B497" s="15" t="s">
        <v>127</v>
      </c>
      <c r="C497" s="15" t="s">
        <v>816</v>
      </c>
      <c r="D497" s="13">
        <v>217</v>
      </c>
      <c r="E497" s="16" t="s">
        <v>2518</v>
      </c>
      <c r="F497" s="16" t="s">
        <v>2519</v>
      </c>
      <c r="G497" s="15" t="s">
        <v>444</v>
      </c>
      <c r="H497" s="18">
        <v>5</v>
      </c>
      <c r="I497" s="127">
        <v>343</v>
      </c>
      <c r="J497" s="69">
        <v>0</v>
      </c>
      <c r="K497" s="18" t="s">
        <v>336</v>
      </c>
      <c r="L497" s="18">
        <v>0</v>
      </c>
      <c r="M497" s="18" t="s">
        <v>1513</v>
      </c>
      <c r="N497" s="18" t="s">
        <v>1495</v>
      </c>
      <c r="O497" s="28" t="s">
        <v>159</v>
      </c>
      <c r="P497" s="13" t="s">
        <v>160</v>
      </c>
      <c r="Q497" s="19">
        <v>41745</v>
      </c>
      <c r="R497" s="6" t="s">
        <v>2520</v>
      </c>
    </row>
    <row r="498" spans="1:18" s="20" customFormat="1" ht="19.149999999999999" customHeight="1" x14ac:dyDescent="0.3">
      <c r="A498" s="13">
        <v>497</v>
      </c>
      <c r="B498" s="13" t="s">
        <v>127</v>
      </c>
      <c r="C498" s="13" t="s">
        <v>131</v>
      </c>
      <c r="D498" s="13">
        <v>217</v>
      </c>
      <c r="E498" s="21" t="s">
        <v>815</v>
      </c>
      <c r="F498" s="21" t="s">
        <v>2521</v>
      </c>
      <c r="G498" s="13" t="s">
        <v>336</v>
      </c>
      <c r="H498" s="18">
        <v>1</v>
      </c>
      <c r="I498" s="127">
        <v>144</v>
      </c>
      <c r="J498" s="69">
        <v>0</v>
      </c>
      <c r="K498" s="18" t="s">
        <v>336</v>
      </c>
      <c r="L498" s="18">
        <v>1</v>
      </c>
      <c r="M498" s="18" t="s">
        <v>1508</v>
      </c>
      <c r="N498" s="18" t="s">
        <v>1495</v>
      </c>
      <c r="O498" s="13" t="s">
        <v>2522</v>
      </c>
      <c r="P498" s="15" t="s">
        <v>874</v>
      </c>
      <c r="Q498" s="19">
        <v>36769</v>
      </c>
      <c r="R498" s="24"/>
    </row>
    <row r="499" spans="1:18" s="12" customFormat="1" ht="19.149999999999999" customHeight="1" x14ac:dyDescent="0.3">
      <c r="A499" s="29">
        <v>498</v>
      </c>
      <c r="B499" s="13" t="s">
        <v>127</v>
      </c>
      <c r="C499" s="13" t="s">
        <v>132</v>
      </c>
      <c r="D499" s="13">
        <v>218</v>
      </c>
      <c r="E499" s="21" t="s">
        <v>2523</v>
      </c>
      <c r="F499" s="24" t="s">
        <v>804</v>
      </c>
      <c r="G499" s="13" t="s">
        <v>164</v>
      </c>
      <c r="H499" s="18">
        <v>7</v>
      </c>
      <c r="I499" s="127">
        <v>513</v>
      </c>
      <c r="J499" s="69">
        <v>0</v>
      </c>
      <c r="K499" s="18" t="s">
        <v>336</v>
      </c>
      <c r="L499" s="18">
        <v>0</v>
      </c>
      <c r="M499" s="18" t="s">
        <v>1513</v>
      </c>
      <c r="N499" s="18" t="s">
        <v>1495</v>
      </c>
      <c r="O499" s="28" t="s">
        <v>159</v>
      </c>
      <c r="P499" s="13" t="s">
        <v>160</v>
      </c>
      <c r="Q499" s="19">
        <v>43320</v>
      </c>
      <c r="R499" s="36" t="s">
        <v>805</v>
      </c>
    </row>
    <row r="500" spans="1:18" s="12" customFormat="1" ht="19.149999999999999" customHeight="1" x14ac:dyDescent="0.3">
      <c r="A500" s="13">
        <v>499</v>
      </c>
      <c r="B500" s="15" t="s">
        <v>127</v>
      </c>
      <c r="C500" s="15" t="s">
        <v>132</v>
      </c>
      <c r="D500" s="13">
        <v>218</v>
      </c>
      <c r="E500" s="16" t="s">
        <v>2524</v>
      </c>
      <c r="F500" s="16" t="s">
        <v>802</v>
      </c>
      <c r="G500" s="15" t="s">
        <v>164</v>
      </c>
      <c r="H500" s="18">
        <v>10</v>
      </c>
      <c r="I500" s="127">
        <v>1346</v>
      </c>
      <c r="J500" s="69">
        <v>0</v>
      </c>
      <c r="K500" s="18" t="s">
        <v>336</v>
      </c>
      <c r="L500" s="18">
        <v>0</v>
      </c>
      <c r="M500" s="18" t="s">
        <v>1513</v>
      </c>
      <c r="N500" s="18" t="s">
        <v>1495</v>
      </c>
      <c r="O500" s="15" t="s">
        <v>155</v>
      </c>
      <c r="P500" s="13" t="s">
        <v>156</v>
      </c>
      <c r="Q500" s="19">
        <v>39072</v>
      </c>
      <c r="R500" s="16"/>
    </row>
    <row r="501" spans="1:18" s="26" customFormat="1" ht="19.149999999999999" customHeight="1" x14ac:dyDescent="0.3">
      <c r="A501" s="29">
        <v>500</v>
      </c>
      <c r="B501" s="15" t="s">
        <v>127</v>
      </c>
      <c r="C501" s="15" t="s">
        <v>132</v>
      </c>
      <c r="D501" s="13">
        <v>218</v>
      </c>
      <c r="E501" s="16" t="s">
        <v>232</v>
      </c>
      <c r="F501" s="14" t="s">
        <v>803</v>
      </c>
      <c r="G501" s="15" t="s">
        <v>154</v>
      </c>
      <c r="H501" s="18">
        <v>8</v>
      </c>
      <c r="I501" s="127">
        <v>1204</v>
      </c>
      <c r="J501" s="69">
        <v>0</v>
      </c>
      <c r="K501" s="18" t="s">
        <v>336</v>
      </c>
      <c r="L501" s="18">
        <v>0</v>
      </c>
      <c r="M501" s="18" t="s">
        <v>1513</v>
      </c>
      <c r="N501" s="18" t="s">
        <v>1495</v>
      </c>
      <c r="O501" s="28" t="s">
        <v>159</v>
      </c>
      <c r="P501" s="13" t="s">
        <v>160</v>
      </c>
      <c r="Q501" s="19">
        <v>38834</v>
      </c>
      <c r="R501" s="16"/>
    </row>
    <row r="502" spans="1:18" s="26" customFormat="1" ht="19.149999999999999" customHeight="1" x14ac:dyDescent="0.3">
      <c r="A502" s="13">
        <v>501</v>
      </c>
      <c r="B502" s="13" t="s">
        <v>127</v>
      </c>
      <c r="C502" s="13" t="s">
        <v>132</v>
      </c>
      <c r="D502" s="13">
        <v>218</v>
      </c>
      <c r="E502" s="21" t="s">
        <v>807</v>
      </c>
      <c r="F502" s="21" t="s">
        <v>808</v>
      </c>
      <c r="G502" s="13" t="s">
        <v>154</v>
      </c>
      <c r="H502" s="18">
        <v>5</v>
      </c>
      <c r="I502" s="127">
        <v>502</v>
      </c>
      <c r="J502" s="69">
        <v>0</v>
      </c>
      <c r="K502" s="18" t="s">
        <v>336</v>
      </c>
      <c r="L502" s="18">
        <v>0</v>
      </c>
      <c r="M502" s="18" t="s">
        <v>1513</v>
      </c>
      <c r="N502" s="18" t="s">
        <v>1495</v>
      </c>
      <c r="O502" s="13" t="s">
        <v>189</v>
      </c>
      <c r="P502" s="29" t="s">
        <v>190</v>
      </c>
      <c r="Q502" s="19">
        <v>43076</v>
      </c>
      <c r="R502" s="24"/>
    </row>
    <row r="503" spans="1:18" s="26" customFormat="1" ht="19.149999999999999" customHeight="1" x14ac:dyDescent="0.3">
      <c r="A503" s="29">
        <v>502</v>
      </c>
      <c r="B503" s="13" t="s">
        <v>127</v>
      </c>
      <c r="C503" s="13" t="s">
        <v>132</v>
      </c>
      <c r="D503" s="13">
        <v>218</v>
      </c>
      <c r="E503" s="21" t="s">
        <v>278</v>
      </c>
      <c r="F503" s="24" t="s">
        <v>806</v>
      </c>
      <c r="G503" s="13" t="s">
        <v>154</v>
      </c>
      <c r="H503" s="18">
        <v>6</v>
      </c>
      <c r="I503" s="127">
        <v>976</v>
      </c>
      <c r="J503" s="69">
        <v>0</v>
      </c>
      <c r="K503" s="18" t="s">
        <v>336</v>
      </c>
      <c r="L503" s="18">
        <v>0</v>
      </c>
      <c r="M503" s="18" t="s">
        <v>1513</v>
      </c>
      <c r="N503" s="18" t="s">
        <v>1495</v>
      </c>
      <c r="O503" s="13" t="s">
        <v>161</v>
      </c>
      <c r="P503" s="13" t="s">
        <v>162</v>
      </c>
      <c r="Q503" s="19">
        <v>41243</v>
      </c>
      <c r="R503" s="24"/>
    </row>
    <row r="504" spans="1:18" s="12" customFormat="1" ht="19.149999999999999" customHeight="1" x14ac:dyDescent="0.3">
      <c r="A504" s="13">
        <v>503</v>
      </c>
      <c r="B504" s="13" t="s">
        <v>127</v>
      </c>
      <c r="C504" s="13" t="s">
        <v>133</v>
      </c>
      <c r="D504" s="13">
        <v>219</v>
      </c>
      <c r="E504" s="21" t="s">
        <v>262</v>
      </c>
      <c r="F504" s="24" t="s">
        <v>819</v>
      </c>
      <c r="G504" s="13" t="s">
        <v>164</v>
      </c>
      <c r="H504" s="18">
        <v>6</v>
      </c>
      <c r="I504" s="127">
        <v>909</v>
      </c>
      <c r="J504" s="69">
        <v>1</v>
      </c>
      <c r="K504" s="18" t="s">
        <v>2525</v>
      </c>
      <c r="L504" s="18">
        <v>0</v>
      </c>
      <c r="M504" s="18" t="s">
        <v>1513</v>
      </c>
      <c r="N504" s="18" t="s">
        <v>1495</v>
      </c>
      <c r="O504" s="28" t="s">
        <v>159</v>
      </c>
      <c r="P504" s="13" t="s">
        <v>160</v>
      </c>
      <c r="Q504" s="19">
        <v>43168</v>
      </c>
      <c r="R504" s="24"/>
    </row>
    <row r="505" spans="1:18" s="12" customFormat="1" ht="19.149999999999999" customHeight="1" x14ac:dyDescent="0.3">
      <c r="A505" s="29">
        <v>504</v>
      </c>
      <c r="B505" s="15" t="s">
        <v>2500</v>
      </c>
      <c r="C505" s="13" t="s">
        <v>2526</v>
      </c>
      <c r="D505" s="13">
        <v>220</v>
      </c>
      <c r="E505" s="63" t="s">
        <v>2527</v>
      </c>
      <c r="F505" s="21" t="s">
        <v>2528</v>
      </c>
      <c r="G505" s="13" t="s">
        <v>2529</v>
      </c>
      <c r="H505" s="18">
        <v>1</v>
      </c>
      <c r="I505" s="127">
        <v>76</v>
      </c>
      <c r="J505" s="69">
        <v>0</v>
      </c>
      <c r="K505" s="18" t="s">
        <v>1502</v>
      </c>
      <c r="L505" s="18">
        <v>0</v>
      </c>
      <c r="M505" s="18" t="s">
        <v>1513</v>
      </c>
      <c r="N505" s="18" t="s">
        <v>1802</v>
      </c>
      <c r="O505" s="13" t="s">
        <v>189</v>
      </c>
      <c r="P505" s="29" t="s">
        <v>190</v>
      </c>
      <c r="Q505" s="19">
        <v>43020</v>
      </c>
      <c r="R505" s="63" t="s">
        <v>2530</v>
      </c>
    </row>
    <row r="506" spans="1:18" s="12" customFormat="1" ht="19.149999999999999" customHeight="1" x14ac:dyDescent="0.3">
      <c r="A506" s="13">
        <v>505</v>
      </c>
      <c r="B506" s="29" t="s">
        <v>2508</v>
      </c>
      <c r="C506" s="29" t="s">
        <v>2531</v>
      </c>
      <c r="D506" s="29">
        <v>220</v>
      </c>
      <c r="E506" s="51" t="s">
        <v>2532</v>
      </c>
      <c r="F506" s="51" t="s">
        <v>2533</v>
      </c>
      <c r="G506" s="29" t="s">
        <v>1553</v>
      </c>
      <c r="H506" s="18">
        <v>6</v>
      </c>
      <c r="I506" s="18">
        <v>612</v>
      </c>
      <c r="J506" s="69">
        <v>6</v>
      </c>
      <c r="K506" s="18" t="s">
        <v>1634</v>
      </c>
      <c r="L506" s="18">
        <v>0</v>
      </c>
      <c r="M506" s="18" t="s">
        <v>1513</v>
      </c>
      <c r="N506" s="18" t="s">
        <v>1495</v>
      </c>
      <c r="O506" s="13" t="s">
        <v>159</v>
      </c>
      <c r="P506" s="13" t="s">
        <v>160</v>
      </c>
      <c r="Q506" s="19">
        <v>44448</v>
      </c>
      <c r="R506" s="29"/>
    </row>
    <row r="507" spans="1:18" s="12" customFormat="1" ht="19.149999999999999" customHeight="1" x14ac:dyDescent="0.3">
      <c r="A507" s="29">
        <v>506</v>
      </c>
      <c r="B507" s="13" t="s">
        <v>2508</v>
      </c>
      <c r="C507" s="13" t="s">
        <v>2534</v>
      </c>
      <c r="D507" s="13">
        <v>221</v>
      </c>
      <c r="E507" s="21" t="s">
        <v>2535</v>
      </c>
      <c r="F507" s="21" t="s">
        <v>2536</v>
      </c>
      <c r="G507" s="13" t="s">
        <v>1553</v>
      </c>
      <c r="H507" s="18">
        <v>4</v>
      </c>
      <c r="I507" s="127">
        <v>471</v>
      </c>
      <c r="J507" s="69">
        <v>1</v>
      </c>
      <c r="K507" s="18" t="s">
        <v>2525</v>
      </c>
      <c r="L507" s="18">
        <v>0</v>
      </c>
      <c r="M507" s="18" t="s">
        <v>1513</v>
      </c>
      <c r="N507" s="18" t="s">
        <v>1495</v>
      </c>
      <c r="O507" s="13" t="s">
        <v>159</v>
      </c>
      <c r="P507" s="13" t="s">
        <v>160</v>
      </c>
      <c r="Q507" s="19">
        <v>43852</v>
      </c>
      <c r="R507" s="16"/>
    </row>
    <row r="508" spans="1:18" s="12" customFormat="1" ht="19.149999999999999" customHeight="1" x14ac:dyDescent="0.3">
      <c r="A508" s="13">
        <v>507</v>
      </c>
      <c r="B508" s="13" t="s">
        <v>127</v>
      </c>
      <c r="C508" s="13" t="s">
        <v>134</v>
      </c>
      <c r="D508" s="13">
        <v>222</v>
      </c>
      <c r="E508" s="21" t="s">
        <v>813</v>
      </c>
      <c r="F508" s="21" t="s">
        <v>814</v>
      </c>
      <c r="G508" s="13" t="s">
        <v>345</v>
      </c>
      <c r="H508" s="18">
        <v>3</v>
      </c>
      <c r="I508" s="127">
        <v>259</v>
      </c>
      <c r="J508" s="69">
        <v>0</v>
      </c>
      <c r="K508" s="18" t="s">
        <v>336</v>
      </c>
      <c r="L508" s="18">
        <v>0</v>
      </c>
      <c r="M508" s="18" t="s">
        <v>1513</v>
      </c>
      <c r="N508" s="18" t="s">
        <v>1495</v>
      </c>
      <c r="O508" s="13" t="s">
        <v>161</v>
      </c>
      <c r="P508" s="13" t="s">
        <v>162</v>
      </c>
      <c r="Q508" s="19">
        <v>42271</v>
      </c>
      <c r="R508" s="16"/>
    </row>
    <row r="509" spans="1:18" s="12" customFormat="1" ht="19.149999999999999" customHeight="1" x14ac:dyDescent="0.3">
      <c r="A509" s="29">
        <v>508</v>
      </c>
      <c r="B509" s="29" t="s">
        <v>2508</v>
      </c>
      <c r="C509" s="29" t="s">
        <v>2537</v>
      </c>
      <c r="D509" s="29">
        <v>223</v>
      </c>
      <c r="E509" s="51" t="s">
        <v>2538</v>
      </c>
      <c r="F509" s="51" t="s">
        <v>2539</v>
      </c>
      <c r="G509" s="29" t="s">
        <v>1553</v>
      </c>
      <c r="H509" s="18">
        <v>7</v>
      </c>
      <c r="I509" s="18">
        <v>561</v>
      </c>
      <c r="J509" s="69">
        <v>0</v>
      </c>
      <c r="K509" s="18" t="s">
        <v>336</v>
      </c>
      <c r="L509" s="18">
        <v>0</v>
      </c>
      <c r="M509" s="18" t="s">
        <v>1513</v>
      </c>
      <c r="N509" s="18" t="s">
        <v>1495</v>
      </c>
      <c r="O509" s="15" t="s">
        <v>155</v>
      </c>
      <c r="P509" s="13" t="s">
        <v>156</v>
      </c>
      <c r="Q509" s="19">
        <v>44295</v>
      </c>
      <c r="R509" s="29"/>
    </row>
    <row r="510" spans="1:18" s="12" customFormat="1" ht="19.149999999999999" customHeight="1" x14ac:dyDescent="0.3">
      <c r="A510" s="13">
        <v>509</v>
      </c>
      <c r="B510" s="13" t="s">
        <v>127</v>
      </c>
      <c r="C510" s="13" t="s">
        <v>135</v>
      </c>
      <c r="D510" s="13">
        <v>223</v>
      </c>
      <c r="E510" s="21" t="s">
        <v>796</v>
      </c>
      <c r="F510" s="24" t="s">
        <v>797</v>
      </c>
      <c r="G510" s="13" t="s">
        <v>164</v>
      </c>
      <c r="H510" s="18">
        <v>5</v>
      </c>
      <c r="I510" s="127">
        <v>573</v>
      </c>
      <c r="J510" s="69">
        <v>0</v>
      </c>
      <c r="K510" s="18" t="s">
        <v>336</v>
      </c>
      <c r="L510" s="18">
        <v>0</v>
      </c>
      <c r="M510" s="18" t="s">
        <v>1513</v>
      </c>
      <c r="N510" s="18" t="s">
        <v>1495</v>
      </c>
      <c r="O510" s="13" t="s">
        <v>161</v>
      </c>
      <c r="P510" s="13" t="s">
        <v>162</v>
      </c>
      <c r="Q510" s="19">
        <v>42669</v>
      </c>
      <c r="R510" s="24"/>
    </row>
    <row r="511" spans="1:18" s="12" customFormat="1" ht="19.149999999999999" customHeight="1" x14ac:dyDescent="0.3">
      <c r="A511" s="29">
        <v>510</v>
      </c>
      <c r="B511" s="15" t="s">
        <v>2508</v>
      </c>
      <c r="C511" s="13" t="s">
        <v>2540</v>
      </c>
      <c r="D511" s="13">
        <v>225</v>
      </c>
      <c r="E511" s="63" t="s">
        <v>2541</v>
      </c>
      <c r="F511" s="21" t="s">
        <v>2542</v>
      </c>
      <c r="G511" s="13" t="s">
        <v>1513</v>
      </c>
      <c r="H511" s="18">
        <v>2</v>
      </c>
      <c r="I511" s="127">
        <v>94</v>
      </c>
      <c r="J511" s="69">
        <v>0</v>
      </c>
      <c r="K511" s="18" t="s">
        <v>1502</v>
      </c>
      <c r="L511" s="18">
        <v>0</v>
      </c>
      <c r="M511" s="18" t="s">
        <v>1513</v>
      </c>
      <c r="N511" s="18" t="s">
        <v>1802</v>
      </c>
      <c r="O511" s="13" t="s">
        <v>2543</v>
      </c>
      <c r="P511" s="13" t="s">
        <v>2544</v>
      </c>
      <c r="Q511" s="19">
        <v>44387</v>
      </c>
      <c r="R511" s="63"/>
    </row>
    <row r="512" spans="1:18" s="46" customFormat="1" ht="19.149999999999999" customHeight="1" x14ac:dyDescent="0.3">
      <c r="A512" s="13">
        <v>511</v>
      </c>
      <c r="B512" s="15" t="s">
        <v>2500</v>
      </c>
      <c r="C512" s="15" t="s">
        <v>2545</v>
      </c>
      <c r="D512" s="13">
        <v>227</v>
      </c>
      <c r="E512" s="16" t="s">
        <v>2546</v>
      </c>
      <c r="F512" s="16" t="s">
        <v>2547</v>
      </c>
      <c r="G512" s="15" t="s">
        <v>1502</v>
      </c>
      <c r="H512" s="18">
        <v>1</v>
      </c>
      <c r="I512" s="127">
        <v>93</v>
      </c>
      <c r="J512" s="69">
        <v>0</v>
      </c>
      <c r="K512" s="18" t="s">
        <v>1502</v>
      </c>
      <c r="L512" s="18">
        <v>0</v>
      </c>
      <c r="M512" s="18" t="s">
        <v>1513</v>
      </c>
      <c r="N512" s="18" t="s">
        <v>1802</v>
      </c>
      <c r="O512" s="13" t="s">
        <v>2548</v>
      </c>
      <c r="P512" s="13" t="s">
        <v>2549</v>
      </c>
      <c r="Q512" s="19">
        <v>42459</v>
      </c>
      <c r="R512" s="6" t="s">
        <v>2550</v>
      </c>
    </row>
    <row r="513" spans="1:18" s="12" customFormat="1" ht="19.149999999999999" customHeight="1" x14ac:dyDescent="0.3">
      <c r="A513" s="29">
        <v>512</v>
      </c>
      <c r="B513" s="13" t="s">
        <v>2500</v>
      </c>
      <c r="C513" s="13" t="s">
        <v>2551</v>
      </c>
      <c r="D513" s="13">
        <v>230</v>
      </c>
      <c r="E513" s="21" t="s">
        <v>2552</v>
      </c>
      <c r="F513" s="21" t="s">
        <v>2553</v>
      </c>
      <c r="G513" s="13" t="s">
        <v>1502</v>
      </c>
      <c r="H513" s="18">
        <v>2</v>
      </c>
      <c r="I513" s="127">
        <v>99</v>
      </c>
      <c r="J513" s="69">
        <v>0</v>
      </c>
      <c r="K513" s="18" t="s">
        <v>1502</v>
      </c>
      <c r="L513" s="18">
        <v>0</v>
      </c>
      <c r="M513" s="18" t="s">
        <v>1513</v>
      </c>
      <c r="N513" s="18" t="s">
        <v>1802</v>
      </c>
      <c r="O513" s="28" t="s">
        <v>2554</v>
      </c>
      <c r="P513" s="29" t="s">
        <v>801</v>
      </c>
      <c r="Q513" s="19">
        <v>42339</v>
      </c>
      <c r="R513" s="36" t="s">
        <v>2555</v>
      </c>
    </row>
    <row r="514" spans="1:18" s="12" customFormat="1" ht="19.149999999999999" customHeight="1" x14ac:dyDescent="0.3">
      <c r="A514" s="13">
        <v>513</v>
      </c>
      <c r="B514" s="13" t="s">
        <v>2508</v>
      </c>
      <c r="C514" s="13" t="s">
        <v>2556</v>
      </c>
      <c r="D514" s="13">
        <v>231</v>
      </c>
      <c r="E514" s="21" t="s">
        <v>2557</v>
      </c>
      <c r="F514" s="21" t="s">
        <v>2558</v>
      </c>
      <c r="G514" s="13" t="s">
        <v>1513</v>
      </c>
      <c r="H514" s="18">
        <v>2</v>
      </c>
      <c r="I514" s="127">
        <v>98</v>
      </c>
      <c r="J514" s="69">
        <v>0</v>
      </c>
      <c r="K514" s="18" t="s">
        <v>1502</v>
      </c>
      <c r="L514" s="18">
        <v>0</v>
      </c>
      <c r="M514" s="18" t="s">
        <v>1513</v>
      </c>
      <c r="N514" s="18" t="s">
        <v>1802</v>
      </c>
      <c r="O514" s="28" t="s">
        <v>2559</v>
      </c>
      <c r="P514" s="29" t="s">
        <v>2560</v>
      </c>
      <c r="Q514" s="19">
        <v>44918</v>
      </c>
      <c r="R514" s="36"/>
    </row>
    <row r="515" spans="1:18" s="12" customFormat="1" ht="19.149999999999999" customHeight="1" x14ac:dyDescent="0.3">
      <c r="A515" s="29">
        <v>514</v>
      </c>
      <c r="B515" s="13" t="s">
        <v>2500</v>
      </c>
      <c r="C515" s="13" t="s">
        <v>2561</v>
      </c>
      <c r="D515" s="13">
        <v>232</v>
      </c>
      <c r="E515" s="36" t="s">
        <v>2562</v>
      </c>
      <c r="F515" s="24" t="s">
        <v>2563</v>
      </c>
      <c r="G515" s="13" t="s">
        <v>2529</v>
      </c>
      <c r="H515" s="18">
        <v>2</v>
      </c>
      <c r="I515" s="127">
        <v>94</v>
      </c>
      <c r="J515" s="69">
        <v>0</v>
      </c>
      <c r="K515" s="18" t="s">
        <v>1502</v>
      </c>
      <c r="L515" s="18">
        <v>0</v>
      </c>
      <c r="M515" s="18" t="s">
        <v>1513</v>
      </c>
      <c r="N515" s="18" t="s">
        <v>1802</v>
      </c>
      <c r="O515" s="13" t="s">
        <v>189</v>
      </c>
      <c r="P515" s="29" t="s">
        <v>190</v>
      </c>
      <c r="Q515" s="19">
        <v>43456</v>
      </c>
      <c r="R515" s="36" t="s">
        <v>2564</v>
      </c>
    </row>
    <row r="516" spans="1:18" s="12" customFormat="1" ht="19.149999999999999" customHeight="1" x14ac:dyDescent="0.3">
      <c r="A516" s="13">
        <v>515</v>
      </c>
      <c r="B516" s="15" t="s">
        <v>2508</v>
      </c>
      <c r="C516" s="13" t="s">
        <v>2565</v>
      </c>
      <c r="D516" s="13">
        <v>233</v>
      </c>
      <c r="E516" s="21" t="s">
        <v>2566</v>
      </c>
      <c r="F516" s="21" t="s">
        <v>2567</v>
      </c>
      <c r="G516" s="13" t="s">
        <v>1553</v>
      </c>
      <c r="H516" s="18">
        <v>6</v>
      </c>
      <c r="I516" s="127">
        <v>471</v>
      </c>
      <c r="J516" s="69">
        <v>0</v>
      </c>
      <c r="K516" s="18" t="s">
        <v>1513</v>
      </c>
      <c r="L516" s="18">
        <v>0</v>
      </c>
      <c r="M516" s="18" t="s">
        <v>1513</v>
      </c>
      <c r="N516" s="18" t="s">
        <v>1495</v>
      </c>
      <c r="O516" s="13" t="s">
        <v>161</v>
      </c>
      <c r="P516" s="13" t="s">
        <v>162</v>
      </c>
      <c r="Q516" s="19">
        <v>43700</v>
      </c>
      <c r="R516" s="21"/>
    </row>
    <row r="517" spans="1:18" s="12" customFormat="1" ht="19.149999999999999" customHeight="1" x14ac:dyDescent="0.3">
      <c r="A517" s="29">
        <v>516</v>
      </c>
      <c r="B517" s="15" t="s">
        <v>2500</v>
      </c>
      <c r="C517" s="13" t="s">
        <v>2568</v>
      </c>
      <c r="D517" s="13">
        <v>235</v>
      </c>
      <c r="E517" s="63" t="s">
        <v>2569</v>
      </c>
      <c r="F517" s="21" t="s">
        <v>2570</v>
      </c>
      <c r="G517" s="13" t="s">
        <v>1502</v>
      </c>
      <c r="H517" s="18">
        <v>1</v>
      </c>
      <c r="I517" s="127">
        <v>87</v>
      </c>
      <c r="J517" s="69">
        <v>0</v>
      </c>
      <c r="K517" s="18" t="s">
        <v>1502</v>
      </c>
      <c r="L517" s="18">
        <v>0</v>
      </c>
      <c r="M517" s="18" t="s">
        <v>1513</v>
      </c>
      <c r="N517" s="18" t="s">
        <v>1802</v>
      </c>
      <c r="O517" s="13" t="s">
        <v>2571</v>
      </c>
      <c r="P517" s="13" t="s">
        <v>2572</v>
      </c>
      <c r="Q517" s="19">
        <v>43356</v>
      </c>
      <c r="R517" s="63" t="s">
        <v>2573</v>
      </c>
    </row>
    <row r="518" spans="1:18" s="12" customFormat="1" ht="19.149999999999999" customHeight="1" x14ac:dyDescent="0.3">
      <c r="A518" s="13">
        <v>517</v>
      </c>
      <c r="B518" s="13" t="s">
        <v>2574</v>
      </c>
      <c r="C518" s="13" t="s">
        <v>2575</v>
      </c>
      <c r="D518" s="13">
        <v>237</v>
      </c>
      <c r="E518" s="21" t="s">
        <v>2576</v>
      </c>
      <c r="F518" s="21" t="s">
        <v>2577</v>
      </c>
      <c r="G518" s="13" t="s">
        <v>1502</v>
      </c>
      <c r="H518" s="18">
        <v>1</v>
      </c>
      <c r="I518" s="127">
        <v>51</v>
      </c>
      <c r="J518" s="69">
        <v>0</v>
      </c>
      <c r="K518" s="18" t="s">
        <v>1502</v>
      </c>
      <c r="L518" s="18">
        <v>1</v>
      </c>
      <c r="M518" s="18" t="s">
        <v>1508</v>
      </c>
      <c r="N518" s="18" t="s">
        <v>1495</v>
      </c>
      <c r="O518" s="13" t="s">
        <v>2578</v>
      </c>
      <c r="P518" s="13" t="s">
        <v>2579</v>
      </c>
      <c r="Q518" s="19">
        <v>42349</v>
      </c>
      <c r="R518" s="24"/>
    </row>
    <row r="519" spans="1:18" s="12" customFormat="1" ht="19.149999999999999" customHeight="1" x14ac:dyDescent="0.3">
      <c r="A519" s="29">
        <v>518</v>
      </c>
      <c r="B519" s="15" t="s">
        <v>139</v>
      </c>
      <c r="C519" s="15" t="s">
        <v>140</v>
      </c>
      <c r="D519" s="13">
        <v>237</v>
      </c>
      <c r="E519" s="16" t="s">
        <v>851</v>
      </c>
      <c r="F519" s="16" t="s">
        <v>852</v>
      </c>
      <c r="G519" s="15" t="s">
        <v>154</v>
      </c>
      <c r="H519" s="18">
        <v>6</v>
      </c>
      <c r="I519" s="127">
        <v>1043</v>
      </c>
      <c r="J519" s="69">
        <v>2</v>
      </c>
      <c r="K519" s="18" t="s">
        <v>2580</v>
      </c>
      <c r="L519" s="18">
        <v>0</v>
      </c>
      <c r="M519" s="18" t="s">
        <v>1513</v>
      </c>
      <c r="N519" s="18" t="s">
        <v>1495</v>
      </c>
      <c r="O519" s="13" t="s">
        <v>161</v>
      </c>
      <c r="P519" s="13" t="s">
        <v>162</v>
      </c>
      <c r="Q519" s="19">
        <v>43131</v>
      </c>
      <c r="R519" s="6" t="s">
        <v>2581</v>
      </c>
    </row>
    <row r="520" spans="1:18" s="12" customFormat="1" ht="19.149999999999999" customHeight="1" x14ac:dyDescent="0.3">
      <c r="A520" s="13">
        <v>519</v>
      </c>
      <c r="B520" s="13" t="s">
        <v>139</v>
      </c>
      <c r="C520" s="13" t="s">
        <v>2575</v>
      </c>
      <c r="D520" s="13">
        <v>237</v>
      </c>
      <c r="E520" s="21" t="s">
        <v>2582</v>
      </c>
      <c r="F520" s="21" t="s">
        <v>2583</v>
      </c>
      <c r="G520" s="13" t="s">
        <v>1553</v>
      </c>
      <c r="H520" s="18">
        <v>6</v>
      </c>
      <c r="I520" s="127">
        <v>348</v>
      </c>
      <c r="J520" s="69">
        <v>0</v>
      </c>
      <c r="K520" s="18" t="s">
        <v>336</v>
      </c>
      <c r="L520" s="18">
        <v>0</v>
      </c>
      <c r="M520" s="18" t="s">
        <v>1513</v>
      </c>
      <c r="N520" s="18" t="s">
        <v>1495</v>
      </c>
      <c r="O520" s="13" t="s">
        <v>159</v>
      </c>
      <c r="P520" s="13" t="s">
        <v>160</v>
      </c>
      <c r="Q520" s="19">
        <v>43565</v>
      </c>
      <c r="R520" s="36" t="s">
        <v>2584</v>
      </c>
    </row>
    <row r="521" spans="1:18" s="12" customFormat="1" ht="19.149999999999999" customHeight="1" x14ac:dyDescent="0.3">
      <c r="A521" s="29">
        <v>520</v>
      </c>
      <c r="B521" s="13" t="s">
        <v>139</v>
      </c>
      <c r="C521" s="13" t="s">
        <v>140</v>
      </c>
      <c r="D521" s="13">
        <v>237</v>
      </c>
      <c r="E521" s="24" t="s">
        <v>2585</v>
      </c>
      <c r="F521" s="24" t="s">
        <v>845</v>
      </c>
      <c r="G521" s="13" t="s">
        <v>154</v>
      </c>
      <c r="H521" s="18">
        <v>7</v>
      </c>
      <c r="I521" s="127">
        <v>1178</v>
      </c>
      <c r="J521" s="69">
        <v>0</v>
      </c>
      <c r="K521" s="18" t="s">
        <v>336</v>
      </c>
      <c r="L521" s="18">
        <v>0</v>
      </c>
      <c r="M521" s="18" t="s">
        <v>1513</v>
      </c>
      <c r="N521" s="18" t="s">
        <v>1495</v>
      </c>
      <c r="O521" s="15" t="s">
        <v>155</v>
      </c>
      <c r="P521" s="13" t="s">
        <v>156</v>
      </c>
      <c r="Q521" s="19">
        <v>38443</v>
      </c>
      <c r="R521" s="24"/>
    </row>
    <row r="522" spans="1:18" s="12" customFormat="1" ht="19.149999999999999" customHeight="1" x14ac:dyDescent="0.3">
      <c r="A522" s="13">
        <v>521</v>
      </c>
      <c r="B522" s="13" t="s">
        <v>139</v>
      </c>
      <c r="C522" s="13" t="s">
        <v>140</v>
      </c>
      <c r="D522" s="13">
        <v>237</v>
      </c>
      <c r="E522" s="21" t="s">
        <v>2586</v>
      </c>
      <c r="F522" s="21" t="s">
        <v>847</v>
      </c>
      <c r="G522" s="15" t="s">
        <v>164</v>
      </c>
      <c r="H522" s="18">
        <v>7</v>
      </c>
      <c r="I522" s="127">
        <v>590</v>
      </c>
      <c r="J522" s="69">
        <v>0</v>
      </c>
      <c r="K522" s="18" t="s">
        <v>336</v>
      </c>
      <c r="L522" s="18">
        <v>0</v>
      </c>
      <c r="M522" s="18" t="s">
        <v>1513</v>
      </c>
      <c r="N522" s="18" t="s">
        <v>1495</v>
      </c>
      <c r="O522" s="28" t="s">
        <v>159</v>
      </c>
      <c r="P522" s="13" t="s">
        <v>160</v>
      </c>
      <c r="Q522" s="19">
        <v>40466</v>
      </c>
      <c r="R522" s="6" t="s">
        <v>2587</v>
      </c>
    </row>
    <row r="523" spans="1:18" s="25" customFormat="1" ht="19.149999999999999" customHeight="1" x14ac:dyDescent="0.25">
      <c r="A523" s="29">
        <v>522</v>
      </c>
      <c r="B523" s="13" t="s">
        <v>2588</v>
      </c>
      <c r="C523" s="13" t="s">
        <v>2589</v>
      </c>
      <c r="D523" s="13">
        <v>237</v>
      </c>
      <c r="E523" s="21" t="s">
        <v>2590</v>
      </c>
      <c r="F523" s="21" t="s">
        <v>2591</v>
      </c>
      <c r="G523" s="13" t="s">
        <v>1538</v>
      </c>
      <c r="H523" s="18">
        <v>5</v>
      </c>
      <c r="I523" s="127">
        <v>497</v>
      </c>
      <c r="J523" s="69">
        <v>5</v>
      </c>
      <c r="K523" s="18" t="s">
        <v>1890</v>
      </c>
      <c r="L523" s="18">
        <v>0</v>
      </c>
      <c r="M523" s="18" t="s">
        <v>1513</v>
      </c>
      <c r="N523" s="18" t="s">
        <v>1495</v>
      </c>
      <c r="O523" s="13" t="s">
        <v>161</v>
      </c>
      <c r="P523" s="13" t="s">
        <v>162</v>
      </c>
      <c r="Q523" s="19">
        <v>44006</v>
      </c>
      <c r="R523" s="24"/>
    </row>
    <row r="524" spans="1:18" s="12" customFormat="1" ht="19.149999999999999" customHeight="1" x14ac:dyDescent="0.3">
      <c r="A524" s="13">
        <v>523</v>
      </c>
      <c r="B524" s="13" t="s">
        <v>139</v>
      </c>
      <c r="C524" s="13" t="s">
        <v>140</v>
      </c>
      <c r="D524" s="13">
        <v>237</v>
      </c>
      <c r="E524" s="21" t="s">
        <v>308</v>
      </c>
      <c r="F524" s="21" t="s">
        <v>853</v>
      </c>
      <c r="G524" s="13" t="s">
        <v>154</v>
      </c>
      <c r="H524" s="18">
        <v>7</v>
      </c>
      <c r="I524" s="127">
        <v>1104</v>
      </c>
      <c r="J524" s="69">
        <v>0</v>
      </c>
      <c r="K524" s="18" t="s">
        <v>336</v>
      </c>
      <c r="L524" s="18">
        <v>0</v>
      </c>
      <c r="M524" s="18" t="s">
        <v>1513</v>
      </c>
      <c r="N524" s="18" t="s">
        <v>1495</v>
      </c>
      <c r="O524" s="13" t="s">
        <v>161</v>
      </c>
      <c r="P524" s="13" t="s">
        <v>162</v>
      </c>
      <c r="Q524" s="19">
        <v>38532</v>
      </c>
      <c r="R524" s="24"/>
    </row>
    <row r="525" spans="1:18" s="12" customFormat="1" ht="19.149999999999999" customHeight="1" x14ac:dyDescent="0.3">
      <c r="A525" s="29">
        <v>524</v>
      </c>
      <c r="B525" s="13" t="s">
        <v>2588</v>
      </c>
      <c r="C525" s="13" t="s">
        <v>2589</v>
      </c>
      <c r="D525" s="13">
        <v>237</v>
      </c>
      <c r="E525" s="24" t="s">
        <v>2592</v>
      </c>
      <c r="F525" s="24" t="s">
        <v>2593</v>
      </c>
      <c r="G525" s="13" t="s">
        <v>1538</v>
      </c>
      <c r="H525" s="18">
        <v>5</v>
      </c>
      <c r="I525" s="127">
        <v>593</v>
      </c>
      <c r="J525" s="69">
        <v>0</v>
      </c>
      <c r="K525" s="18" t="s">
        <v>1513</v>
      </c>
      <c r="L525" s="18">
        <v>0</v>
      </c>
      <c r="M525" s="18" t="s">
        <v>1513</v>
      </c>
      <c r="N525" s="18" t="s">
        <v>1495</v>
      </c>
      <c r="O525" s="15" t="s">
        <v>155</v>
      </c>
      <c r="P525" s="13" t="s">
        <v>156</v>
      </c>
      <c r="Q525" s="19">
        <v>44126</v>
      </c>
      <c r="R525" s="24"/>
    </row>
    <row r="526" spans="1:18" s="12" customFormat="1" ht="19.149999999999999" customHeight="1" x14ac:dyDescent="0.3">
      <c r="A526" s="13">
        <v>525</v>
      </c>
      <c r="B526" s="13" t="s">
        <v>139</v>
      </c>
      <c r="C526" s="13" t="s">
        <v>140</v>
      </c>
      <c r="D526" s="13">
        <v>237</v>
      </c>
      <c r="E526" s="21" t="s">
        <v>271</v>
      </c>
      <c r="F526" s="21" t="s">
        <v>850</v>
      </c>
      <c r="G526" s="13" t="s">
        <v>154</v>
      </c>
      <c r="H526" s="18">
        <v>7</v>
      </c>
      <c r="I526" s="127">
        <v>1319</v>
      </c>
      <c r="J526" s="69">
        <v>0</v>
      </c>
      <c r="K526" s="18" t="s">
        <v>336</v>
      </c>
      <c r="L526" s="18">
        <v>0</v>
      </c>
      <c r="M526" s="18" t="s">
        <v>1513</v>
      </c>
      <c r="N526" s="18" t="s">
        <v>1495</v>
      </c>
      <c r="O526" s="13" t="s">
        <v>159</v>
      </c>
      <c r="P526" s="13" t="s">
        <v>160</v>
      </c>
      <c r="Q526" s="19">
        <v>37315</v>
      </c>
      <c r="R526" s="24"/>
    </row>
    <row r="527" spans="1:18" s="12" customFormat="1" ht="19.149999999999999" customHeight="1" x14ac:dyDescent="0.3">
      <c r="A527" s="29">
        <v>526</v>
      </c>
      <c r="B527" s="13" t="s">
        <v>139</v>
      </c>
      <c r="C527" s="13" t="s">
        <v>140</v>
      </c>
      <c r="D527" s="13">
        <v>237</v>
      </c>
      <c r="E527" s="24" t="s">
        <v>2594</v>
      </c>
      <c r="F527" s="24" t="s">
        <v>1240</v>
      </c>
      <c r="G527" s="13" t="s">
        <v>154</v>
      </c>
      <c r="H527" s="18">
        <v>6</v>
      </c>
      <c r="I527" s="127">
        <v>1178</v>
      </c>
      <c r="J527" s="69">
        <v>2</v>
      </c>
      <c r="K527" s="18" t="s">
        <v>770</v>
      </c>
      <c r="L527" s="18">
        <v>0</v>
      </c>
      <c r="M527" s="18" t="s">
        <v>1513</v>
      </c>
      <c r="N527" s="18" t="s">
        <v>1495</v>
      </c>
      <c r="O527" s="15" t="s">
        <v>155</v>
      </c>
      <c r="P527" s="13" t="s">
        <v>156</v>
      </c>
      <c r="Q527" s="19">
        <v>39594</v>
      </c>
      <c r="R527" s="24"/>
    </row>
    <row r="528" spans="1:18" s="12" customFormat="1" ht="19.149999999999999" customHeight="1" x14ac:dyDescent="0.3">
      <c r="A528" s="13">
        <v>527</v>
      </c>
      <c r="B528" s="13" t="s">
        <v>139</v>
      </c>
      <c r="C528" s="13" t="s">
        <v>140</v>
      </c>
      <c r="D528" s="13">
        <v>237</v>
      </c>
      <c r="E528" s="24" t="s">
        <v>2595</v>
      </c>
      <c r="F528" s="24" t="s">
        <v>846</v>
      </c>
      <c r="G528" s="13" t="s">
        <v>154</v>
      </c>
      <c r="H528" s="18">
        <v>6</v>
      </c>
      <c r="I528" s="127">
        <v>1105</v>
      </c>
      <c r="J528" s="69">
        <v>1</v>
      </c>
      <c r="K528" s="18" t="s">
        <v>208</v>
      </c>
      <c r="L528" s="18">
        <v>0</v>
      </c>
      <c r="M528" s="18" t="s">
        <v>1513</v>
      </c>
      <c r="N528" s="18" t="s">
        <v>1495</v>
      </c>
      <c r="O528" s="15" t="s">
        <v>155</v>
      </c>
      <c r="P528" s="13" t="s">
        <v>156</v>
      </c>
      <c r="Q528" s="19">
        <v>38253</v>
      </c>
      <c r="R528" s="24"/>
    </row>
    <row r="529" spans="1:18" s="12" customFormat="1" ht="19.149999999999999" customHeight="1" x14ac:dyDescent="0.3">
      <c r="A529" s="29">
        <v>528</v>
      </c>
      <c r="B529" s="13" t="s">
        <v>139</v>
      </c>
      <c r="C529" s="13" t="s">
        <v>140</v>
      </c>
      <c r="D529" s="13">
        <v>237</v>
      </c>
      <c r="E529" s="21" t="s">
        <v>848</v>
      </c>
      <c r="F529" s="21" t="s">
        <v>849</v>
      </c>
      <c r="G529" s="13" t="s">
        <v>154</v>
      </c>
      <c r="H529" s="18">
        <v>6</v>
      </c>
      <c r="I529" s="127">
        <v>952</v>
      </c>
      <c r="J529" s="69">
        <v>0</v>
      </c>
      <c r="K529" s="18" t="s">
        <v>336</v>
      </c>
      <c r="L529" s="18">
        <v>0</v>
      </c>
      <c r="M529" s="18" t="s">
        <v>1513</v>
      </c>
      <c r="N529" s="18" t="s">
        <v>1495</v>
      </c>
      <c r="O529" s="28" t="s">
        <v>159</v>
      </c>
      <c r="P529" s="13" t="s">
        <v>160</v>
      </c>
      <c r="Q529" s="19">
        <v>41264</v>
      </c>
      <c r="R529" s="24"/>
    </row>
    <row r="530" spans="1:18" s="12" customFormat="1" ht="19.149999999999999" customHeight="1" x14ac:dyDescent="0.3">
      <c r="A530" s="13">
        <v>529</v>
      </c>
      <c r="B530" s="13" t="s">
        <v>139</v>
      </c>
      <c r="C530" s="13" t="s">
        <v>141</v>
      </c>
      <c r="D530" s="13">
        <v>243</v>
      </c>
      <c r="E530" s="21" t="s">
        <v>841</v>
      </c>
      <c r="F530" s="21" t="s">
        <v>842</v>
      </c>
      <c r="G530" s="13" t="s">
        <v>164</v>
      </c>
      <c r="H530" s="18">
        <v>9</v>
      </c>
      <c r="I530" s="127">
        <v>943</v>
      </c>
      <c r="J530" s="69">
        <v>0</v>
      </c>
      <c r="K530" s="18" t="s">
        <v>336</v>
      </c>
      <c r="L530" s="18">
        <v>0</v>
      </c>
      <c r="M530" s="18" t="s">
        <v>1513</v>
      </c>
      <c r="N530" s="18" t="s">
        <v>1495</v>
      </c>
      <c r="O530" s="28" t="s">
        <v>159</v>
      </c>
      <c r="P530" s="13" t="s">
        <v>160</v>
      </c>
      <c r="Q530" s="19">
        <v>43441</v>
      </c>
      <c r="R530" s="6" t="s">
        <v>2596</v>
      </c>
    </row>
    <row r="531" spans="1:18" s="12" customFormat="1" ht="19.149999999999999" customHeight="1" x14ac:dyDescent="0.3">
      <c r="A531" s="29">
        <v>530</v>
      </c>
      <c r="B531" s="13" t="s">
        <v>139</v>
      </c>
      <c r="C531" s="13" t="s">
        <v>141</v>
      </c>
      <c r="D531" s="13">
        <v>243</v>
      </c>
      <c r="E531" s="21" t="s">
        <v>843</v>
      </c>
      <c r="F531" s="21" t="s">
        <v>844</v>
      </c>
      <c r="G531" s="13" t="s">
        <v>154</v>
      </c>
      <c r="H531" s="18">
        <v>7</v>
      </c>
      <c r="I531" s="127">
        <v>1268</v>
      </c>
      <c r="J531" s="69">
        <v>0</v>
      </c>
      <c r="K531" s="18" t="s">
        <v>336</v>
      </c>
      <c r="L531" s="18">
        <v>0</v>
      </c>
      <c r="M531" s="18" t="s">
        <v>1513</v>
      </c>
      <c r="N531" s="18" t="s">
        <v>1495</v>
      </c>
      <c r="O531" s="28" t="s">
        <v>159</v>
      </c>
      <c r="P531" s="13" t="s">
        <v>160</v>
      </c>
      <c r="Q531" s="19">
        <v>42621</v>
      </c>
      <c r="R531" s="16"/>
    </row>
    <row r="532" spans="1:18" s="12" customFormat="1" ht="19.149999999999999" customHeight="1" x14ac:dyDescent="0.3">
      <c r="A532" s="13">
        <v>531</v>
      </c>
      <c r="B532" s="13" t="s">
        <v>2588</v>
      </c>
      <c r="C532" s="13" t="s">
        <v>2597</v>
      </c>
      <c r="D532" s="13">
        <v>243</v>
      </c>
      <c r="E532" s="21" t="s">
        <v>2598</v>
      </c>
      <c r="F532" s="21" t="s">
        <v>2599</v>
      </c>
      <c r="G532" s="13" t="s">
        <v>1553</v>
      </c>
      <c r="H532" s="18">
        <v>7</v>
      </c>
      <c r="I532" s="127">
        <v>724</v>
      </c>
      <c r="J532" s="69">
        <v>0</v>
      </c>
      <c r="K532" s="18" t="s">
        <v>336</v>
      </c>
      <c r="L532" s="18">
        <v>0</v>
      </c>
      <c r="M532" s="18" t="s">
        <v>1513</v>
      </c>
      <c r="N532" s="18" t="s">
        <v>1495</v>
      </c>
      <c r="O532" s="15" t="s">
        <v>155</v>
      </c>
      <c r="P532" s="13" t="s">
        <v>156</v>
      </c>
      <c r="Q532" s="19">
        <v>44103</v>
      </c>
      <c r="R532" s="16"/>
    </row>
    <row r="533" spans="1:18" s="12" customFormat="1" ht="19.149999999999999" customHeight="1" x14ac:dyDescent="0.3">
      <c r="A533" s="29">
        <v>532</v>
      </c>
      <c r="B533" s="13" t="s">
        <v>2588</v>
      </c>
      <c r="C533" s="13" t="s">
        <v>2597</v>
      </c>
      <c r="D533" s="13">
        <v>243</v>
      </c>
      <c r="E533" s="24" t="s">
        <v>2600</v>
      </c>
      <c r="F533" s="24" t="s">
        <v>2601</v>
      </c>
      <c r="G533" s="13" t="s">
        <v>1553</v>
      </c>
      <c r="H533" s="18">
        <v>9</v>
      </c>
      <c r="I533" s="127">
        <v>907</v>
      </c>
      <c r="J533" s="69">
        <v>9</v>
      </c>
      <c r="K533" s="18" t="s">
        <v>2602</v>
      </c>
      <c r="L533" s="18">
        <v>0</v>
      </c>
      <c r="M533" s="18" t="s">
        <v>1513</v>
      </c>
      <c r="N533" s="18" t="s">
        <v>1495</v>
      </c>
      <c r="O533" s="13" t="s">
        <v>161</v>
      </c>
      <c r="P533" s="13" t="s">
        <v>162</v>
      </c>
      <c r="Q533" s="19">
        <v>44904</v>
      </c>
      <c r="R533" s="17" t="s">
        <v>2603</v>
      </c>
    </row>
    <row r="534" spans="1:18" s="12" customFormat="1" ht="19.149999999999999" customHeight="1" x14ac:dyDescent="0.3">
      <c r="A534" s="13">
        <v>533</v>
      </c>
      <c r="B534" s="13" t="s">
        <v>139</v>
      </c>
      <c r="C534" s="13" t="s">
        <v>142</v>
      </c>
      <c r="D534" s="13">
        <v>244</v>
      </c>
      <c r="E534" s="21" t="s">
        <v>855</v>
      </c>
      <c r="F534" s="21" t="s">
        <v>856</v>
      </c>
      <c r="G534" s="13" t="s">
        <v>164</v>
      </c>
      <c r="H534" s="18">
        <v>7</v>
      </c>
      <c r="I534" s="127">
        <v>858</v>
      </c>
      <c r="J534" s="69">
        <v>4</v>
      </c>
      <c r="K534" s="18" t="s">
        <v>2121</v>
      </c>
      <c r="L534" s="18">
        <v>0</v>
      </c>
      <c r="M534" s="18" t="s">
        <v>1513</v>
      </c>
      <c r="N534" s="18" t="s">
        <v>1495</v>
      </c>
      <c r="O534" s="13" t="s">
        <v>159</v>
      </c>
      <c r="P534" s="13" t="s">
        <v>160</v>
      </c>
      <c r="Q534" s="19">
        <v>40268</v>
      </c>
      <c r="R534" s="24" t="s">
        <v>2604</v>
      </c>
    </row>
    <row r="535" spans="1:18" s="12" customFormat="1" ht="19.149999999999999" customHeight="1" x14ac:dyDescent="0.3">
      <c r="A535" s="29">
        <v>534</v>
      </c>
      <c r="B535" s="15" t="s">
        <v>139</v>
      </c>
      <c r="C535" s="15" t="s">
        <v>834</v>
      </c>
      <c r="D535" s="13">
        <v>245</v>
      </c>
      <c r="E535" s="16" t="s">
        <v>2605</v>
      </c>
      <c r="F535" s="16" t="s">
        <v>835</v>
      </c>
      <c r="G535" s="15" t="s">
        <v>164</v>
      </c>
      <c r="H535" s="18">
        <v>6</v>
      </c>
      <c r="I535" s="127">
        <v>629</v>
      </c>
      <c r="J535" s="69">
        <v>2</v>
      </c>
      <c r="K535" s="18" t="s">
        <v>1554</v>
      </c>
      <c r="L535" s="18">
        <v>0</v>
      </c>
      <c r="M535" s="18" t="s">
        <v>1513</v>
      </c>
      <c r="N535" s="18" t="s">
        <v>1495</v>
      </c>
      <c r="O535" s="13" t="s">
        <v>159</v>
      </c>
      <c r="P535" s="13" t="s">
        <v>160</v>
      </c>
      <c r="Q535" s="19">
        <v>42262</v>
      </c>
      <c r="R535" s="6" t="s">
        <v>2606</v>
      </c>
    </row>
    <row r="536" spans="1:18" s="12" customFormat="1" ht="19.149999999999999" customHeight="1" x14ac:dyDescent="0.3">
      <c r="A536" s="13">
        <v>535</v>
      </c>
      <c r="B536" s="15" t="s">
        <v>139</v>
      </c>
      <c r="C536" s="15" t="s">
        <v>834</v>
      </c>
      <c r="D536" s="13">
        <v>245</v>
      </c>
      <c r="E536" s="16" t="s">
        <v>292</v>
      </c>
      <c r="F536" s="16" t="s">
        <v>836</v>
      </c>
      <c r="G536" s="15" t="s">
        <v>164</v>
      </c>
      <c r="H536" s="18">
        <v>3</v>
      </c>
      <c r="I536" s="127">
        <v>90</v>
      </c>
      <c r="J536" s="69">
        <v>0</v>
      </c>
      <c r="K536" s="18" t="s">
        <v>336</v>
      </c>
      <c r="L536" s="18">
        <v>0</v>
      </c>
      <c r="M536" s="18" t="s">
        <v>1513</v>
      </c>
      <c r="N536" s="18" t="s">
        <v>1495</v>
      </c>
      <c r="O536" s="13" t="s">
        <v>161</v>
      </c>
      <c r="P536" s="13" t="s">
        <v>162</v>
      </c>
      <c r="Q536" s="19">
        <v>42935</v>
      </c>
      <c r="R536" s="16"/>
    </row>
    <row r="537" spans="1:18" s="12" customFormat="1" ht="19.149999999999999" customHeight="1" x14ac:dyDescent="0.3">
      <c r="A537" s="29">
        <v>536</v>
      </c>
      <c r="B537" s="13" t="s">
        <v>139</v>
      </c>
      <c r="C537" s="13" t="s">
        <v>829</v>
      </c>
      <c r="D537" s="13">
        <v>246</v>
      </c>
      <c r="E537" s="21" t="s">
        <v>235</v>
      </c>
      <c r="F537" s="21" t="s">
        <v>830</v>
      </c>
      <c r="G537" s="13" t="s">
        <v>345</v>
      </c>
      <c r="H537" s="18">
        <v>7</v>
      </c>
      <c r="I537" s="127">
        <v>1121</v>
      </c>
      <c r="J537" s="69">
        <v>0</v>
      </c>
      <c r="K537" s="18" t="s">
        <v>336</v>
      </c>
      <c r="L537" s="18">
        <v>0</v>
      </c>
      <c r="M537" s="18" t="s">
        <v>1513</v>
      </c>
      <c r="N537" s="18" t="s">
        <v>1495</v>
      </c>
      <c r="O537" s="13" t="s">
        <v>159</v>
      </c>
      <c r="P537" s="13" t="s">
        <v>160</v>
      </c>
      <c r="Q537" s="19">
        <v>41782</v>
      </c>
      <c r="R537" s="24"/>
    </row>
    <row r="538" spans="1:18" s="12" customFormat="1" ht="19.149999999999999" customHeight="1" x14ac:dyDescent="0.3">
      <c r="A538" s="13">
        <v>537</v>
      </c>
      <c r="B538" s="13" t="s">
        <v>139</v>
      </c>
      <c r="C538" s="13" t="s">
        <v>144</v>
      </c>
      <c r="D538" s="13">
        <v>246</v>
      </c>
      <c r="E538" s="24" t="s">
        <v>2607</v>
      </c>
      <c r="F538" s="24" t="s">
        <v>1236</v>
      </c>
      <c r="G538" s="13" t="s">
        <v>154</v>
      </c>
      <c r="H538" s="18">
        <v>9</v>
      </c>
      <c r="I538" s="127">
        <v>1531</v>
      </c>
      <c r="J538" s="69">
        <v>1</v>
      </c>
      <c r="K538" s="18" t="s">
        <v>1797</v>
      </c>
      <c r="L538" s="18">
        <v>0</v>
      </c>
      <c r="M538" s="18" t="s">
        <v>1513</v>
      </c>
      <c r="N538" s="18" t="s">
        <v>1495</v>
      </c>
      <c r="O538" s="15" t="s">
        <v>155</v>
      </c>
      <c r="P538" s="13" t="s">
        <v>156</v>
      </c>
      <c r="Q538" s="19">
        <v>38423</v>
      </c>
      <c r="R538" s="17"/>
    </row>
    <row r="539" spans="1:18" s="12" customFormat="1" ht="19.149999999999999" customHeight="1" x14ac:dyDescent="0.3">
      <c r="A539" s="29">
        <v>538</v>
      </c>
      <c r="B539" s="13" t="s">
        <v>139</v>
      </c>
      <c r="C539" s="13" t="s">
        <v>144</v>
      </c>
      <c r="D539" s="13">
        <v>246</v>
      </c>
      <c r="E539" s="24" t="s">
        <v>2608</v>
      </c>
      <c r="F539" s="24" t="s">
        <v>828</v>
      </c>
      <c r="G539" s="13" t="s">
        <v>444</v>
      </c>
      <c r="H539" s="18">
        <v>6</v>
      </c>
      <c r="I539" s="127">
        <v>968</v>
      </c>
      <c r="J539" s="69">
        <v>0</v>
      </c>
      <c r="K539" s="18" t="s">
        <v>336</v>
      </c>
      <c r="L539" s="18">
        <v>0</v>
      </c>
      <c r="M539" s="18" t="s">
        <v>1513</v>
      </c>
      <c r="N539" s="18" t="s">
        <v>1495</v>
      </c>
      <c r="O539" s="15" t="s">
        <v>155</v>
      </c>
      <c r="P539" s="13" t="s">
        <v>156</v>
      </c>
      <c r="Q539" s="19">
        <v>42760</v>
      </c>
      <c r="R539" s="17"/>
    </row>
    <row r="540" spans="1:18" s="12" customFormat="1" ht="19.149999999999999" customHeight="1" x14ac:dyDescent="0.3">
      <c r="A540" s="13">
        <v>539</v>
      </c>
      <c r="B540" s="13" t="s">
        <v>2588</v>
      </c>
      <c r="C540" s="13" t="s">
        <v>2609</v>
      </c>
      <c r="D540" s="13">
        <v>246</v>
      </c>
      <c r="E540" s="21" t="s">
        <v>2610</v>
      </c>
      <c r="F540" s="21" t="s">
        <v>2611</v>
      </c>
      <c r="G540" s="13" t="s">
        <v>1553</v>
      </c>
      <c r="H540" s="18">
        <v>4</v>
      </c>
      <c r="I540" s="127">
        <v>262</v>
      </c>
      <c r="J540" s="69">
        <v>0</v>
      </c>
      <c r="K540" s="18" t="s">
        <v>336</v>
      </c>
      <c r="L540" s="18">
        <v>0</v>
      </c>
      <c r="M540" s="18" t="s">
        <v>1513</v>
      </c>
      <c r="N540" s="18" t="s">
        <v>1495</v>
      </c>
      <c r="O540" s="15" t="s">
        <v>155</v>
      </c>
      <c r="P540" s="13" t="s">
        <v>156</v>
      </c>
      <c r="Q540" s="19">
        <v>43882</v>
      </c>
      <c r="R540" s="24"/>
    </row>
    <row r="541" spans="1:18" s="46" customFormat="1" ht="19.149999999999999" customHeight="1" x14ac:dyDescent="0.3">
      <c r="A541" s="29">
        <v>540</v>
      </c>
      <c r="B541" s="13" t="s">
        <v>831</v>
      </c>
      <c r="C541" s="13" t="s">
        <v>829</v>
      </c>
      <c r="D541" s="13">
        <v>246</v>
      </c>
      <c r="E541" s="21" t="s">
        <v>832</v>
      </c>
      <c r="F541" s="21" t="s">
        <v>833</v>
      </c>
      <c r="G541" s="13" t="s">
        <v>345</v>
      </c>
      <c r="H541" s="18">
        <v>6</v>
      </c>
      <c r="I541" s="127">
        <v>1023</v>
      </c>
      <c r="J541" s="69">
        <v>0</v>
      </c>
      <c r="K541" s="18" t="s">
        <v>336</v>
      </c>
      <c r="L541" s="18">
        <v>0</v>
      </c>
      <c r="M541" s="18" t="s">
        <v>1513</v>
      </c>
      <c r="N541" s="18" t="s">
        <v>1495</v>
      </c>
      <c r="O541" s="28" t="s">
        <v>159</v>
      </c>
      <c r="P541" s="13" t="s">
        <v>160</v>
      </c>
      <c r="Q541" s="19">
        <v>41456</v>
      </c>
      <c r="R541" s="24"/>
    </row>
    <row r="542" spans="1:18" s="12" customFormat="1" ht="19.149999999999999" customHeight="1" x14ac:dyDescent="0.3">
      <c r="A542" s="13">
        <v>541</v>
      </c>
      <c r="B542" s="13" t="s">
        <v>139</v>
      </c>
      <c r="C542" s="13" t="s">
        <v>145</v>
      </c>
      <c r="D542" s="13">
        <v>247</v>
      </c>
      <c r="E542" s="21" t="s">
        <v>317</v>
      </c>
      <c r="F542" s="16" t="s">
        <v>2612</v>
      </c>
      <c r="G542" s="13" t="s">
        <v>336</v>
      </c>
      <c r="H542" s="18">
        <v>2</v>
      </c>
      <c r="I542" s="127">
        <v>292</v>
      </c>
      <c r="J542" s="69">
        <v>0</v>
      </c>
      <c r="K542" s="18" t="s">
        <v>336</v>
      </c>
      <c r="L542" s="18">
        <v>0</v>
      </c>
      <c r="M542" s="18" t="s">
        <v>1513</v>
      </c>
      <c r="N542" s="18" t="s">
        <v>1495</v>
      </c>
      <c r="O542" s="13" t="s">
        <v>2613</v>
      </c>
      <c r="P542" s="15"/>
      <c r="Q542" s="19">
        <v>40420</v>
      </c>
      <c r="R542" s="16"/>
    </row>
    <row r="543" spans="1:18" s="12" customFormat="1" ht="19.149999999999999" customHeight="1" x14ac:dyDescent="0.3">
      <c r="A543" s="29">
        <v>542</v>
      </c>
      <c r="B543" s="15" t="s">
        <v>139</v>
      </c>
      <c r="C543" s="15" t="s">
        <v>146</v>
      </c>
      <c r="D543" s="13">
        <v>248</v>
      </c>
      <c r="E543" s="16" t="s">
        <v>2614</v>
      </c>
      <c r="F543" s="16" t="s">
        <v>824</v>
      </c>
      <c r="G543" s="15" t="s">
        <v>345</v>
      </c>
      <c r="H543" s="18">
        <v>7</v>
      </c>
      <c r="I543" s="127">
        <v>1223</v>
      </c>
      <c r="J543" s="69">
        <v>0</v>
      </c>
      <c r="K543" s="18" t="s">
        <v>336</v>
      </c>
      <c r="L543" s="18">
        <v>0</v>
      </c>
      <c r="M543" s="18" t="s">
        <v>1513</v>
      </c>
      <c r="N543" s="18" t="s">
        <v>1495</v>
      </c>
      <c r="O543" s="15" t="s">
        <v>155</v>
      </c>
      <c r="P543" s="13" t="s">
        <v>156</v>
      </c>
      <c r="Q543" s="19">
        <v>38988</v>
      </c>
      <c r="R543" s="16"/>
    </row>
    <row r="544" spans="1:18" s="12" customFormat="1" ht="19.149999999999999" customHeight="1" x14ac:dyDescent="0.3">
      <c r="A544" s="13">
        <v>543</v>
      </c>
      <c r="B544" s="15" t="s">
        <v>139</v>
      </c>
      <c r="C544" s="15" t="s">
        <v>147</v>
      </c>
      <c r="D544" s="13">
        <v>249</v>
      </c>
      <c r="E544" s="16" t="s">
        <v>838</v>
      </c>
      <c r="F544" s="16" t="s">
        <v>839</v>
      </c>
      <c r="G544" s="15" t="s">
        <v>164</v>
      </c>
      <c r="H544" s="18">
        <v>6</v>
      </c>
      <c r="I544" s="127">
        <v>528</v>
      </c>
      <c r="J544" s="69">
        <v>2</v>
      </c>
      <c r="K544" s="18" t="s">
        <v>1590</v>
      </c>
      <c r="L544" s="18">
        <v>0</v>
      </c>
      <c r="M544" s="18" t="s">
        <v>1513</v>
      </c>
      <c r="N544" s="18" t="s">
        <v>1495</v>
      </c>
      <c r="O544" s="13" t="s">
        <v>161</v>
      </c>
      <c r="P544" s="13" t="s">
        <v>162</v>
      </c>
      <c r="Q544" s="19">
        <v>42856</v>
      </c>
      <c r="R544" s="6" t="s">
        <v>840</v>
      </c>
    </row>
    <row r="545" spans="1:18" s="12" customFormat="1" ht="19.149999999999999" customHeight="1" x14ac:dyDescent="0.3">
      <c r="A545" s="29">
        <v>544</v>
      </c>
      <c r="B545" s="13" t="s">
        <v>2588</v>
      </c>
      <c r="C545" s="13" t="s">
        <v>2615</v>
      </c>
      <c r="D545" s="13">
        <v>249</v>
      </c>
      <c r="E545" s="21" t="s">
        <v>2616</v>
      </c>
      <c r="F545" s="16" t="s">
        <v>2617</v>
      </c>
      <c r="G545" s="13" t="s">
        <v>1513</v>
      </c>
      <c r="H545" s="18">
        <v>1</v>
      </c>
      <c r="I545" s="127">
        <v>108</v>
      </c>
      <c r="J545" s="69">
        <v>0</v>
      </c>
      <c r="K545" s="18" t="s">
        <v>336</v>
      </c>
      <c r="L545" s="18">
        <v>0</v>
      </c>
      <c r="M545" s="18" t="s">
        <v>1513</v>
      </c>
      <c r="N545" s="18" t="s">
        <v>1495</v>
      </c>
      <c r="O545" s="13" t="s">
        <v>2618</v>
      </c>
      <c r="P545" s="15" t="s">
        <v>2619</v>
      </c>
      <c r="Q545" s="19">
        <v>44588</v>
      </c>
      <c r="R545" s="16"/>
    </row>
    <row r="546" spans="1:18" s="12" customFormat="1" ht="19.149999999999999" customHeight="1" x14ac:dyDescent="0.3">
      <c r="A546" s="13">
        <v>545</v>
      </c>
      <c r="B546" s="13" t="s">
        <v>139</v>
      </c>
      <c r="C546" s="13" t="s">
        <v>147</v>
      </c>
      <c r="D546" s="13">
        <v>249</v>
      </c>
      <c r="E546" s="24" t="s">
        <v>2620</v>
      </c>
      <c r="F546" s="24" t="s">
        <v>837</v>
      </c>
      <c r="G546" s="13" t="s">
        <v>164</v>
      </c>
      <c r="H546" s="18">
        <v>5</v>
      </c>
      <c r="I546" s="127">
        <v>454</v>
      </c>
      <c r="J546" s="69">
        <v>5</v>
      </c>
      <c r="K546" s="18" t="s">
        <v>1989</v>
      </c>
      <c r="L546" s="18">
        <v>0</v>
      </c>
      <c r="M546" s="18" t="s">
        <v>1513</v>
      </c>
      <c r="N546" s="18" t="s">
        <v>1495</v>
      </c>
      <c r="O546" s="28" t="s">
        <v>159</v>
      </c>
      <c r="P546" s="13" t="s">
        <v>160</v>
      </c>
      <c r="Q546" s="19">
        <v>42725</v>
      </c>
      <c r="R546" s="17" t="s">
        <v>2621</v>
      </c>
    </row>
    <row r="547" spans="1:18" s="12" customFormat="1" ht="19.149999999999999" customHeight="1" x14ac:dyDescent="0.3">
      <c r="A547" s="29">
        <v>546</v>
      </c>
      <c r="B547" s="13" t="s">
        <v>2588</v>
      </c>
      <c r="C547" s="13" t="s">
        <v>2615</v>
      </c>
      <c r="D547" s="13">
        <v>249</v>
      </c>
      <c r="E547" s="24" t="s">
        <v>2622</v>
      </c>
      <c r="F547" s="24" t="s">
        <v>2623</v>
      </c>
      <c r="G547" s="13" t="s">
        <v>1538</v>
      </c>
      <c r="H547" s="18">
        <v>7</v>
      </c>
      <c r="I547" s="127">
        <v>777</v>
      </c>
      <c r="J547" s="69">
        <v>5</v>
      </c>
      <c r="K547" s="18" t="s">
        <v>1890</v>
      </c>
      <c r="L547" s="18">
        <v>0</v>
      </c>
      <c r="M547" s="18" t="s">
        <v>1513</v>
      </c>
      <c r="N547" s="18" t="s">
        <v>1495</v>
      </c>
      <c r="O547" s="13" t="s">
        <v>161</v>
      </c>
      <c r="P547" s="13" t="s">
        <v>162</v>
      </c>
      <c r="Q547" s="19">
        <v>43552</v>
      </c>
      <c r="R547" s="17"/>
    </row>
    <row r="548" spans="1:18" s="12" customFormat="1" ht="19.149999999999999" customHeight="1" x14ac:dyDescent="0.3">
      <c r="A548" s="13">
        <v>547</v>
      </c>
      <c r="B548" s="13" t="s">
        <v>2588</v>
      </c>
      <c r="C548" s="13" t="s">
        <v>2615</v>
      </c>
      <c r="D548" s="13">
        <v>249</v>
      </c>
      <c r="E548" s="24" t="s">
        <v>2624</v>
      </c>
      <c r="F548" s="24" t="s">
        <v>2625</v>
      </c>
      <c r="G548" s="13" t="s">
        <v>1553</v>
      </c>
      <c r="H548" s="18">
        <v>3</v>
      </c>
      <c r="I548" s="127">
        <v>411</v>
      </c>
      <c r="J548" s="69">
        <v>0</v>
      </c>
      <c r="K548" s="18" t="s">
        <v>336</v>
      </c>
      <c r="L548" s="18">
        <v>0</v>
      </c>
      <c r="M548" s="18" t="s">
        <v>1513</v>
      </c>
      <c r="N548" s="18" t="s">
        <v>1495</v>
      </c>
      <c r="O548" s="15" t="s">
        <v>155</v>
      </c>
      <c r="P548" s="13" t="s">
        <v>156</v>
      </c>
      <c r="Q548" s="19">
        <v>43829</v>
      </c>
      <c r="R548" s="17"/>
    </row>
    <row r="549" spans="1:18" s="12" customFormat="1" ht="19.149999999999999" customHeight="1" x14ac:dyDescent="0.3">
      <c r="A549" s="29">
        <v>548</v>
      </c>
      <c r="B549" s="13" t="s">
        <v>2574</v>
      </c>
      <c r="C549" s="13" t="s">
        <v>2626</v>
      </c>
      <c r="D549" s="13">
        <v>251</v>
      </c>
      <c r="E549" s="63" t="s">
        <v>2627</v>
      </c>
      <c r="F549" s="21" t="s">
        <v>2628</v>
      </c>
      <c r="G549" s="13" t="s">
        <v>1502</v>
      </c>
      <c r="H549" s="18">
        <v>2</v>
      </c>
      <c r="I549" s="127">
        <v>98</v>
      </c>
      <c r="J549" s="69">
        <v>0</v>
      </c>
      <c r="K549" s="18" t="s">
        <v>1502</v>
      </c>
      <c r="L549" s="18">
        <v>0</v>
      </c>
      <c r="M549" s="18" t="s">
        <v>1513</v>
      </c>
      <c r="N549" s="18" t="s">
        <v>1802</v>
      </c>
      <c r="O549" s="13" t="s">
        <v>2629</v>
      </c>
      <c r="P549" s="131" t="s">
        <v>1952</v>
      </c>
      <c r="Q549" s="19">
        <v>43140</v>
      </c>
      <c r="R549" s="36" t="s">
        <v>2630</v>
      </c>
    </row>
    <row r="550" spans="1:18" s="12" customFormat="1" ht="19.149999999999999" customHeight="1" x14ac:dyDescent="0.3">
      <c r="A550" s="13">
        <v>549</v>
      </c>
      <c r="B550" s="13" t="s">
        <v>2588</v>
      </c>
      <c r="C550" s="13" t="s">
        <v>2204</v>
      </c>
      <c r="D550" s="13">
        <v>253</v>
      </c>
      <c r="E550" s="21" t="s">
        <v>2631</v>
      </c>
      <c r="F550" s="16" t="s">
        <v>2632</v>
      </c>
      <c r="G550" s="13" t="s">
        <v>1553</v>
      </c>
      <c r="H550" s="18">
        <v>2</v>
      </c>
      <c r="I550" s="127">
        <v>116</v>
      </c>
      <c r="J550" s="69">
        <v>0</v>
      </c>
      <c r="K550" s="18" t="s">
        <v>1513</v>
      </c>
      <c r="L550" s="18">
        <v>0</v>
      </c>
      <c r="M550" s="18" t="s">
        <v>1513</v>
      </c>
      <c r="N550" s="18" t="s">
        <v>1802</v>
      </c>
      <c r="O550" s="13" t="s">
        <v>2633</v>
      </c>
      <c r="P550" s="13" t="s">
        <v>156</v>
      </c>
      <c r="Q550" s="19">
        <v>44112</v>
      </c>
      <c r="R550" s="36" t="s">
        <v>2634</v>
      </c>
    </row>
    <row r="551" spans="1:18" s="12" customFormat="1" ht="19.149999999999999" customHeight="1" x14ac:dyDescent="0.3">
      <c r="A551" s="29">
        <v>550</v>
      </c>
      <c r="B551" s="13" t="s">
        <v>2574</v>
      </c>
      <c r="C551" s="13" t="s">
        <v>2635</v>
      </c>
      <c r="D551" s="13">
        <v>254</v>
      </c>
      <c r="E551" s="21" t="s">
        <v>2636</v>
      </c>
      <c r="F551" s="21" t="s">
        <v>2637</v>
      </c>
      <c r="G551" s="13" t="s">
        <v>1502</v>
      </c>
      <c r="H551" s="18">
        <v>1</v>
      </c>
      <c r="I551" s="127">
        <v>212</v>
      </c>
      <c r="J551" s="69">
        <v>0</v>
      </c>
      <c r="K551" s="18" t="s">
        <v>1502</v>
      </c>
      <c r="L551" s="18">
        <v>0</v>
      </c>
      <c r="M551" s="18" t="s">
        <v>1513</v>
      </c>
      <c r="N551" s="18" t="s">
        <v>1802</v>
      </c>
      <c r="O551" s="28" t="s">
        <v>2638</v>
      </c>
      <c r="P551" s="13" t="s">
        <v>1276</v>
      </c>
      <c r="Q551" s="19">
        <v>42436</v>
      </c>
      <c r="R551" s="36" t="s">
        <v>2639</v>
      </c>
    </row>
    <row r="552" spans="1:18" s="12" customFormat="1" ht="19.149999999999999" customHeight="1" x14ac:dyDescent="0.3">
      <c r="A552" s="13">
        <v>551</v>
      </c>
      <c r="B552" s="29" t="s">
        <v>2588</v>
      </c>
      <c r="C552" s="29" t="s">
        <v>2640</v>
      </c>
      <c r="D552" s="29">
        <v>255</v>
      </c>
      <c r="E552" s="51" t="s">
        <v>2641</v>
      </c>
      <c r="F552" s="51" t="s">
        <v>2642</v>
      </c>
      <c r="G552" s="29" t="s">
        <v>1538</v>
      </c>
      <c r="H552" s="18">
        <v>1</v>
      </c>
      <c r="I552" s="18">
        <v>152</v>
      </c>
      <c r="J552" s="69">
        <v>0</v>
      </c>
      <c r="K552" s="18" t="s">
        <v>336</v>
      </c>
      <c r="L552" s="18">
        <v>0</v>
      </c>
      <c r="M552" s="18" t="s">
        <v>1513</v>
      </c>
      <c r="N552" s="18" t="s">
        <v>1802</v>
      </c>
      <c r="O552" s="13" t="s">
        <v>189</v>
      </c>
      <c r="P552" s="29" t="s">
        <v>190</v>
      </c>
      <c r="Q552" s="19">
        <v>44259</v>
      </c>
      <c r="R552" s="51" t="s">
        <v>2643</v>
      </c>
    </row>
    <row r="553" spans="1:18" s="26" customFormat="1" ht="19.149999999999999" customHeight="1" x14ac:dyDescent="0.3">
      <c r="A553" s="29">
        <v>552</v>
      </c>
      <c r="B553" s="13" t="s">
        <v>2588</v>
      </c>
      <c r="C553" s="13" t="s">
        <v>2644</v>
      </c>
      <c r="D553" s="13">
        <v>256</v>
      </c>
      <c r="E553" s="21" t="s">
        <v>2645</v>
      </c>
      <c r="F553" s="21" t="s">
        <v>2646</v>
      </c>
      <c r="G553" s="13" t="s">
        <v>1513</v>
      </c>
      <c r="H553" s="18">
        <v>2</v>
      </c>
      <c r="I553" s="127">
        <v>98</v>
      </c>
      <c r="J553" s="69">
        <v>0</v>
      </c>
      <c r="K553" s="18" t="s">
        <v>1513</v>
      </c>
      <c r="L553" s="18">
        <v>0</v>
      </c>
      <c r="M553" s="18" t="s">
        <v>1513</v>
      </c>
      <c r="N553" s="18" t="s">
        <v>1802</v>
      </c>
      <c r="O553" s="28" t="s">
        <v>2647</v>
      </c>
      <c r="P553" s="13" t="s">
        <v>1275</v>
      </c>
      <c r="Q553" s="19">
        <v>44097</v>
      </c>
      <c r="R553" s="24"/>
    </row>
    <row r="554" spans="1:18" s="26" customFormat="1" ht="19.149999999999999" customHeight="1" x14ac:dyDescent="0.3">
      <c r="A554" s="13">
        <v>553</v>
      </c>
      <c r="B554" s="13" t="s">
        <v>139</v>
      </c>
      <c r="C554" s="13" t="s">
        <v>825</v>
      </c>
      <c r="D554" s="13">
        <v>258</v>
      </c>
      <c r="E554" s="21" t="s">
        <v>2648</v>
      </c>
      <c r="F554" s="21" t="s">
        <v>826</v>
      </c>
      <c r="G554" s="13" t="s">
        <v>164</v>
      </c>
      <c r="H554" s="18">
        <v>2</v>
      </c>
      <c r="I554" s="127">
        <v>410</v>
      </c>
      <c r="J554" s="69">
        <v>0</v>
      </c>
      <c r="K554" s="18" t="s">
        <v>336</v>
      </c>
      <c r="L554" s="18">
        <v>0</v>
      </c>
      <c r="M554" s="18" t="s">
        <v>1513</v>
      </c>
      <c r="N554" s="18" t="s">
        <v>1495</v>
      </c>
      <c r="O554" s="13" t="s">
        <v>159</v>
      </c>
      <c r="P554" s="13" t="s">
        <v>160</v>
      </c>
      <c r="Q554" s="19">
        <v>42209</v>
      </c>
      <c r="R554" s="36" t="s">
        <v>2649</v>
      </c>
    </row>
    <row r="555" spans="1:18" s="26" customFormat="1" ht="19.149999999999999" customHeight="1" x14ac:dyDescent="0.3">
      <c r="A555" s="29">
        <v>554</v>
      </c>
      <c r="B555" s="13" t="s">
        <v>2574</v>
      </c>
      <c r="C555" s="13" t="s">
        <v>2650</v>
      </c>
      <c r="D555" s="13">
        <v>259</v>
      </c>
      <c r="E555" s="21" t="s">
        <v>2651</v>
      </c>
      <c r="F555" s="21" t="s">
        <v>2652</v>
      </c>
      <c r="G555" s="13" t="s">
        <v>1502</v>
      </c>
      <c r="H555" s="18">
        <v>2</v>
      </c>
      <c r="I555" s="127">
        <v>99</v>
      </c>
      <c r="J555" s="69">
        <v>0</v>
      </c>
      <c r="K555" s="18" t="s">
        <v>1502</v>
      </c>
      <c r="L555" s="18">
        <v>0</v>
      </c>
      <c r="M555" s="18" t="s">
        <v>1513</v>
      </c>
      <c r="N555" s="18" t="s">
        <v>1802</v>
      </c>
      <c r="O555" s="13" t="s">
        <v>2653</v>
      </c>
      <c r="P555" s="13" t="s">
        <v>1277</v>
      </c>
      <c r="Q555" s="19">
        <v>42566</v>
      </c>
      <c r="R555" s="16"/>
    </row>
    <row r="556" spans="1:18" s="12" customFormat="1" ht="19.149999999999999" customHeight="1" x14ac:dyDescent="0.3">
      <c r="A556" s="13">
        <v>555</v>
      </c>
      <c r="B556" s="13" t="s">
        <v>221</v>
      </c>
      <c r="C556" s="13" t="s">
        <v>2654</v>
      </c>
      <c r="D556" s="13">
        <v>260</v>
      </c>
      <c r="E556" s="21" t="s">
        <v>2655</v>
      </c>
      <c r="F556" s="21" t="s">
        <v>2656</v>
      </c>
      <c r="G556" s="13" t="s">
        <v>1538</v>
      </c>
      <c r="H556" s="18">
        <v>6</v>
      </c>
      <c r="I556" s="127">
        <v>755</v>
      </c>
      <c r="J556" s="69">
        <v>2</v>
      </c>
      <c r="K556" s="18" t="s">
        <v>1554</v>
      </c>
      <c r="L556" s="18">
        <v>0</v>
      </c>
      <c r="M556" s="18" t="s">
        <v>1513</v>
      </c>
      <c r="N556" s="18" t="s">
        <v>1495</v>
      </c>
      <c r="O556" s="13" t="s">
        <v>159</v>
      </c>
      <c r="P556" s="13" t="s">
        <v>160</v>
      </c>
      <c r="Q556" s="19">
        <v>44904</v>
      </c>
      <c r="R556" s="24"/>
    </row>
    <row r="557" spans="1:18" s="44" customFormat="1" ht="19.149999999999999" customHeight="1" x14ac:dyDescent="0.3">
      <c r="A557" s="29">
        <v>556</v>
      </c>
      <c r="B557" s="13" t="s">
        <v>221</v>
      </c>
      <c r="C557" s="13" t="s">
        <v>863</v>
      </c>
      <c r="D557" s="13">
        <v>260</v>
      </c>
      <c r="E557" s="21" t="s">
        <v>2657</v>
      </c>
      <c r="F557" s="21" t="s">
        <v>864</v>
      </c>
      <c r="G557" s="13" t="s">
        <v>1553</v>
      </c>
      <c r="H557" s="18">
        <v>6</v>
      </c>
      <c r="I557" s="127">
        <v>592</v>
      </c>
      <c r="J557" s="69">
        <v>4</v>
      </c>
      <c r="K557" s="18" t="s">
        <v>2121</v>
      </c>
      <c r="L557" s="18">
        <v>0</v>
      </c>
      <c r="M557" s="18" t="s">
        <v>1513</v>
      </c>
      <c r="N557" s="18" t="s">
        <v>1495</v>
      </c>
      <c r="O557" s="13" t="s">
        <v>159</v>
      </c>
      <c r="P557" s="13" t="s">
        <v>160</v>
      </c>
      <c r="Q557" s="19">
        <v>43525</v>
      </c>
      <c r="R557" s="36" t="s">
        <v>2658</v>
      </c>
    </row>
    <row r="558" spans="1:18" s="12" customFormat="1" ht="19.149999999999999" customHeight="1" x14ac:dyDescent="0.3">
      <c r="A558" s="13">
        <v>557</v>
      </c>
      <c r="B558" s="15" t="s">
        <v>221</v>
      </c>
      <c r="C558" s="15" t="s">
        <v>151</v>
      </c>
      <c r="D558" s="13">
        <v>260</v>
      </c>
      <c r="E558" s="16" t="s">
        <v>2659</v>
      </c>
      <c r="F558" s="16" t="s">
        <v>859</v>
      </c>
      <c r="G558" s="15" t="s">
        <v>154</v>
      </c>
      <c r="H558" s="18">
        <v>6</v>
      </c>
      <c r="I558" s="127">
        <v>857</v>
      </c>
      <c r="J558" s="69">
        <v>0</v>
      </c>
      <c r="K558" s="18" t="s">
        <v>336</v>
      </c>
      <c r="L558" s="18">
        <v>0</v>
      </c>
      <c r="M558" s="18" t="s">
        <v>1513</v>
      </c>
      <c r="N558" s="18" t="s">
        <v>1495</v>
      </c>
      <c r="O558" s="15" t="s">
        <v>155</v>
      </c>
      <c r="P558" s="13" t="s">
        <v>156</v>
      </c>
      <c r="Q558" s="19">
        <v>42991</v>
      </c>
      <c r="R558" s="6" t="s">
        <v>860</v>
      </c>
    </row>
    <row r="559" spans="1:18" s="12" customFormat="1" ht="19.149999999999999" customHeight="1" x14ac:dyDescent="0.3">
      <c r="A559" s="29">
        <v>558</v>
      </c>
      <c r="B559" s="13" t="s">
        <v>221</v>
      </c>
      <c r="C559" s="13" t="s">
        <v>151</v>
      </c>
      <c r="D559" s="13">
        <v>260</v>
      </c>
      <c r="E559" s="24" t="s">
        <v>861</v>
      </c>
      <c r="F559" s="21" t="s">
        <v>862</v>
      </c>
      <c r="G559" s="13" t="s">
        <v>164</v>
      </c>
      <c r="H559" s="18">
        <v>5</v>
      </c>
      <c r="I559" s="127">
        <v>372</v>
      </c>
      <c r="J559" s="69">
        <v>3</v>
      </c>
      <c r="K559" s="13" t="s">
        <v>2048</v>
      </c>
      <c r="L559" s="18">
        <v>0</v>
      </c>
      <c r="M559" s="18" t="s">
        <v>1513</v>
      </c>
      <c r="N559" s="18" t="s">
        <v>1495</v>
      </c>
      <c r="O559" s="13" t="s">
        <v>159</v>
      </c>
      <c r="P559" s="13" t="s">
        <v>160</v>
      </c>
      <c r="Q559" s="19">
        <v>43397</v>
      </c>
      <c r="R559" s="21"/>
    </row>
    <row r="560" spans="1:18" s="44" customFormat="1" ht="19.149999999999999" customHeight="1" x14ac:dyDescent="0.3">
      <c r="A560" s="13">
        <v>559</v>
      </c>
      <c r="B560" s="15" t="s">
        <v>221</v>
      </c>
      <c r="C560" s="15" t="s">
        <v>151</v>
      </c>
      <c r="D560" s="13">
        <v>260</v>
      </c>
      <c r="E560" s="16" t="s">
        <v>2660</v>
      </c>
      <c r="F560" s="16" t="s">
        <v>858</v>
      </c>
      <c r="G560" s="15" t="s">
        <v>1538</v>
      </c>
      <c r="H560" s="18">
        <v>8</v>
      </c>
      <c r="I560" s="127">
        <v>842</v>
      </c>
      <c r="J560" s="69">
        <v>1</v>
      </c>
      <c r="K560" s="18" t="s">
        <v>208</v>
      </c>
      <c r="L560" s="18">
        <v>0</v>
      </c>
      <c r="M560" s="18" t="s">
        <v>1513</v>
      </c>
      <c r="N560" s="18" t="s">
        <v>1495</v>
      </c>
      <c r="O560" s="15" t="s">
        <v>155</v>
      </c>
      <c r="P560" s="13" t="s">
        <v>156</v>
      </c>
      <c r="Q560" s="19">
        <v>38806</v>
      </c>
      <c r="R560" s="6" t="s">
        <v>2661</v>
      </c>
    </row>
    <row r="561" spans="1:18" s="12" customFormat="1" ht="19.149999999999999" customHeight="1" x14ac:dyDescent="0.3">
      <c r="A561" s="29">
        <v>560</v>
      </c>
      <c r="B561" s="13" t="s">
        <v>2662</v>
      </c>
      <c r="C561" s="13" t="s">
        <v>2654</v>
      </c>
      <c r="D561" s="13">
        <v>260</v>
      </c>
      <c r="E561" s="36" t="s">
        <v>2663</v>
      </c>
      <c r="F561" s="24" t="s">
        <v>2664</v>
      </c>
      <c r="G561" s="13" t="s">
        <v>1502</v>
      </c>
      <c r="H561" s="33">
        <v>2</v>
      </c>
      <c r="I561" s="144">
        <v>98</v>
      </c>
      <c r="J561" s="91">
        <v>0</v>
      </c>
      <c r="K561" s="18" t="s">
        <v>336</v>
      </c>
      <c r="L561" s="18">
        <v>0</v>
      </c>
      <c r="M561" s="18" t="s">
        <v>1513</v>
      </c>
      <c r="N561" s="18" t="s">
        <v>1802</v>
      </c>
      <c r="O561" s="13" t="s">
        <v>2665</v>
      </c>
      <c r="P561" s="327" t="s">
        <v>2666</v>
      </c>
      <c r="Q561" s="19">
        <v>44294</v>
      </c>
      <c r="R561" s="36"/>
    </row>
    <row r="562" spans="1:18" s="12" customFormat="1" ht="19.149999999999999" customHeight="1" x14ac:dyDescent="0.3">
      <c r="A562" s="342">
        <v>561</v>
      </c>
      <c r="B562" s="13" t="s">
        <v>221</v>
      </c>
      <c r="C562" s="13" t="s">
        <v>152</v>
      </c>
      <c r="D562" s="13">
        <v>261</v>
      </c>
      <c r="E562" s="21" t="s">
        <v>249</v>
      </c>
      <c r="F562" s="21" t="s">
        <v>857</v>
      </c>
      <c r="G562" s="13" t="s">
        <v>164</v>
      </c>
      <c r="H562" s="18">
        <v>6</v>
      </c>
      <c r="I562" s="127">
        <v>649</v>
      </c>
      <c r="J562" s="69">
        <v>0</v>
      </c>
      <c r="K562" s="18" t="s">
        <v>336</v>
      </c>
      <c r="L562" s="18">
        <v>0</v>
      </c>
      <c r="M562" s="18" t="s">
        <v>1513</v>
      </c>
      <c r="N562" s="18" t="s">
        <v>1495</v>
      </c>
      <c r="O562" s="13" t="s">
        <v>159</v>
      </c>
      <c r="P562" s="13" t="s">
        <v>160</v>
      </c>
      <c r="Q562" s="19">
        <v>38714</v>
      </c>
      <c r="R562" s="24"/>
    </row>
    <row r="563" spans="1:18" ht="19.149999999999999" customHeight="1" x14ac:dyDescent="0.3">
      <c r="A563" s="337"/>
      <c r="B563" s="338"/>
      <c r="C563" s="338"/>
      <c r="D563" s="338"/>
      <c r="E563" s="343" t="s">
        <v>2667</v>
      </c>
      <c r="F563" s="340"/>
      <c r="G563" s="341"/>
      <c r="H563" s="330">
        <f>SUM(H2:H562)</f>
        <v>3322</v>
      </c>
      <c r="I563" s="330">
        <f>SUM(I2:I562)</f>
        <v>466680</v>
      </c>
      <c r="J563" s="330">
        <f>SUM(J2:J562)</f>
        <v>547</v>
      </c>
      <c r="K563" s="339"/>
      <c r="L563" s="330">
        <f>SUM(L2:L562)</f>
        <v>68</v>
      </c>
      <c r="M563" s="329"/>
      <c r="N563" s="334">
        <f>+COUNTIF(N2:N562,"Y")</f>
        <v>61</v>
      </c>
      <c r="O563" s="337"/>
      <c r="P563" s="338"/>
      <c r="Q563" s="338"/>
      <c r="R563" s="337"/>
    </row>
    <row r="565" spans="1:18" ht="19.149999999999999" customHeight="1" x14ac:dyDescent="0.3">
      <c r="A565" s="116" t="s">
        <v>3467</v>
      </c>
    </row>
    <row r="646" spans="1:18" s="12" customFormat="1" ht="19.149999999999999" customHeight="1" x14ac:dyDescent="0.3">
      <c r="A646" s="46"/>
      <c r="B646" s="46"/>
      <c r="C646" s="46"/>
      <c r="D646" s="46"/>
      <c r="E646" s="93"/>
      <c r="F646" s="93"/>
      <c r="G646" s="46"/>
      <c r="H646" s="95"/>
      <c r="I646" s="141"/>
      <c r="J646" s="94"/>
      <c r="K646" s="95"/>
      <c r="L646" s="95"/>
      <c r="M646" s="95"/>
      <c r="N646" s="95"/>
      <c r="O646" s="46"/>
      <c r="P646" s="46"/>
      <c r="Q646" s="96"/>
      <c r="R646" s="97"/>
    </row>
    <row r="647" spans="1:18" s="12" customFormat="1" ht="19.149999999999999" customHeight="1" x14ac:dyDescent="0.3">
      <c r="A647" s="46"/>
      <c r="B647" s="46"/>
      <c r="C647" s="46"/>
      <c r="D647" s="46"/>
      <c r="E647" s="93"/>
      <c r="F647" s="93"/>
      <c r="G647" s="46"/>
      <c r="H647" s="95"/>
      <c r="I647" s="141"/>
      <c r="J647" s="94"/>
      <c r="K647" s="95"/>
      <c r="L647" s="95"/>
      <c r="M647" s="95"/>
      <c r="N647" s="95"/>
      <c r="O647" s="46"/>
      <c r="P647" s="46"/>
      <c r="Q647" s="96"/>
      <c r="R647" s="97"/>
    </row>
  </sheetData>
  <autoFilter ref="A1:R1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O5162"/>
  <sheetViews>
    <sheetView zoomScale="85" zoomScaleNormal="85" workbookViewId="0">
      <pane xSplit="5" ySplit="1" topLeftCell="F3295" activePane="bottomRight" state="frozen"/>
      <selection pane="topRight" activeCell="F1" sqref="F1"/>
      <selection pane="bottomLeft" activeCell="A2" sqref="A2"/>
      <selection pane="bottomRight" activeCell="N3326" sqref="N3326"/>
    </sheetView>
  </sheetViews>
  <sheetFormatPr defaultColWidth="18" defaultRowHeight="16.5" x14ac:dyDescent="0.3"/>
  <cols>
    <col min="1" max="1" width="6.25" style="75" customWidth="1"/>
    <col min="2" max="3" width="8.75" style="74" customWidth="1"/>
    <col min="4" max="4" width="10.375" style="73" hidden="1" customWidth="1"/>
    <col min="5" max="5" width="25" style="67" customWidth="1"/>
    <col min="6" max="6" width="38.875" style="67" customWidth="1"/>
    <col min="7" max="7" width="8.875" style="67" customWidth="1"/>
    <col min="8" max="8" width="16.875" style="143" customWidth="1"/>
    <col min="9" max="9" width="10.625" style="73" customWidth="1"/>
    <col min="10" max="11" width="10.625" style="67" customWidth="1"/>
    <col min="12" max="12" width="26.375" style="74" bestFit="1" customWidth="1"/>
    <col min="13" max="13" width="11.875" style="74" customWidth="1"/>
    <col min="14" max="14" width="20.25" style="74" customWidth="1"/>
    <col min="15" max="15" width="24.375" style="74" customWidth="1"/>
    <col min="16" max="16384" width="18" style="67"/>
  </cols>
  <sheetData>
    <row r="1" spans="1:15" s="66" customFormat="1" ht="30" customHeight="1" thickBot="1" x14ac:dyDescent="0.35">
      <c r="A1" s="64" t="s">
        <v>898</v>
      </c>
      <c r="B1" s="64" t="s">
        <v>891</v>
      </c>
      <c r="C1" s="64" t="s">
        <v>211</v>
      </c>
      <c r="D1" s="65" t="s">
        <v>2668</v>
      </c>
      <c r="E1" s="64" t="s">
        <v>1</v>
      </c>
      <c r="F1" s="64" t="s">
        <v>0</v>
      </c>
      <c r="G1" s="61" t="s">
        <v>1483</v>
      </c>
      <c r="H1" s="496" t="s">
        <v>3446</v>
      </c>
      <c r="I1" s="497" t="s">
        <v>3447</v>
      </c>
      <c r="J1" s="65" t="s">
        <v>2669</v>
      </c>
      <c r="K1" s="498" t="s">
        <v>3463</v>
      </c>
      <c r="L1" s="64" t="s">
        <v>3074</v>
      </c>
      <c r="M1" s="61" t="s">
        <v>899</v>
      </c>
      <c r="N1" s="61" t="s">
        <v>2670</v>
      </c>
      <c r="O1" s="61" t="s">
        <v>900</v>
      </c>
    </row>
    <row r="2" spans="1:15" ht="18" customHeight="1" thickTop="1" x14ac:dyDescent="0.3">
      <c r="A2" s="48">
        <v>1</v>
      </c>
      <c r="B2" s="15" t="s">
        <v>214</v>
      </c>
      <c r="C2" s="15" t="s">
        <v>4</v>
      </c>
      <c r="D2" s="69">
        <v>1</v>
      </c>
      <c r="E2" s="68" t="s">
        <v>1144</v>
      </c>
      <c r="F2" s="103" t="s">
        <v>2671</v>
      </c>
      <c r="G2" s="15" t="s">
        <v>866</v>
      </c>
      <c r="H2" s="15" t="s">
        <v>901</v>
      </c>
      <c r="I2" s="69">
        <v>50</v>
      </c>
      <c r="J2" s="15" t="s">
        <v>2672</v>
      </c>
      <c r="K2" s="15" t="s">
        <v>903</v>
      </c>
      <c r="L2" s="15" t="s">
        <v>2673</v>
      </c>
      <c r="M2" s="15" t="s">
        <v>2674</v>
      </c>
      <c r="N2" s="15" t="s">
        <v>2676</v>
      </c>
      <c r="O2" s="15"/>
    </row>
    <row r="3" spans="1:15" ht="18" customHeight="1" x14ac:dyDescent="0.3">
      <c r="A3" s="29">
        <v>2</v>
      </c>
      <c r="B3" s="15" t="s">
        <v>214</v>
      </c>
      <c r="C3" s="15" t="s">
        <v>4</v>
      </c>
      <c r="D3" s="69">
        <v>1</v>
      </c>
      <c r="E3" s="68" t="s">
        <v>2677</v>
      </c>
      <c r="F3" s="16" t="s">
        <v>1143</v>
      </c>
      <c r="G3" s="15" t="s">
        <v>866</v>
      </c>
      <c r="H3" s="15" t="s">
        <v>904</v>
      </c>
      <c r="I3" s="69">
        <v>52</v>
      </c>
      <c r="J3" s="15" t="s">
        <v>1495</v>
      </c>
      <c r="K3" s="15" t="s">
        <v>903</v>
      </c>
      <c r="L3" s="15" t="s">
        <v>866</v>
      </c>
      <c r="M3" s="15" t="s">
        <v>1802</v>
      </c>
      <c r="N3" s="15" t="s">
        <v>1046</v>
      </c>
      <c r="O3" s="15"/>
    </row>
    <row r="4" spans="1:15" ht="18" customHeight="1" x14ac:dyDescent="0.3">
      <c r="A4" s="29">
        <v>3</v>
      </c>
      <c r="B4" s="15" t="s">
        <v>214</v>
      </c>
      <c r="C4" s="15" t="s">
        <v>4</v>
      </c>
      <c r="D4" s="69">
        <v>1</v>
      </c>
      <c r="E4" s="68" t="s">
        <v>3233</v>
      </c>
      <c r="F4" s="21" t="s">
        <v>1316</v>
      </c>
      <c r="G4" s="15" t="s">
        <v>1538</v>
      </c>
      <c r="H4" s="15" t="s">
        <v>1042</v>
      </c>
      <c r="I4" s="69">
        <v>164</v>
      </c>
      <c r="J4" s="15" t="s">
        <v>903</v>
      </c>
      <c r="K4" s="15" t="s">
        <v>903</v>
      </c>
      <c r="L4" s="15" t="s">
        <v>336</v>
      </c>
      <c r="M4" s="15" t="s">
        <v>903</v>
      </c>
      <c r="N4" s="15" t="s">
        <v>336</v>
      </c>
      <c r="O4" s="15"/>
    </row>
    <row r="5" spans="1:15" ht="18" customHeight="1" x14ac:dyDescent="0.3">
      <c r="A5" s="29">
        <v>4</v>
      </c>
      <c r="B5" s="15" t="s">
        <v>214</v>
      </c>
      <c r="C5" s="15" t="s">
        <v>4</v>
      </c>
      <c r="D5" s="69">
        <v>1</v>
      </c>
      <c r="E5" s="68" t="s">
        <v>3233</v>
      </c>
      <c r="F5" s="21" t="s">
        <v>1316</v>
      </c>
      <c r="G5" s="15" t="s">
        <v>154</v>
      </c>
      <c r="H5" s="15" t="s">
        <v>2678</v>
      </c>
      <c r="I5" s="69">
        <v>80</v>
      </c>
      <c r="J5" s="15" t="s">
        <v>903</v>
      </c>
      <c r="K5" s="15" t="s">
        <v>903</v>
      </c>
      <c r="L5" s="15" t="s">
        <v>336</v>
      </c>
      <c r="M5" s="15" t="s">
        <v>903</v>
      </c>
      <c r="N5" s="15" t="s">
        <v>336</v>
      </c>
      <c r="O5" s="15"/>
    </row>
    <row r="6" spans="1:15" ht="18" customHeight="1" x14ac:dyDescent="0.3">
      <c r="A6" s="29">
        <v>5</v>
      </c>
      <c r="B6" s="15" t="s">
        <v>214</v>
      </c>
      <c r="C6" s="15" t="s">
        <v>4</v>
      </c>
      <c r="D6" s="69">
        <v>1</v>
      </c>
      <c r="E6" s="68" t="s">
        <v>3233</v>
      </c>
      <c r="F6" s="21" t="s">
        <v>1316</v>
      </c>
      <c r="G6" s="15" t="s">
        <v>154</v>
      </c>
      <c r="H6" s="15" t="s">
        <v>2679</v>
      </c>
      <c r="I6" s="69">
        <v>164</v>
      </c>
      <c r="J6" s="15" t="s">
        <v>903</v>
      </c>
      <c r="K6" s="15" t="s">
        <v>903</v>
      </c>
      <c r="L6" s="15" t="s">
        <v>336</v>
      </c>
      <c r="M6" s="15" t="s">
        <v>903</v>
      </c>
      <c r="N6" s="15" t="s">
        <v>336</v>
      </c>
      <c r="O6" s="15"/>
    </row>
    <row r="7" spans="1:15" ht="18" customHeight="1" x14ac:dyDescent="0.3">
      <c r="A7" s="29">
        <v>6</v>
      </c>
      <c r="B7" s="15" t="s">
        <v>214</v>
      </c>
      <c r="C7" s="15" t="s">
        <v>4</v>
      </c>
      <c r="D7" s="69">
        <v>1</v>
      </c>
      <c r="E7" s="68" t="s">
        <v>3233</v>
      </c>
      <c r="F7" s="21" t="s">
        <v>1316</v>
      </c>
      <c r="G7" s="15" t="s">
        <v>154</v>
      </c>
      <c r="H7" s="15" t="s">
        <v>2680</v>
      </c>
      <c r="I7" s="69">
        <v>82</v>
      </c>
      <c r="J7" s="15" t="s">
        <v>917</v>
      </c>
      <c r="K7" s="15" t="s">
        <v>903</v>
      </c>
      <c r="L7" s="15" t="s">
        <v>336</v>
      </c>
      <c r="M7" s="15" t="s">
        <v>903</v>
      </c>
      <c r="N7" s="15" t="s">
        <v>336</v>
      </c>
      <c r="O7" s="15"/>
    </row>
    <row r="8" spans="1:15" ht="18" customHeight="1" x14ac:dyDescent="0.3">
      <c r="A8" s="29">
        <v>7</v>
      </c>
      <c r="B8" s="15" t="s">
        <v>214</v>
      </c>
      <c r="C8" s="15" t="s">
        <v>4</v>
      </c>
      <c r="D8" s="69">
        <v>1</v>
      </c>
      <c r="E8" s="68" t="s">
        <v>3233</v>
      </c>
      <c r="F8" s="21" t="s">
        <v>1316</v>
      </c>
      <c r="G8" s="15" t="s">
        <v>154</v>
      </c>
      <c r="H8" s="15" t="s">
        <v>2681</v>
      </c>
      <c r="I8" s="69">
        <v>85</v>
      </c>
      <c r="J8" s="15" t="s">
        <v>903</v>
      </c>
      <c r="K8" s="15" t="s">
        <v>903</v>
      </c>
      <c r="L8" s="15" t="s">
        <v>336</v>
      </c>
      <c r="M8" s="15" t="s">
        <v>903</v>
      </c>
      <c r="N8" s="15" t="s">
        <v>336</v>
      </c>
      <c r="O8" s="15"/>
    </row>
    <row r="9" spans="1:15" ht="18" customHeight="1" x14ac:dyDescent="0.3">
      <c r="A9" s="29">
        <v>8</v>
      </c>
      <c r="B9" s="15" t="s">
        <v>214</v>
      </c>
      <c r="C9" s="15" t="s">
        <v>4</v>
      </c>
      <c r="D9" s="69">
        <v>1</v>
      </c>
      <c r="E9" s="68" t="s">
        <v>3233</v>
      </c>
      <c r="F9" s="21" t="s">
        <v>1316</v>
      </c>
      <c r="G9" s="15" t="s">
        <v>154</v>
      </c>
      <c r="H9" s="15" t="s">
        <v>2682</v>
      </c>
      <c r="I9" s="69">
        <v>141</v>
      </c>
      <c r="J9" s="15" t="s">
        <v>2674</v>
      </c>
      <c r="K9" s="15" t="s">
        <v>903</v>
      </c>
      <c r="L9" s="15" t="s">
        <v>336</v>
      </c>
      <c r="M9" s="15" t="s">
        <v>903</v>
      </c>
      <c r="N9" s="15" t="s">
        <v>336</v>
      </c>
      <c r="O9" s="15"/>
    </row>
    <row r="10" spans="1:15" ht="18" customHeight="1" x14ac:dyDescent="0.3">
      <c r="A10" s="29">
        <v>9</v>
      </c>
      <c r="B10" s="15" t="s">
        <v>214</v>
      </c>
      <c r="C10" s="15" t="s">
        <v>4</v>
      </c>
      <c r="D10" s="69">
        <v>1</v>
      </c>
      <c r="E10" s="68" t="s">
        <v>3233</v>
      </c>
      <c r="F10" s="21" t="s">
        <v>1316</v>
      </c>
      <c r="G10" s="15" t="s">
        <v>154</v>
      </c>
      <c r="H10" s="15" t="s">
        <v>1173</v>
      </c>
      <c r="I10" s="69">
        <v>141</v>
      </c>
      <c r="J10" s="15" t="s">
        <v>2232</v>
      </c>
      <c r="K10" s="15" t="s">
        <v>903</v>
      </c>
      <c r="L10" s="15" t="s">
        <v>336</v>
      </c>
      <c r="M10" s="15" t="s">
        <v>903</v>
      </c>
      <c r="N10" s="15" t="s">
        <v>336</v>
      </c>
      <c r="O10" s="15"/>
    </row>
    <row r="11" spans="1:15" ht="18" customHeight="1" x14ac:dyDescent="0.3">
      <c r="A11" s="29">
        <v>10</v>
      </c>
      <c r="B11" s="15" t="s">
        <v>214</v>
      </c>
      <c r="C11" s="15" t="s">
        <v>4</v>
      </c>
      <c r="D11" s="69">
        <v>1</v>
      </c>
      <c r="E11" s="68" t="s">
        <v>3233</v>
      </c>
      <c r="F11" s="21" t="s">
        <v>1316</v>
      </c>
      <c r="G11" s="15" t="s">
        <v>154</v>
      </c>
      <c r="H11" s="15" t="s">
        <v>2683</v>
      </c>
      <c r="I11" s="69">
        <v>116</v>
      </c>
      <c r="J11" s="15" t="s">
        <v>903</v>
      </c>
      <c r="K11" s="15" t="s">
        <v>903</v>
      </c>
      <c r="L11" s="15" t="s">
        <v>336</v>
      </c>
      <c r="M11" s="15" t="s">
        <v>903</v>
      </c>
      <c r="N11" s="15" t="s">
        <v>336</v>
      </c>
      <c r="O11" s="15"/>
    </row>
    <row r="12" spans="1:15" ht="18" customHeight="1" x14ac:dyDescent="0.3">
      <c r="A12" s="29">
        <v>11</v>
      </c>
      <c r="B12" s="15" t="s">
        <v>214</v>
      </c>
      <c r="C12" s="15" t="s">
        <v>4</v>
      </c>
      <c r="D12" s="69">
        <v>1</v>
      </c>
      <c r="E12" s="68" t="s">
        <v>3234</v>
      </c>
      <c r="F12" s="21" t="s">
        <v>425</v>
      </c>
      <c r="G12" s="15" t="s">
        <v>154</v>
      </c>
      <c r="H12" s="15" t="s">
        <v>901</v>
      </c>
      <c r="I12" s="69">
        <v>160</v>
      </c>
      <c r="J12" s="15" t="s">
        <v>1802</v>
      </c>
      <c r="K12" s="15" t="s">
        <v>903</v>
      </c>
      <c r="L12" s="15" t="s">
        <v>1513</v>
      </c>
      <c r="M12" s="15" t="s">
        <v>1495</v>
      </c>
      <c r="N12" s="15" t="s">
        <v>1513</v>
      </c>
      <c r="O12" s="15"/>
    </row>
    <row r="13" spans="1:15" ht="18" customHeight="1" x14ac:dyDescent="0.3">
      <c r="A13" s="29">
        <v>12</v>
      </c>
      <c r="B13" s="15" t="s">
        <v>214</v>
      </c>
      <c r="C13" s="15" t="s">
        <v>4</v>
      </c>
      <c r="D13" s="69">
        <v>1</v>
      </c>
      <c r="E13" s="68" t="s">
        <v>3235</v>
      </c>
      <c r="F13" s="21" t="s">
        <v>425</v>
      </c>
      <c r="G13" s="15" t="s">
        <v>154</v>
      </c>
      <c r="H13" s="15" t="s">
        <v>904</v>
      </c>
      <c r="I13" s="69">
        <v>93</v>
      </c>
      <c r="J13" s="15" t="s">
        <v>1495</v>
      </c>
      <c r="K13" s="15" t="s">
        <v>903</v>
      </c>
      <c r="L13" s="15" t="s">
        <v>1513</v>
      </c>
      <c r="M13" s="15" t="s">
        <v>1495</v>
      </c>
      <c r="N13" s="15" t="s">
        <v>1513</v>
      </c>
      <c r="O13" s="15"/>
    </row>
    <row r="14" spans="1:15" ht="18" customHeight="1" x14ac:dyDescent="0.3">
      <c r="A14" s="29">
        <v>13</v>
      </c>
      <c r="B14" s="15" t="s">
        <v>214</v>
      </c>
      <c r="C14" s="15" t="s">
        <v>4</v>
      </c>
      <c r="D14" s="69">
        <v>1</v>
      </c>
      <c r="E14" s="68" t="s">
        <v>3234</v>
      </c>
      <c r="F14" s="21" t="s">
        <v>425</v>
      </c>
      <c r="G14" s="15" t="s">
        <v>154</v>
      </c>
      <c r="H14" s="15" t="s">
        <v>905</v>
      </c>
      <c r="I14" s="69">
        <v>262</v>
      </c>
      <c r="J14" s="15" t="s">
        <v>1495</v>
      </c>
      <c r="K14" s="15" t="s">
        <v>903</v>
      </c>
      <c r="L14" s="15" t="s">
        <v>1513</v>
      </c>
      <c r="M14" s="15" t="s">
        <v>1495</v>
      </c>
      <c r="N14" s="15" t="s">
        <v>1513</v>
      </c>
      <c r="O14" s="15"/>
    </row>
    <row r="15" spans="1:15" ht="18" customHeight="1" x14ac:dyDescent="0.3">
      <c r="A15" s="29">
        <v>14</v>
      </c>
      <c r="B15" s="15" t="s">
        <v>214</v>
      </c>
      <c r="C15" s="15" t="s">
        <v>4</v>
      </c>
      <c r="D15" s="69">
        <v>1</v>
      </c>
      <c r="E15" s="68" t="s">
        <v>3235</v>
      </c>
      <c r="F15" s="21" t="s">
        <v>425</v>
      </c>
      <c r="G15" s="15" t="s">
        <v>154</v>
      </c>
      <c r="H15" s="15" t="s">
        <v>906</v>
      </c>
      <c r="I15" s="69">
        <v>117</v>
      </c>
      <c r="J15" s="15" t="s">
        <v>1802</v>
      </c>
      <c r="K15" s="15" t="s">
        <v>903</v>
      </c>
      <c r="L15" s="15" t="s">
        <v>1513</v>
      </c>
      <c r="M15" s="15" t="s">
        <v>1495</v>
      </c>
      <c r="N15" s="15" t="s">
        <v>1513</v>
      </c>
      <c r="O15" s="15"/>
    </row>
    <row r="16" spans="1:15" ht="18" customHeight="1" x14ac:dyDescent="0.3">
      <c r="A16" s="29">
        <v>15</v>
      </c>
      <c r="B16" s="15" t="s">
        <v>214</v>
      </c>
      <c r="C16" s="15" t="s">
        <v>4</v>
      </c>
      <c r="D16" s="69">
        <v>1</v>
      </c>
      <c r="E16" s="68" t="s">
        <v>1493</v>
      </c>
      <c r="F16" s="21" t="s">
        <v>425</v>
      </c>
      <c r="G16" s="15" t="s">
        <v>154</v>
      </c>
      <c r="H16" s="15" t="s">
        <v>907</v>
      </c>
      <c r="I16" s="69">
        <v>160</v>
      </c>
      <c r="J16" s="15" t="s">
        <v>1495</v>
      </c>
      <c r="K16" s="15" t="s">
        <v>903</v>
      </c>
      <c r="L16" s="15" t="s">
        <v>1513</v>
      </c>
      <c r="M16" s="15" t="s">
        <v>1495</v>
      </c>
      <c r="N16" s="15" t="s">
        <v>1513</v>
      </c>
      <c r="O16" s="15"/>
    </row>
    <row r="17" spans="1:15" ht="18" customHeight="1" x14ac:dyDescent="0.3">
      <c r="A17" s="29">
        <v>16</v>
      </c>
      <c r="B17" s="15" t="s">
        <v>214</v>
      </c>
      <c r="C17" s="15" t="s">
        <v>4</v>
      </c>
      <c r="D17" s="69">
        <v>1</v>
      </c>
      <c r="E17" s="68" t="s">
        <v>1493</v>
      </c>
      <c r="F17" s="21" t="s">
        <v>425</v>
      </c>
      <c r="G17" s="15" t="s">
        <v>154</v>
      </c>
      <c r="H17" s="15" t="s">
        <v>908</v>
      </c>
      <c r="I17" s="69">
        <v>93</v>
      </c>
      <c r="J17" s="15" t="s">
        <v>942</v>
      </c>
      <c r="K17" s="15" t="s">
        <v>903</v>
      </c>
      <c r="L17" s="15" t="s">
        <v>1513</v>
      </c>
      <c r="M17" s="15" t="s">
        <v>1495</v>
      </c>
      <c r="N17" s="15" t="s">
        <v>1513</v>
      </c>
      <c r="O17" s="15"/>
    </row>
    <row r="18" spans="1:15" ht="18" customHeight="1" x14ac:dyDescent="0.3">
      <c r="A18" s="29">
        <v>17</v>
      </c>
      <c r="B18" s="15" t="s">
        <v>343</v>
      </c>
      <c r="C18" s="15" t="s">
        <v>2684</v>
      </c>
      <c r="D18" s="13">
        <v>1</v>
      </c>
      <c r="E18" s="6" t="s">
        <v>1499</v>
      </c>
      <c r="F18" s="16" t="s">
        <v>1501</v>
      </c>
      <c r="G18" s="15" t="s">
        <v>1513</v>
      </c>
      <c r="H18" s="15" t="s">
        <v>2685</v>
      </c>
      <c r="I18" s="69">
        <v>286</v>
      </c>
      <c r="J18" s="15" t="s">
        <v>1495</v>
      </c>
      <c r="K18" s="15" t="s">
        <v>903</v>
      </c>
      <c r="L18" s="15" t="s">
        <v>1513</v>
      </c>
      <c r="M18" s="15" t="s">
        <v>1802</v>
      </c>
      <c r="N18" s="15" t="s">
        <v>1508</v>
      </c>
      <c r="O18" s="15"/>
    </row>
    <row r="19" spans="1:15" ht="18" customHeight="1" x14ac:dyDescent="0.3">
      <c r="A19" s="29">
        <v>18</v>
      </c>
      <c r="B19" s="15" t="s">
        <v>214</v>
      </c>
      <c r="C19" s="15" t="s">
        <v>4</v>
      </c>
      <c r="D19" s="13">
        <v>1</v>
      </c>
      <c r="E19" s="6" t="s">
        <v>2686</v>
      </c>
      <c r="F19" s="16" t="s">
        <v>1501</v>
      </c>
      <c r="G19" s="15" t="s">
        <v>1513</v>
      </c>
      <c r="H19" s="15" t="s">
        <v>2685</v>
      </c>
      <c r="I19" s="69">
        <v>300</v>
      </c>
      <c r="J19" s="15" t="s">
        <v>1495</v>
      </c>
      <c r="K19" s="15" t="s">
        <v>903</v>
      </c>
      <c r="L19" s="15" t="s">
        <v>1513</v>
      </c>
      <c r="M19" s="15" t="s">
        <v>1802</v>
      </c>
      <c r="N19" s="15" t="s">
        <v>1508</v>
      </c>
      <c r="O19" s="15"/>
    </row>
    <row r="20" spans="1:15" ht="18" customHeight="1" x14ac:dyDescent="0.3">
      <c r="A20" s="29">
        <v>19</v>
      </c>
      <c r="B20" s="15" t="s">
        <v>214</v>
      </c>
      <c r="C20" s="15" t="s">
        <v>4</v>
      </c>
      <c r="D20" s="69">
        <v>1</v>
      </c>
      <c r="E20" s="68" t="s">
        <v>2687</v>
      </c>
      <c r="F20" s="16" t="s">
        <v>2688</v>
      </c>
      <c r="G20" s="15" t="s">
        <v>1513</v>
      </c>
      <c r="H20" s="15" t="s">
        <v>901</v>
      </c>
      <c r="I20" s="69">
        <v>293</v>
      </c>
      <c r="J20" s="15" t="s">
        <v>1495</v>
      </c>
      <c r="K20" s="15" t="s">
        <v>903</v>
      </c>
      <c r="L20" s="15" t="s">
        <v>1513</v>
      </c>
      <c r="M20" s="15" t="s">
        <v>1802</v>
      </c>
      <c r="N20" s="15" t="s">
        <v>1508</v>
      </c>
      <c r="O20" s="15"/>
    </row>
    <row r="21" spans="1:15" ht="18" customHeight="1" x14ac:dyDescent="0.3">
      <c r="A21" s="29">
        <v>20</v>
      </c>
      <c r="B21" s="15" t="s">
        <v>214</v>
      </c>
      <c r="C21" s="15" t="s">
        <v>4</v>
      </c>
      <c r="D21" s="69">
        <v>1</v>
      </c>
      <c r="E21" s="68" t="s">
        <v>2687</v>
      </c>
      <c r="F21" s="16" t="s">
        <v>2688</v>
      </c>
      <c r="G21" s="15" t="s">
        <v>1513</v>
      </c>
      <c r="H21" s="15" t="s">
        <v>904</v>
      </c>
      <c r="I21" s="69">
        <v>72</v>
      </c>
      <c r="J21" s="15" t="s">
        <v>1495</v>
      </c>
      <c r="K21" s="15" t="s">
        <v>903</v>
      </c>
      <c r="L21" s="15" t="s">
        <v>1513</v>
      </c>
      <c r="M21" s="15" t="s">
        <v>1802</v>
      </c>
      <c r="N21" s="15" t="s">
        <v>2689</v>
      </c>
      <c r="O21" s="15"/>
    </row>
    <row r="22" spans="1:15" ht="18" customHeight="1" x14ac:dyDescent="0.3">
      <c r="A22" s="29">
        <v>21</v>
      </c>
      <c r="B22" s="15" t="s">
        <v>214</v>
      </c>
      <c r="C22" s="15" t="s">
        <v>5</v>
      </c>
      <c r="D22" s="69">
        <v>2</v>
      </c>
      <c r="E22" s="68" t="s">
        <v>157</v>
      </c>
      <c r="F22" s="21" t="s">
        <v>1145</v>
      </c>
      <c r="G22" s="15" t="s">
        <v>154</v>
      </c>
      <c r="H22" s="15" t="s">
        <v>905</v>
      </c>
      <c r="I22" s="69">
        <v>189</v>
      </c>
      <c r="J22" s="13" t="s">
        <v>902</v>
      </c>
      <c r="K22" s="15" t="s">
        <v>903</v>
      </c>
      <c r="L22" s="15" t="s">
        <v>1513</v>
      </c>
      <c r="M22" s="15" t="s">
        <v>1495</v>
      </c>
      <c r="N22" s="15" t="s">
        <v>1513</v>
      </c>
      <c r="O22" s="15"/>
    </row>
    <row r="23" spans="1:15" ht="18" customHeight="1" x14ac:dyDescent="0.3">
      <c r="A23" s="29">
        <v>22</v>
      </c>
      <c r="B23" s="15" t="s">
        <v>214</v>
      </c>
      <c r="C23" s="15" t="s">
        <v>5</v>
      </c>
      <c r="D23" s="69">
        <v>2</v>
      </c>
      <c r="E23" s="68" t="s">
        <v>157</v>
      </c>
      <c r="F23" s="21" t="s">
        <v>434</v>
      </c>
      <c r="G23" s="15" t="s">
        <v>154</v>
      </c>
      <c r="H23" s="15" t="s">
        <v>901</v>
      </c>
      <c r="I23" s="69">
        <v>149</v>
      </c>
      <c r="J23" s="13" t="s">
        <v>1495</v>
      </c>
      <c r="K23" s="15" t="s">
        <v>903</v>
      </c>
      <c r="L23" s="15" t="s">
        <v>1513</v>
      </c>
      <c r="M23" s="15" t="s">
        <v>1495</v>
      </c>
      <c r="N23" s="15" t="s">
        <v>1513</v>
      </c>
      <c r="O23" s="15"/>
    </row>
    <row r="24" spans="1:15" ht="18" customHeight="1" x14ac:dyDescent="0.3">
      <c r="A24" s="29">
        <v>23</v>
      </c>
      <c r="B24" s="15" t="s">
        <v>214</v>
      </c>
      <c r="C24" s="15" t="s">
        <v>5</v>
      </c>
      <c r="D24" s="69">
        <v>2</v>
      </c>
      <c r="E24" s="68" t="s">
        <v>157</v>
      </c>
      <c r="F24" s="21" t="s">
        <v>434</v>
      </c>
      <c r="G24" s="15" t="s">
        <v>154</v>
      </c>
      <c r="H24" s="15" t="s">
        <v>904</v>
      </c>
      <c r="I24" s="69">
        <v>185</v>
      </c>
      <c r="J24" s="13" t="s">
        <v>902</v>
      </c>
      <c r="K24" s="15" t="s">
        <v>903</v>
      </c>
      <c r="L24" s="15" t="s">
        <v>1513</v>
      </c>
      <c r="M24" s="15" t="s">
        <v>1495</v>
      </c>
      <c r="N24" s="15" t="s">
        <v>1513</v>
      </c>
      <c r="O24" s="15"/>
    </row>
    <row r="25" spans="1:15" ht="18" customHeight="1" x14ac:dyDescent="0.3">
      <c r="A25" s="29">
        <v>24</v>
      </c>
      <c r="B25" s="15" t="s">
        <v>214</v>
      </c>
      <c r="C25" s="15" t="s">
        <v>5</v>
      </c>
      <c r="D25" s="69">
        <v>2</v>
      </c>
      <c r="E25" s="68" t="s">
        <v>157</v>
      </c>
      <c r="F25" s="21" t="s">
        <v>1176</v>
      </c>
      <c r="G25" s="15" t="s">
        <v>154</v>
      </c>
      <c r="H25" s="15" t="s">
        <v>2690</v>
      </c>
      <c r="I25" s="69">
        <v>153</v>
      </c>
      <c r="J25" s="13" t="s">
        <v>1495</v>
      </c>
      <c r="K25" s="15" t="s">
        <v>1495</v>
      </c>
      <c r="L25" s="15" t="s">
        <v>1513</v>
      </c>
      <c r="M25" s="15" t="s">
        <v>1495</v>
      </c>
      <c r="N25" s="15" t="s">
        <v>1513</v>
      </c>
      <c r="O25" s="15"/>
    </row>
    <row r="26" spans="1:15" ht="18" customHeight="1" x14ac:dyDescent="0.3">
      <c r="A26" s="29">
        <v>25</v>
      </c>
      <c r="B26" s="15" t="s">
        <v>214</v>
      </c>
      <c r="C26" s="15" t="s">
        <v>5</v>
      </c>
      <c r="D26" s="69">
        <v>2</v>
      </c>
      <c r="E26" s="68" t="s">
        <v>1255</v>
      </c>
      <c r="F26" s="21" t="s">
        <v>1176</v>
      </c>
      <c r="G26" s="15" t="s">
        <v>154</v>
      </c>
      <c r="H26" s="15" t="s">
        <v>2691</v>
      </c>
      <c r="I26" s="69">
        <v>34</v>
      </c>
      <c r="J26" s="13" t="s">
        <v>1495</v>
      </c>
      <c r="K26" s="15" t="s">
        <v>1802</v>
      </c>
      <c r="L26" s="15" t="s">
        <v>2692</v>
      </c>
      <c r="M26" s="15" t="s">
        <v>1495</v>
      </c>
      <c r="N26" s="15" t="s">
        <v>1513</v>
      </c>
      <c r="O26" s="70"/>
    </row>
    <row r="27" spans="1:15" ht="18" customHeight="1" x14ac:dyDescent="0.3">
      <c r="A27" s="29">
        <v>26</v>
      </c>
      <c r="B27" s="15" t="s">
        <v>214</v>
      </c>
      <c r="C27" s="15" t="s">
        <v>5</v>
      </c>
      <c r="D27" s="69">
        <v>2</v>
      </c>
      <c r="E27" s="68" t="s">
        <v>3236</v>
      </c>
      <c r="F27" s="24" t="s">
        <v>429</v>
      </c>
      <c r="G27" s="15" t="s">
        <v>154</v>
      </c>
      <c r="H27" s="15" t="s">
        <v>901</v>
      </c>
      <c r="I27" s="69">
        <v>139</v>
      </c>
      <c r="J27" s="15" t="s">
        <v>1802</v>
      </c>
      <c r="K27" s="15" t="s">
        <v>903</v>
      </c>
      <c r="L27" s="15" t="s">
        <v>1513</v>
      </c>
      <c r="M27" s="15" t="s">
        <v>1495</v>
      </c>
      <c r="N27" s="15" t="s">
        <v>1513</v>
      </c>
      <c r="O27" s="15"/>
    </row>
    <row r="28" spans="1:15" ht="18" customHeight="1" x14ac:dyDescent="0.3">
      <c r="A28" s="29">
        <v>27</v>
      </c>
      <c r="B28" s="15" t="s">
        <v>214</v>
      </c>
      <c r="C28" s="15" t="s">
        <v>5</v>
      </c>
      <c r="D28" s="69">
        <v>2</v>
      </c>
      <c r="E28" s="68" t="s">
        <v>3236</v>
      </c>
      <c r="F28" s="24" t="s">
        <v>429</v>
      </c>
      <c r="G28" s="15" t="s">
        <v>154</v>
      </c>
      <c r="H28" s="15" t="s">
        <v>904</v>
      </c>
      <c r="I28" s="69">
        <v>134</v>
      </c>
      <c r="J28" s="15" t="s">
        <v>1495</v>
      </c>
      <c r="K28" s="15" t="s">
        <v>903</v>
      </c>
      <c r="L28" s="15" t="s">
        <v>1513</v>
      </c>
      <c r="M28" s="15" t="s">
        <v>1495</v>
      </c>
      <c r="N28" s="15" t="s">
        <v>1513</v>
      </c>
      <c r="O28" s="15"/>
    </row>
    <row r="29" spans="1:15" ht="18" customHeight="1" x14ac:dyDescent="0.3">
      <c r="A29" s="29">
        <v>28</v>
      </c>
      <c r="B29" s="15" t="s">
        <v>214</v>
      </c>
      <c r="C29" s="15" t="s">
        <v>5</v>
      </c>
      <c r="D29" s="69">
        <v>2</v>
      </c>
      <c r="E29" s="68" t="s">
        <v>3236</v>
      </c>
      <c r="F29" s="24" t="s">
        <v>429</v>
      </c>
      <c r="G29" s="15" t="s">
        <v>154</v>
      </c>
      <c r="H29" s="15" t="s">
        <v>905</v>
      </c>
      <c r="I29" s="69">
        <v>141</v>
      </c>
      <c r="J29" s="15" t="s">
        <v>1802</v>
      </c>
      <c r="K29" s="15" t="s">
        <v>903</v>
      </c>
      <c r="L29" s="15" t="s">
        <v>1513</v>
      </c>
      <c r="M29" s="15" t="s">
        <v>1495</v>
      </c>
      <c r="N29" s="15" t="s">
        <v>1513</v>
      </c>
      <c r="O29" s="15"/>
    </row>
    <row r="30" spans="1:15" ht="18" customHeight="1" x14ac:dyDescent="0.3">
      <c r="A30" s="29">
        <v>29</v>
      </c>
      <c r="B30" s="15" t="s">
        <v>214</v>
      </c>
      <c r="C30" s="15" t="s">
        <v>5</v>
      </c>
      <c r="D30" s="69">
        <v>2</v>
      </c>
      <c r="E30" s="68" t="s">
        <v>3236</v>
      </c>
      <c r="F30" s="24" t="s">
        <v>429</v>
      </c>
      <c r="G30" s="15" t="s">
        <v>154</v>
      </c>
      <c r="H30" s="15" t="s">
        <v>906</v>
      </c>
      <c r="I30" s="69">
        <v>139</v>
      </c>
      <c r="J30" s="15" t="s">
        <v>1802</v>
      </c>
      <c r="K30" s="15" t="s">
        <v>903</v>
      </c>
      <c r="L30" s="15" t="s">
        <v>1513</v>
      </c>
      <c r="M30" s="15" t="s">
        <v>1495</v>
      </c>
      <c r="N30" s="15" t="s">
        <v>1513</v>
      </c>
      <c r="O30" s="15"/>
    </row>
    <row r="31" spans="1:15" ht="18" customHeight="1" x14ac:dyDescent="0.3">
      <c r="A31" s="29">
        <v>30</v>
      </c>
      <c r="B31" s="15" t="s">
        <v>214</v>
      </c>
      <c r="C31" s="15" t="s">
        <v>5</v>
      </c>
      <c r="D31" s="69">
        <v>2</v>
      </c>
      <c r="E31" s="68" t="s">
        <v>3236</v>
      </c>
      <c r="F31" s="24" t="s">
        <v>429</v>
      </c>
      <c r="G31" s="15" t="s">
        <v>154</v>
      </c>
      <c r="H31" s="15" t="s">
        <v>907</v>
      </c>
      <c r="I31" s="69">
        <v>183</v>
      </c>
      <c r="J31" s="15" t="s">
        <v>1802</v>
      </c>
      <c r="K31" s="15" t="s">
        <v>903</v>
      </c>
      <c r="L31" s="15" t="s">
        <v>1513</v>
      </c>
      <c r="M31" s="15" t="s">
        <v>1495</v>
      </c>
      <c r="N31" s="15" t="s">
        <v>1513</v>
      </c>
      <c r="O31" s="15"/>
    </row>
    <row r="32" spans="1:15" ht="18" customHeight="1" x14ac:dyDescent="0.3">
      <c r="A32" s="29">
        <v>31</v>
      </c>
      <c r="B32" s="13" t="s">
        <v>214</v>
      </c>
      <c r="C32" s="13" t="s">
        <v>1515</v>
      </c>
      <c r="D32" s="13">
        <v>2</v>
      </c>
      <c r="E32" s="63" t="s">
        <v>1516</v>
      </c>
      <c r="F32" s="21" t="s">
        <v>1517</v>
      </c>
      <c r="G32" s="15" t="s">
        <v>1513</v>
      </c>
      <c r="H32" s="15" t="s">
        <v>2685</v>
      </c>
      <c r="I32" s="69">
        <v>260</v>
      </c>
      <c r="J32" s="15" t="s">
        <v>1495</v>
      </c>
      <c r="K32" s="15" t="s">
        <v>903</v>
      </c>
      <c r="L32" s="15" t="s">
        <v>1513</v>
      </c>
      <c r="M32" s="15" t="s">
        <v>1495</v>
      </c>
      <c r="N32" s="15" t="s">
        <v>1513</v>
      </c>
      <c r="O32" s="15"/>
    </row>
    <row r="33" spans="1:15" ht="18" customHeight="1" x14ac:dyDescent="0.3">
      <c r="A33" s="29">
        <v>32</v>
      </c>
      <c r="B33" s="15" t="s">
        <v>214</v>
      </c>
      <c r="C33" s="15" t="s">
        <v>5</v>
      </c>
      <c r="D33" s="69">
        <v>2</v>
      </c>
      <c r="E33" s="68" t="s">
        <v>3237</v>
      </c>
      <c r="F33" s="21" t="s">
        <v>428</v>
      </c>
      <c r="G33" s="15" t="s">
        <v>154</v>
      </c>
      <c r="H33" s="15" t="s">
        <v>901</v>
      </c>
      <c r="I33" s="69">
        <v>135</v>
      </c>
      <c r="J33" s="15" t="s">
        <v>1495</v>
      </c>
      <c r="K33" s="15" t="s">
        <v>903</v>
      </c>
      <c r="L33" s="15" t="s">
        <v>1513</v>
      </c>
      <c r="M33" s="15" t="s">
        <v>1495</v>
      </c>
      <c r="N33" s="15" t="s">
        <v>1513</v>
      </c>
      <c r="O33" s="15"/>
    </row>
    <row r="34" spans="1:15" ht="18" customHeight="1" x14ac:dyDescent="0.3">
      <c r="A34" s="29">
        <v>33</v>
      </c>
      <c r="B34" s="15" t="s">
        <v>214</v>
      </c>
      <c r="C34" s="15" t="s">
        <v>5</v>
      </c>
      <c r="D34" s="69">
        <v>2</v>
      </c>
      <c r="E34" s="68" t="s">
        <v>3237</v>
      </c>
      <c r="F34" s="21" t="s">
        <v>428</v>
      </c>
      <c r="G34" s="15" t="s">
        <v>154</v>
      </c>
      <c r="H34" s="15" t="s">
        <v>904</v>
      </c>
      <c r="I34" s="69">
        <v>128</v>
      </c>
      <c r="J34" s="15" t="s">
        <v>1802</v>
      </c>
      <c r="K34" s="15" t="s">
        <v>903</v>
      </c>
      <c r="L34" s="15" t="s">
        <v>1513</v>
      </c>
      <c r="M34" s="15" t="s">
        <v>1495</v>
      </c>
      <c r="N34" s="15" t="s">
        <v>1513</v>
      </c>
      <c r="O34" s="15"/>
    </row>
    <row r="35" spans="1:15" ht="18" customHeight="1" x14ac:dyDescent="0.3">
      <c r="A35" s="29">
        <v>34</v>
      </c>
      <c r="B35" s="15" t="s">
        <v>214</v>
      </c>
      <c r="C35" s="15" t="s">
        <v>5</v>
      </c>
      <c r="D35" s="69">
        <v>2</v>
      </c>
      <c r="E35" s="68" t="s">
        <v>3237</v>
      </c>
      <c r="F35" s="21" t="s">
        <v>428</v>
      </c>
      <c r="G35" s="15" t="s">
        <v>154</v>
      </c>
      <c r="H35" s="15" t="s">
        <v>905</v>
      </c>
      <c r="I35" s="69">
        <v>75</v>
      </c>
      <c r="J35" s="15" t="s">
        <v>1802</v>
      </c>
      <c r="K35" s="15" t="s">
        <v>903</v>
      </c>
      <c r="L35" s="15" t="s">
        <v>1513</v>
      </c>
      <c r="M35" s="15" t="s">
        <v>1495</v>
      </c>
      <c r="N35" s="15" t="s">
        <v>1513</v>
      </c>
      <c r="O35" s="15"/>
    </row>
    <row r="36" spans="1:15" ht="18" customHeight="1" x14ac:dyDescent="0.3">
      <c r="A36" s="29">
        <v>35</v>
      </c>
      <c r="B36" s="15" t="s">
        <v>214</v>
      </c>
      <c r="C36" s="15" t="s">
        <v>5</v>
      </c>
      <c r="D36" s="69">
        <v>2</v>
      </c>
      <c r="E36" s="68" t="s">
        <v>3237</v>
      </c>
      <c r="F36" s="21" t="s">
        <v>428</v>
      </c>
      <c r="G36" s="15" t="s">
        <v>154</v>
      </c>
      <c r="H36" s="15" t="s">
        <v>906</v>
      </c>
      <c r="I36" s="69">
        <v>128</v>
      </c>
      <c r="J36" s="15" t="s">
        <v>1495</v>
      </c>
      <c r="K36" s="15" t="s">
        <v>903</v>
      </c>
      <c r="L36" s="15" t="s">
        <v>1513</v>
      </c>
      <c r="M36" s="15" t="s">
        <v>1495</v>
      </c>
      <c r="N36" s="15" t="s">
        <v>1513</v>
      </c>
      <c r="O36" s="15"/>
    </row>
    <row r="37" spans="1:15" ht="18" customHeight="1" x14ac:dyDescent="0.3">
      <c r="A37" s="29">
        <v>36</v>
      </c>
      <c r="B37" s="15" t="s">
        <v>214</v>
      </c>
      <c r="C37" s="15" t="s">
        <v>5</v>
      </c>
      <c r="D37" s="69">
        <v>2</v>
      </c>
      <c r="E37" s="68" t="s">
        <v>3237</v>
      </c>
      <c r="F37" s="21" t="s">
        <v>428</v>
      </c>
      <c r="G37" s="15" t="s">
        <v>154</v>
      </c>
      <c r="H37" s="15" t="s">
        <v>907</v>
      </c>
      <c r="I37" s="69">
        <v>135</v>
      </c>
      <c r="J37" s="15" t="s">
        <v>1802</v>
      </c>
      <c r="K37" s="15" t="s">
        <v>903</v>
      </c>
      <c r="L37" s="15" t="s">
        <v>1513</v>
      </c>
      <c r="M37" s="15" t="s">
        <v>1495</v>
      </c>
      <c r="N37" s="15" t="s">
        <v>1513</v>
      </c>
      <c r="O37" s="15"/>
    </row>
    <row r="38" spans="1:15" ht="18" customHeight="1" x14ac:dyDescent="0.3">
      <c r="A38" s="29">
        <v>37</v>
      </c>
      <c r="B38" s="15" t="s">
        <v>214</v>
      </c>
      <c r="C38" s="15" t="s">
        <v>5</v>
      </c>
      <c r="D38" s="69">
        <v>2</v>
      </c>
      <c r="E38" s="68" t="s">
        <v>3237</v>
      </c>
      <c r="F38" s="21" t="s">
        <v>428</v>
      </c>
      <c r="G38" s="15" t="s">
        <v>154</v>
      </c>
      <c r="H38" s="15" t="s">
        <v>908</v>
      </c>
      <c r="I38" s="69">
        <v>75</v>
      </c>
      <c r="J38" s="15" t="s">
        <v>1495</v>
      </c>
      <c r="K38" s="15" t="s">
        <v>903</v>
      </c>
      <c r="L38" s="15" t="s">
        <v>1513</v>
      </c>
      <c r="M38" s="15" t="s">
        <v>1495</v>
      </c>
      <c r="N38" s="15" t="s">
        <v>1513</v>
      </c>
      <c r="O38" s="15"/>
    </row>
    <row r="39" spans="1:15" ht="18" customHeight="1" x14ac:dyDescent="0.3">
      <c r="A39" s="29">
        <v>38</v>
      </c>
      <c r="B39" s="15" t="s">
        <v>214</v>
      </c>
      <c r="C39" s="15" t="s">
        <v>5</v>
      </c>
      <c r="D39" s="69">
        <v>2</v>
      </c>
      <c r="E39" s="71" t="s">
        <v>158</v>
      </c>
      <c r="F39" s="21" t="s">
        <v>2693</v>
      </c>
      <c r="G39" s="15" t="s">
        <v>154</v>
      </c>
      <c r="H39" s="15" t="s">
        <v>2685</v>
      </c>
      <c r="I39" s="69">
        <v>284</v>
      </c>
      <c r="J39" s="15" t="s">
        <v>1495</v>
      </c>
      <c r="K39" s="15" t="s">
        <v>902</v>
      </c>
      <c r="L39" s="15" t="s">
        <v>1703</v>
      </c>
      <c r="M39" s="15" t="s">
        <v>1495</v>
      </c>
      <c r="N39" s="15" t="s">
        <v>1513</v>
      </c>
      <c r="O39" s="15"/>
    </row>
    <row r="40" spans="1:15" ht="18" customHeight="1" x14ac:dyDescent="0.3">
      <c r="A40" s="29">
        <v>39</v>
      </c>
      <c r="B40" s="15" t="s">
        <v>214</v>
      </c>
      <c r="C40" s="15" t="s">
        <v>5</v>
      </c>
      <c r="D40" s="69">
        <v>2</v>
      </c>
      <c r="E40" s="68" t="s">
        <v>158</v>
      </c>
      <c r="F40" s="21" t="s">
        <v>435</v>
      </c>
      <c r="G40" s="15" t="s">
        <v>154</v>
      </c>
      <c r="H40" s="15" t="s">
        <v>904</v>
      </c>
      <c r="I40" s="69">
        <v>186</v>
      </c>
      <c r="J40" s="15" t="s">
        <v>1495</v>
      </c>
      <c r="K40" s="15" t="s">
        <v>903</v>
      </c>
      <c r="L40" s="15" t="s">
        <v>1513</v>
      </c>
      <c r="M40" s="15" t="s">
        <v>1495</v>
      </c>
      <c r="N40" s="15" t="s">
        <v>1513</v>
      </c>
      <c r="O40" s="15"/>
    </row>
    <row r="41" spans="1:15" ht="18" customHeight="1" x14ac:dyDescent="0.3">
      <c r="A41" s="29">
        <v>40</v>
      </c>
      <c r="B41" s="15" t="s">
        <v>214</v>
      </c>
      <c r="C41" s="15" t="s">
        <v>5</v>
      </c>
      <c r="D41" s="69">
        <v>2</v>
      </c>
      <c r="E41" s="68" t="s">
        <v>158</v>
      </c>
      <c r="F41" s="21" t="s">
        <v>435</v>
      </c>
      <c r="G41" s="15" t="s">
        <v>154</v>
      </c>
      <c r="H41" s="15" t="s">
        <v>905</v>
      </c>
      <c r="I41" s="69">
        <v>240</v>
      </c>
      <c r="J41" s="15" t="s">
        <v>1503</v>
      </c>
      <c r="K41" s="15" t="s">
        <v>903</v>
      </c>
      <c r="L41" s="15" t="s">
        <v>1492</v>
      </c>
      <c r="M41" s="15" t="s">
        <v>1503</v>
      </c>
      <c r="N41" s="15" t="s">
        <v>1492</v>
      </c>
      <c r="O41" s="15"/>
    </row>
    <row r="42" spans="1:15" ht="18" customHeight="1" x14ac:dyDescent="0.3">
      <c r="A42" s="29">
        <v>41</v>
      </c>
      <c r="B42" s="15" t="s">
        <v>214</v>
      </c>
      <c r="C42" s="15" t="s">
        <v>5</v>
      </c>
      <c r="D42" s="69">
        <v>2</v>
      </c>
      <c r="E42" s="68" t="s">
        <v>158</v>
      </c>
      <c r="F42" s="21" t="s">
        <v>435</v>
      </c>
      <c r="G42" s="15" t="s">
        <v>154</v>
      </c>
      <c r="H42" s="15" t="s">
        <v>906</v>
      </c>
      <c r="I42" s="69">
        <v>203</v>
      </c>
      <c r="J42" s="15" t="s">
        <v>1503</v>
      </c>
      <c r="K42" s="15" t="s">
        <v>903</v>
      </c>
      <c r="L42" s="15" t="s">
        <v>1492</v>
      </c>
      <c r="M42" s="15" t="s">
        <v>1503</v>
      </c>
      <c r="N42" s="15" t="s">
        <v>1513</v>
      </c>
      <c r="O42" s="15"/>
    </row>
    <row r="43" spans="1:15" ht="18" customHeight="1" x14ac:dyDescent="0.3">
      <c r="A43" s="29">
        <v>42</v>
      </c>
      <c r="B43" s="15" t="s">
        <v>214</v>
      </c>
      <c r="C43" s="15" t="s">
        <v>5</v>
      </c>
      <c r="D43" s="69">
        <v>2</v>
      </c>
      <c r="E43" s="68" t="s">
        <v>158</v>
      </c>
      <c r="F43" s="21" t="s">
        <v>435</v>
      </c>
      <c r="G43" s="15" t="s">
        <v>154</v>
      </c>
      <c r="H43" s="15" t="s">
        <v>907</v>
      </c>
      <c r="I43" s="69">
        <v>203</v>
      </c>
      <c r="J43" s="15" t="s">
        <v>1503</v>
      </c>
      <c r="K43" s="15" t="s">
        <v>903</v>
      </c>
      <c r="L43" s="15" t="s">
        <v>1513</v>
      </c>
      <c r="M43" s="15" t="s">
        <v>1503</v>
      </c>
      <c r="N43" s="15" t="s">
        <v>1513</v>
      </c>
      <c r="O43" s="15"/>
    </row>
    <row r="44" spans="1:15" ht="18" customHeight="1" x14ac:dyDescent="0.3">
      <c r="A44" s="29">
        <v>43</v>
      </c>
      <c r="B44" s="15" t="s">
        <v>214</v>
      </c>
      <c r="C44" s="15" t="s">
        <v>5</v>
      </c>
      <c r="D44" s="69">
        <v>2</v>
      </c>
      <c r="E44" s="68" t="s">
        <v>158</v>
      </c>
      <c r="F44" s="21" t="s">
        <v>435</v>
      </c>
      <c r="G44" s="15" t="s">
        <v>154</v>
      </c>
      <c r="H44" s="15" t="s">
        <v>908</v>
      </c>
      <c r="I44" s="69">
        <v>190</v>
      </c>
      <c r="J44" s="15" t="s">
        <v>2672</v>
      </c>
      <c r="K44" s="15" t="s">
        <v>903</v>
      </c>
      <c r="L44" s="15" t="s">
        <v>2673</v>
      </c>
      <c r="M44" s="15" t="s">
        <v>1495</v>
      </c>
      <c r="N44" s="15" t="s">
        <v>1513</v>
      </c>
      <c r="O44" s="15"/>
    </row>
    <row r="45" spans="1:15" ht="18" customHeight="1" x14ac:dyDescent="0.3">
      <c r="A45" s="29">
        <v>44</v>
      </c>
      <c r="B45" s="15" t="s">
        <v>214</v>
      </c>
      <c r="C45" s="15" t="s">
        <v>5</v>
      </c>
      <c r="D45" s="69">
        <v>2</v>
      </c>
      <c r="E45" s="68" t="s">
        <v>158</v>
      </c>
      <c r="F45" s="21" t="s">
        <v>435</v>
      </c>
      <c r="G45" s="15" t="s">
        <v>154</v>
      </c>
      <c r="H45" s="15" t="s">
        <v>909</v>
      </c>
      <c r="I45" s="69">
        <v>258</v>
      </c>
      <c r="J45" s="15" t="s">
        <v>2672</v>
      </c>
      <c r="K45" s="15" t="s">
        <v>903</v>
      </c>
      <c r="L45" s="15" t="s">
        <v>2673</v>
      </c>
      <c r="M45" s="15" t="s">
        <v>1495</v>
      </c>
      <c r="N45" s="15" t="s">
        <v>1513</v>
      </c>
      <c r="O45" s="15"/>
    </row>
    <row r="46" spans="1:15" ht="18" customHeight="1" x14ac:dyDescent="0.3">
      <c r="A46" s="29">
        <v>45</v>
      </c>
      <c r="B46" s="15" t="s">
        <v>214</v>
      </c>
      <c r="C46" s="15" t="s">
        <v>5</v>
      </c>
      <c r="D46" s="69">
        <v>2</v>
      </c>
      <c r="E46" s="68" t="s">
        <v>158</v>
      </c>
      <c r="F46" s="21" t="s">
        <v>435</v>
      </c>
      <c r="G46" s="15" t="s">
        <v>154</v>
      </c>
      <c r="H46" s="15" t="s">
        <v>910</v>
      </c>
      <c r="I46" s="69">
        <v>180</v>
      </c>
      <c r="J46" s="15" t="s">
        <v>1495</v>
      </c>
      <c r="K46" s="15" t="s">
        <v>903</v>
      </c>
      <c r="L46" s="15" t="s">
        <v>1513</v>
      </c>
      <c r="M46" s="15" t="s">
        <v>1495</v>
      </c>
      <c r="N46" s="15" t="s">
        <v>1513</v>
      </c>
      <c r="O46" s="15"/>
    </row>
    <row r="47" spans="1:15" ht="18" customHeight="1" x14ac:dyDescent="0.3">
      <c r="A47" s="29">
        <v>46</v>
      </c>
      <c r="B47" s="15" t="s">
        <v>214</v>
      </c>
      <c r="C47" s="15" t="s">
        <v>2694</v>
      </c>
      <c r="D47" s="69">
        <v>2</v>
      </c>
      <c r="E47" s="68" t="s">
        <v>153</v>
      </c>
      <c r="F47" s="16" t="s">
        <v>1523</v>
      </c>
      <c r="G47" s="15" t="s">
        <v>1492</v>
      </c>
      <c r="H47" s="15" t="s">
        <v>901</v>
      </c>
      <c r="I47" s="69">
        <v>230</v>
      </c>
      <c r="J47" s="15" t="s">
        <v>1503</v>
      </c>
      <c r="K47" s="15" t="s">
        <v>903</v>
      </c>
      <c r="L47" s="15" t="s">
        <v>1513</v>
      </c>
      <c r="M47" s="15" t="s">
        <v>2232</v>
      </c>
      <c r="N47" s="15" t="s">
        <v>2695</v>
      </c>
      <c r="O47" s="15"/>
    </row>
    <row r="48" spans="1:15" ht="18" customHeight="1" x14ac:dyDescent="0.3">
      <c r="A48" s="29">
        <v>47</v>
      </c>
      <c r="B48" s="15" t="s">
        <v>2696</v>
      </c>
      <c r="C48" s="15" t="s">
        <v>1756</v>
      </c>
      <c r="D48" s="69">
        <v>2</v>
      </c>
      <c r="E48" s="68" t="s">
        <v>3238</v>
      </c>
      <c r="F48" s="51" t="s">
        <v>2697</v>
      </c>
      <c r="G48" s="15" t="s">
        <v>1537</v>
      </c>
      <c r="H48" s="15" t="s">
        <v>2698</v>
      </c>
      <c r="I48" s="69">
        <v>118</v>
      </c>
      <c r="J48" s="15" t="s">
        <v>1503</v>
      </c>
      <c r="K48" s="15" t="s">
        <v>1495</v>
      </c>
      <c r="L48" s="15" t="s">
        <v>1492</v>
      </c>
      <c r="M48" s="15" t="s">
        <v>1802</v>
      </c>
      <c r="N48" s="15" t="s">
        <v>2699</v>
      </c>
      <c r="O48" s="15"/>
    </row>
    <row r="49" spans="1:15" ht="18" customHeight="1" x14ac:dyDescent="0.3">
      <c r="A49" s="29">
        <v>48</v>
      </c>
      <c r="B49" s="15" t="s">
        <v>1533</v>
      </c>
      <c r="C49" s="15" t="s">
        <v>1756</v>
      </c>
      <c r="D49" s="69">
        <v>2</v>
      </c>
      <c r="E49" s="68" t="s">
        <v>3238</v>
      </c>
      <c r="F49" s="51" t="s">
        <v>2700</v>
      </c>
      <c r="G49" s="15" t="s">
        <v>1537</v>
      </c>
      <c r="H49" s="15" t="s">
        <v>2701</v>
      </c>
      <c r="I49" s="69">
        <v>112</v>
      </c>
      <c r="J49" s="15" t="s">
        <v>1495</v>
      </c>
      <c r="K49" s="15" t="s">
        <v>1495</v>
      </c>
      <c r="L49" s="15" t="s">
        <v>1513</v>
      </c>
      <c r="M49" s="15" t="s">
        <v>2232</v>
      </c>
      <c r="N49" s="15" t="s">
        <v>1530</v>
      </c>
      <c r="O49" s="15"/>
    </row>
    <row r="50" spans="1:15" ht="18" customHeight="1" x14ac:dyDescent="0.3">
      <c r="A50" s="29">
        <v>49</v>
      </c>
      <c r="B50" s="15" t="s">
        <v>1534</v>
      </c>
      <c r="C50" s="15" t="s">
        <v>1522</v>
      </c>
      <c r="D50" s="69">
        <v>2</v>
      </c>
      <c r="E50" s="68" t="s">
        <v>3238</v>
      </c>
      <c r="F50" s="51" t="s">
        <v>2702</v>
      </c>
      <c r="G50" s="15" t="s">
        <v>1537</v>
      </c>
      <c r="H50" s="15" t="s">
        <v>1298</v>
      </c>
      <c r="I50" s="69">
        <v>182</v>
      </c>
      <c r="J50" s="15" t="s">
        <v>2232</v>
      </c>
      <c r="K50" s="15" t="s">
        <v>1503</v>
      </c>
      <c r="L50" s="15" t="s">
        <v>2673</v>
      </c>
      <c r="M50" s="15" t="s">
        <v>1495</v>
      </c>
      <c r="N50" s="15" t="s">
        <v>1492</v>
      </c>
      <c r="O50" s="15"/>
    </row>
    <row r="51" spans="1:15" ht="18" customHeight="1" x14ac:dyDescent="0.3">
      <c r="A51" s="29">
        <v>50</v>
      </c>
      <c r="B51" s="15" t="s">
        <v>2696</v>
      </c>
      <c r="C51" s="15" t="s">
        <v>1756</v>
      </c>
      <c r="D51" s="69">
        <v>2</v>
      </c>
      <c r="E51" s="68" t="s">
        <v>3238</v>
      </c>
      <c r="F51" s="51" t="s">
        <v>2697</v>
      </c>
      <c r="G51" s="15" t="s">
        <v>1537</v>
      </c>
      <c r="H51" s="15" t="s">
        <v>1299</v>
      </c>
      <c r="I51" s="69">
        <v>123</v>
      </c>
      <c r="J51" s="15" t="s">
        <v>2672</v>
      </c>
      <c r="K51" s="15" t="s">
        <v>1495</v>
      </c>
      <c r="L51" s="15" t="s">
        <v>1513</v>
      </c>
      <c r="M51" s="15" t="s">
        <v>1503</v>
      </c>
      <c r="N51" s="15" t="s">
        <v>1492</v>
      </c>
      <c r="O51" s="15"/>
    </row>
    <row r="52" spans="1:15" ht="18" customHeight="1" x14ac:dyDescent="0.3">
      <c r="A52" s="29">
        <v>51</v>
      </c>
      <c r="B52" s="15" t="s">
        <v>1534</v>
      </c>
      <c r="C52" s="15" t="s">
        <v>1522</v>
      </c>
      <c r="D52" s="69">
        <v>2</v>
      </c>
      <c r="E52" s="68" t="s">
        <v>3238</v>
      </c>
      <c r="F52" s="51" t="s">
        <v>2702</v>
      </c>
      <c r="G52" s="15" t="s">
        <v>2703</v>
      </c>
      <c r="H52" s="15" t="s">
        <v>1300</v>
      </c>
      <c r="I52" s="69">
        <v>159</v>
      </c>
      <c r="J52" s="15" t="s">
        <v>1802</v>
      </c>
      <c r="K52" s="15" t="s">
        <v>1495</v>
      </c>
      <c r="L52" s="15" t="s">
        <v>1513</v>
      </c>
      <c r="M52" s="15" t="s">
        <v>1495</v>
      </c>
      <c r="N52" s="15" t="s">
        <v>1513</v>
      </c>
      <c r="O52" s="15"/>
    </row>
    <row r="53" spans="1:15" ht="18" customHeight="1" x14ac:dyDescent="0.3">
      <c r="A53" s="29">
        <v>52</v>
      </c>
      <c r="B53" s="15" t="s">
        <v>214</v>
      </c>
      <c r="C53" s="15" t="s">
        <v>5</v>
      </c>
      <c r="D53" s="69">
        <v>2</v>
      </c>
      <c r="E53" s="68" t="s">
        <v>2704</v>
      </c>
      <c r="F53" s="21" t="s">
        <v>432</v>
      </c>
      <c r="G53" s="15" t="s">
        <v>1513</v>
      </c>
      <c r="H53" s="15" t="s">
        <v>901</v>
      </c>
      <c r="I53" s="69">
        <v>81</v>
      </c>
      <c r="J53" s="15" t="s">
        <v>1495</v>
      </c>
      <c r="K53" s="15" t="s">
        <v>903</v>
      </c>
      <c r="L53" s="15" t="s">
        <v>1513</v>
      </c>
      <c r="M53" s="15" t="s">
        <v>1503</v>
      </c>
      <c r="N53" s="15" t="s">
        <v>1492</v>
      </c>
      <c r="O53" s="15"/>
    </row>
    <row r="54" spans="1:15" ht="18" customHeight="1" x14ac:dyDescent="0.3">
      <c r="A54" s="29">
        <v>53</v>
      </c>
      <c r="B54" s="15" t="s">
        <v>214</v>
      </c>
      <c r="C54" s="15" t="s">
        <v>5</v>
      </c>
      <c r="D54" s="69">
        <v>2</v>
      </c>
      <c r="E54" s="68" t="s">
        <v>2704</v>
      </c>
      <c r="F54" s="21" t="s">
        <v>432</v>
      </c>
      <c r="G54" s="15" t="s">
        <v>1513</v>
      </c>
      <c r="H54" s="15" t="s">
        <v>904</v>
      </c>
      <c r="I54" s="69">
        <v>160</v>
      </c>
      <c r="J54" s="15" t="s">
        <v>1495</v>
      </c>
      <c r="K54" s="15" t="s">
        <v>903</v>
      </c>
      <c r="L54" s="15" t="s">
        <v>1513</v>
      </c>
      <c r="M54" s="15" t="s">
        <v>1495</v>
      </c>
      <c r="N54" s="15" t="s">
        <v>1492</v>
      </c>
      <c r="O54" s="15"/>
    </row>
    <row r="55" spans="1:15" ht="18" customHeight="1" x14ac:dyDescent="0.3">
      <c r="A55" s="29">
        <v>54</v>
      </c>
      <c r="B55" s="15" t="s">
        <v>214</v>
      </c>
      <c r="C55" s="15" t="s">
        <v>5</v>
      </c>
      <c r="D55" s="69">
        <v>2</v>
      </c>
      <c r="E55" s="68" t="s">
        <v>2704</v>
      </c>
      <c r="F55" s="21" t="s">
        <v>432</v>
      </c>
      <c r="G55" s="15" t="s">
        <v>1492</v>
      </c>
      <c r="H55" s="15" t="s">
        <v>905</v>
      </c>
      <c r="I55" s="69">
        <v>226</v>
      </c>
      <c r="J55" s="15" t="s">
        <v>1802</v>
      </c>
      <c r="K55" s="15" t="s">
        <v>903</v>
      </c>
      <c r="L55" s="15" t="s">
        <v>1513</v>
      </c>
      <c r="M55" s="15" t="s">
        <v>1495</v>
      </c>
      <c r="N55" s="15" t="s">
        <v>1513</v>
      </c>
      <c r="O55" s="15"/>
    </row>
    <row r="56" spans="1:15" ht="18" customHeight="1" x14ac:dyDescent="0.3">
      <c r="A56" s="29">
        <v>55</v>
      </c>
      <c r="B56" s="15" t="s">
        <v>214</v>
      </c>
      <c r="C56" s="15" t="s">
        <v>5</v>
      </c>
      <c r="D56" s="69">
        <v>2</v>
      </c>
      <c r="E56" s="68" t="s">
        <v>2704</v>
      </c>
      <c r="F56" s="21" t="s">
        <v>432</v>
      </c>
      <c r="G56" s="15" t="s">
        <v>1513</v>
      </c>
      <c r="H56" s="15" t="s">
        <v>906</v>
      </c>
      <c r="I56" s="69">
        <v>92</v>
      </c>
      <c r="J56" s="15" t="s">
        <v>1495</v>
      </c>
      <c r="K56" s="15" t="s">
        <v>903</v>
      </c>
      <c r="L56" s="15" t="s">
        <v>1513</v>
      </c>
      <c r="M56" s="15" t="s">
        <v>1495</v>
      </c>
      <c r="N56" s="15" t="s">
        <v>1513</v>
      </c>
      <c r="O56" s="15"/>
    </row>
    <row r="57" spans="1:15" ht="18" customHeight="1" x14ac:dyDescent="0.3">
      <c r="A57" s="29">
        <v>56</v>
      </c>
      <c r="B57" s="15" t="s">
        <v>214</v>
      </c>
      <c r="C57" s="15" t="s">
        <v>5</v>
      </c>
      <c r="D57" s="69">
        <v>2</v>
      </c>
      <c r="E57" s="68" t="s">
        <v>2704</v>
      </c>
      <c r="F57" s="21" t="s">
        <v>432</v>
      </c>
      <c r="G57" s="15" t="s">
        <v>1513</v>
      </c>
      <c r="H57" s="15" t="s">
        <v>907</v>
      </c>
      <c r="I57" s="69">
        <v>298</v>
      </c>
      <c r="J57" s="15" t="s">
        <v>1495</v>
      </c>
      <c r="K57" s="15" t="s">
        <v>903</v>
      </c>
      <c r="L57" s="15" t="s">
        <v>1513</v>
      </c>
      <c r="M57" s="15" t="s">
        <v>1495</v>
      </c>
      <c r="N57" s="15" t="s">
        <v>1492</v>
      </c>
      <c r="O57" s="15"/>
    </row>
    <row r="58" spans="1:15" ht="18" customHeight="1" x14ac:dyDescent="0.3">
      <c r="A58" s="29">
        <v>57</v>
      </c>
      <c r="B58" s="15" t="s">
        <v>214</v>
      </c>
      <c r="C58" s="15" t="s">
        <v>5</v>
      </c>
      <c r="D58" s="69">
        <v>2</v>
      </c>
      <c r="E58" s="68" t="s">
        <v>2704</v>
      </c>
      <c r="F58" s="21" t="s">
        <v>432</v>
      </c>
      <c r="G58" s="15" t="s">
        <v>1513</v>
      </c>
      <c r="H58" s="15" t="s">
        <v>908</v>
      </c>
      <c r="I58" s="69">
        <v>291</v>
      </c>
      <c r="J58" s="15" t="s">
        <v>1495</v>
      </c>
      <c r="K58" s="15" t="s">
        <v>903</v>
      </c>
      <c r="L58" s="15" t="s">
        <v>1513</v>
      </c>
      <c r="M58" s="15" t="s">
        <v>1495</v>
      </c>
      <c r="N58" s="15" t="s">
        <v>1513</v>
      </c>
      <c r="O58" s="15"/>
    </row>
    <row r="59" spans="1:15" ht="18" customHeight="1" x14ac:dyDescent="0.3">
      <c r="A59" s="29">
        <v>58</v>
      </c>
      <c r="B59" s="15" t="s">
        <v>214</v>
      </c>
      <c r="C59" s="15" t="s">
        <v>5</v>
      </c>
      <c r="D59" s="69">
        <v>2</v>
      </c>
      <c r="E59" s="68" t="s">
        <v>2704</v>
      </c>
      <c r="F59" s="21" t="s">
        <v>432</v>
      </c>
      <c r="G59" s="15" t="s">
        <v>1513</v>
      </c>
      <c r="H59" s="15" t="s">
        <v>909</v>
      </c>
      <c r="I59" s="69">
        <v>318</v>
      </c>
      <c r="J59" s="15" t="s">
        <v>1495</v>
      </c>
      <c r="K59" s="15" t="s">
        <v>903</v>
      </c>
      <c r="L59" s="15" t="s">
        <v>1513</v>
      </c>
      <c r="M59" s="15" t="s">
        <v>1495</v>
      </c>
      <c r="N59" s="15" t="s">
        <v>1513</v>
      </c>
      <c r="O59" s="15"/>
    </row>
    <row r="60" spans="1:15" ht="18" customHeight="1" x14ac:dyDescent="0.3">
      <c r="A60" s="29">
        <v>59</v>
      </c>
      <c r="B60" s="15" t="s">
        <v>214</v>
      </c>
      <c r="C60" s="15" t="s">
        <v>5</v>
      </c>
      <c r="D60" s="69">
        <v>2</v>
      </c>
      <c r="E60" s="68" t="s">
        <v>2704</v>
      </c>
      <c r="F60" s="21" t="s">
        <v>432</v>
      </c>
      <c r="G60" s="15" t="s">
        <v>1513</v>
      </c>
      <c r="H60" s="15" t="s">
        <v>910</v>
      </c>
      <c r="I60" s="69">
        <v>313</v>
      </c>
      <c r="J60" s="15" t="s">
        <v>1802</v>
      </c>
      <c r="K60" s="15" t="s">
        <v>903</v>
      </c>
      <c r="L60" s="15" t="s">
        <v>1513</v>
      </c>
      <c r="M60" s="15" t="s">
        <v>1495</v>
      </c>
      <c r="N60" s="15" t="s">
        <v>1513</v>
      </c>
      <c r="O60" s="15"/>
    </row>
    <row r="61" spans="1:15" ht="18" customHeight="1" x14ac:dyDescent="0.3">
      <c r="A61" s="29">
        <v>60</v>
      </c>
      <c r="B61" s="15" t="s">
        <v>214</v>
      </c>
      <c r="C61" s="15" t="s">
        <v>5</v>
      </c>
      <c r="D61" s="69">
        <v>2</v>
      </c>
      <c r="E61" s="68" t="s">
        <v>2704</v>
      </c>
      <c r="F61" s="21" t="s">
        <v>432</v>
      </c>
      <c r="G61" s="15" t="s">
        <v>1513</v>
      </c>
      <c r="H61" s="15" t="s">
        <v>911</v>
      </c>
      <c r="I61" s="69">
        <v>84</v>
      </c>
      <c r="J61" s="15" t="s">
        <v>1495</v>
      </c>
      <c r="K61" s="15" t="s">
        <v>903</v>
      </c>
      <c r="L61" s="15" t="s">
        <v>1513</v>
      </c>
      <c r="M61" s="15" t="s">
        <v>1495</v>
      </c>
      <c r="N61" s="15" t="s">
        <v>1513</v>
      </c>
      <c r="O61" s="15"/>
    </row>
    <row r="62" spans="1:15" ht="18" customHeight="1" x14ac:dyDescent="0.3">
      <c r="A62" s="29">
        <v>61</v>
      </c>
      <c r="B62" s="15" t="s">
        <v>214</v>
      </c>
      <c r="C62" s="15" t="s">
        <v>5</v>
      </c>
      <c r="D62" s="69">
        <v>2</v>
      </c>
      <c r="E62" s="68" t="s">
        <v>2704</v>
      </c>
      <c r="F62" s="21" t="s">
        <v>432</v>
      </c>
      <c r="G62" s="15" t="s">
        <v>1513</v>
      </c>
      <c r="H62" s="15" t="s">
        <v>927</v>
      </c>
      <c r="I62" s="69">
        <v>418</v>
      </c>
      <c r="J62" s="15" t="s">
        <v>1802</v>
      </c>
      <c r="K62" s="15" t="s">
        <v>903</v>
      </c>
      <c r="L62" s="15" t="s">
        <v>1513</v>
      </c>
      <c r="M62" s="15" t="s">
        <v>1495</v>
      </c>
      <c r="N62" s="15" t="s">
        <v>1513</v>
      </c>
      <c r="O62" s="15"/>
    </row>
    <row r="63" spans="1:15" ht="18" customHeight="1" x14ac:dyDescent="0.3">
      <c r="A63" s="29">
        <v>62</v>
      </c>
      <c r="B63" s="15" t="s">
        <v>214</v>
      </c>
      <c r="C63" s="15" t="s">
        <v>5</v>
      </c>
      <c r="D63" s="69">
        <v>2</v>
      </c>
      <c r="E63" s="68" t="s">
        <v>2704</v>
      </c>
      <c r="F63" s="21" t="s">
        <v>432</v>
      </c>
      <c r="G63" s="15" t="s">
        <v>1513</v>
      </c>
      <c r="H63" s="15" t="s">
        <v>941</v>
      </c>
      <c r="I63" s="69">
        <v>431</v>
      </c>
      <c r="J63" s="15" t="s">
        <v>1495</v>
      </c>
      <c r="K63" s="15" t="s">
        <v>903</v>
      </c>
      <c r="L63" s="15" t="s">
        <v>1513</v>
      </c>
      <c r="M63" s="15" t="s">
        <v>1495</v>
      </c>
      <c r="N63" s="15" t="s">
        <v>1513</v>
      </c>
      <c r="O63" s="15"/>
    </row>
    <row r="64" spans="1:15" ht="18" customHeight="1" x14ac:dyDescent="0.3">
      <c r="A64" s="29">
        <v>63</v>
      </c>
      <c r="B64" s="15" t="s">
        <v>214</v>
      </c>
      <c r="C64" s="15" t="s">
        <v>6</v>
      </c>
      <c r="D64" s="69">
        <v>3</v>
      </c>
      <c r="E64" s="68" t="s">
        <v>2705</v>
      </c>
      <c r="F64" s="21" t="s">
        <v>419</v>
      </c>
      <c r="G64" s="15" t="s">
        <v>154</v>
      </c>
      <c r="H64" s="15" t="s">
        <v>901</v>
      </c>
      <c r="I64" s="69">
        <v>170</v>
      </c>
      <c r="J64" s="13" t="s">
        <v>1495</v>
      </c>
      <c r="K64" s="15" t="s">
        <v>903</v>
      </c>
      <c r="L64" s="15" t="s">
        <v>1513</v>
      </c>
      <c r="M64" s="15" t="s">
        <v>1495</v>
      </c>
      <c r="N64" s="15" t="s">
        <v>1513</v>
      </c>
      <c r="O64" s="15"/>
    </row>
    <row r="65" spans="1:15" ht="18" customHeight="1" x14ac:dyDescent="0.3">
      <c r="A65" s="29">
        <v>64</v>
      </c>
      <c r="B65" s="15" t="s">
        <v>214</v>
      </c>
      <c r="C65" s="15" t="s">
        <v>6</v>
      </c>
      <c r="D65" s="69">
        <v>3</v>
      </c>
      <c r="E65" s="68" t="s">
        <v>2705</v>
      </c>
      <c r="F65" s="21" t="s">
        <v>419</v>
      </c>
      <c r="G65" s="15" t="s">
        <v>154</v>
      </c>
      <c r="H65" s="15" t="s">
        <v>904</v>
      </c>
      <c r="I65" s="69">
        <v>182</v>
      </c>
      <c r="J65" s="13" t="s">
        <v>1503</v>
      </c>
      <c r="K65" s="15" t="s">
        <v>903</v>
      </c>
      <c r="L65" s="15" t="s">
        <v>1513</v>
      </c>
      <c r="M65" s="15" t="s">
        <v>1495</v>
      </c>
      <c r="N65" s="15" t="s">
        <v>1513</v>
      </c>
      <c r="O65" s="15"/>
    </row>
    <row r="66" spans="1:15" ht="18" customHeight="1" x14ac:dyDescent="0.3">
      <c r="A66" s="29">
        <v>65</v>
      </c>
      <c r="B66" s="15" t="s">
        <v>214</v>
      </c>
      <c r="C66" s="15" t="s">
        <v>6</v>
      </c>
      <c r="D66" s="69">
        <v>3</v>
      </c>
      <c r="E66" s="68" t="s">
        <v>2705</v>
      </c>
      <c r="F66" s="21" t="s">
        <v>419</v>
      </c>
      <c r="G66" s="15" t="s">
        <v>154</v>
      </c>
      <c r="H66" s="15" t="s">
        <v>905</v>
      </c>
      <c r="I66" s="69">
        <v>156</v>
      </c>
      <c r="J66" s="13" t="s">
        <v>1495</v>
      </c>
      <c r="K66" s="15" t="s">
        <v>903</v>
      </c>
      <c r="L66" s="15" t="s">
        <v>1513</v>
      </c>
      <c r="M66" s="15" t="s">
        <v>1495</v>
      </c>
      <c r="N66" s="15" t="s">
        <v>1513</v>
      </c>
      <c r="O66" s="15"/>
    </row>
    <row r="67" spans="1:15" ht="18" customHeight="1" x14ac:dyDescent="0.3">
      <c r="A67" s="29">
        <v>66</v>
      </c>
      <c r="B67" s="15" t="s">
        <v>214</v>
      </c>
      <c r="C67" s="15" t="s">
        <v>6</v>
      </c>
      <c r="D67" s="69">
        <v>3</v>
      </c>
      <c r="E67" s="68" t="s">
        <v>2705</v>
      </c>
      <c r="F67" s="21" t="s">
        <v>419</v>
      </c>
      <c r="G67" s="15" t="s">
        <v>154</v>
      </c>
      <c r="H67" s="15" t="s">
        <v>906</v>
      </c>
      <c r="I67" s="69">
        <v>170</v>
      </c>
      <c r="J67" s="13" t="s">
        <v>902</v>
      </c>
      <c r="K67" s="15" t="s">
        <v>903</v>
      </c>
      <c r="L67" s="15" t="s">
        <v>1513</v>
      </c>
      <c r="M67" s="15" t="s">
        <v>1495</v>
      </c>
      <c r="N67" s="15" t="s">
        <v>1492</v>
      </c>
      <c r="O67" s="15"/>
    </row>
    <row r="68" spans="1:15" ht="18" customHeight="1" x14ac:dyDescent="0.3">
      <c r="A68" s="29">
        <v>67</v>
      </c>
      <c r="B68" s="15" t="s">
        <v>214</v>
      </c>
      <c r="C68" s="15" t="s">
        <v>6</v>
      </c>
      <c r="D68" s="69">
        <v>3</v>
      </c>
      <c r="E68" s="68" t="s">
        <v>2705</v>
      </c>
      <c r="F68" s="21" t="s">
        <v>419</v>
      </c>
      <c r="G68" s="15" t="s">
        <v>154</v>
      </c>
      <c r="H68" s="15" t="s">
        <v>907</v>
      </c>
      <c r="I68" s="69">
        <v>170</v>
      </c>
      <c r="J68" s="13" t="s">
        <v>1495</v>
      </c>
      <c r="K68" s="15" t="s">
        <v>903</v>
      </c>
      <c r="L68" s="15" t="s">
        <v>1513</v>
      </c>
      <c r="M68" s="15" t="s">
        <v>1495</v>
      </c>
      <c r="N68" s="15" t="s">
        <v>1513</v>
      </c>
      <c r="O68" s="15"/>
    </row>
    <row r="69" spans="1:15" ht="18" customHeight="1" x14ac:dyDescent="0.3">
      <c r="A69" s="29">
        <v>68</v>
      </c>
      <c r="B69" s="15" t="s">
        <v>214</v>
      </c>
      <c r="C69" s="15" t="s">
        <v>6</v>
      </c>
      <c r="D69" s="69">
        <v>3</v>
      </c>
      <c r="E69" s="68" t="s">
        <v>2705</v>
      </c>
      <c r="F69" s="21" t="s">
        <v>419</v>
      </c>
      <c r="G69" s="15" t="s">
        <v>154</v>
      </c>
      <c r="H69" s="15" t="s">
        <v>908</v>
      </c>
      <c r="I69" s="69">
        <v>176</v>
      </c>
      <c r="J69" s="13" t="s">
        <v>1495</v>
      </c>
      <c r="K69" s="15" t="s">
        <v>903</v>
      </c>
      <c r="L69" s="15" t="s">
        <v>1513</v>
      </c>
      <c r="M69" s="15" t="s">
        <v>1495</v>
      </c>
      <c r="N69" s="15" t="s">
        <v>1513</v>
      </c>
      <c r="O69" s="15"/>
    </row>
    <row r="70" spans="1:15" ht="18" customHeight="1" x14ac:dyDescent="0.3">
      <c r="A70" s="29">
        <v>69</v>
      </c>
      <c r="B70" s="15" t="s">
        <v>214</v>
      </c>
      <c r="C70" s="15" t="s">
        <v>6</v>
      </c>
      <c r="D70" s="69">
        <v>3</v>
      </c>
      <c r="E70" s="68" t="s">
        <v>2706</v>
      </c>
      <c r="F70" s="21" t="s">
        <v>419</v>
      </c>
      <c r="G70" s="15" t="s">
        <v>154</v>
      </c>
      <c r="H70" s="15" t="s">
        <v>909</v>
      </c>
      <c r="I70" s="69">
        <v>222</v>
      </c>
      <c r="J70" s="13" t="s">
        <v>902</v>
      </c>
      <c r="K70" s="15" t="s">
        <v>903</v>
      </c>
      <c r="L70" s="15" t="s">
        <v>1513</v>
      </c>
      <c r="M70" s="15" t="s">
        <v>1495</v>
      </c>
      <c r="N70" s="15" t="s">
        <v>1513</v>
      </c>
      <c r="O70" s="15"/>
    </row>
    <row r="71" spans="1:15" ht="18" customHeight="1" x14ac:dyDescent="0.3">
      <c r="A71" s="29">
        <v>70</v>
      </c>
      <c r="B71" s="15" t="s">
        <v>214</v>
      </c>
      <c r="C71" s="15" t="s">
        <v>6</v>
      </c>
      <c r="D71" s="69">
        <v>3</v>
      </c>
      <c r="E71" s="68" t="s">
        <v>2705</v>
      </c>
      <c r="F71" s="21" t="s">
        <v>419</v>
      </c>
      <c r="G71" s="15" t="s">
        <v>154</v>
      </c>
      <c r="H71" s="15" t="s">
        <v>910</v>
      </c>
      <c r="I71" s="69">
        <v>222</v>
      </c>
      <c r="J71" s="13" t="s">
        <v>1495</v>
      </c>
      <c r="K71" s="15" t="s">
        <v>903</v>
      </c>
      <c r="L71" s="15" t="s">
        <v>1513</v>
      </c>
      <c r="M71" s="15" t="s">
        <v>1495</v>
      </c>
      <c r="N71" s="15" t="s">
        <v>1513</v>
      </c>
      <c r="O71" s="15"/>
    </row>
    <row r="72" spans="1:15" ht="18" customHeight="1" x14ac:dyDescent="0.3">
      <c r="A72" s="29">
        <v>71</v>
      </c>
      <c r="B72" s="15" t="s">
        <v>214</v>
      </c>
      <c r="C72" s="15" t="s">
        <v>6</v>
      </c>
      <c r="D72" s="69">
        <v>3</v>
      </c>
      <c r="E72" s="68" t="s">
        <v>3239</v>
      </c>
      <c r="F72" s="24" t="s">
        <v>416</v>
      </c>
      <c r="G72" s="15" t="s">
        <v>154</v>
      </c>
      <c r="H72" s="15" t="s">
        <v>901</v>
      </c>
      <c r="I72" s="69">
        <v>192</v>
      </c>
      <c r="J72" s="15" t="s">
        <v>1802</v>
      </c>
      <c r="K72" s="15" t="s">
        <v>903</v>
      </c>
      <c r="L72" s="15" t="s">
        <v>1513</v>
      </c>
      <c r="M72" s="15" t="s">
        <v>1495</v>
      </c>
      <c r="N72" s="15" t="s">
        <v>1513</v>
      </c>
      <c r="O72" s="15"/>
    </row>
    <row r="73" spans="1:15" ht="18" customHeight="1" x14ac:dyDescent="0.3">
      <c r="A73" s="29">
        <v>72</v>
      </c>
      <c r="B73" s="15" t="s">
        <v>214</v>
      </c>
      <c r="C73" s="15" t="s">
        <v>6</v>
      </c>
      <c r="D73" s="69">
        <v>3</v>
      </c>
      <c r="E73" s="68" t="s">
        <v>3239</v>
      </c>
      <c r="F73" s="24" t="s">
        <v>416</v>
      </c>
      <c r="G73" s="15" t="s">
        <v>154</v>
      </c>
      <c r="H73" s="15" t="s">
        <v>904</v>
      </c>
      <c r="I73" s="69">
        <v>172</v>
      </c>
      <c r="J73" s="15" t="s">
        <v>1802</v>
      </c>
      <c r="K73" s="15" t="s">
        <v>903</v>
      </c>
      <c r="L73" s="15" t="s">
        <v>1513</v>
      </c>
      <c r="M73" s="15" t="s">
        <v>1495</v>
      </c>
      <c r="N73" s="15" t="s">
        <v>1513</v>
      </c>
      <c r="O73" s="15"/>
    </row>
    <row r="74" spans="1:15" ht="18" customHeight="1" x14ac:dyDescent="0.3">
      <c r="A74" s="29">
        <v>73</v>
      </c>
      <c r="B74" s="15" t="s">
        <v>214</v>
      </c>
      <c r="C74" s="15" t="s">
        <v>6</v>
      </c>
      <c r="D74" s="69">
        <v>3</v>
      </c>
      <c r="E74" s="68" t="s">
        <v>3239</v>
      </c>
      <c r="F74" s="24" t="s">
        <v>416</v>
      </c>
      <c r="G74" s="15" t="s">
        <v>154</v>
      </c>
      <c r="H74" s="15" t="s">
        <v>2680</v>
      </c>
      <c r="I74" s="69">
        <v>411</v>
      </c>
      <c r="J74" s="15" t="s">
        <v>1495</v>
      </c>
      <c r="K74" s="15" t="s">
        <v>1495</v>
      </c>
      <c r="L74" s="15" t="s">
        <v>1513</v>
      </c>
      <c r="M74" s="15" t="s">
        <v>1495</v>
      </c>
      <c r="N74" s="15" t="s">
        <v>1513</v>
      </c>
      <c r="O74" s="15" t="s">
        <v>2707</v>
      </c>
    </row>
    <row r="75" spans="1:15" ht="18" customHeight="1" x14ac:dyDescent="0.3">
      <c r="A75" s="29">
        <v>74</v>
      </c>
      <c r="B75" s="15" t="s">
        <v>214</v>
      </c>
      <c r="C75" s="15" t="s">
        <v>6</v>
      </c>
      <c r="D75" s="69">
        <v>3</v>
      </c>
      <c r="E75" s="68" t="s">
        <v>3239</v>
      </c>
      <c r="F75" s="24" t="s">
        <v>416</v>
      </c>
      <c r="G75" s="15" t="s">
        <v>154</v>
      </c>
      <c r="H75" s="15" t="s">
        <v>907</v>
      </c>
      <c r="I75" s="69">
        <v>186</v>
      </c>
      <c r="J75" s="15" t="s">
        <v>1802</v>
      </c>
      <c r="K75" s="15" t="s">
        <v>903</v>
      </c>
      <c r="L75" s="15" t="s">
        <v>1513</v>
      </c>
      <c r="M75" s="15" t="s">
        <v>1495</v>
      </c>
      <c r="N75" s="15" t="s">
        <v>1513</v>
      </c>
      <c r="O75" s="15"/>
    </row>
    <row r="76" spans="1:15" ht="18" customHeight="1" x14ac:dyDescent="0.3">
      <c r="A76" s="29">
        <v>75</v>
      </c>
      <c r="B76" s="15" t="s">
        <v>214</v>
      </c>
      <c r="C76" s="15" t="s">
        <v>6</v>
      </c>
      <c r="D76" s="69">
        <v>3</v>
      </c>
      <c r="E76" s="68" t="s">
        <v>3239</v>
      </c>
      <c r="F76" s="24" t="s">
        <v>416</v>
      </c>
      <c r="G76" s="15" t="s">
        <v>154</v>
      </c>
      <c r="H76" s="15" t="s">
        <v>908</v>
      </c>
      <c r="I76" s="69">
        <v>200</v>
      </c>
      <c r="J76" s="15" t="s">
        <v>1802</v>
      </c>
      <c r="K76" s="15" t="s">
        <v>903</v>
      </c>
      <c r="L76" s="15" t="s">
        <v>1513</v>
      </c>
      <c r="M76" s="15" t="s">
        <v>1495</v>
      </c>
      <c r="N76" s="15" t="s">
        <v>1513</v>
      </c>
      <c r="O76" s="15"/>
    </row>
    <row r="77" spans="1:15" ht="18" customHeight="1" x14ac:dyDescent="0.3">
      <c r="A77" s="29">
        <v>76</v>
      </c>
      <c r="B77" s="15" t="s">
        <v>214</v>
      </c>
      <c r="C77" s="15" t="s">
        <v>6</v>
      </c>
      <c r="D77" s="69">
        <v>3</v>
      </c>
      <c r="E77" s="68" t="s">
        <v>3239</v>
      </c>
      <c r="F77" s="24" t="s">
        <v>416</v>
      </c>
      <c r="G77" s="15" t="s">
        <v>154</v>
      </c>
      <c r="H77" s="15" t="s">
        <v>909</v>
      </c>
      <c r="I77" s="69">
        <v>201</v>
      </c>
      <c r="J77" s="15" t="s">
        <v>1802</v>
      </c>
      <c r="K77" s="15" t="s">
        <v>903</v>
      </c>
      <c r="L77" s="15" t="s">
        <v>1513</v>
      </c>
      <c r="M77" s="15" t="s">
        <v>1495</v>
      </c>
      <c r="N77" s="15" t="s">
        <v>1513</v>
      </c>
      <c r="O77" s="15"/>
    </row>
    <row r="78" spans="1:15" ht="18" customHeight="1" x14ac:dyDescent="0.3">
      <c r="A78" s="29">
        <v>77</v>
      </c>
      <c r="B78" s="15" t="s">
        <v>214</v>
      </c>
      <c r="C78" s="15" t="s">
        <v>6</v>
      </c>
      <c r="D78" s="69">
        <v>3</v>
      </c>
      <c r="E78" s="68" t="s">
        <v>3239</v>
      </c>
      <c r="F78" s="24" t="s">
        <v>416</v>
      </c>
      <c r="G78" s="15" t="s">
        <v>154</v>
      </c>
      <c r="H78" s="15" t="s">
        <v>941</v>
      </c>
      <c r="I78" s="69">
        <v>194</v>
      </c>
      <c r="J78" s="15" t="s">
        <v>1495</v>
      </c>
      <c r="K78" s="15" t="s">
        <v>903</v>
      </c>
      <c r="L78" s="15" t="s">
        <v>1513</v>
      </c>
      <c r="M78" s="15" t="s">
        <v>1495</v>
      </c>
      <c r="N78" s="15" t="s">
        <v>1513</v>
      </c>
      <c r="O78" s="15" t="s">
        <v>2707</v>
      </c>
    </row>
    <row r="79" spans="1:15" ht="18" customHeight="1" x14ac:dyDescent="0.3">
      <c r="A79" s="29">
        <v>78</v>
      </c>
      <c r="B79" s="15" t="s">
        <v>214</v>
      </c>
      <c r="C79" s="15" t="s">
        <v>6</v>
      </c>
      <c r="D79" s="69">
        <v>3</v>
      </c>
      <c r="E79" s="68" t="s">
        <v>3239</v>
      </c>
      <c r="F79" s="24" t="s">
        <v>416</v>
      </c>
      <c r="G79" s="15" t="s">
        <v>154</v>
      </c>
      <c r="H79" s="15" t="s">
        <v>980</v>
      </c>
      <c r="I79" s="69">
        <v>214</v>
      </c>
      <c r="J79" s="15" t="s">
        <v>1495</v>
      </c>
      <c r="K79" s="15" t="s">
        <v>903</v>
      </c>
      <c r="L79" s="15" t="s">
        <v>1513</v>
      </c>
      <c r="M79" s="15" t="s">
        <v>1495</v>
      </c>
      <c r="N79" s="15" t="s">
        <v>1513</v>
      </c>
      <c r="O79" s="15"/>
    </row>
    <row r="80" spans="1:15" ht="18" customHeight="1" x14ac:dyDescent="0.3">
      <c r="A80" s="29">
        <v>79</v>
      </c>
      <c r="B80" s="15" t="s">
        <v>214</v>
      </c>
      <c r="C80" s="15" t="s">
        <v>6</v>
      </c>
      <c r="D80" s="69">
        <v>3</v>
      </c>
      <c r="E80" s="68" t="s">
        <v>3239</v>
      </c>
      <c r="F80" s="24" t="s">
        <v>416</v>
      </c>
      <c r="G80" s="15" t="s">
        <v>154</v>
      </c>
      <c r="H80" s="15" t="s">
        <v>986</v>
      </c>
      <c r="I80" s="69">
        <v>210</v>
      </c>
      <c r="J80" s="15" t="s">
        <v>1495</v>
      </c>
      <c r="K80" s="15" t="s">
        <v>903</v>
      </c>
      <c r="L80" s="15" t="s">
        <v>1513</v>
      </c>
      <c r="M80" s="15" t="s">
        <v>1495</v>
      </c>
      <c r="N80" s="15" t="s">
        <v>1513</v>
      </c>
      <c r="O80" s="15"/>
    </row>
    <row r="81" spans="1:15" ht="18" customHeight="1" x14ac:dyDescent="0.3">
      <c r="A81" s="29">
        <v>80</v>
      </c>
      <c r="B81" s="15" t="s">
        <v>214</v>
      </c>
      <c r="C81" s="15" t="s">
        <v>6</v>
      </c>
      <c r="D81" s="69">
        <v>3</v>
      </c>
      <c r="E81" s="68" t="s">
        <v>3239</v>
      </c>
      <c r="F81" s="24" t="s">
        <v>416</v>
      </c>
      <c r="G81" s="15" t="s">
        <v>154</v>
      </c>
      <c r="H81" s="15" t="s">
        <v>2708</v>
      </c>
      <c r="I81" s="69">
        <v>247</v>
      </c>
      <c r="J81" s="15" t="s">
        <v>1495</v>
      </c>
      <c r="K81" s="15" t="s">
        <v>1503</v>
      </c>
      <c r="L81" s="15" t="s">
        <v>1513</v>
      </c>
      <c r="M81" s="15" t="s">
        <v>1495</v>
      </c>
      <c r="N81" s="15" t="s">
        <v>1513</v>
      </c>
      <c r="O81" s="15"/>
    </row>
    <row r="82" spans="1:15" ht="18" customHeight="1" x14ac:dyDescent="0.3">
      <c r="A82" s="29">
        <v>81</v>
      </c>
      <c r="B82" s="15" t="s">
        <v>214</v>
      </c>
      <c r="C82" s="15" t="s">
        <v>6</v>
      </c>
      <c r="D82" s="69">
        <v>3</v>
      </c>
      <c r="E82" s="68" t="s">
        <v>3239</v>
      </c>
      <c r="F82" s="24" t="s">
        <v>416</v>
      </c>
      <c r="G82" s="15" t="s">
        <v>154</v>
      </c>
      <c r="H82" s="15" t="s">
        <v>2709</v>
      </c>
      <c r="I82" s="69">
        <v>166</v>
      </c>
      <c r="J82" s="15" t="s">
        <v>1495</v>
      </c>
      <c r="K82" s="15" t="s">
        <v>1495</v>
      </c>
      <c r="L82" s="15" t="s">
        <v>1513</v>
      </c>
      <c r="M82" s="15" t="s">
        <v>1495</v>
      </c>
      <c r="N82" s="15" t="s">
        <v>1513</v>
      </c>
      <c r="O82" s="15"/>
    </row>
    <row r="83" spans="1:15" ht="18" customHeight="1" x14ac:dyDescent="0.3">
      <c r="A83" s="29">
        <v>82</v>
      </c>
      <c r="B83" s="15" t="s">
        <v>214</v>
      </c>
      <c r="C83" s="15" t="s">
        <v>6</v>
      </c>
      <c r="D83" s="69">
        <v>3</v>
      </c>
      <c r="E83" s="68" t="s">
        <v>3239</v>
      </c>
      <c r="F83" s="24" t="s">
        <v>416</v>
      </c>
      <c r="G83" s="15" t="s">
        <v>154</v>
      </c>
      <c r="H83" s="15" t="s">
        <v>972</v>
      </c>
      <c r="I83" s="69">
        <v>126</v>
      </c>
      <c r="J83" s="15" t="s">
        <v>1495</v>
      </c>
      <c r="K83" s="15" t="s">
        <v>903</v>
      </c>
      <c r="L83" s="15" t="s">
        <v>1513</v>
      </c>
      <c r="M83" s="15" t="s">
        <v>1495</v>
      </c>
      <c r="N83" s="15" t="s">
        <v>1513</v>
      </c>
      <c r="O83" s="15"/>
    </row>
    <row r="84" spans="1:15" ht="18" customHeight="1" x14ac:dyDescent="0.3">
      <c r="A84" s="29">
        <v>83</v>
      </c>
      <c r="B84" s="15" t="s">
        <v>214</v>
      </c>
      <c r="C84" s="15" t="s">
        <v>6</v>
      </c>
      <c r="D84" s="69">
        <v>3</v>
      </c>
      <c r="E84" s="68" t="s">
        <v>3239</v>
      </c>
      <c r="F84" s="24" t="s">
        <v>416</v>
      </c>
      <c r="G84" s="15" t="s">
        <v>154</v>
      </c>
      <c r="H84" s="15" t="s">
        <v>1249</v>
      </c>
      <c r="I84" s="69">
        <v>134</v>
      </c>
      <c r="J84" s="15" t="s">
        <v>1495</v>
      </c>
      <c r="K84" s="15" t="s">
        <v>903</v>
      </c>
      <c r="L84" s="15" t="s">
        <v>1513</v>
      </c>
      <c r="M84" s="15" t="s">
        <v>1802</v>
      </c>
      <c r="N84" s="15" t="s">
        <v>1530</v>
      </c>
      <c r="O84" s="15"/>
    </row>
    <row r="85" spans="1:15" ht="18" customHeight="1" x14ac:dyDescent="0.3">
      <c r="A85" s="29">
        <v>84</v>
      </c>
      <c r="B85" s="15" t="s">
        <v>214</v>
      </c>
      <c r="C85" s="15" t="s">
        <v>6</v>
      </c>
      <c r="D85" s="69">
        <v>3</v>
      </c>
      <c r="E85" s="68" t="s">
        <v>3239</v>
      </c>
      <c r="F85" s="24" t="s">
        <v>2710</v>
      </c>
      <c r="G85" s="15" t="s">
        <v>154</v>
      </c>
      <c r="H85" s="15" t="s">
        <v>969</v>
      </c>
      <c r="I85" s="69">
        <v>170</v>
      </c>
      <c r="J85" s="15" t="s">
        <v>1495</v>
      </c>
      <c r="K85" s="15" t="s">
        <v>902</v>
      </c>
      <c r="L85" s="15" t="s">
        <v>1069</v>
      </c>
      <c r="M85" s="15" t="s">
        <v>1495</v>
      </c>
      <c r="N85" s="15" t="s">
        <v>1513</v>
      </c>
      <c r="O85" s="15"/>
    </row>
    <row r="86" spans="1:15" ht="18" customHeight="1" x14ac:dyDescent="0.3">
      <c r="A86" s="29">
        <v>85</v>
      </c>
      <c r="B86" s="15" t="s">
        <v>214</v>
      </c>
      <c r="C86" s="15" t="s">
        <v>6</v>
      </c>
      <c r="D86" s="69">
        <v>3</v>
      </c>
      <c r="E86" s="68" t="s">
        <v>3239</v>
      </c>
      <c r="F86" s="24" t="s">
        <v>2710</v>
      </c>
      <c r="G86" s="15" t="s">
        <v>154</v>
      </c>
      <c r="H86" s="15" t="s">
        <v>970</v>
      </c>
      <c r="I86" s="69">
        <v>142</v>
      </c>
      <c r="J86" s="15" t="s">
        <v>1495</v>
      </c>
      <c r="K86" s="15" t="s">
        <v>902</v>
      </c>
      <c r="L86" s="15" t="s">
        <v>1069</v>
      </c>
      <c r="M86" s="15" t="s">
        <v>1495</v>
      </c>
      <c r="N86" s="15" t="s">
        <v>1513</v>
      </c>
      <c r="O86" s="15"/>
    </row>
    <row r="87" spans="1:15" ht="18" customHeight="1" x14ac:dyDescent="0.3">
      <c r="A87" s="29">
        <v>86</v>
      </c>
      <c r="B87" s="15" t="s">
        <v>214</v>
      </c>
      <c r="C87" s="15" t="s">
        <v>6</v>
      </c>
      <c r="D87" s="69">
        <v>3</v>
      </c>
      <c r="E87" s="68" t="s">
        <v>3239</v>
      </c>
      <c r="F87" s="24" t="s">
        <v>2710</v>
      </c>
      <c r="G87" s="15" t="s">
        <v>154</v>
      </c>
      <c r="H87" s="15" t="s">
        <v>2711</v>
      </c>
      <c r="I87" s="69">
        <v>144</v>
      </c>
      <c r="J87" s="15" t="s">
        <v>1802</v>
      </c>
      <c r="K87" s="15" t="s">
        <v>902</v>
      </c>
      <c r="L87" s="15" t="s">
        <v>208</v>
      </c>
      <c r="M87" s="15" t="s">
        <v>1495</v>
      </c>
      <c r="N87" s="15" t="s">
        <v>1513</v>
      </c>
      <c r="O87" s="15"/>
    </row>
    <row r="88" spans="1:15" ht="18" customHeight="1" x14ac:dyDescent="0.3">
      <c r="A88" s="29">
        <v>87</v>
      </c>
      <c r="B88" s="15" t="s">
        <v>214</v>
      </c>
      <c r="C88" s="15" t="s">
        <v>6</v>
      </c>
      <c r="D88" s="69">
        <v>3</v>
      </c>
      <c r="E88" s="68" t="s">
        <v>3239</v>
      </c>
      <c r="F88" s="24" t="s">
        <v>2710</v>
      </c>
      <c r="G88" s="15" t="s">
        <v>154</v>
      </c>
      <c r="H88" s="15" t="s">
        <v>2712</v>
      </c>
      <c r="I88" s="69">
        <v>40</v>
      </c>
      <c r="J88" s="15" t="s">
        <v>1495</v>
      </c>
      <c r="K88" s="15" t="s">
        <v>902</v>
      </c>
      <c r="L88" s="15" t="s">
        <v>2713</v>
      </c>
      <c r="M88" s="15" t="s">
        <v>1495</v>
      </c>
      <c r="N88" s="15" t="s">
        <v>1513</v>
      </c>
      <c r="O88" s="15"/>
    </row>
    <row r="89" spans="1:15" ht="18" customHeight="1" x14ac:dyDescent="0.3">
      <c r="A89" s="29">
        <v>88</v>
      </c>
      <c r="B89" s="15" t="s">
        <v>214</v>
      </c>
      <c r="C89" s="15" t="s">
        <v>6</v>
      </c>
      <c r="D89" s="69">
        <v>3</v>
      </c>
      <c r="E89" s="68" t="s">
        <v>3239</v>
      </c>
      <c r="F89" s="24" t="s">
        <v>2710</v>
      </c>
      <c r="G89" s="15" t="s">
        <v>154</v>
      </c>
      <c r="H89" s="15" t="s">
        <v>2714</v>
      </c>
      <c r="I89" s="69">
        <v>624</v>
      </c>
      <c r="J89" s="15" t="s">
        <v>1802</v>
      </c>
      <c r="K89" s="15" t="s">
        <v>902</v>
      </c>
      <c r="L89" s="15" t="s">
        <v>2715</v>
      </c>
      <c r="M89" s="15" t="s">
        <v>1495</v>
      </c>
      <c r="N89" s="15" t="s">
        <v>1513</v>
      </c>
      <c r="O89" s="15"/>
    </row>
    <row r="90" spans="1:15" ht="18" customHeight="1" x14ac:dyDescent="0.3">
      <c r="A90" s="29">
        <v>89</v>
      </c>
      <c r="B90" s="15" t="s">
        <v>214</v>
      </c>
      <c r="C90" s="15" t="s">
        <v>6</v>
      </c>
      <c r="D90" s="69">
        <v>3</v>
      </c>
      <c r="E90" s="68" t="s">
        <v>3240</v>
      </c>
      <c r="F90" s="24" t="s">
        <v>2710</v>
      </c>
      <c r="G90" s="15" t="s">
        <v>154</v>
      </c>
      <c r="H90" s="15" t="s">
        <v>2716</v>
      </c>
      <c r="I90" s="69">
        <v>50</v>
      </c>
      <c r="J90" s="15" t="s">
        <v>1802</v>
      </c>
      <c r="K90" s="15" t="s">
        <v>902</v>
      </c>
      <c r="L90" s="15" t="s">
        <v>2717</v>
      </c>
      <c r="M90" s="15" t="s">
        <v>1495</v>
      </c>
      <c r="N90" s="15" t="s">
        <v>1513</v>
      </c>
      <c r="O90" s="15"/>
    </row>
    <row r="91" spans="1:15" ht="18" customHeight="1" x14ac:dyDescent="0.3">
      <c r="A91" s="29">
        <v>90</v>
      </c>
      <c r="B91" s="15" t="s">
        <v>214</v>
      </c>
      <c r="C91" s="15" t="s">
        <v>6</v>
      </c>
      <c r="D91" s="69">
        <v>3</v>
      </c>
      <c r="E91" s="68" t="s">
        <v>3240</v>
      </c>
      <c r="F91" s="24" t="s">
        <v>2710</v>
      </c>
      <c r="G91" s="15" t="s">
        <v>154</v>
      </c>
      <c r="H91" s="15" t="s">
        <v>2718</v>
      </c>
      <c r="I91" s="69">
        <v>64</v>
      </c>
      <c r="J91" s="15" t="s">
        <v>1802</v>
      </c>
      <c r="K91" s="15" t="s">
        <v>902</v>
      </c>
      <c r="L91" s="15" t="s">
        <v>1043</v>
      </c>
      <c r="M91" s="15" t="s">
        <v>1495</v>
      </c>
      <c r="N91" s="15" t="s">
        <v>1513</v>
      </c>
      <c r="O91" s="15"/>
    </row>
    <row r="92" spans="1:15" ht="18" customHeight="1" x14ac:dyDescent="0.3">
      <c r="A92" s="29">
        <v>91</v>
      </c>
      <c r="B92" s="15" t="s">
        <v>214</v>
      </c>
      <c r="C92" s="15" t="s">
        <v>7</v>
      </c>
      <c r="D92" s="69">
        <v>4</v>
      </c>
      <c r="E92" s="68" t="s">
        <v>3241</v>
      </c>
      <c r="F92" s="24" t="s">
        <v>403</v>
      </c>
      <c r="G92" s="15" t="s">
        <v>154</v>
      </c>
      <c r="H92" s="15" t="s">
        <v>901</v>
      </c>
      <c r="I92" s="69">
        <v>107</v>
      </c>
      <c r="J92" s="15" t="s">
        <v>1802</v>
      </c>
      <c r="K92" s="15" t="s">
        <v>903</v>
      </c>
      <c r="L92" s="15" t="s">
        <v>1513</v>
      </c>
      <c r="M92" s="15" t="s">
        <v>1495</v>
      </c>
      <c r="N92" s="15" t="s">
        <v>1513</v>
      </c>
      <c r="O92" s="15"/>
    </row>
    <row r="93" spans="1:15" ht="18" customHeight="1" x14ac:dyDescent="0.3">
      <c r="A93" s="29">
        <v>92</v>
      </c>
      <c r="B93" s="15" t="s">
        <v>214</v>
      </c>
      <c r="C93" s="15" t="s">
        <v>7</v>
      </c>
      <c r="D93" s="69">
        <v>4</v>
      </c>
      <c r="E93" s="68" t="s">
        <v>3241</v>
      </c>
      <c r="F93" s="24" t="s">
        <v>403</v>
      </c>
      <c r="G93" s="15" t="s">
        <v>154</v>
      </c>
      <c r="H93" s="15" t="s">
        <v>904</v>
      </c>
      <c r="I93" s="69">
        <v>108</v>
      </c>
      <c r="J93" s="15" t="s">
        <v>1802</v>
      </c>
      <c r="K93" s="15" t="s">
        <v>903</v>
      </c>
      <c r="L93" s="15" t="s">
        <v>1513</v>
      </c>
      <c r="M93" s="15" t="s">
        <v>1495</v>
      </c>
      <c r="N93" s="15" t="s">
        <v>1513</v>
      </c>
      <c r="O93" s="15"/>
    </row>
    <row r="94" spans="1:15" ht="18" customHeight="1" x14ac:dyDescent="0.3">
      <c r="A94" s="29">
        <v>93</v>
      </c>
      <c r="B94" s="15" t="s">
        <v>214</v>
      </c>
      <c r="C94" s="15" t="s">
        <v>7</v>
      </c>
      <c r="D94" s="69">
        <v>4</v>
      </c>
      <c r="E94" s="68" t="s">
        <v>3241</v>
      </c>
      <c r="F94" s="24" t="s">
        <v>403</v>
      </c>
      <c r="G94" s="15" t="s">
        <v>154</v>
      </c>
      <c r="H94" s="15" t="s">
        <v>907</v>
      </c>
      <c r="I94" s="69">
        <v>238</v>
      </c>
      <c r="J94" s="15" t="s">
        <v>1802</v>
      </c>
      <c r="K94" s="15" t="s">
        <v>903</v>
      </c>
      <c r="L94" s="15" t="s">
        <v>1513</v>
      </c>
      <c r="M94" s="15" t="s">
        <v>1495</v>
      </c>
      <c r="N94" s="15" t="s">
        <v>1513</v>
      </c>
      <c r="O94" s="15"/>
    </row>
    <row r="95" spans="1:15" ht="18" customHeight="1" x14ac:dyDescent="0.3">
      <c r="A95" s="29">
        <v>94</v>
      </c>
      <c r="B95" s="15" t="s">
        <v>214</v>
      </c>
      <c r="C95" s="15" t="s">
        <v>7</v>
      </c>
      <c r="D95" s="69">
        <v>4</v>
      </c>
      <c r="E95" s="68" t="s">
        <v>3241</v>
      </c>
      <c r="F95" s="24" t="s">
        <v>403</v>
      </c>
      <c r="G95" s="15" t="s">
        <v>154</v>
      </c>
      <c r="H95" s="15" t="s">
        <v>909</v>
      </c>
      <c r="I95" s="69">
        <v>282</v>
      </c>
      <c r="J95" s="15" t="s">
        <v>1802</v>
      </c>
      <c r="K95" s="15" t="s">
        <v>903</v>
      </c>
      <c r="L95" s="15" t="s">
        <v>1513</v>
      </c>
      <c r="M95" s="15" t="s">
        <v>1495</v>
      </c>
      <c r="N95" s="15" t="s">
        <v>1513</v>
      </c>
      <c r="O95" s="15"/>
    </row>
    <row r="96" spans="1:15" ht="18" customHeight="1" x14ac:dyDescent="0.3">
      <c r="A96" s="29">
        <v>95</v>
      </c>
      <c r="B96" s="15" t="s">
        <v>214</v>
      </c>
      <c r="C96" s="15" t="s">
        <v>7</v>
      </c>
      <c r="D96" s="69">
        <v>4</v>
      </c>
      <c r="E96" s="68" t="s">
        <v>3241</v>
      </c>
      <c r="F96" s="24" t="s">
        <v>403</v>
      </c>
      <c r="G96" s="15" t="s">
        <v>154</v>
      </c>
      <c r="H96" s="15" t="s">
        <v>910</v>
      </c>
      <c r="I96" s="69">
        <v>326</v>
      </c>
      <c r="J96" s="15" t="s">
        <v>1802</v>
      </c>
      <c r="K96" s="15" t="s">
        <v>903</v>
      </c>
      <c r="L96" s="15" t="s">
        <v>1513</v>
      </c>
      <c r="M96" s="15" t="s">
        <v>1495</v>
      </c>
      <c r="N96" s="15" t="s">
        <v>1513</v>
      </c>
      <c r="O96" s="15"/>
    </row>
    <row r="97" spans="1:15" ht="18" customHeight="1" x14ac:dyDescent="0.3">
      <c r="A97" s="29">
        <v>96</v>
      </c>
      <c r="B97" s="15" t="s">
        <v>214</v>
      </c>
      <c r="C97" s="15" t="s">
        <v>7</v>
      </c>
      <c r="D97" s="69">
        <v>4</v>
      </c>
      <c r="E97" s="68" t="s">
        <v>3241</v>
      </c>
      <c r="F97" s="24" t="s">
        <v>2719</v>
      </c>
      <c r="G97" s="15" t="s">
        <v>154</v>
      </c>
      <c r="H97" s="15" t="s">
        <v>906</v>
      </c>
      <c r="I97" s="69">
        <v>214</v>
      </c>
      <c r="J97" s="15" t="s">
        <v>1802</v>
      </c>
      <c r="K97" s="15" t="s">
        <v>902</v>
      </c>
      <c r="L97" s="15" t="s">
        <v>1069</v>
      </c>
      <c r="M97" s="15" t="s">
        <v>1495</v>
      </c>
      <c r="N97" s="15" t="s">
        <v>1513</v>
      </c>
      <c r="O97" s="15"/>
    </row>
    <row r="98" spans="1:15" ht="18" customHeight="1" x14ac:dyDescent="0.3">
      <c r="A98" s="29">
        <v>97</v>
      </c>
      <c r="B98" s="15" t="s">
        <v>214</v>
      </c>
      <c r="C98" s="15" t="s">
        <v>7</v>
      </c>
      <c r="D98" s="69">
        <v>4</v>
      </c>
      <c r="E98" s="68" t="s">
        <v>3241</v>
      </c>
      <c r="F98" s="24" t="s">
        <v>2719</v>
      </c>
      <c r="G98" s="15" t="s">
        <v>154</v>
      </c>
      <c r="H98" s="15" t="s">
        <v>983</v>
      </c>
      <c r="I98" s="69">
        <v>112</v>
      </c>
      <c r="J98" s="15" t="s">
        <v>1802</v>
      </c>
      <c r="K98" s="15" t="s">
        <v>902</v>
      </c>
      <c r="L98" s="15" t="s">
        <v>1797</v>
      </c>
      <c r="M98" s="15" t="s">
        <v>1495</v>
      </c>
      <c r="N98" s="15" t="s">
        <v>1513</v>
      </c>
      <c r="O98" s="15"/>
    </row>
    <row r="99" spans="1:15" ht="18" customHeight="1" x14ac:dyDescent="0.3">
      <c r="A99" s="29">
        <v>98</v>
      </c>
      <c r="B99" s="15" t="s">
        <v>214</v>
      </c>
      <c r="C99" s="15" t="s">
        <v>7</v>
      </c>
      <c r="D99" s="69">
        <v>4</v>
      </c>
      <c r="E99" s="68" t="s">
        <v>3241</v>
      </c>
      <c r="F99" s="24" t="s">
        <v>2719</v>
      </c>
      <c r="G99" s="15" t="s">
        <v>154</v>
      </c>
      <c r="H99" s="15" t="s">
        <v>1073</v>
      </c>
      <c r="I99" s="69">
        <v>50</v>
      </c>
      <c r="J99" s="15" t="s">
        <v>1802</v>
      </c>
      <c r="K99" s="15" t="s">
        <v>1802</v>
      </c>
      <c r="L99" s="15" t="s">
        <v>2720</v>
      </c>
      <c r="M99" s="15" t="s">
        <v>1495</v>
      </c>
      <c r="N99" s="15" t="s">
        <v>1513</v>
      </c>
      <c r="O99" s="15"/>
    </row>
    <row r="100" spans="1:15" ht="18" customHeight="1" x14ac:dyDescent="0.3">
      <c r="A100" s="29">
        <v>99</v>
      </c>
      <c r="B100" s="15" t="s">
        <v>214</v>
      </c>
      <c r="C100" s="15" t="s">
        <v>7</v>
      </c>
      <c r="D100" s="69">
        <v>4</v>
      </c>
      <c r="E100" s="68" t="s">
        <v>3241</v>
      </c>
      <c r="F100" s="24" t="s">
        <v>2719</v>
      </c>
      <c r="G100" s="15" t="s">
        <v>154</v>
      </c>
      <c r="H100" s="15" t="s">
        <v>1252</v>
      </c>
      <c r="I100" s="69">
        <v>30</v>
      </c>
      <c r="J100" s="15" t="s">
        <v>1495</v>
      </c>
      <c r="K100" s="15" t="s">
        <v>902</v>
      </c>
      <c r="L100" s="15" t="s">
        <v>2713</v>
      </c>
      <c r="M100" s="15" t="s">
        <v>1495</v>
      </c>
      <c r="N100" s="15" t="s">
        <v>1513</v>
      </c>
      <c r="O100" s="15"/>
    </row>
    <row r="101" spans="1:15" ht="18" customHeight="1" x14ac:dyDescent="0.3">
      <c r="A101" s="29">
        <v>100</v>
      </c>
      <c r="B101" s="15" t="s">
        <v>214</v>
      </c>
      <c r="C101" s="15" t="s">
        <v>7</v>
      </c>
      <c r="D101" s="69">
        <v>4</v>
      </c>
      <c r="E101" s="68" t="s">
        <v>3241</v>
      </c>
      <c r="F101" s="24" t="s">
        <v>2719</v>
      </c>
      <c r="G101" s="15" t="s">
        <v>154</v>
      </c>
      <c r="H101" s="15" t="s">
        <v>979</v>
      </c>
      <c r="I101" s="69">
        <v>303</v>
      </c>
      <c r="J101" s="15" t="s">
        <v>1802</v>
      </c>
      <c r="K101" s="15" t="s">
        <v>902</v>
      </c>
      <c r="L101" s="15" t="s">
        <v>2715</v>
      </c>
      <c r="M101" s="15" t="s">
        <v>1495</v>
      </c>
      <c r="N101" s="15" t="s">
        <v>1513</v>
      </c>
      <c r="O101" s="15"/>
    </row>
    <row r="102" spans="1:15" ht="18" customHeight="1" x14ac:dyDescent="0.3">
      <c r="A102" s="29">
        <v>101</v>
      </c>
      <c r="B102" s="15" t="s">
        <v>214</v>
      </c>
      <c r="C102" s="15" t="s">
        <v>7</v>
      </c>
      <c r="D102" s="69">
        <v>4</v>
      </c>
      <c r="E102" s="68" t="s">
        <v>2721</v>
      </c>
      <c r="F102" s="24" t="s">
        <v>2722</v>
      </c>
      <c r="G102" s="15" t="s">
        <v>154</v>
      </c>
      <c r="H102" s="15" t="s">
        <v>901</v>
      </c>
      <c r="I102" s="69">
        <v>154</v>
      </c>
      <c r="J102" s="15" t="s">
        <v>1495</v>
      </c>
      <c r="K102" s="15" t="s">
        <v>903</v>
      </c>
      <c r="L102" s="15" t="s">
        <v>1513</v>
      </c>
      <c r="M102" s="15" t="s">
        <v>1495</v>
      </c>
      <c r="N102" s="15" t="s">
        <v>1513</v>
      </c>
      <c r="O102" s="15"/>
    </row>
    <row r="103" spans="1:15" ht="18" customHeight="1" x14ac:dyDescent="0.3">
      <c r="A103" s="29">
        <v>102</v>
      </c>
      <c r="B103" s="15" t="s">
        <v>214</v>
      </c>
      <c r="C103" s="15" t="s">
        <v>7</v>
      </c>
      <c r="D103" s="69">
        <v>4</v>
      </c>
      <c r="E103" s="68" t="s">
        <v>2721</v>
      </c>
      <c r="F103" s="24" t="s">
        <v>2722</v>
      </c>
      <c r="G103" s="15" t="s">
        <v>154</v>
      </c>
      <c r="H103" s="15" t="s">
        <v>904</v>
      </c>
      <c r="I103" s="69">
        <v>170</v>
      </c>
      <c r="J103" s="15" t="s">
        <v>1495</v>
      </c>
      <c r="K103" s="15" t="s">
        <v>903</v>
      </c>
      <c r="L103" s="15" t="s">
        <v>1513</v>
      </c>
      <c r="M103" s="15" t="s">
        <v>1495</v>
      </c>
      <c r="N103" s="15" t="s">
        <v>1513</v>
      </c>
      <c r="O103" s="15"/>
    </row>
    <row r="104" spans="1:15" ht="18" customHeight="1" x14ac:dyDescent="0.3">
      <c r="A104" s="29">
        <v>103</v>
      </c>
      <c r="B104" s="15" t="s">
        <v>214</v>
      </c>
      <c r="C104" s="15" t="s">
        <v>7</v>
      </c>
      <c r="D104" s="69">
        <v>4</v>
      </c>
      <c r="E104" s="68" t="s">
        <v>2721</v>
      </c>
      <c r="F104" s="24" t="s">
        <v>1141</v>
      </c>
      <c r="G104" s="15" t="s">
        <v>154</v>
      </c>
      <c r="H104" s="15" t="s">
        <v>906</v>
      </c>
      <c r="I104" s="69">
        <v>154</v>
      </c>
      <c r="J104" s="15" t="s">
        <v>1495</v>
      </c>
      <c r="K104" s="15" t="s">
        <v>1495</v>
      </c>
      <c r="L104" s="15" t="s">
        <v>1513</v>
      </c>
      <c r="M104" s="15" t="s">
        <v>1495</v>
      </c>
      <c r="N104" s="15" t="s">
        <v>1513</v>
      </c>
      <c r="O104" s="15"/>
    </row>
    <row r="105" spans="1:15" ht="18" customHeight="1" x14ac:dyDescent="0.3">
      <c r="A105" s="29">
        <v>104</v>
      </c>
      <c r="B105" s="15" t="s">
        <v>214</v>
      </c>
      <c r="C105" s="15" t="s">
        <v>7</v>
      </c>
      <c r="D105" s="69">
        <v>4</v>
      </c>
      <c r="E105" s="68" t="s">
        <v>2721</v>
      </c>
      <c r="F105" s="24" t="s">
        <v>1141</v>
      </c>
      <c r="G105" s="15" t="s">
        <v>154</v>
      </c>
      <c r="H105" s="15" t="s">
        <v>907</v>
      </c>
      <c r="I105" s="69">
        <v>170</v>
      </c>
      <c r="J105" s="15" t="s">
        <v>1495</v>
      </c>
      <c r="K105" s="15" t="s">
        <v>1495</v>
      </c>
      <c r="L105" s="15" t="s">
        <v>1513</v>
      </c>
      <c r="M105" s="15" t="s">
        <v>1495</v>
      </c>
      <c r="N105" s="15" t="s">
        <v>1513</v>
      </c>
      <c r="O105" s="15"/>
    </row>
    <row r="106" spans="1:15" ht="18" customHeight="1" x14ac:dyDescent="0.3">
      <c r="A106" s="29">
        <v>105</v>
      </c>
      <c r="B106" s="15" t="s">
        <v>214</v>
      </c>
      <c r="C106" s="15" t="s">
        <v>7</v>
      </c>
      <c r="D106" s="69">
        <v>4</v>
      </c>
      <c r="E106" s="68" t="s">
        <v>2721</v>
      </c>
      <c r="F106" s="24" t="s">
        <v>2722</v>
      </c>
      <c r="G106" s="15" t="s">
        <v>154</v>
      </c>
      <c r="H106" s="15" t="s">
        <v>2679</v>
      </c>
      <c r="I106" s="69">
        <v>279</v>
      </c>
      <c r="J106" s="15" t="s">
        <v>1495</v>
      </c>
      <c r="K106" s="15" t="s">
        <v>1802</v>
      </c>
      <c r="L106" s="15" t="s">
        <v>1852</v>
      </c>
      <c r="M106" s="15" t="s">
        <v>1495</v>
      </c>
      <c r="N106" s="15" t="s">
        <v>1513</v>
      </c>
      <c r="O106" s="15"/>
    </row>
    <row r="107" spans="1:15" ht="18" customHeight="1" x14ac:dyDescent="0.3">
      <c r="A107" s="29">
        <v>106</v>
      </c>
      <c r="B107" s="15" t="s">
        <v>214</v>
      </c>
      <c r="C107" s="15" t="s">
        <v>7</v>
      </c>
      <c r="D107" s="69">
        <v>4</v>
      </c>
      <c r="E107" s="68" t="s">
        <v>2721</v>
      </c>
      <c r="F107" s="24" t="s">
        <v>2722</v>
      </c>
      <c r="G107" s="15" t="s">
        <v>154</v>
      </c>
      <c r="H107" s="15" t="s">
        <v>1244</v>
      </c>
      <c r="I107" s="69">
        <v>68</v>
      </c>
      <c r="J107" s="15" t="s">
        <v>1495</v>
      </c>
      <c r="K107" s="15" t="s">
        <v>1802</v>
      </c>
      <c r="L107" s="15" t="s">
        <v>2723</v>
      </c>
      <c r="M107" s="15" t="s">
        <v>1495</v>
      </c>
      <c r="N107" s="15" t="s">
        <v>1513</v>
      </c>
      <c r="O107" s="15"/>
    </row>
    <row r="108" spans="1:15" ht="18" customHeight="1" x14ac:dyDescent="0.3">
      <c r="A108" s="29">
        <v>107</v>
      </c>
      <c r="B108" s="15" t="s">
        <v>214</v>
      </c>
      <c r="C108" s="15" t="s">
        <v>7</v>
      </c>
      <c r="D108" s="69">
        <v>4</v>
      </c>
      <c r="E108" s="68" t="s">
        <v>2721</v>
      </c>
      <c r="F108" s="24" t="s">
        <v>2722</v>
      </c>
      <c r="G108" s="15" t="s">
        <v>154</v>
      </c>
      <c r="H108" s="15" t="s">
        <v>2724</v>
      </c>
      <c r="I108" s="69">
        <v>46</v>
      </c>
      <c r="J108" s="15" t="s">
        <v>1495</v>
      </c>
      <c r="K108" s="15" t="s">
        <v>1802</v>
      </c>
      <c r="L108" s="15" t="s">
        <v>2723</v>
      </c>
      <c r="M108" s="15" t="s">
        <v>1495</v>
      </c>
      <c r="N108" s="15" t="s">
        <v>1513</v>
      </c>
      <c r="O108" s="15"/>
    </row>
    <row r="109" spans="1:15" ht="18" customHeight="1" x14ac:dyDescent="0.3">
      <c r="A109" s="29">
        <v>108</v>
      </c>
      <c r="B109" s="15" t="s">
        <v>214</v>
      </c>
      <c r="C109" s="15" t="s">
        <v>8</v>
      </c>
      <c r="D109" s="69">
        <v>5</v>
      </c>
      <c r="E109" s="68" t="s">
        <v>3242</v>
      </c>
      <c r="F109" s="24" t="s">
        <v>363</v>
      </c>
      <c r="G109" s="15" t="s">
        <v>154</v>
      </c>
      <c r="H109" s="15" t="s">
        <v>904</v>
      </c>
      <c r="I109" s="69">
        <v>218</v>
      </c>
      <c r="J109" s="15" t="s">
        <v>1802</v>
      </c>
      <c r="K109" s="15" t="s">
        <v>903</v>
      </c>
      <c r="L109" s="15" t="s">
        <v>1513</v>
      </c>
      <c r="M109" s="15" t="s">
        <v>1495</v>
      </c>
      <c r="N109" s="15" t="s">
        <v>1513</v>
      </c>
      <c r="O109" s="15"/>
    </row>
    <row r="110" spans="1:15" ht="18" customHeight="1" x14ac:dyDescent="0.3">
      <c r="A110" s="29">
        <v>109</v>
      </c>
      <c r="B110" s="15" t="s">
        <v>214</v>
      </c>
      <c r="C110" s="15" t="s">
        <v>8</v>
      </c>
      <c r="D110" s="69">
        <v>5</v>
      </c>
      <c r="E110" s="68" t="s">
        <v>3242</v>
      </c>
      <c r="F110" s="24" t="s">
        <v>363</v>
      </c>
      <c r="G110" s="15" t="s">
        <v>154</v>
      </c>
      <c r="H110" s="15" t="s">
        <v>905</v>
      </c>
      <c r="I110" s="69">
        <v>218</v>
      </c>
      <c r="J110" s="15" t="s">
        <v>1802</v>
      </c>
      <c r="K110" s="15" t="s">
        <v>903</v>
      </c>
      <c r="L110" s="15" t="s">
        <v>1513</v>
      </c>
      <c r="M110" s="15" t="s">
        <v>1495</v>
      </c>
      <c r="N110" s="15" t="s">
        <v>1513</v>
      </c>
      <c r="O110" s="15"/>
    </row>
    <row r="111" spans="1:15" ht="18" customHeight="1" x14ac:dyDescent="0.3">
      <c r="A111" s="29">
        <v>110</v>
      </c>
      <c r="B111" s="15" t="s">
        <v>214</v>
      </c>
      <c r="C111" s="15" t="s">
        <v>8</v>
      </c>
      <c r="D111" s="69">
        <v>5</v>
      </c>
      <c r="E111" s="68" t="s">
        <v>3242</v>
      </c>
      <c r="F111" s="24" t="s">
        <v>363</v>
      </c>
      <c r="G111" s="15" t="s">
        <v>154</v>
      </c>
      <c r="H111" s="15" t="s">
        <v>906</v>
      </c>
      <c r="I111" s="69">
        <v>76</v>
      </c>
      <c r="J111" s="15" t="s">
        <v>1495</v>
      </c>
      <c r="K111" s="15" t="s">
        <v>903</v>
      </c>
      <c r="L111" s="15" t="s">
        <v>1513</v>
      </c>
      <c r="M111" s="15" t="s">
        <v>1802</v>
      </c>
      <c r="N111" s="15" t="s">
        <v>1530</v>
      </c>
      <c r="O111" s="15"/>
    </row>
    <row r="112" spans="1:15" ht="18" customHeight="1" x14ac:dyDescent="0.3">
      <c r="A112" s="29">
        <v>111</v>
      </c>
      <c r="B112" s="15" t="s">
        <v>214</v>
      </c>
      <c r="C112" s="15" t="s">
        <v>8</v>
      </c>
      <c r="D112" s="69">
        <v>5</v>
      </c>
      <c r="E112" s="68" t="s">
        <v>3242</v>
      </c>
      <c r="F112" s="24" t="s">
        <v>363</v>
      </c>
      <c r="G112" s="15" t="s">
        <v>154</v>
      </c>
      <c r="H112" s="15" t="s">
        <v>907</v>
      </c>
      <c r="I112" s="69">
        <v>80</v>
      </c>
      <c r="J112" s="15" t="s">
        <v>1495</v>
      </c>
      <c r="K112" s="15" t="s">
        <v>903</v>
      </c>
      <c r="L112" s="15" t="s">
        <v>1513</v>
      </c>
      <c r="M112" s="15" t="s">
        <v>1495</v>
      </c>
      <c r="N112" s="15" t="s">
        <v>1513</v>
      </c>
      <c r="O112" s="15"/>
    </row>
    <row r="113" spans="1:15" ht="18" customHeight="1" x14ac:dyDescent="0.3">
      <c r="A113" s="29">
        <v>112</v>
      </c>
      <c r="B113" s="15" t="s">
        <v>214</v>
      </c>
      <c r="C113" s="15" t="s">
        <v>8</v>
      </c>
      <c r="D113" s="69">
        <v>5</v>
      </c>
      <c r="E113" s="68" t="s">
        <v>3242</v>
      </c>
      <c r="F113" s="24" t="s">
        <v>363</v>
      </c>
      <c r="G113" s="15" t="s">
        <v>154</v>
      </c>
      <c r="H113" s="15" t="s">
        <v>908</v>
      </c>
      <c r="I113" s="69">
        <v>151</v>
      </c>
      <c r="J113" s="15" t="s">
        <v>1495</v>
      </c>
      <c r="K113" s="15" t="s">
        <v>903</v>
      </c>
      <c r="L113" s="15" t="s">
        <v>1513</v>
      </c>
      <c r="M113" s="15" t="s">
        <v>1495</v>
      </c>
      <c r="N113" s="15" t="s">
        <v>1513</v>
      </c>
      <c r="O113" s="15"/>
    </row>
    <row r="114" spans="1:15" ht="18" customHeight="1" x14ac:dyDescent="0.3">
      <c r="A114" s="29">
        <v>113</v>
      </c>
      <c r="B114" s="15" t="s">
        <v>214</v>
      </c>
      <c r="C114" s="15" t="s">
        <v>8</v>
      </c>
      <c r="D114" s="69">
        <v>5</v>
      </c>
      <c r="E114" s="68" t="s">
        <v>3242</v>
      </c>
      <c r="F114" s="24" t="s">
        <v>363</v>
      </c>
      <c r="G114" s="15" t="s">
        <v>154</v>
      </c>
      <c r="H114" s="15" t="s">
        <v>909</v>
      </c>
      <c r="I114" s="69">
        <v>141</v>
      </c>
      <c r="J114" s="15" t="s">
        <v>1802</v>
      </c>
      <c r="K114" s="15" t="s">
        <v>903</v>
      </c>
      <c r="L114" s="15" t="s">
        <v>1513</v>
      </c>
      <c r="M114" s="15" t="s">
        <v>1495</v>
      </c>
      <c r="N114" s="15" t="s">
        <v>1513</v>
      </c>
      <c r="O114" s="15"/>
    </row>
    <row r="115" spans="1:15" ht="18" customHeight="1" x14ac:dyDescent="0.3">
      <c r="A115" s="29">
        <v>114</v>
      </c>
      <c r="B115" s="15" t="s">
        <v>214</v>
      </c>
      <c r="C115" s="15" t="s">
        <v>8</v>
      </c>
      <c r="D115" s="69">
        <v>5</v>
      </c>
      <c r="E115" s="68" t="s">
        <v>3242</v>
      </c>
      <c r="F115" s="24" t="s">
        <v>363</v>
      </c>
      <c r="G115" s="15" t="s">
        <v>154</v>
      </c>
      <c r="H115" s="15" t="s">
        <v>910</v>
      </c>
      <c r="I115" s="69">
        <v>80</v>
      </c>
      <c r="J115" s="15" t="s">
        <v>1495</v>
      </c>
      <c r="K115" s="15" t="s">
        <v>903</v>
      </c>
      <c r="L115" s="15" t="s">
        <v>1513</v>
      </c>
      <c r="M115" s="15" t="s">
        <v>1495</v>
      </c>
      <c r="N115" s="15" t="s">
        <v>1513</v>
      </c>
      <c r="O115" s="15"/>
    </row>
    <row r="116" spans="1:15" ht="18" customHeight="1" x14ac:dyDescent="0.3">
      <c r="A116" s="29">
        <v>115</v>
      </c>
      <c r="B116" s="15" t="s">
        <v>214</v>
      </c>
      <c r="C116" s="15" t="s">
        <v>8</v>
      </c>
      <c r="D116" s="69">
        <v>5</v>
      </c>
      <c r="E116" s="68" t="s">
        <v>3242</v>
      </c>
      <c r="F116" s="24" t="s">
        <v>363</v>
      </c>
      <c r="G116" s="15" t="s">
        <v>154</v>
      </c>
      <c r="H116" s="15" t="s">
        <v>911</v>
      </c>
      <c r="I116" s="69">
        <v>162</v>
      </c>
      <c r="J116" s="15" t="s">
        <v>1495</v>
      </c>
      <c r="K116" s="15" t="s">
        <v>903</v>
      </c>
      <c r="L116" s="15" t="s">
        <v>1513</v>
      </c>
      <c r="M116" s="15" t="s">
        <v>1495</v>
      </c>
      <c r="N116" s="15" t="s">
        <v>1513</v>
      </c>
      <c r="O116" s="15"/>
    </row>
    <row r="117" spans="1:15" ht="18" customHeight="1" x14ac:dyDescent="0.3">
      <c r="A117" s="29">
        <v>116</v>
      </c>
      <c r="B117" s="15" t="s">
        <v>214</v>
      </c>
      <c r="C117" s="15" t="s">
        <v>8</v>
      </c>
      <c r="D117" s="69">
        <v>5</v>
      </c>
      <c r="E117" s="68" t="s">
        <v>3242</v>
      </c>
      <c r="F117" s="24" t="s">
        <v>363</v>
      </c>
      <c r="G117" s="15" t="s">
        <v>154</v>
      </c>
      <c r="H117" s="15" t="s">
        <v>927</v>
      </c>
      <c r="I117" s="69">
        <v>184</v>
      </c>
      <c r="J117" s="15" t="s">
        <v>1802</v>
      </c>
      <c r="K117" s="15" t="s">
        <v>903</v>
      </c>
      <c r="L117" s="15" t="s">
        <v>1513</v>
      </c>
      <c r="M117" s="15" t="s">
        <v>1495</v>
      </c>
      <c r="N117" s="15" t="s">
        <v>1513</v>
      </c>
      <c r="O117" s="15"/>
    </row>
    <row r="118" spans="1:15" ht="18" customHeight="1" x14ac:dyDescent="0.3">
      <c r="A118" s="29">
        <v>117</v>
      </c>
      <c r="B118" s="15" t="s">
        <v>214</v>
      </c>
      <c r="C118" s="15" t="s">
        <v>8</v>
      </c>
      <c r="D118" s="69">
        <v>5</v>
      </c>
      <c r="E118" s="68" t="s">
        <v>3242</v>
      </c>
      <c r="F118" s="24" t="s">
        <v>2725</v>
      </c>
      <c r="G118" s="15" t="s">
        <v>154</v>
      </c>
      <c r="H118" s="15" t="s">
        <v>983</v>
      </c>
      <c r="I118" s="69">
        <v>108</v>
      </c>
      <c r="J118" s="15" t="s">
        <v>1802</v>
      </c>
      <c r="K118" s="15" t="s">
        <v>902</v>
      </c>
      <c r="L118" s="15" t="s">
        <v>1797</v>
      </c>
      <c r="M118" s="15" t="s">
        <v>1495</v>
      </c>
      <c r="N118" s="15" t="s">
        <v>1513</v>
      </c>
      <c r="O118" s="15"/>
    </row>
    <row r="119" spans="1:15" ht="18" customHeight="1" x14ac:dyDescent="0.3">
      <c r="A119" s="29">
        <v>118</v>
      </c>
      <c r="B119" s="15" t="s">
        <v>214</v>
      </c>
      <c r="C119" s="15" t="s">
        <v>8</v>
      </c>
      <c r="D119" s="69">
        <v>5</v>
      </c>
      <c r="E119" s="68" t="s">
        <v>3242</v>
      </c>
      <c r="F119" s="24" t="s">
        <v>2725</v>
      </c>
      <c r="G119" s="15" t="s">
        <v>154</v>
      </c>
      <c r="H119" s="15" t="s">
        <v>2726</v>
      </c>
      <c r="I119" s="69">
        <v>48</v>
      </c>
      <c r="J119" s="15" t="s">
        <v>1495</v>
      </c>
      <c r="K119" s="15" t="s">
        <v>902</v>
      </c>
      <c r="L119" s="15" t="s">
        <v>2727</v>
      </c>
      <c r="M119" s="15" t="s">
        <v>1495</v>
      </c>
      <c r="N119" s="15" t="s">
        <v>1513</v>
      </c>
      <c r="O119" s="15" t="s">
        <v>1871</v>
      </c>
    </row>
    <row r="120" spans="1:15" ht="18" customHeight="1" x14ac:dyDescent="0.3">
      <c r="A120" s="29">
        <v>119</v>
      </c>
      <c r="B120" s="15" t="s">
        <v>214</v>
      </c>
      <c r="C120" s="15" t="s">
        <v>8</v>
      </c>
      <c r="D120" s="69">
        <v>5</v>
      </c>
      <c r="E120" s="68" t="s">
        <v>1023</v>
      </c>
      <c r="F120" s="21" t="s">
        <v>1543</v>
      </c>
      <c r="G120" s="15" t="s">
        <v>1513</v>
      </c>
      <c r="H120" s="15" t="s">
        <v>901</v>
      </c>
      <c r="I120" s="69">
        <v>152</v>
      </c>
      <c r="J120" s="15" t="s">
        <v>1495</v>
      </c>
      <c r="K120" s="15" t="s">
        <v>903</v>
      </c>
      <c r="L120" s="15" t="s">
        <v>1513</v>
      </c>
      <c r="M120" s="15" t="s">
        <v>1802</v>
      </c>
      <c r="N120" s="15" t="s">
        <v>1508</v>
      </c>
      <c r="O120" s="15"/>
    </row>
    <row r="121" spans="1:15" ht="18" customHeight="1" x14ac:dyDescent="0.3">
      <c r="A121" s="29">
        <v>120</v>
      </c>
      <c r="B121" s="15" t="s">
        <v>214</v>
      </c>
      <c r="C121" s="15" t="s">
        <v>8</v>
      </c>
      <c r="D121" s="69">
        <v>5</v>
      </c>
      <c r="E121" s="68" t="s">
        <v>2728</v>
      </c>
      <c r="F121" s="21" t="s">
        <v>367</v>
      </c>
      <c r="G121" s="15" t="s">
        <v>164</v>
      </c>
      <c r="H121" s="15" t="s">
        <v>901</v>
      </c>
      <c r="I121" s="69">
        <v>155</v>
      </c>
      <c r="J121" s="15" t="s">
        <v>1495</v>
      </c>
      <c r="K121" s="15" t="s">
        <v>903</v>
      </c>
      <c r="L121" s="15" t="s">
        <v>1513</v>
      </c>
      <c r="M121" s="15" t="s">
        <v>1495</v>
      </c>
      <c r="N121" s="15" t="s">
        <v>1513</v>
      </c>
      <c r="O121" s="15"/>
    </row>
    <row r="122" spans="1:15" ht="18" customHeight="1" x14ac:dyDescent="0.3">
      <c r="A122" s="29">
        <v>121</v>
      </c>
      <c r="B122" s="15" t="s">
        <v>214</v>
      </c>
      <c r="C122" s="15" t="s">
        <v>8</v>
      </c>
      <c r="D122" s="69">
        <v>5</v>
      </c>
      <c r="E122" s="68" t="s">
        <v>2728</v>
      </c>
      <c r="F122" s="21" t="s">
        <v>367</v>
      </c>
      <c r="G122" s="15" t="s">
        <v>164</v>
      </c>
      <c r="H122" s="15" t="s">
        <v>905</v>
      </c>
      <c r="I122" s="69">
        <v>155</v>
      </c>
      <c r="J122" s="15" t="s">
        <v>1495</v>
      </c>
      <c r="K122" s="15" t="s">
        <v>903</v>
      </c>
      <c r="L122" s="15" t="s">
        <v>1513</v>
      </c>
      <c r="M122" s="15" t="s">
        <v>1495</v>
      </c>
      <c r="N122" s="15" t="s">
        <v>1513</v>
      </c>
      <c r="O122" s="15"/>
    </row>
    <row r="123" spans="1:15" ht="18" customHeight="1" x14ac:dyDescent="0.3">
      <c r="A123" s="29">
        <v>122</v>
      </c>
      <c r="B123" s="15" t="s">
        <v>214</v>
      </c>
      <c r="C123" s="15" t="s">
        <v>8</v>
      </c>
      <c r="D123" s="69">
        <v>5</v>
      </c>
      <c r="E123" s="68" t="s">
        <v>2728</v>
      </c>
      <c r="F123" s="21" t="s">
        <v>367</v>
      </c>
      <c r="G123" s="15" t="s">
        <v>164</v>
      </c>
      <c r="H123" s="15" t="s">
        <v>906</v>
      </c>
      <c r="I123" s="69">
        <v>88</v>
      </c>
      <c r="J123" s="15" t="s">
        <v>1495</v>
      </c>
      <c r="K123" s="15" t="s">
        <v>903</v>
      </c>
      <c r="L123" s="15" t="s">
        <v>1513</v>
      </c>
      <c r="M123" s="15" t="s">
        <v>1495</v>
      </c>
      <c r="N123" s="15" t="s">
        <v>1513</v>
      </c>
      <c r="O123" s="15"/>
    </row>
    <row r="124" spans="1:15" ht="18" customHeight="1" x14ac:dyDescent="0.3">
      <c r="A124" s="29">
        <v>123</v>
      </c>
      <c r="B124" s="15" t="s">
        <v>214</v>
      </c>
      <c r="C124" s="15" t="s">
        <v>8</v>
      </c>
      <c r="D124" s="69">
        <v>5</v>
      </c>
      <c r="E124" s="68" t="s">
        <v>2728</v>
      </c>
      <c r="F124" s="21" t="s">
        <v>367</v>
      </c>
      <c r="G124" s="15" t="s">
        <v>164</v>
      </c>
      <c r="H124" s="15" t="s">
        <v>907</v>
      </c>
      <c r="I124" s="69">
        <v>155</v>
      </c>
      <c r="J124" s="15" t="s">
        <v>1495</v>
      </c>
      <c r="K124" s="15" t="s">
        <v>903</v>
      </c>
      <c r="L124" s="15" t="s">
        <v>1513</v>
      </c>
      <c r="M124" s="15" t="s">
        <v>1495</v>
      </c>
      <c r="N124" s="15" t="s">
        <v>1513</v>
      </c>
      <c r="O124" s="15"/>
    </row>
    <row r="125" spans="1:15" ht="18" customHeight="1" x14ac:dyDescent="0.3">
      <c r="A125" s="29">
        <v>124</v>
      </c>
      <c r="B125" s="15" t="s">
        <v>214</v>
      </c>
      <c r="C125" s="15" t="s">
        <v>8</v>
      </c>
      <c r="D125" s="69">
        <v>5</v>
      </c>
      <c r="E125" s="68" t="s">
        <v>2728</v>
      </c>
      <c r="F125" s="21" t="s">
        <v>367</v>
      </c>
      <c r="G125" s="15" t="s">
        <v>164</v>
      </c>
      <c r="H125" s="15" t="s">
        <v>908</v>
      </c>
      <c r="I125" s="69">
        <v>88</v>
      </c>
      <c r="J125" s="15" t="s">
        <v>1495</v>
      </c>
      <c r="K125" s="15" t="s">
        <v>903</v>
      </c>
      <c r="L125" s="15" t="s">
        <v>1513</v>
      </c>
      <c r="M125" s="15" t="s">
        <v>1495</v>
      </c>
      <c r="N125" s="15" t="s">
        <v>1513</v>
      </c>
      <c r="O125" s="15"/>
    </row>
    <row r="126" spans="1:15" ht="18" customHeight="1" x14ac:dyDescent="0.3">
      <c r="A126" s="29">
        <v>125</v>
      </c>
      <c r="B126" s="15" t="s">
        <v>214</v>
      </c>
      <c r="C126" s="15" t="s">
        <v>8</v>
      </c>
      <c r="D126" s="69">
        <v>5</v>
      </c>
      <c r="E126" s="68" t="s">
        <v>2728</v>
      </c>
      <c r="F126" s="21" t="s">
        <v>367</v>
      </c>
      <c r="G126" s="15" t="s">
        <v>164</v>
      </c>
      <c r="H126" s="15" t="s">
        <v>909</v>
      </c>
      <c r="I126" s="69">
        <v>155</v>
      </c>
      <c r="J126" s="15" t="s">
        <v>1495</v>
      </c>
      <c r="K126" s="15" t="s">
        <v>903</v>
      </c>
      <c r="L126" s="15" t="s">
        <v>1513</v>
      </c>
      <c r="M126" s="15" t="s">
        <v>1495</v>
      </c>
      <c r="N126" s="15" t="s">
        <v>1513</v>
      </c>
      <c r="O126" s="15"/>
    </row>
    <row r="127" spans="1:15" ht="18" customHeight="1" x14ac:dyDescent="0.3">
      <c r="A127" s="29">
        <v>126</v>
      </c>
      <c r="B127" s="15" t="s">
        <v>214</v>
      </c>
      <c r="C127" s="15" t="s">
        <v>8</v>
      </c>
      <c r="D127" s="69">
        <v>5</v>
      </c>
      <c r="E127" s="68" t="s">
        <v>2728</v>
      </c>
      <c r="F127" s="21" t="s">
        <v>367</v>
      </c>
      <c r="G127" s="15" t="s">
        <v>164</v>
      </c>
      <c r="H127" s="15" t="s">
        <v>910</v>
      </c>
      <c r="I127" s="69">
        <v>88</v>
      </c>
      <c r="J127" s="15" t="s">
        <v>1495</v>
      </c>
      <c r="K127" s="15" t="s">
        <v>903</v>
      </c>
      <c r="L127" s="15" t="s">
        <v>1513</v>
      </c>
      <c r="M127" s="15" t="s">
        <v>1495</v>
      </c>
      <c r="N127" s="15" t="s">
        <v>1513</v>
      </c>
      <c r="O127" s="15"/>
    </row>
    <row r="128" spans="1:15" ht="18" customHeight="1" x14ac:dyDescent="0.3">
      <c r="A128" s="29">
        <v>127</v>
      </c>
      <c r="B128" s="15" t="s">
        <v>214</v>
      </c>
      <c r="C128" s="15" t="s">
        <v>8</v>
      </c>
      <c r="D128" s="69">
        <v>5</v>
      </c>
      <c r="E128" s="68" t="s">
        <v>2728</v>
      </c>
      <c r="F128" s="21" t="s">
        <v>367</v>
      </c>
      <c r="G128" s="15" t="s">
        <v>164</v>
      </c>
      <c r="H128" s="15" t="s">
        <v>911</v>
      </c>
      <c r="I128" s="69">
        <v>155</v>
      </c>
      <c r="J128" s="15" t="s">
        <v>1495</v>
      </c>
      <c r="K128" s="15" t="s">
        <v>903</v>
      </c>
      <c r="L128" s="15" t="s">
        <v>1513</v>
      </c>
      <c r="M128" s="15" t="s">
        <v>1495</v>
      </c>
      <c r="N128" s="15" t="s">
        <v>1513</v>
      </c>
      <c r="O128" s="15"/>
    </row>
    <row r="129" spans="1:15" ht="18" customHeight="1" x14ac:dyDescent="0.3">
      <c r="A129" s="29">
        <v>128</v>
      </c>
      <c r="B129" s="15" t="s">
        <v>214</v>
      </c>
      <c r="C129" s="15" t="s">
        <v>8</v>
      </c>
      <c r="D129" s="69">
        <v>5</v>
      </c>
      <c r="E129" s="68" t="s">
        <v>2728</v>
      </c>
      <c r="F129" s="21" t="s">
        <v>367</v>
      </c>
      <c r="G129" s="15" t="s">
        <v>164</v>
      </c>
      <c r="H129" s="15" t="s">
        <v>927</v>
      </c>
      <c r="I129" s="69">
        <v>88</v>
      </c>
      <c r="J129" s="15" t="s">
        <v>1495</v>
      </c>
      <c r="K129" s="15" t="s">
        <v>903</v>
      </c>
      <c r="L129" s="15" t="s">
        <v>1513</v>
      </c>
      <c r="M129" s="15" t="s">
        <v>1495</v>
      </c>
      <c r="N129" s="15" t="s">
        <v>1513</v>
      </c>
      <c r="O129" s="15"/>
    </row>
    <row r="130" spans="1:15" ht="18" customHeight="1" x14ac:dyDescent="0.3">
      <c r="A130" s="29">
        <v>129</v>
      </c>
      <c r="B130" s="15" t="s">
        <v>214</v>
      </c>
      <c r="C130" s="15" t="s">
        <v>8</v>
      </c>
      <c r="D130" s="69">
        <v>5</v>
      </c>
      <c r="E130" s="68" t="s">
        <v>163</v>
      </c>
      <c r="F130" s="21" t="s">
        <v>365</v>
      </c>
      <c r="G130" s="15" t="s">
        <v>154</v>
      </c>
      <c r="H130" s="15" t="s">
        <v>901</v>
      </c>
      <c r="I130" s="69">
        <v>208</v>
      </c>
      <c r="J130" s="13" t="s">
        <v>1495</v>
      </c>
      <c r="K130" s="15" t="s">
        <v>903</v>
      </c>
      <c r="L130" s="15" t="s">
        <v>1513</v>
      </c>
      <c r="M130" s="15" t="s">
        <v>1495</v>
      </c>
      <c r="N130" s="15" t="s">
        <v>1513</v>
      </c>
      <c r="O130" s="15"/>
    </row>
    <row r="131" spans="1:15" ht="18" customHeight="1" x14ac:dyDescent="0.3">
      <c r="A131" s="29">
        <v>130</v>
      </c>
      <c r="B131" s="15" t="s">
        <v>214</v>
      </c>
      <c r="C131" s="15" t="s">
        <v>8</v>
      </c>
      <c r="D131" s="69">
        <v>5</v>
      </c>
      <c r="E131" s="68" t="s">
        <v>163</v>
      </c>
      <c r="F131" s="21" t="s">
        <v>365</v>
      </c>
      <c r="G131" s="15" t="s">
        <v>154</v>
      </c>
      <c r="H131" s="15" t="s">
        <v>904</v>
      </c>
      <c r="I131" s="69">
        <v>195</v>
      </c>
      <c r="J131" s="13" t="s">
        <v>902</v>
      </c>
      <c r="K131" s="15" t="s">
        <v>903</v>
      </c>
      <c r="L131" s="15" t="s">
        <v>1513</v>
      </c>
      <c r="M131" s="15" t="s">
        <v>1495</v>
      </c>
      <c r="N131" s="15" t="s">
        <v>1513</v>
      </c>
      <c r="O131" s="15"/>
    </row>
    <row r="132" spans="1:15" ht="18" customHeight="1" x14ac:dyDescent="0.3">
      <c r="A132" s="29">
        <v>131</v>
      </c>
      <c r="B132" s="15" t="s">
        <v>214</v>
      </c>
      <c r="C132" s="15" t="s">
        <v>8</v>
      </c>
      <c r="D132" s="69">
        <v>5</v>
      </c>
      <c r="E132" s="68" t="s">
        <v>163</v>
      </c>
      <c r="F132" s="21" t="s">
        <v>365</v>
      </c>
      <c r="G132" s="15" t="s">
        <v>154</v>
      </c>
      <c r="H132" s="15" t="s">
        <v>905</v>
      </c>
      <c r="I132" s="69">
        <v>166</v>
      </c>
      <c r="J132" s="13" t="s">
        <v>1495</v>
      </c>
      <c r="K132" s="15" t="s">
        <v>903</v>
      </c>
      <c r="L132" s="15" t="s">
        <v>1513</v>
      </c>
      <c r="M132" s="15" t="s">
        <v>1495</v>
      </c>
      <c r="N132" s="15" t="s">
        <v>1513</v>
      </c>
      <c r="O132" s="15"/>
    </row>
    <row r="133" spans="1:15" ht="18" customHeight="1" x14ac:dyDescent="0.3">
      <c r="A133" s="29">
        <v>132</v>
      </c>
      <c r="B133" s="15" t="s">
        <v>214</v>
      </c>
      <c r="C133" s="15" t="s">
        <v>8</v>
      </c>
      <c r="D133" s="69">
        <v>5</v>
      </c>
      <c r="E133" s="68" t="s">
        <v>163</v>
      </c>
      <c r="F133" s="21" t="s">
        <v>365</v>
      </c>
      <c r="G133" s="15" t="s">
        <v>154</v>
      </c>
      <c r="H133" s="15" t="s">
        <v>906</v>
      </c>
      <c r="I133" s="69">
        <v>218</v>
      </c>
      <c r="J133" s="13" t="s">
        <v>1495</v>
      </c>
      <c r="K133" s="15" t="s">
        <v>903</v>
      </c>
      <c r="L133" s="15" t="s">
        <v>1513</v>
      </c>
      <c r="M133" s="15" t="s">
        <v>1495</v>
      </c>
      <c r="N133" s="15" t="s">
        <v>1513</v>
      </c>
      <c r="O133" s="15"/>
    </row>
    <row r="134" spans="1:15" ht="18" customHeight="1" x14ac:dyDescent="0.3">
      <c r="A134" s="29">
        <v>133</v>
      </c>
      <c r="B134" s="15" t="s">
        <v>214</v>
      </c>
      <c r="C134" s="15" t="s">
        <v>8</v>
      </c>
      <c r="D134" s="69">
        <v>5</v>
      </c>
      <c r="E134" s="68" t="s">
        <v>163</v>
      </c>
      <c r="F134" s="21" t="s">
        <v>365</v>
      </c>
      <c r="G134" s="15" t="s">
        <v>154</v>
      </c>
      <c r="H134" s="15" t="s">
        <v>907</v>
      </c>
      <c r="I134" s="69">
        <v>262</v>
      </c>
      <c r="J134" s="13" t="s">
        <v>902</v>
      </c>
      <c r="K134" s="15" t="s">
        <v>903</v>
      </c>
      <c r="L134" s="15" t="s">
        <v>1513</v>
      </c>
      <c r="M134" s="15" t="s">
        <v>1495</v>
      </c>
      <c r="N134" s="15" t="s">
        <v>1513</v>
      </c>
      <c r="O134" s="15"/>
    </row>
    <row r="135" spans="1:15" ht="18" customHeight="1" x14ac:dyDescent="0.3">
      <c r="A135" s="29">
        <v>134</v>
      </c>
      <c r="B135" s="15" t="s">
        <v>214</v>
      </c>
      <c r="C135" s="15" t="s">
        <v>8</v>
      </c>
      <c r="D135" s="69">
        <v>5</v>
      </c>
      <c r="E135" s="68" t="s">
        <v>163</v>
      </c>
      <c r="F135" s="21" t="s">
        <v>365</v>
      </c>
      <c r="G135" s="15" t="s">
        <v>154</v>
      </c>
      <c r="H135" s="15" t="s">
        <v>2682</v>
      </c>
      <c r="I135" s="69">
        <v>401</v>
      </c>
      <c r="J135" s="13" t="s">
        <v>902</v>
      </c>
      <c r="K135" s="15" t="s">
        <v>1495</v>
      </c>
      <c r="L135" s="15" t="s">
        <v>1513</v>
      </c>
      <c r="M135" s="15" t="s">
        <v>1495</v>
      </c>
      <c r="N135" s="15" t="s">
        <v>1513</v>
      </c>
      <c r="O135" s="15" t="s">
        <v>1243</v>
      </c>
    </row>
    <row r="136" spans="1:15" ht="18" customHeight="1" x14ac:dyDescent="0.3">
      <c r="A136" s="29">
        <v>135</v>
      </c>
      <c r="B136" s="15" t="s">
        <v>214</v>
      </c>
      <c r="C136" s="15" t="s">
        <v>8</v>
      </c>
      <c r="D136" s="69">
        <v>5</v>
      </c>
      <c r="E136" s="68" t="s">
        <v>163</v>
      </c>
      <c r="F136" s="21" t="s">
        <v>365</v>
      </c>
      <c r="G136" s="15" t="s">
        <v>154</v>
      </c>
      <c r="H136" s="15" t="s">
        <v>910</v>
      </c>
      <c r="I136" s="69">
        <v>208</v>
      </c>
      <c r="J136" s="13" t="s">
        <v>1495</v>
      </c>
      <c r="K136" s="15" t="s">
        <v>903</v>
      </c>
      <c r="L136" s="15" t="s">
        <v>1513</v>
      </c>
      <c r="M136" s="15" t="s">
        <v>1495</v>
      </c>
      <c r="N136" s="15" t="s">
        <v>1513</v>
      </c>
      <c r="O136" s="15"/>
    </row>
    <row r="137" spans="1:15" ht="18" customHeight="1" x14ac:dyDescent="0.3">
      <c r="A137" s="29">
        <v>136</v>
      </c>
      <c r="B137" s="15" t="s">
        <v>214</v>
      </c>
      <c r="C137" s="15" t="s">
        <v>8</v>
      </c>
      <c r="D137" s="69">
        <v>5</v>
      </c>
      <c r="E137" s="68" t="s">
        <v>163</v>
      </c>
      <c r="F137" s="21" t="s">
        <v>365</v>
      </c>
      <c r="G137" s="15" t="s">
        <v>154</v>
      </c>
      <c r="H137" s="15" t="s">
        <v>911</v>
      </c>
      <c r="I137" s="69">
        <v>151</v>
      </c>
      <c r="J137" s="13" t="s">
        <v>902</v>
      </c>
      <c r="K137" s="15" t="s">
        <v>903</v>
      </c>
      <c r="L137" s="15" t="s">
        <v>1513</v>
      </c>
      <c r="M137" s="15" t="s">
        <v>1495</v>
      </c>
      <c r="N137" s="15" t="s">
        <v>1513</v>
      </c>
      <c r="O137" s="15"/>
    </row>
    <row r="138" spans="1:15" ht="18" customHeight="1" x14ac:dyDescent="0.3">
      <c r="A138" s="29">
        <v>137</v>
      </c>
      <c r="B138" s="15" t="s">
        <v>214</v>
      </c>
      <c r="C138" s="15" t="s">
        <v>8</v>
      </c>
      <c r="D138" s="69">
        <v>5</v>
      </c>
      <c r="E138" s="68" t="s">
        <v>163</v>
      </c>
      <c r="F138" s="21" t="s">
        <v>365</v>
      </c>
      <c r="G138" s="15" t="s">
        <v>154</v>
      </c>
      <c r="H138" s="15" t="s">
        <v>927</v>
      </c>
      <c r="I138" s="69">
        <v>154</v>
      </c>
      <c r="J138" s="13" t="s">
        <v>1495</v>
      </c>
      <c r="K138" s="15" t="s">
        <v>903</v>
      </c>
      <c r="L138" s="15" t="s">
        <v>1513</v>
      </c>
      <c r="M138" s="15" t="s">
        <v>1495</v>
      </c>
      <c r="N138" s="15" t="s">
        <v>1513</v>
      </c>
      <c r="O138" s="15"/>
    </row>
    <row r="139" spans="1:15" ht="18" customHeight="1" x14ac:dyDescent="0.3">
      <c r="A139" s="29">
        <v>138</v>
      </c>
      <c r="B139" s="15" t="s">
        <v>214</v>
      </c>
      <c r="C139" s="15" t="s">
        <v>8</v>
      </c>
      <c r="D139" s="69">
        <v>5</v>
      </c>
      <c r="E139" s="68" t="s">
        <v>163</v>
      </c>
      <c r="F139" s="21" t="s">
        <v>1181</v>
      </c>
      <c r="G139" s="15" t="s">
        <v>154</v>
      </c>
      <c r="H139" s="15" t="s">
        <v>909</v>
      </c>
      <c r="I139" s="69">
        <v>175</v>
      </c>
      <c r="J139" s="13" t="s">
        <v>902</v>
      </c>
      <c r="K139" s="15" t="s">
        <v>902</v>
      </c>
      <c r="L139" s="15" t="s">
        <v>2729</v>
      </c>
      <c r="M139" s="15" t="s">
        <v>1495</v>
      </c>
      <c r="N139" s="15" t="s">
        <v>1513</v>
      </c>
      <c r="O139" s="15"/>
    </row>
    <row r="140" spans="1:15" ht="18" customHeight="1" x14ac:dyDescent="0.3">
      <c r="A140" s="29">
        <v>139</v>
      </c>
      <c r="B140" s="15" t="s">
        <v>214</v>
      </c>
      <c r="C140" s="15" t="s">
        <v>8</v>
      </c>
      <c r="D140" s="69">
        <v>5</v>
      </c>
      <c r="E140" s="68" t="s">
        <v>1256</v>
      </c>
      <c r="F140" s="21" t="s">
        <v>1181</v>
      </c>
      <c r="G140" s="15" t="s">
        <v>154</v>
      </c>
      <c r="H140" s="15" t="s">
        <v>1254</v>
      </c>
      <c r="I140" s="69">
        <v>32</v>
      </c>
      <c r="J140" s="13" t="s">
        <v>1495</v>
      </c>
      <c r="K140" s="15" t="s">
        <v>902</v>
      </c>
      <c r="L140" s="15" t="s">
        <v>2692</v>
      </c>
      <c r="M140" s="15" t="s">
        <v>1495</v>
      </c>
      <c r="N140" s="15" t="s">
        <v>1513</v>
      </c>
      <c r="O140" s="15"/>
    </row>
    <row r="141" spans="1:15" ht="18" customHeight="1" x14ac:dyDescent="0.3">
      <c r="A141" s="29">
        <v>140</v>
      </c>
      <c r="B141" s="15" t="s">
        <v>214</v>
      </c>
      <c r="C141" s="15" t="s">
        <v>8</v>
      </c>
      <c r="D141" s="69">
        <v>5</v>
      </c>
      <c r="E141" s="68" t="s">
        <v>3243</v>
      </c>
      <c r="F141" s="24" t="s">
        <v>364</v>
      </c>
      <c r="G141" s="15" t="s">
        <v>154</v>
      </c>
      <c r="H141" s="15" t="s">
        <v>901</v>
      </c>
      <c r="I141" s="69">
        <v>140</v>
      </c>
      <c r="J141" s="15" t="s">
        <v>1495</v>
      </c>
      <c r="K141" s="15" t="s">
        <v>903</v>
      </c>
      <c r="L141" s="15" t="s">
        <v>1513</v>
      </c>
      <c r="M141" s="15" t="s">
        <v>1495</v>
      </c>
      <c r="N141" s="15" t="s">
        <v>1513</v>
      </c>
      <c r="O141" s="15"/>
    </row>
    <row r="142" spans="1:15" ht="18" customHeight="1" x14ac:dyDescent="0.3">
      <c r="A142" s="29">
        <v>141</v>
      </c>
      <c r="B142" s="15" t="s">
        <v>214</v>
      </c>
      <c r="C142" s="15" t="s">
        <v>8</v>
      </c>
      <c r="D142" s="69">
        <v>5</v>
      </c>
      <c r="E142" s="68" t="s">
        <v>3243</v>
      </c>
      <c r="F142" s="24" t="s">
        <v>364</v>
      </c>
      <c r="G142" s="15" t="s">
        <v>154</v>
      </c>
      <c r="H142" s="15" t="s">
        <v>904</v>
      </c>
      <c r="I142" s="69">
        <v>153</v>
      </c>
      <c r="J142" s="15" t="s">
        <v>1802</v>
      </c>
      <c r="K142" s="15" t="s">
        <v>903</v>
      </c>
      <c r="L142" s="15" t="s">
        <v>1513</v>
      </c>
      <c r="M142" s="15" t="s">
        <v>1495</v>
      </c>
      <c r="N142" s="15" t="s">
        <v>1513</v>
      </c>
      <c r="O142" s="15"/>
    </row>
    <row r="143" spans="1:15" ht="18" customHeight="1" x14ac:dyDescent="0.3">
      <c r="A143" s="29">
        <v>142</v>
      </c>
      <c r="B143" s="15" t="s">
        <v>214</v>
      </c>
      <c r="C143" s="15" t="s">
        <v>8</v>
      </c>
      <c r="D143" s="69">
        <v>5</v>
      </c>
      <c r="E143" s="68" t="s">
        <v>3243</v>
      </c>
      <c r="F143" s="24" t="s">
        <v>364</v>
      </c>
      <c r="G143" s="15" t="s">
        <v>154</v>
      </c>
      <c r="H143" s="15" t="s">
        <v>905</v>
      </c>
      <c r="I143" s="69">
        <v>151</v>
      </c>
      <c r="J143" s="15" t="s">
        <v>1495</v>
      </c>
      <c r="K143" s="15" t="s">
        <v>903</v>
      </c>
      <c r="L143" s="15" t="s">
        <v>1513</v>
      </c>
      <c r="M143" s="15" t="s">
        <v>1495</v>
      </c>
      <c r="N143" s="15" t="s">
        <v>1513</v>
      </c>
      <c r="O143" s="15"/>
    </row>
    <row r="144" spans="1:15" ht="18" customHeight="1" x14ac:dyDescent="0.3">
      <c r="A144" s="29">
        <v>143</v>
      </c>
      <c r="B144" s="15" t="s">
        <v>214</v>
      </c>
      <c r="C144" s="15" t="s">
        <v>8</v>
      </c>
      <c r="D144" s="69">
        <v>5</v>
      </c>
      <c r="E144" s="68" t="s">
        <v>3243</v>
      </c>
      <c r="F144" s="24" t="s">
        <v>364</v>
      </c>
      <c r="G144" s="15" t="s">
        <v>154</v>
      </c>
      <c r="H144" s="15" t="s">
        <v>906</v>
      </c>
      <c r="I144" s="69">
        <v>127</v>
      </c>
      <c r="J144" s="15" t="s">
        <v>1802</v>
      </c>
      <c r="K144" s="15" t="s">
        <v>903</v>
      </c>
      <c r="L144" s="15" t="s">
        <v>1513</v>
      </c>
      <c r="M144" s="15" t="s">
        <v>1495</v>
      </c>
      <c r="N144" s="15" t="s">
        <v>1513</v>
      </c>
      <c r="O144" s="15"/>
    </row>
    <row r="145" spans="1:15" ht="18" customHeight="1" x14ac:dyDescent="0.3">
      <c r="A145" s="29">
        <v>144</v>
      </c>
      <c r="B145" s="15" t="s">
        <v>214</v>
      </c>
      <c r="C145" s="15" t="s">
        <v>8</v>
      </c>
      <c r="D145" s="69">
        <v>5</v>
      </c>
      <c r="E145" s="68" t="s">
        <v>3243</v>
      </c>
      <c r="F145" s="24" t="s">
        <v>364</v>
      </c>
      <c r="G145" s="15" t="s">
        <v>154</v>
      </c>
      <c r="H145" s="15" t="s">
        <v>907</v>
      </c>
      <c r="I145" s="69">
        <v>183</v>
      </c>
      <c r="J145" s="15" t="s">
        <v>1495</v>
      </c>
      <c r="K145" s="15" t="s">
        <v>903</v>
      </c>
      <c r="L145" s="15" t="s">
        <v>1513</v>
      </c>
      <c r="M145" s="15" t="s">
        <v>1495</v>
      </c>
      <c r="N145" s="15" t="s">
        <v>1513</v>
      </c>
      <c r="O145" s="15"/>
    </row>
    <row r="146" spans="1:15" ht="18" customHeight="1" x14ac:dyDescent="0.3">
      <c r="A146" s="29">
        <v>145</v>
      </c>
      <c r="B146" s="15" t="s">
        <v>214</v>
      </c>
      <c r="C146" s="15" t="s">
        <v>9</v>
      </c>
      <c r="D146" s="69">
        <v>6</v>
      </c>
      <c r="E146" s="68" t="s">
        <v>165</v>
      </c>
      <c r="F146" s="21" t="s">
        <v>386</v>
      </c>
      <c r="G146" s="15" t="s">
        <v>154</v>
      </c>
      <c r="H146" s="15" t="s">
        <v>901</v>
      </c>
      <c r="I146" s="69">
        <v>237</v>
      </c>
      <c r="J146" s="13" t="s">
        <v>902</v>
      </c>
      <c r="K146" s="15" t="s">
        <v>903</v>
      </c>
      <c r="L146" s="15" t="s">
        <v>1513</v>
      </c>
      <c r="M146" s="15" t="s">
        <v>1495</v>
      </c>
      <c r="N146" s="15" t="s">
        <v>1513</v>
      </c>
      <c r="O146" s="15"/>
    </row>
    <row r="147" spans="1:15" ht="18" customHeight="1" x14ac:dyDescent="0.3">
      <c r="A147" s="29">
        <v>146</v>
      </c>
      <c r="B147" s="15" t="s">
        <v>214</v>
      </c>
      <c r="C147" s="15" t="s">
        <v>9</v>
      </c>
      <c r="D147" s="69">
        <v>6</v>
      </c>
      <c r="E147" s="68" t="s">
        <v>165</v>
      </c>
      <c r="F147" s="21" t="s">
        <v>386</v>
      </c>
      <c r="G147" s="15" t="s">
        <v>154</v>
      </c>
      <c r="H147" s="15" t="s">
        <v>904</v>
      </c>
      <c r="I147" s="69">
        <v>208</v>
      </c>
      <c r="J147" s="13" t="s">
        <v>1495</v>
      </c>
      <c r="K147" s="15" t="s">
        <v>903</v>
      </c>
      <c r="L147" s="15" t="s">
        <v>1513</v>
      </c>
      <c r="M147" s="15" t="s">
        <v>1495</v>
      </c>
      <c r="N147" s="15" t="s">
        <v>1513</v>
      </c>
      <c r="O147" s="15"/>
    </row>
    <row r="148" spans="1:15" ht="18" customHeight="1" x14ac:dyDescent="0.3">
      <c r="A148" s="29">
        <v>147</v>
      </c>
      <c r="B148" s="15" t="s">
        <v>214</v>
      </c>
      <c r="C148" s="15" t="s">
        <v>9</v>
      </c>
      <c r="D148" s="69">
        <v>6</v>
      </c>
      <c r="E148" s="68" t="s">
        <v>165</v>
      </c>
      <c r="F148" s="21" t="s">
        <v>386</v>
      </c>
      <c r="G148" s="15" t="s">
        <v>154</v>
      </c>
      <c r="H148" s="15" t="s">
        <v>906</v>
      </c>
      <c r="I148" s="69">
        <v>310</v>
      </c>
      <c r="J148" s="13" t="s">
        <v>902</v>
      </c>
      <c r="K148" s="15" t="s">
        <v>903</v>
      </c>
      <c r="L148" s="15" t="s">
        <v>1513</v>
      </c>
      <c r="M148" s="15" t="s">
        <v>1495</v>
      </c>
      <c r="N148" s="15" t="s">
        <v>1513</v>
      </c>
      <c r="O148" s="15"/>
    </row>
    <row r="149" spans="1:15" ht="18" customHeight="1" x14ac:dyDescent="0.3">
      <c r="A149" s="29">
        <v>148</v>
      </c>
      <c r="B149" s="15" t="s">
        <v>214</v>
      </c>
      <c r="C149" s="15" t="s">
        <v>9</v>
      </c>
      <c r="D149" s="69">
        <v>6</v>
      </c>
      <c r="E149" s="68" t="s">
        <v>165</v>
      </c>
      <c r="F149" s="21" t="s">
        <v>386</v>
      </c>
      <c r="G149" s="15" t="s">
        <v>154</v>
      </c>
      <c r="H149" s="15" t="s">
        <v>907</v>
      </c>
      <c r="I149" s="69">
        <v>344</v>
      </c>
      <c r="J149" s="13" t="s">
        <v>902</v>
      </c>
      <c r="K149" s="15" t="s">
        <v>903</v>
      </c>
      <c r="L149" s="15" t="s">
        <v>1513</v>
      </c>
      <c r="M149" s="15" t="s">
        <v>1495</v>
      </c>
      <c r="N149" s="15" t="s">
        <v>1513</v>
      </c>
      <c r="O149" s="15"/>
    </row>
    <row r="150" spans="1:15" ht="18" customHeight="1" x14ac:dyDescent="0.3">
      <c r="A150" s="29">
        <v>149</v>
      </c>
      <c r="B150" s="15" t="s">
        <v>214</v>
      </c>
      <c r="C150" s="15" t="s">
        <v>9</v>
      </c>
      <c r="D150" s="69">
        <v>6</v>
      </c>
      <c r="E150" s="68" t="s">
        <v>165</v>
      </c>
      <c r="F150" s="21" t="s">
        <v>386</v>
      </c>
      <c r="G150" s="15" t="s">
        <v>154</v>
      </c>
      <c r="H150" s="15" t="s">
        <v>908</v>
      </c>
      <c r="I150" s="69">
        <v>106</v>
      </c>
      <c r="J150" s="13" t="s">
        <v>1495</v>
      </c>
      <c r="K150" s="15" t="s">
        <v>903</v>
      </c>
      <c r="L150" s="15" t="s">
        <v>1513</v>
      </c>
      <c r="M150" s="15" t="s">
        <v>1495</v>
      </c>
      <c r="N150" s="15" t="s">
        <v>1513</v>
      </c>
      <c r="O150" s="15"/>
    </row>
    <row r="151" spans="1:15" ht="18" customHeight="1" x14ac:dyDescent="0.3">
      <c r="A151" s="29">
        <v>150</v>
      </c>
      <c r="B151" s="15" t="s">
        <v>214</v>
      </c>
      <c r="C151" s="15" t="s">
        <v>9</v>
      </c>
      <c r="D151" s="69">
        <v>6</v>
      </c>
      <c r="E151" s="68" t="s">
        <v>165</v>
      </c>
      <c r="F151" s="21" t="s">
        <v>386</v>
      </c>
      <c r="G151" s="15" t="s">
        <v>154</v>
      </c>
      <c r="H151" s="15" t="s">
        <v>909</v>
      </c>
      <c r="I151" s="69">
        <v>208</v>
      </c>
      <c r="J151" s="13" t="s">
        <v>1495</v>
      </c>
      <c r="K151" s="15" t="s">
        <v>903</v>
      </c>
      <c r="L151" s="15" t="s">
        <v>1513</v>
      </c>
      <c r="M151" s="15" t="s">
        <v>1495</v>
      </c>
      <c r="N151" s="15" t="s">
        <v>1513</v>
      </c>
      <c r="O151" s="15"/>
    </row>
    <row r="152" spans="1:15" ht="18" customHeight="1" x14ac:dyDescent="0.3">
      <c r="A152" s="29">
        <v>151</v>
      </c>
      <c r="B152" s="15" t="s">
        <v>214</v>
      </c>
      <c r="C152" s="15" t="s">
        <v>9</v>
      </c>
      <c r="D152" s="69">
        <v>6</v>
      </c>
      <c r="E152" s="68" t="s">
        <v>165</v>
      </c>
      <c r="F152" s="21" t="s">
        <v>386</v>
      </c>
      <c r="G152" s="15" t="s">
        <v>154</v>
      </c>
      <c r="H152" s="15" t="s">
        <v>910</v>
      </c>
      <c r="I152" s="69">
        <v>250</v>
      </c>
      <c r="J152" s="13" t="s">
        <v>1495</v>
      </c>
      <c r="K152" s="15" t="s">
        <v>903</v>
      </c>
      <c r="L152" s="15" t="s">
        <v>1513</v>
      </c>
      <c r="M152" s="15" t="s">
        <v>1495</v>
      </c>
      <c r="N152" s="15" t="s">
        <v>1513</v>
      </c>
      <c r="O152" s="15"/>
    </row>
    <row r="153" spans="1:15" ht="18" customHeight="1" x14ac:dyDescent="0.3">
      <c r="A153" s="29">
        <v>152</v>
      </c>
      <c r="B153" s="15" t="s">
        <v>214</v>
      </c>
      <c r="C153" s="15" t="s">
        <v>9</v>
      </c>
      <c r="D153" s="69">
        <v>6</v>
      </c>
      <c r="E153" s="68" t="s">
        <v>165</v>
      </c>
      <c r="F153" s="21" t="s">
        <v>1182</v>
      </c>
      <c r="G153" s="15" t="s">
        <v>154</v>
      </c>
      <c r="H153" s="15" t="s">
        <v>905</v>
      </c>
      <c r="I153" s="69">
        <v>74</v>
      </c>
      <c r="J153" s="13" t="s">
        <v>902</v>
      </c>
      <c r="K153" s="15" t="s">
        <v>1802</v>
      </c>
      <c r="L153" s="15" t="s">
        <v>1577</v>
      </c>
      <c r="M153" s="15" t="s">
        <v>1495</v>
      </c>
      <c r="N153" s="15" t="s">
        <v>1513</v>
      </c>
      <c r="O153" s="15"/>
    </row>
    <row r="154" spans="1:15" ht="18" customHeight="1" x14ac:dyDescent="0.3">
      <c r="A154" s="29">
        <v>153</v>
      </c>
      <c r="B154" s="15" t="s">
        <v>1534</v>
      </c>
      <c r="C154" s="15" t="s">
        <v>1549</v>
      </c>
      <c r="D154" s="69">
        <v>7</v>
      </c>
      <c r="E154" s="68" t="s">
        <v>2730</v>
      </c>
      <c r="F154" s="21" t="s">
        <v>1551</v>
      </c>
      <c r="G154" s="15" t="s">
        <v>1553</v>
      </c>
      <c r="H154" s="15" t="s">
        <v>2685</v>
      </c>
      <c r="I154" s="69">
        <v>70</v>
      </c>
      <c r="J154" s="13" t="s">
        <v>1495</v>
      </c>
      <c r="K154" s="15" t="s">
        <v>1802</v>
      </c>
      <c r="L154" s="15" t="s">
        <v>2731</v>
      </c>
      <c r="M154" s="15" t="s">
        <v>1495</v>
      </c>
      <c r="N154" s="15" t="s">
        <v>1513</v>
      </c>
      <c r="O154" s="15"/>
    </row>
    <row r="155" spans="1:15" ht="18" customHeight="1" x14ac:dyDescent="0.3">
      <c r="A155" s="29">
        <v>154</v>
      </c>
      <c r="B155" s="15" t="s">
        <v>1534</v>
      </c>
      <c r="C155" s="15" t="s">
        <v>1549</v>
      </c>
      <c r="D155" s="69">
        <v>7</v>
      </c>
      <c r="E155" s="68" t="s">
        <v>2730</v>
      </c>
      <c r="F155" s="21" t="s">
        <v>1551</v>
      </c>
      <c r="G155" s="15" t="s">
        <v>1553</v>
      </c>
      <c r="H155" s="15" t="s">
        <v>2678</v>
      </c>
      <c r="I155" s="69">
        <v>81</v>
      </c>
      <c r="J155" s="13" t="s">
        <v>1495</v>
      </c>
      <c r="K155" s="15" t="s">
        <v>1802</v>
      </c>
      <c r="L155" s="15" t="s">
        <v>2525</v>
      </c>
      <c r="M155" s="15" t="s">
        <v>1495</v>
      </c>
      <c r="N155" s="15" t="s">
        <v>1513</v>
      </c>
      <c r="O155" s="15"/>
    </row>
    <row r="156" spans="1:15" ht="18" customHeight="1" x14ac:dyDescent="0.3">
      <c r="A156" s="29">
        <v>155</v>
      </c>
      <c r="B156" s="15" t="s">
        <v>1534</v>
      </c>
      <c r="C156" s="15" t="s">
        <v>1549</v>
      </c>
      <c r="D156" s="69">
        <v>7</v>
      </c>
      <c r="E156" s="68" t="s">
        <v>2730</v>
      </c>
      <c r="F156" s="21" t="s">
        <v>1551</v>
      </c>
      <c r="G156" s="15" t="s">
        <v>1553</v>
      </c>
      <c r="H156" s="15" t="s">
        <v>2679</v>
      </c>
      <c r="I156" s="69">
        <v>114</v>
      </c>
      <c r="J156" s="13" t="s">
        <v>1802</v>
      </c>
      <c r="K156" s="15" t="s">
        <v>903</v>
      </c>
      <c r="L156" s="15" t="s">
        <v>1513</v>
      </c>
      <c r="M156" s="15" t="s">
        <v>1495</v>
      </c>
      <c r="N156" s="15" t="s">
        <v>1513</v>
      </c>
      <c r="O156" s="15"/>
    </row>
    <row r="157" spans="1:15" ht="18" customHeight="1" x14ac:dyDescent="0.3">
      <c r="A157" s="29">
        <v>156</v>
      </c>
      <c r="B157" s="15" t="s">
        <v>1534</v>
      </c>
      <c r="C157" s="15" t="s">
        <v>1549</v>
      </c>
      <c r="D157" s="69">
        <v>7</v>
      </c>
      <c r="E157" s="68" t="s">
        <v>2730</v>
      </c>
      <c r="F157" s="21" t="s">
        <v>1551</v>
      </c>
      <c r="G157" s="15" t="s">
        <v>1553</v>
      </c>
      <c r="H157" s="15" t="s">
        <v>2680</v>
      </c>
      <c r="I157" s="69">
        <v>160</v>
      </c>
      <c r="J157" s="13" t="s">
        <v>1495</v>
      </c>
      <c r="K157" s="15" t="s">
        <v>903</v>
      </c>
      <c r="L157" s="15" t="s">
        <v>1513</v>
      </c>
      <c r="M157" s="15" t="s">
        <v>1495</v>
      </c>
      <c r="N157" s="15" t="s">
        <v>1513</v>
      </c>
      <c r="O157" s="15"/>
    </row>
    <row r="158" spans="1:15" ht="18" customHeight="1" x14ac:dyDescent="0.3">
      <c r="A158" s="29">
        <v>157</v>
      </c>
      <c r="B158" s="15" t="s">
        <v>1534</v>
      </c>
      <c r="C158" s="15" t="s">
        <v>1549</v>
      </c>
      <c r="D158" s="69">
        <v>7</v>
      </c>
      <c r="E158" s="68" t="s">
        <v>2730</v>
      </c>
      <c r="F158" s="21" t="s">
        <v>1551</v>
      </c>
      <c r="G158" s="15" t="s">
        <v>1553</v>
      </c>
      <c r="H158" s="15" t="s">
        <v>2690</v>
      </c>
      <c r="I158" s="69">
        <v>114</v>
      </c>
      <c r="J158" s="13" t="s">
        <v>1495</v>
      </c>
      <c r="K158" s="15" t="s">
        <v>903</v>
      </c>
      <c r="L158" s="15" t="s">
        <v>1513</v>
      </c>
      <c r="M158" s="15" t="s">
        <v>1495</v>
      </c>
      <c r="N158" s="15" t="s">
        <v>1513</v>
      </c>
      <c r="O158" s="15"/>
    </row>
    <row r="159" spans="1:15" ht="18" customHeight="1" x14ac:dyDescent="0.3">
      <c r="A159" s="29">
        <v>158</v>
      </c>
      <c r="B159" s="15" t="s">
        <v>1534</v>
      </c>
      <c r="C159" s="15" t="s">
        <v>1549</v>
      </c>
      <c r="D159" s="69">
        <v>7</v>
      </c>
      <c r="E159" s="68" t="s">
        <v>2730</v>
      </c>
      <c r="F159" s="21" t="s">
        <v>1551</v>
      </c>
      <c r="G159" s="15" t="s">
        <v>1553</v>
      </c>
      <c r="H159" s="15" t="s">
        <v>2682</v>
      </c>
      <c r="I159" s="69">
        <v>160</v>
      </c>
      <c r="J159" s="13" t="s">
        <v>1495</v>
      </c>
      <c r="K159" s="15" t="s">
        <v>903</v>
      </c>
      <c r="L159" s="15" t="s">
        <v>1513</v>
      </c>
      <c r="M159" s="15" t="s">
        <v>1495</v>
      </c>
      <c r="N159" s="15" t="s">
        <v>1513</v>
      </c>
      <c r="O159" s="15"/>
    </row>
    <row r="160" spans="1:15" ht="18" customHeight="1" x14ac:dyDescent="0.3">
      <c r="A160" s="29">
        <v>159</v>
      </c>
      <c r="B160" s="15" t="s">
        <v>1534</v>
      </c>
      <c r="C160" s="15" t="s">
        <v>1549</v>
      </c>
      <c r="D160" s="69">
        <v>7</v>
      </c>
      <c r="E160" s="68" t="s">
        <v>2730</v>
      </c>
      <c r="F160" s="21" t="s">
        <v>1551</v>
      </c>
      <c r="G160" s="15" t="s">
        <v>1553</v>
      </c>
      <c r="H160" s="15" t="s">
        <v>2732</v>
      </c>
      <c r="I160" s="69">
        <v>114</v>
      </c>
      <c r="J160" s="13" t="s">
        <v>1495</v>
      </c>
      <c r="K160" s="15" t="s">
        <v>903</v>
      </c>
      <c r="L160" s="15" t="s">
        <v>1513</v>
      </c>
      <c r="M160" s="15" t="s">
        <v>1495</v>
      </c>
      <c r="N160" s="15" t="s">
        <v>1513</v>
      </c>
      <c r="O160" s="15"/>
    </row>
    <row r="161" spans="1:15" ht="18" customHeight="1" x14ac:dyDescent="0.3">
      <c r="A161" s="29">
        <v>160</v>
      </c>
      <c r="B161" s="15" t="s">
        <v>1534</v>
      </c>
      <c r="C161" s="15" t="s">
        <v>1549</v>
      </c>
      <c r="D161" s="69">
        <v>7</v>
      </c>
      <c r="E161" s="68" t="s">
        <v>2730</v>
      </c>
      <c r="F161" s="21" t="s">
        <v>1551</v>
      </c>
      <c r="G161" s="15" t="s">
        <v>1553</v>
      </c>
      <c r="H161" s="15" t="s">
        <v>2683</v>
      </c>
      <c r="I161" s="69">
        <v>160</v>
      </c>
      <c r="J161" s="13" t="s">
        <v>1495</v>
      </c>
      <c r="K161" s="15" t="s">
        <v>903</v>
      </c>
      <c r="L161" s="15" t="s">
        <v>1513</v>
      </c>
      <c r="M161" s="15" t="s">
        <v>1495</v>
      </c>
      <c r="N161" s="15" t="s">
        <v>1513</v>
      </c>
      <c r="O161" s="15"/>
    </row>
    <row r="162" spans="1:15" ht="18" customHeight="1" x14ac:dyDescent="0.3">
      <c r="A162" s="29">
        <v>161</v>
      </c>
      <c r="B162" s="15" t="s">
        <v>214</v>
      </c>
      <c r="C162" s="15" t="s">
        <v>10</v>
      </c>
      <c r="D162" s="69">
        <v>7</v>
      </c>
      <c r="E162" s="68" t="s">
        <v>166</v>
      </c>
      <c r="F162" s="21" t="s">
        <v>438</v>
      </c>
      <c r="G162" s="15" t="s">
        <v>154</v>
      </c>
      <c r="H162" s="15" t="s">
        <v>901</v>
      </c>
      <c r="I162" s="69">
        <v>155</v>
      </c>
      <c r="J162" s="15" t="s">
        <v>1802</v>
      </c>
      <c r="K162" s="15" t="s">
        <v>1495</v>
      </c>
      <c r="L162" s="15" t="s">
        <v>1513</v>
      </c>
      <c r="M162" s="15" t="s">
        <v>1495</v>
      </c>
      <c r="N162" s="15" t="s">
        <v>1513</v>
      </c>
      <c r="O162" s="15"/>
    </row>
    <row r="163" spans="1:15" ht="18" customHeight="1" x14ac:dyDescent="0.3">
      <c r="A163" s="29">
        <v>162</v>
      </c>
      <c r="B163" s="15" t="s">
        <v>214</v>
      </c>
      <c r="C163" s="15" t="s">
        <v>10</v>
      </c>
      <c r="D163" s="69">
        <v>7</v>
      </c>
      <c r="E163" s="68" t="s">
        <v>166</v>
      </c>
      <c r="F163" s="21" t="s">
        <v>438</v>
      </c>
      <c r="G163" s="15" t="s">
        <v>154</v>
      </c>
      <c r="H163" s="15" t="s">
        <v>905</v>
      </c>
      <c r="I163" s="69">
        <v>96</v>
      </c>
      <c r="J163" s="15" t="s">
        <v>1495</v>
      </c>
      <c r="K163" s="15" t="s">
        <v>903</v>
      </c>
      <c r="L163" s="15" t="s">
        <v>1513</v>
      </c>
      <c r="M163" s="15" t="s">
        <v>1495</v>
      </c>
      <c r="N163" s="15" t="s">
        <v>1513</v>
      </c>
      <c r="O163" s="15"/>
    </row>
    <row r="164" spans="1:15" ht="18" customHeight="1" x14ac:dyDescent="0.3">
      <c r="A164" s="29">
        <v>163</v>
      </c>
      <c r="B164" s="15" t="s">
        <v>214</v>
      </c>
      <c r="C164" s="15" t="s">
        <v>10</v>
      </c>
      <c r="D164" s="69">
        <v>7</v>
      </c>
      <c r="E164" s="68" t="s">
        <v>166</v>
      </c>
      <c r="F164" s="21" t="s">
        <v>438</v>
      </c>
      <c r="G164" s="15" t="s">
        <v>154</v>
      </c>
      <c r="H164" s="15" t="s">
        <v>906</v>
      </c>
      <c r="I164" s="69">
        <v>154</v>
      </c>
      <c r="J164" s="15" t="s">
        <v>1495</v>
      </c>
      <c r="K164" s="15" t="s">
        <v>903</v>
      </c>
      <c r="L164" s="15" t="s">
        <v>1513</v>
      </c>
      <c r="M164" s="15" t="s">
        <v>1495</v>
      </c>
      <c r="N164" s="15" t="s">
        <v>1513</v>
      </c>
      <c r="O164" s="15"/>
    </row>
    <row r="165" spans="1:15" ht="18" customHeight="1" x14ac:dyDescent="0.3">
      <c r="A165" s="29">
        <v>164</v>
      </c>
      <c r="B165" s="15" t="s">
        <v>214</v>
      </c>
      <c r="C165" s="15" t="s">
        <v>10</v>
      </c>
      <c r="D165" s="69">
        <v>7</v>
      </c>
      <c r="E165" s="68" t="s">
        <v>166</v>
      </c>
      <c r="F165" s="21" t="s">
        <v>438</v>
      </c>
      <c r="G165" s="15" t="s">
        <v>154</v>
      </c>
      <c r="H165" s="15" t="s">
        <v>907</v>
      </c>
      <c r="I165" s="69">
        <v>148</v>
      </c>
      <c r="J165" s="15" t="s">
        <v>1495</v>
      </c>
      <c r="K165" s="15" t="s">
        <v>903</v>
      </c>
      <c r="L165" s="15" t="s">
        <v>1513</v>
      </c>
      <c r="M165" s="15" t="s">
        <v>1495</v>
      </c>
      <c r="N165" s="15" t="s">
        <v>1513</v>
      </c>
      <c r="O165" s="15"/>
    </row>
    <row r="166" spans="1:15" ht="18" customHeight="1" x14ac:dyDescent="0.3">
      <c r="A166" s="29">
        <v>165</v>
      </c>
      <c r="B166" s="15" t="s">
        <v>214</v>
      </c>
      <c r="C166" s="15" t="s">
        <v>10</v>
      </c>
      <c r="D166" s="69">
        <v>7</v>
      </c>
      <c r="E166" s="68" t="s">
        <v>166</v>
      </c>
      <c r="F166" s="21" t="s">
        <v>438</v>
      </c>
      <c r="G166" s="15" t="s">
        <v>154</v>
      </c>
      <c r="H166" s="15" t="s">
        <v>908</v>
      </c>
      <c r="I166" s="69">
        <v>96</v>
      </c>
      <c r="J166" s="15" t="s">
        <v>1495</v>
      </c>
      <c r="K166" s="15" t="s">
        <v>903</v>
      </c>
      <c r="L166" s="15" t="s">
        <v>1513</v>
      </c>
      <c r="M166" s="15" t="s">
        <v>1495</v>
      </c>
      <c r="N166" s="15" t="s">
        <v>1513</v>
      </c>
      <c r="O166" s="15"/>
    </row>
    <row r="167" spans="1:15" ht="18" customHeight="1" x14ac:dyDescent="0.3">
      <c r="A167" s="29">
        <v>166</v>
      </c>
      <c r="B167" s="15" t="s">
        <v>214</v>
      </c>
      <c r="C167" s="15" t="s">
        <v>10</v>
      </c>
      <c r="D167" s="69">
        <v>7</v>
      </c>
      <c r="E167" s="68" t="s">
        <v>166</v>
      </c>
      <c r="F167" s="21" t="s">
        <v>438</v>
      </c>
      <c r="G167" s="15" t="s">
        <v>154</v>
      </c>
      <c r="H167" s="15" t="s">
        <v>909</v>
      </c>
      <c r="I167" s="69">
        <v>154</v>
      </c>
      <c r="J167" s="15" t="s">
        <v>1495</v>
      </c>
      <c r="K167" s="15" t="s">
        <v>903</v>
      </c>
      <c r="L167" s="15" t="s">
        <v>1513</v>
      </c>
      <c r="M167" s="15" t="s">
        <v>1495</v>
      </c>
      <c r="N167" s="15" t="s">
        <v>1513</v>
      </c>
      <c r="O167" s="15"/>
    </row>
    <row r="168" spans="1:15" ht="18" customHeight="1" x14ac:dyDescent="0.3">
      <c r="A168" s="29">
        <v>167</v>
      </c>
      <c r="B168" s="15" t="s">
        <v>214</v>
      </c>
      <c r="C168" s="15" t="s">
        <v>10</v>
      </c>
      <c r="D168" s="69">
        <v>7</v>
      </c>
      <c r="E168" s="68" t="s">
        <v>166</v>
      </c>
      <c r="F168" s="21" t="s">
        <v>2733</v>
      </c>
      <c r="G168" s="15" t="s">
        <v>154</v>
      </c>
      <c r="H168" s="15" t="s">
        <v>904</v>
      </c>
      <c r="I168" s="69">
        <v>121</v>
      </c>
      <c r="J168" s="15" t="s">
        <v>1495</v>
      </c>
      <c r="K168" s="15" t="s">
        <v>902</v>
      </c>
      <c r="L168" s="15" t="s">
        <v>1703</v>
      </c>
      <c r="M168" s="15" t="s">
        <v>1495</v>
      </c>
      <c r="N168" s="15" t="s">
        <v>1513</v>
      </c>
      <c r="O168" s="15"/>
    </row>
    <row r="169" spans="1:15" ht="18" customHeight="1" x14ac:dyDescent="0.3">
      <c r="A169" s="29">
        <v>168</v>
      </c>
      <c r="B169" s="15" t="s">
        <v>214</v>
      </c>
      <c r="C169" s="15" t="s">
        <v>10</v>
      </c>
      <c r="D169" s="69">
        <v>7</v>
      </c>
      <c r="E169" s="68" t="s">
        <v>3244</v>
      </c>
      <c r="F169" s="24" t="s">
        <v>437</v>
      </c>
      <c r="G169" s="15" t="s">
        <v>154</v>
      </c>
      <c r="H169" s="15" t="s">
        <v>901</v>
      </c>
      <c r="I169" s="69">
        <v>321</v>
      </c>
      <c r="J169" s="15" t="s">
        <v>1495</v>
      </c>
      <c r="K169" s="15" t="s">
        <v>903</v>
      </c>
      <c r="L169" s="15" t="s">
        <v>1513</v>
      </c>
      <c r="M169" s="15" t="s">
        <v>1495</v>
      </c>
      <c r="N169" s="15" t="s">
        <v>1513</v>
      </c>
      <c r="O169" s="15"/>
    </row>
    <row r="170" spans="1:15" ht="18" customHeight="1" x14ac:dyDescent="0.3">
      <c r="A170" s="29">
        <v>169</v>
      </c>
      <c r="B170" s="15" t="s">
        <v>214</v>
      </c>
      <c r="C170" s="15" t="s">
        <v>10</v>
      </c>
      <c r="D170" s="69">
        <v>7</v>
      </c>
      <c r="E170" s="68" t="s">
        <v>3244</v>
      </c>
      <c r="F170" s="24" t="s">
        <v>437</v>
      </c>
      <c r="G170" s="15" t="s">
        <v>154</v>
      </c>
      <c r="H170" s="15" t="s">
        <v>904</v>
      </c>
      <c r="I170" s="69">
        <v>120</v>
      </c>
      <c r="J170" s="15" t="s">
        <v>1802</v>
      </c>
      <c r="K170" s="15" t="s">
        <v>902</v>
      </c>
      <c r="L170" s="15" t="s">
        <v>208</v>
      </c>
      <c r="M170" s="15" t="s">
        <v>1495</v>
      </c>
      <c r="N170" s="15" t="s">
        <v>1513</v>
      </c>
      <c r="O170" s="15"/>
    </row>
    <row r="171" spans="1:15" ht="18" customHeight="1" x14ac:dyDescent="0.3">
      <c r="A171" s="29">
        <v>170</v>
      </c>
      <c r="B171" s="15" t="s">
        <v>214</v>
      </c>
      <c r="C171" s="15" t="s">
        <v>10</v>
      </c>
      <c r="D171" s="69">
        <v>7</v>
      </c>
      <c r="E171" s="68" t="s">
        <v>3244</v>
      </c>
      <c r="F171" s="24" t="s">
        <v>437</v>
      </c>
      <c r="G171" s="15" t="s">
        <v>154</v>
      </c>
      <c r="H171" s="15" t="s">
        <v>905</v>
      </c>
      <c r="I171" s="69">
        <v>87</v>
      </c>
      <c r="J171" s="15" t="s">
        <v>1495</v>
      </c>
      <c r="K171" s="15" t="s">
        <v>903</v>
      </c>
      <c r="L171" s="15" t="s">
        <v>1513</v>
      </c>
      <c r="M171" s="15" t="s">
        <v>1495</v>
      </c>
      <c r="N171" s="15" t="s">
        <v>1513</v>
      </c>
      <c r="O171" s="15"/>
    </row>
    <row r="172" spans="1:15" ht="18" customHeight="1" x14ac:dyDescent="0.3">
      <c r="A172" s="29">
        <v>171</v>
      </c>
      <c r="B172" s="15" t="s">
        <v>214</v>
      </c>
      <c r="C172" s="15" t="s">
        <v>10</v>
      </c>
      <c r="D172" s="69">
        <v>7</v>
      </c>
      <c r="E172" s="68" t="s">
        <v>3244</v>
      </c>
      <c r="F172" s="24" t="s">
        <v>437</v>
      </c>
      <c r="G172" s="15" t="s">
        <v>154</v>
      </c>
      <c r="H172" s="15" t="s">
        <v>906</v>
      </c>
      <c r="I172" s="69">
        <v>131</v>
      </c>
      <c r="J172" s="15" t="s">
        <v>1802</v>
      </c>
      <c r="K172" s="15" t="s">
        <v>903</v>
      </c>
      <c r="L172" s="15" t="s">
        <v>1513</v>
      </c>
      <c r="M172" s="15" t="s">
        <v>1495</v>
      </c>
      <c r="N172" s="15" t="s">
        <v>1513</v>
      </c>
      <c r="O172" s="15"/>
    </row>
    <row r="173" spans="1:15" ht="18" customHeight="1" x14ac:dyDescent="0.3">
      <c r="A173" s="29">
        <v>172</v>
      </c>
      <c r="B173" s="15" t="s">
        <v>214</v>
      </c>
      <c r="C173" s="15" t="s">
        <v>10</v>
      </c>
      <c r="D173" s="69">
        <v>7</v>
      </c>
      <c r="E173" s="68" t="s">
        <v>3244</v>
      </c>
      <c r="F173" s="24" t="s">
        <v>437</v>
      </c>
      <c r="G173" s="15" t="s">
        <v>154</v>
      </c>
      <c r="H173" s="15" t="s">
        <v>907</v>
      </c>
      <c r="I173" s="69">
        <v>174</v>
      </c>
      <c r="J173" s="15" t="s">
        <v>1495</v>
      </c>
      <c r="K173" s="15" t="s">
        <v>902</v>
      </c>
      <c r="L173" s="15" t="s">
        <v>1069</v>
      </c>
      <c r="M173" s="15" t="s">
        <v>1495</v>
      </c>
      <c r="N173" s="15" t="s">
        <v>1513</v>
      </c>
      <c r="O173" s="15"/>
    </row>
    <row r="174" spans="1:15" ht="18" customHeight="1" x14ac:dyDescent="0.3">
      <c r="A174" s="29">
        <v>173</v>
      </c>
      <c r="B174" s="15" t="s">
        <v>214</v>
      </c>
      <c r="C174" s="15" t="s">
        <v>10</v>
      </c>
      <c r="D174" s="69">
        <v>7</v>
      </c>
      <c r="E174" s="68" t="s">
        <v>3244</v>
      </c>
      <c r="F174" s="24" t="s">
        <v>437</v>
      </c>
      <c r="G174" s="15" t="s">
        <v>154</v>
      </c>
      <c r="H174" s="15" t="s">
        <v>908</v>
      </c>
      <c r="I174" s="69">
        <v>215</v>
      </c>
      <c r="J174" s="15" t="s">
        <v>1802</v>
      </c>
      <c r="K174" s="15" t="s">
        <v>903</v>
      </c>
      <c r="L174" s="15" t="s">
        <v>1513</v>
      </c>
      <c r="M174" s="15" t="s">
        <v>1495</v>
      </c>
      <c r="N174" s="15" t="s">
        <v>1513</v>
      </c>
      <c r="O174" s="15"/>
    </row>
    <row r="175" spans="1:15" ht="18" customHeight="1" x14ac:dyDescent="0.3">
      <c r="A175" s="29">
        <v>174</v>
      </c>
      <c r="B175" s="15" t="s">
        <v>214</v>
      </c>
      <c r="C175" s="15" t="s">
        <v>10</v>
      </c>
      <c r="D175" s="69">
        <v>7</v>
      </c>
      <c r="E175" s="68" t="s">
        <v>3244</v>
      </c>
      <c r="F175" s="24" t="s">
        <v>437</v>
      </c>
      <c r="G175" s="15" t="s">
        <v>154</v>
      </c>
      <c r="H175" s="15" t="s">
        <v>909</v>
      </c>
      <c r="I175" s="69">
        <v>119</v>
      </c>
      <c r="J175" s="15" t="s">
        <v>1495</v>
      </c>
      <c r="K175" s="15" t="s">
        <v>903</v>
      </c>
      <c r="L175" s="15" t="s">
        <v>1513</v>
      </c>
      <c r="M175" s="15" t="s">
        <v>1495</v>
      </c>
      <c r="N175" s="15" t="s">
        <v>1513</v>
      </c>
      <c r="O175" s="15"/>
    </row>
    <row r="176" spans="1:15" ht="18" customHeight="1" x14ac:dyDescent="0.3">
      <c r="A176" s="29">
        <v>175</v>
      </c>
      <c r="B176" s="15" t="s">
        <v>214</v>
      </c>
      <c r="C176" s="15" t="s">
        <v>11</v>
      </c>
      <c r="D176" s="69">
        <v>8</v>
      </c>
      <c r="E176" s="68" t="s">
        <v>3245</v>
      </c>
      <c r="F176" s="24" t="s">
        <v>1557</v>
      </c>
      <c r="G176" s="15" t="s">
        <v>154</v>
      </c>
      <c r="H176" s="15" t="s">
        <v>901</v>
      </c>
      <c r="I176" s="69">
        <v>206</v>
      </c>
      <c r="J176" s="15" t="s">
        <v>1495</v>
      </c>
      <c r="K176" s="15" t="s">
        <v>1495</v>
      </c>
      <c r="L176" s="15" t="s">
        <v>1513</v>
      </c>
      <c r="M176" s="15" t="s">
        <v>1495</v>
      </c>
      <c r="N176" s="15" t="s">
        <v>1513</v>
      </c>
      <c r="O176" s="15"/>
    </row>
    <row r="177" spans="1:15" ht="18" customHeight="1" x14ac:dyDescent="0.3">
      <c r="A177" s="29">
        <v>176</v>
      </c>
      <c r="B177" s="15" t="s">
        <v>214</v>
      </c>
      <c r="C177" s="15" t="s">
        <v>11</v>
      </c>
      <c r="D177" s="69">
        <v>8</v>
      </c>
      <c r="E177" s="68" t="s">
        <v>3245</v>
      </c>
      <c r="F177" s="24" t="s">
        <v>1557</v>
      </c>
      <c r="G177" s="15" t="s">
        <v>154</v>
      </c>
      <c r="H177" s="15" t="s">
        <v>904</v>
      </c>
      <c r="I177" s="69">
        <v>83</v>
      </c>
      <c r="J177" s="15" t="s">
        <v>1495</v>
      </c>
      <c r="K177" s="15" t="s">
        <v>1495</v>
      </c>
      <c r="L177" s="15" t="s">
        <v>1513</v>
      </c>
      <c r="M177" s="15" t="s">
        <v>1495</v>
      </c>
      <c r="N177" s="15" t="s">
        <v>1513</v>
      </c>
      <c r="O177" s="15"/>
    </row>
    <row r="178" spans="1:15" ht="18" customHeight="1" x14ac:dyDescent="0.3">
      <c r="A178" s="29">
        <v>177</v>
      </c>
      <c r="B178" s="15" t="s">
        <v>214</v>
      </c>
      <c r="C178" s="15" t="s">
        <v>11</v>
      </c>
      <c r="D178" s="69">
        <v>8</v>
      </c>
      <c r="E178" s="68" t="s">
        <v>3245</v>
      </c>
      <c r="F178" s="24" t="s">
        <v>1557</v>
      </c>
      <c r="G178" s="15" t="s">
        <v>154</v>
      </c>
      <c r="H178" s="15" t="s">
        <v>905</v>
      </c>
      <c r="I178" s="69">
        <v>131</v>
      </c>
      <c r="J178" s="15" t="s">
        <v>1495</v>
      </c>
      <c r="K178" s="15" t="s">
        <v>1495</v>
      </c>
      <c r="L178" s="15" t="s">
        <v>1513</v>
      </c>
      <c r="M178" s="15" t="s">
        <v>1495</v>
      </c>
      <c r="N178" s="15" t="s">
        <v>1513</v>
      </c>
      <c r="O178" s="15"/>
    </row>
    <row r="179" spans="1:15" ht="18" customHeight="1" x14ac:dyDescent="0.3">
      <c r="A179" s="29">
        <v>178</v>
      </c>
      <c r="B179" s="15" t="s">
        <v>214</v>
      </c>
      <c r="C179" s="15" t="s">
        <v>11</v>
      </c>
      <c r="D179" s="69">
        <v>8</v>
      </c>
      <c r="E179" s="68" t="s">
        <v>3245</v>
      </c>
      <c r="F179" s="24" t="s">
        <v>1557</v>
      </c>
      <c r="G179" s="15" t="s">
        <v>154</v>
      </c>
      <c r="H179" s="15" t="s">
        <v>2680</v>
      </c>
      <c r="I179" s="69">
        <v>142</v>
      </c>
      <c r="J179" s="15" t="s">
        <v>1495</v>
      </c>
      <c r="K179" s="15" t="s">
        <v>1495</v>
      </c>
      <c r="L179" s="15" t="s">
        <v>1513</v>
      </c>
      <c r="M179" s="15" t="s">
        <v>1495</v>
      </c>
      <c r="N179" s="15" t="s">
        <v>1513</v>
      </c>
      <c r="O179" s="15"/>
    </row>
    <row r="180" spans="1:15" ht="18" customHeight="1" x14ac:dyDescent="0.3">
      <c r="A180" s="29">
        <v>179</v>
      </c>
      <c r="B180" s="15" t="s">
        <v>214</v>
      </c>
      <c r="C180" s="15" t="s">
        <v>11</v>
      </c>
      <c r="D180" s="69">
        <v>8</v>
      </c>
      <c r="E180" s="68" t="s">
        <v>3245</v>
      </c>
      <c r="F180" s="24" t="s">
        <v>1557</v>
      </c>
      <c r="G180" s="15" t="s">
        <v>154</v>
      </c>
      <c r="H180" s="15" t="s">
        <v>2690</v>
      </c>
      <c r="I180" s="69">
        <v>206</v>
      </c>
      <c r="J180" s="15" t="s">
        <v>1495</v>
      </c>
      <c r="K180" s="15" t="s">
        <v>1495</v>
      </c>
      <c r="L180" s="15" t="s">
        <v>1513</v>
      </c>
      <c r="M180" s="15" t="s">
        <v>1495</v>
      </c>
      <c r="N180" s="15" t="s">
        <v>1513</v>
      </c>
      <c r="O180" s="15"/>
    </row>
    <row r="181" spans="1:15" ht="18" customHeight="1" x14ac:dyDescent="0.3">
      <c r="A181" s="29">
        <v>180</v>
      </c>
      <c r="B181" s="15" t="s">
        <v>1534</v>
      </c>
      <c r="C181" s="15" t="s">
        <v>2734</v>
      </c>
      <c r="D181" s="13">
        <v>8</v>
      </c>
      <c r="E181" s="6" t="s">
        <v>1559</v>
      </c>
      <c r="F181" s="16" t="s">
        <v>1560</v>
      </c>
      <c r="G181" s="15" t="s">
        <v>1513</v>
      </c>
      <c r="H181" s="15" t="s">
        <v>2685</v>
      </c>
      <c r="I181" s="69">
        <v>164</v>
      </c>
      <c r="J181" s="15" t="s">
        <v>1495</v>
      </c>
      <c r="K181" s="15" t="s">
        <v>1495</v>
      </c>
      <c r="L181" s="15" t="s">
        <v>1513</v>
      </c>
      <c r="M181" s="15" t="s">
        <v>1495</v>
      </c>
      <c r="N181" s="15" t="s">
        <v>1513</v>
      </c>
      <c r="O181" s="15"/>
    </row>
    <row r="182" spans="1:15" ht="18" customHeight="1" x14ac:dyDescent="0.3">
      <c r="A182" s="29">
        <v>181</v>
      </c>
      <c r="B182" s="15" t="s">
        <v>1534</v>
      </c>
      <c r="C182" s="15" t="s">
        <v>2734</v>
      </c>
      <c r="D182" s="13">
        <v>8</v>
      </c>
      <c r="E182" s="6" t="s">
        <v>1559</v>
      </c>
      <c r="F182" s="16" t="s">
        <v>1560</v>
      </c>
      <c r="G182" s="15" t="s">
        <v>1513</v>
      </c>
      <c r="H182" s="15" t="s">
        <v>2678</v>
      </c>
      <c r="I182" s="69">
        <v>181</v>
      </c>
      <c r="J182" s="15" t="s">
        <v>1802</v>
      </c>
      <c r="K182" s="15" t="s">
        <v>903</v>
      </c>
      <c r="L182" s="15" t="s">
        <v>1513</v>
      </c>
      <c r="M182" s="15" t="s">
        <v>1495</v>
      </c>
      <c r="N182" s="15" t="s">
        <v>1513</v>
      </c>
      <c r="O182" s="15"/>
    </row>
    <row r="183" spans="1:15" ht="18" customHeight="1" x14ac:dyDescent="0.3">
      <c r="A183" s="29">
        <v>182</v>
      </c>
      <c r="B183" s="15" t="s">
        <v>1534</v>
      </c>
      <c r="C183" s="15" t="s">
        <v>2734</v>
      </c>
      <c r="D183" s="13">
        <v>8</v>
      </c>
      <c r="E183" s="6" t="s">
        <v>1559</v>
      </c>
      <c r="F183" s="16" t="s">
        <v>1560</v>
      </c>
      <c r="G183" s="15" t="s">
        <v>1513</v>
      </c>
      <c r="H183" s="15" t="s">
        <v>2735</v>
      </c>
      <c r="I183" s="69">
        <v>127</v>
      </c>
      <c r="J183" s="15" t="s">
        <v>1802</v>
      </c>
      <c r="K183" s="15" t="s">
        <v>903</v>
      </c>
      <c r="L183" s="15" t="s">
        <v>1513</v>
      </c>
      <c r="M183" s="15" t="s">
        <v>1802</v>
      </c>
      <c r="N183" s="15" t="s">
        <v>2736</v>
      </c>
      <c r="O183" s="15"/>
    </row>
    <row r="184" spans="1:15" ht="18" customHeight="1" x14ac:dyDescent="0.3">
      <c r="A184" s="29">
        <v>183</v>
      </c>
      <c r="B184" s="15" t="s">
        <v>214</v>
      </c>
      <c r="C184" s="15" t="s">
        <v>12</v>
      </c>
      <c r="D184" s="69">
        <v>9</v>
      </c>
      <c r="E184" s="68" t="s">
        <v>167</v>
      </c>
      <c r="F184" s="21" t="s">
        <v>355</v>
      </c>
      <c r="G184" s="15" t="s">
        <v>1553</v>
      </c>
      <c r="H184" s="15" t="s">
        <v>901</v>
      </c>
      <c r="I184" s="69">
        <v>203</v>
      </c>
      <c r="J184" s="13" t="s">
        <v>1495</v>
      </c>
      <c r="K184" s="15" t="s">
        <v>903</v>
      </c>
      <c r="L184" s="15" t="s">
        <v>1513</v>
      </c>
      <c r="M184" s="15" t="s">
        <v>1503</v>
      </c>
      <c r="N184" s="15" t="s">
        <v>1513</v>
      </c>
      <c r="O184" s="15"/>
    </row>
    <row r="185" spans="1:15" ht="18" customHeight="1" x14ac:dyDescent="0.3">
      <c r="A185" s="29">
        <v>184</v>
      </c>
      <c r="B185" s="15" t="s">
        <v>214</v>
      </c>
      <c r="C185" s="15" t="s">
        <v>12</v>
      </c>
      <c r="D185" s="69">
        <v>9</v>
      </c>
      <c r="E185" s="68" t="s">
        <v>167</v>
      </c>
      <c r="F185" s="21" t="s">
        <v>355</v>
      </c>
      <c r="G185" s="15" t="s">
        <v>1553</v>
      </c>
      <c r="H185" s="15" t="s">
        <v>904</v>
      </c>
      <c r="I185" s="69">
        <v>80</v>
      </c>
      <c r="J185" s="13" t="s">
        <v>1495</v>
      </c>
      <c r="K185" s="15" t="s">
        <v>903</v>
      </c>
      <c r="L185" s="15" t="s">
        <v>1513</v>
      </c>
      <c r="M185" s="15" t="s">
        <v>1495</v>
      </c>
      <c r="N185" s="15" t="s">
        <v>1513</v>
      </c>
      <c r="O185" s="15"/>
    </row>
    <row r="186" spans="1:15" ht="18" customHeight="1" x14ac:dyDescent="0.3">
      <c r="A186" s="29">
        <v>185</v>
      </c>
      <c r="B186" s="15" t="s">
        <v>214</v>
      </c>
      <c r="C186" s="15" t="s">
        <v>12</v>
      </c>
      <c r="D186" s="69">
        <v>9</v>
      </c>
      <c r="E186" s="68" t="s">
        <v>167</v>
      </c>
      <c r="F186" s="21" t="s">
        <v>355</v>
      </c>
      <c r="G186" s="15" t="s">
        <v>1553</v>
      </c>
      <c r="H186" s="15" t="s">
        <v>905</v>
      </c>
      <c r="I186" s="69">
        <v>136</v>
      </c>
      <c r="J186" s="13" t="s">
        <v>1802</v>
      </c>
      <c r="K186" s="15" t="s">
        <v>903</v>
      </c>
      <c r="L186" s="15" t="s">
        <v>1513</v>
      </c>
      <c r="M186" s="15" t="s">
        <v>1495</v>
      </c>
      <c r="N186" s="15" t="s">
        <v>1513</v>
      </c>
      <c r="O186" s="15"/>
    </row>
    <row r="187" spans="1:15" ht="18" customHeight="1" x14ac:dyDescent="0.3">
      <c r="A187" s="29">
        <v>186</v>
      </c>
      <c r="B187" s="15" t="s">
        <v>214</v>
      </c>
      <c r="C187" s="15" t="s">
        <v>12</v>
      </c>
      <c r="D187" s="69">
        <v>9</v>
      </c>
      <c r="E187" s="68" t="s">
        <v>167</v>
      </c>
      <c r="F187" s="21" t="s">
        <v>355</v>
      </c>
      <c r="G187" s="15" t="s">
        <v>1553</v>
      </c>
      <c r="H187" s="15" t="s">
        <v>906</v>
      </c>
      <c r="I187" s="69">
        <v>217</v>
      </c>
      <c r="J187" s="13" t="s">
        <v>1495</v>
      </c>
      <c r="K187" s="15" t="s">
        <v>903</v>
      </c>
      <c r="L187" s="15" t="s">
        <v>1513</v>
      </c>
      <c r="M187" s="15" t="s">
        <v>1495</v>
      </c>
      <c r="N187" s="15" t="s">
        <v>1513</v>
      </c>
      <c r="O187" s="15"/>
    </row>
    <row r="188" spans="1:15" ht="18" customHeight="1" x14ac:dyDescent="0.3">
      <c r="A188" s="29">
        <v>187</v>
      </c>
      <c r="B188" s="15" t="s">
        <v>214</v>
      </c>
      <c r="C188" s="15" t="s">
        <v>12</v>
      </c>
      <c r="D188" s="69">
        <v>9</v>
      </c>
      <c r="E188" s="68" t="s">
        <v>167</v>
      </c>
      <c r="F188" s="21" t="s">
        <v>355</v>
      </c>
      <c r="G188" s="15" t="s">
        <v>1553</v>
      </c>
      <c r="H188" s="15" t="s">
        <v>907</v>
      </c>
      <c r="I188" s="69">
        <v>80</v>
      </c>
      <c r="J188" s="13" t="s">
        <v>1495</v>
      </c>
      <c r="K188" s="15" t="s">
        <v>903</v>
      </c>
      <c r="L188" s="15" t="s">
        <v>1513</v>
      </c>
      <c r="M188" s="15" t="s">
        <v>1495</v>
      </c>
      <c r="N188" s="15" t="s">
        <v>1513</v>
      </c>
      <c r="O188" s="15"/>
    </row>
    <row r="189" spans="1:15" ht="18" customHeight="1" x14ac:dyDescent="0.3">
      <c r="A189" s="29">
        <v>188</v>
      </c>
      <c r="B189" s="15" t="s">
        <v>214</v>
      </c>
      <c r="C189" s="15" t="s">
        <v>12</v>
      </c>
      <c r="D189" s="69">
        <v>9</v>
      </c>
      <c r="E189" s="68" t="s">
        <v>167</v>
      </c>
      <c r="F189" s="21" t="s">
        <v>355</v>
      </c>
      <c r="G189" s="15" t="s">
        <v>1553</v>
      </c>
      <c r="H189" s="15" t="s">
        <v>908</v>
      </c>
      <c r="I189" s="69">
        <v>136</v>
      </c>
      <c r="J189" s="13" t="s">
        <v>1495</v>
      </c>
      <c r="K189" s="15" t="s">
        <v>903</v>
      </c>
      <c r="L189" s="15" t="s">
        <v>1513</v>
      </c>
      <c r="M189" s="15" t="s">
        <v>1495</v>
      </c>
      <c r="N189" s="15" t="s">
        <v>1513</v>
      </c>
      <c r="O189" s="15"/>
    </row>
    <row r="190" spans="1:15" ht="18" customHeight="1" x14ac:dyDescent="0.3">
      <c r="A190" s="29">
        <v>189</v>
      </c>
      <c r="B190" s="15" t="s">
        <v>214</v>
      </c>
      <c r="C190" s="15" t="s">
        <v>12</v>
      </c>
      <c r="D190" s="69">
        <v>9</v>
      </c>
      <c r="E190" s="68" t="s">
        <v>3246</v>
      </c>
      <c r="F190" s="24" t="s">
        <v>352</v>
      </c>
      <c r="G190" s="15" t="s">
        <v>154</v>
      </c>
      <c r="H190" s="15" t="s">
        <v>901</v>
      </c>
      <c r="I190" s="69">
        <v>125</v>
      </c>
      <c r="J190" s="15" t="s">
        <v>1802</v>
      </c>
      <c r="K190" s="15" t="s">
        <v>903</v>
      </c>
      <c r="L190" s="15" t="s">
        <v>1513</v>
      </c>
      <c r="M190" s="15" t="s">
        <v>1495</v>
      </c>
      <c r="N190" s="15" t="s">
        <v>1513</v>
      </c>
      <c r="O190" s="15"/>
    </row>
    <row r="191" spans="1:15" ht="18" customHeight="1" x14ac:dyDescent="0.3">
      <c r="A191" s="29">
        <v>190</v>
      </c>
      <c r="B191" s="15" t="s">
        <v>214</v>
      </c>
      <c r="C191" s="15" t="s">
        <v>12</v>
      </c>
      <c r="D191" s="69">
        <v>9</v>
      </c>
      <c r="E191" s="68" t="s">
        <v>3246</v>
      </c>
      <c r="F191" s="24" t="s">
        <v>352</v>
      </c>
      <c r="G191" s="15" t="s">
        <v>154</v>
      </c>
      <c r="H191" s="15" t="s">
        <v>904</v>
      </c>
      <c r="I191" s="69">
        <v>107</v>
      </c>
      <c r="J191" s="15" t="s">
        <v>1495</v>
      </c>
      <c r="K191" s="15" t="s">
        <v>903</v>
      </c>
      <c r="L191" s="15" t="s">
        <v>1513</v>
      </c>
      <c r="M191" s="15" t="s">
        <v>1495</v>
      </c>
      <c r="N191" s="15" t="s">
        <v>1513</v>
      </c>
      <c r="O191" s="15"/>
    </row>
    <row r="192" spans="1:15" ht="18" customHeight="1" x14ac:dyDescent="0.3">
      <c r="A192" s="29">
        <v>191</v>
      </c>
      <c r="B192" s="15" t="s">
        <v>214</v>
      </c>
      <c r="C192" s="15" t="s">
        <v>12</v>
      </c>
      <c r="D192" s="69">
        <v>9</v>
      </c>
      <c r="E192" s="68" t="s">
        <v>3246</v>
      </c>
      <c r="F192" s="24" t="s">
        <v>352</v>
      </c>
      <c r="G192" s="15" t="s">
        <v>154</v>
      </c>
      <c r="H192" s="15" t="s">
        <v>905</v>
      </c>
      <c r="I192" s="69">
        <v>94</v>
      </c>
      <c r="J192" s="15" t="s">
        <v>1495</v>
      </c>
      <c r="K192" s="15" t="s">
        <v>903</v>
      </c>
      <c r="L192" s="15" t="s">
        <v>1513</v>
      </c>
      <c r="M192" s="15" t="s">
        <v>1495</v>
      </c>
      <c r="N192" s="15" t="s">
        <v>1513</v>
      </c>
      <c r="O192" s="15"/>
    </row>
    <row r="193" spans="1:15" ht="18" customHeight="1" x14ac:dyDescent="0.3">
      <c r="A193" s="29">
        <v>192</v>
      </c>
      <c r="B193" s="15" t="s">
        <v>214</v>
      </c>
      <c r="C193" s="15" t="s">
        <v>12</v>
      </c>
      <c r="D193" s="69">
        <v>9</v>
      </c>
      <c r="E193" s="68" t="s">
        <v>3246</v>
      </c>
      <c r="F193" s="24" t="s">
        <v>352</v>
      </c>
      <c r="G193" s="15" t="s">
        <v>154</v>
      </c>
      <c r="H193" s="15" t="s">
        <v>906</v>
      </c>
      <c r="I193" s="69">
        <v>127</v>
      </c>
      <c r="J193" s="15" t="s">
        <v>1802</v>
      </c>
      <c r="K193" s="15" t="s">
        <v>903</v>
      </c>
      <c r="L193" s="15" t="s">
        <v>1513</v>
      </c>
      <c r="M193" s="15" t="s">
        <v>1495</v>
      </c>
      <c r="N193" s="15" t="s">
        <v>1513</v>
      </c>
      <c r="O193" s="15"/>
    </row>
    <row r="194" spans="1:15" ht="18" customHeight="1" x14ac:dyDescent="0.3">
      <c r="A194" s="29">
        <v>193</v>
      </c>
      <c r="B194" s="15" t="s">
        <v>214</v>
      </c>
      <c r="C194" s="15" t="s">
        <v>12</v>
      </c>
      <c r="D194" s="69">
        <v>9</v>
      </c>
      <c r="E194" s="68" t="s">
        <v>3246</v>
      </c>
      <c r="F194" s="24" t="s">
        <v>352</v>
      </c>
      <c r="G194" s="15" t="s">
        <v>154</v>
      </c>
      <c r="H194" s="15" t="s">
        <v>907</v>
      </c>
      <c r="I194" s="69">
        <v>157</v>
      </c>
      <c r="J194" s="15" t="s">
        <v>1495</v>
      </c>
      <c r="K194" s="15" t="s">
        <v>903</v>
      </c>
      <c r="L194" s="15" t="s">
        <v>1513</v>
      </c>
      <c r="M194" s="15" t="s">
        <v>1495</v>
      </c>
      <c r="N194" s="15" t="s">
        <v>1513</v>
      </c>
      <c r="O194" s="15"/>
    </row>
    <row r="195" spans="1:15" ht="18" customHeight="1" x14ac:dyDescent="0.3">
      <c r="A195" s="29">
        <v>194</v>
      </c>
      <c r="B195" s="15" t="s">
        <v>214</v>
      </c>
      <c r="C195" s="15" t="s">
        <v>12</v>
      </c>
      <c r="D195" s="69">
        <v>9</v>
      </c>
      <c r="E195" s="68" t="s">
        <v>3246</v>
      </c>
      <c r="F195" s="24" t="s">
        <v>352</v>
      </c>
      <c r="G195" s="15" t="s">
        <v>154</v>
      </c>
      <c r="H195" s="15" t="s">
        <v>908</v>
      </c>
      <c r="I195" s="69">
        <v>82</v>
      </c>
      <c r="J195" s="15" t="s">
        <v>1802</v>
      </c>
      <c r="K195" s="15" t="s">
        <v>903</v>
      </c>
      <c r="L195" s="15" t="s">
        <v>1513</v>
      </c>
      <c r="M195" s="15" t="s">
        <v>1495</v>
      </c>
      <c r="N195" s="15" t="s">
        <v>1513</v>
      </c>
      <c r="O195" s="15"/>
    </row>
    <row r="196" spans="1:15" ht="18" customHeight="1" x14ac:dyDescent="0.3">
      <c r="A196" s="29">
        <v>195</v>
      </c>
      <c r="B196" s="15" t="s">
        <v>214</v>
      </c>
      <c r="C196" s="15" t="s">
        <v>12</v>
      </c>
      <c r="D196" s="69">
        <v>9</v>
      </c>
      <c r="E196" s="68" t="s">
        <v>3247</v>
      </c>
      <c r="F196" s="21" t="s">
        <v>353</v>
      </c>
      <c r="G196" s="15" t="s">
        <v>154</v>
      </c>
      <c r="H196" s="15" t="s">
        <v>901</v>
      </c>
      <c r="I196" s="69">
        <v>117</v>
      </c>
      <c r="J196" s="15" t="s">
        <v>1495</v>
      </c>
      <c r="K196" s="15" t="s">
        <v>903</v>
      </c>
      <c r="L196" s="15" t="s">
        <v>1513</v>
      </c>
      <c r="M196" s="15" t="s">
        <v>1495</v>
      </c>
      <c r="N196" s="15" t="s">
        <v>1513</v>
      </c>
      <c r="O196" s="15"/>
    </row>
    <row r="197" spans="1:15" ht="18" customHeight="1" x14ac:dyDescent="0.3">
      <c r="A197" s="29">
        <v>196</v>
      </c>
      <c r="B197" s="15" t="s">
        <v>214</v>
      </c>
      <c r="C197" s="15" t="s">
        <v>12</v>
      </c>
      <c r="D197" s="69">
        <v>9</v>
      </c>
      <c r="E197" s="68" t="s">
        <v>3247</v>
      </c>
      <c r="F197" s="21" t="s">
        <v>353</v>
      </c>
      <c r="G197" s="15" t="s">
        <v>154</v>
      </c>
      <c r="H197" s="15" t="s">
        <v>904</v>
      </c>
      <c r="I197" s="69">
        <v>83</v>
      </c>
      <c r="J197" s="15" t="s">
        <v>1495</v>
      </c>
      <c r="K197" s="15" t="s">
        <v>903</v>
      </c>
      <c r="L197" s="15" t="s">
        <v>1513</v>
      </c>
      <c r="M197" s="15" t="s">
        <v>1495</v>
      </c>
      <c r="N197" s="15" t="s">
        <v>1513</v>
      </c>
      <c r="O197" s="15"/>
    </row>
    <row r="198" spans="1:15" ht="18" customHeight="1" x14ac:dyDescent="0.3">
      <c r="A198" s="29">
        <v>197</v>
      </c>
      <c r="B198" s="15" t="s">
        <v>214</v>
      </c>
      <c r="C198" s="15" t="s">
        <v>12</v>
      </c>
      <c r="D198" s="69">
        <v>9</v>
      </c>
      <c r="E198" s="68" t="s">
        <v>3247</v>
      </c>
      <c r="F198" s="21" t="s">
        <v>353</v>
      </c>
      <c r="G198" s="15" t="s">
        <v>154</v>
      </c>
      <c r="H198" s="15" t="s">
        <v>905</v>
      </c>
      <c r="I198" s="69">
        <v>124</v>
      </c>
      <c r="J198" s="15" t="s">
        <v>1495</v>
      </c>
      <c r="K198" s="15" t="s">
        <v>903</v>
      </c>
      <c r="L198" s="15" t="s">
        <v>1513</v>
      </c>
      <c r="M198" s="15" t="s">
        <v>1495</v>
      </c>
      <c r="N198" s="15" t="s">
        <v>1513</v>
      </c>
      <c r="O198" s="15"/>
    </row>
    <row r="199" spans="1:15" ht="18" customHeight="1" x14ac:dyDescent="0.3">
      <c r="A199" s="29">
        <v>198</v>
      </c>
      <c r="B199" s="15" t="s">
        <v>214</v>
      </c>
      <c r="C199" s="15" t="s">
        <v>12</v>
      </c>
      <c r="D199" s="69">
        <v>9</v>
      </c>
      <c r="E199" s="68" t="s">
        <v>3247</v>
      </c>
      <c r="F199" s="21" t="s">
        <v>353</v>
      </c>
      <c r="G199" s="15" t="s">
        <v>154</v>
      </c>
      <c r="H199" s="15" t="s">
        <v>906</v>
      </c>
      <c r="I199" s="69">
        <v>117</v>
      </c>
      <c r="J199" s="15" t="s">
        <v>1495</v>
      </c>
      <c r="K199" s="15" t="s">
        <v>903</v>
      </c>
      <c r="L199" s="15" t="s">
        <v>1513</v>
      </c>
      <c r="M199" s="15" t="s">
        <v>1495</v>
      </c>
      <c r="N199" s="15" t="s">
        <v>1513</v>
      </c>
      <c r="O199" s="15"/>
    </row>
    <row r="200" spans="1:15" ht="18" customHeight="1" x14ac:dyDescent="0.3">
      <c r="A200" s="29">
        <v>199</v>
      </c>
      <c r="B200" s="15" t="s">
        <v>214</v>
      </c>
      <c r="C200" s="15" t="s">
        <v>12</v>
      </c>
      <c r="D200" s="69">
        <v>9</v>
      </c>
      <c r="E200" s="68" t="s">
        <v>3247</v>
      </c>
      <c r="F200" s="21" t="s">
        <v>353</v>
      </c>
      <c r="G200" s="15" t="s">
        <v>154</v>
      </c>
      <c r="H200" s="15" t="s">
        <v>907</v>
      </c>
      <c r="I200" s="69">
        <v>83</v>
      </c>
      <c r="J200" s="15" t="s">
        <v>1495</v>
      </c>
      <c r="K200" s="15" t="s">
        <v>903</v>
      </c>
      <c r="L200" s="15" t="s">
        <v>1513</v>
      </c>
      <c r="M200" s="15" t="s">
        <v>1495</v>
      </c>
      <c r="N200" s="15" t="s">
        <v>1513</v>
      </c>
      <c r="O200" s="15"/>
    </row>
    <row r="201" spans="1:15" ht="18" customHeight="1" x14ac:dyDescent="0.3">
      <c r="A201" s="29">
        <v>200</v>
      </c>
      <c r="B201" s="15" t="s">
        <v>214</v>
      </c>
      <c r="C201" s="15" t="s">
        <v>12</v>
      </c>
      <c r="D201" s="69">
        <v>9</v>
      </c>
      <c r="E201" s="68" t="s">
        <v>3247</v>
      </c>
      <c r="F201" s="21" t="s">
        <v>353</v>
      </c>
      <c r="G201" s="15" t="s">
        <v>154</v>
      </c>
      <c r="H201" s="15" t="s">
        <v>908</v>
      </c>
      <c r="I201" s="69">
        <v>124</v>
      </c>
      <c r="J201" s="15" t="s">
        <v>1495</v>
      </c>
      <c r="K201" s="15" t="s">
        <v>903</v>
      </c>
      <c r="L201" s="15" t="s">
        <v>1513</v>
      </c>
      <c r="M201" s="15" t="s">
        <v>1495</v>
      </c>
      <c r="N201" s="15" t="s">
        <v>1513</v>
      </c>
      <c r="O201" s="15"/>
    </row>
    <row r="202" spans="1:15" ht="18" customHeight="1" x14ac:dyDescent="0.3">
      <c r="A202" s="29">
        <v>201</v>
      </c>
      <c r="B202" s="15" t="s">
        <v>214</v>
      </c>
      <c r="C202" s="15" t="s">
        <v>12</v>
      </c>
      <c r="D202" s="69">
        <v>9</v>
      </c>
      <c r="E202" s="68" t="s">
        <v>3247</v>
      </c>
      <c r="F202" s="21" t="s">
        <v>353</v>
      </c>
      <c r="G202" s="15" t="s">
        <v>154</v>
      </c>
      <c r="H202" s="15" t="s">
        <v>909</v>
      </c>
      <c r="I202" s="69">
        <v>117</v>
      </c>
      <c r="J202" s="15" t="s">
        <v>1495</v>
      </c>
      <c r="K202" s="15" t="s">
        <v>903</v>
      </c>
      <c r="L202" s="15" t="s">
        <v>1513</v>
      </c>
      <c r="M202" s="15" t="s">
        <v>1495</v>
      </c>
      <c r="N202" s="15" t="s">
        <v>1513</v>
      </c>
      <c r="O202" s="15"/>
    </row>
    <row r="203" spans="1:15" ht="18" customHeight="1" x14ac:dyDescent="0.3">
      <c r="A203" s="29">
        <v>202</v>
      </c>
      <c r="B203" s="15" t="s">
        <v>214</v>
      </c>
      <c r="C203" s="15" t="s">
        <v>12</v>
      </c>
      <c r="D203" s="69">
        <v>9</v>
      </c>
      <c r="E203" s="68" t="s">
        <v>3247</v>
      </c>
      <c r="F203" s="21" t="s">
        <v>353</v>
      </c>
      <c r="G203" s="15" t="s">
        <v>154</v>
      </c>
      <c r="H203" s="15" t="s">
        <v>910</v>
      </c>
      <c r="I203" s="69">
        <v>83</v>
      </c>
      <c r="J203" s="15" t="s">
        <v>1495</v>
      </c>
      <c r="K203" s="15" t="s">
        <v>903</v>
      </c>
      <c r="L203" s="15" t="s">
        <v>1513</v>
      </c>
      <c r="M203" s="15" t="s">
        <v>1495</v>
      </c>
      <c r="N203" s="15" t="s">
        <v>1513</v>
      </c>
      <c r="O203" s="15"/>
    </row>
    <row r="204" spans="1:15" ht="18" customHeight="1" x14ac:dyDescent="0.3">
      <c r="A204" s="29">
        <v>203</v>
      </c>
      <c r="B204" s="15" t="s">
        <v>214</v>
      </c>
      <c r="C204" s="15" t="s">
        <v>12</v>
      </c>
      <c r="D204" s="69">
        <v>9</v>
      </c>
      <c r="E204" s="68" t="s">
        <v>3247</v>
      </c>
      <c r="F204" s="21" t="s">
        <v>353</v>
      </c>
      <c r="G204" s="15" t="s">
        <v>154</v>
      </c>
      <c r="H204" s="15" t="s">
        <v>911</v>
      </c>
      <c r="I204" s="69">
        <v>124</v>
      </c>
      <c r="J204" s="15" t="s">
        <v>1495</v>
      </c>
      <c r="K204" s="15" t="s">
        <v>903</v>
      </c>
      <c r="L204" s="15" t="s">
        <v>1513</v>
      </c>
      <c r="M204" s="15" t="s">
        <v>1495</v>
      </c>
      <c r="N204" s="15" t="s">
        <v>1513</v>
      </c>
      <c r="O204" s="15"/>
    </row>
    <row r="205" spans="1:15" ht="18" customHeight="1" x14ac:dyDescent="0.3">
      <c r="A205" s="29">
        <v>204</v>
      </c>
      <c r="B205" s="15" t="s">
        <v>214</v>
      </c>
      <c r="C205" s="15" t="s">
        <v>13</v>
      </c>
      <c r="D205" s="69">
        <v>10</v>
      </c>
      <c r="E205" s="68" t="s">
        <v>2737</v>
      </c>
      <c r="F205" s="21" t="s">
        <v>385</v>
      </c>
      <c r="G205" s="15" t="s">
        <v>164</v>
      </c>
      <c r="H205" s="15" t="s">
        <v>901</v>
      </c>
      <c r="I205" s="69">
        <v>136</v>
      </c>
      <c r="J205" s="15" t="s">
        <v>1495</v>
      </c>
      <c r="K205" s="15" t="s">
        <v>903</v>
      </c>
      <c r="L205" s="15" t="s">
        <v>1513</v>
      </c>
      <c r="M205" s="15" t="s">
        <v>1495</v>
      </c>
      <c r="N205" s="15" t="s">
        <v>1513</v>
      </c>
      <c r="O205" s="15"/>
    </row>
    <row r="206" spans="1:15" ht="18" customHeight="1" x14ac:dyDescent="0.3">
      <c r="A206" s="29">
        <v>205</v>
      </c>
      <c r="B206" s="15" t="s">
        <v>214</v>
      </c>
      <c r="C206" s="15" t="s">
        <v>13</v>
      </c>
      <c r="D206" s="69">
        <v>10</v>
      </c>
      <c r="E206" s="68" t="s">
        <v>2737</v>
      </c>
      <c r="F206" s="21" t="s">
        <v>385</v>
      </c>
      <c r="G206" s="15" t="s">
        <v>164</v>
      </c>
      <c r="H206" s="15" t="s">
        <v>904</v>
      </c>
      <c r="I206" s="69">
        <v>136</v>
      </c>
      <c r="J206" s="15" t="s">
        <v>1495</v>
      </c>
      <c r="K206" s="15" t="s">
        <v>903</v>
      </c>
      <c r="L206" s="15" t="s">
        <v>1513</v>
      </c>
      <c r="M206" s="15" t="s">
        <v>1495</v>
      </c>
      <c r="N206" s="15" t="s">
        <v>1513</v>
      </c>
      <c r="O206" s="15"/>
    </row>
    <row r="207" spans="1:15" ht="18" customHeight="1" x14ac:dyDescent="0.3">
      <c r="A207" s="29">
        <v>206</v>
      </c>
      <c r="B207" s="15" t="s">
        <v>214</v>
      </c>
      <c r="C207" s="15" t="s">
        <v>13</v>
      </c>
      <c r="D207" s="69">
        <v>10</v>
      </c>
      <c r="E207" s="68" t="s">
        <v>2737</v>
      </c>
      <c r="F207" s="21" t="s">
        <v>385</v>
      </c>
      <c r="G207" s="15" t="s">
        <v>164</v>
      </c>
      <c r="H207" s="15" t="s">
        <v>905</v>
      </c>
      <c r="I207" s="69">
        <v>136</v>
      </c>
      <c r="J207" s="15" t="s">
        <v>1495</v>
      </c>
      <c r="K207" s="15" t="s">
        <v>903</v>
      </c>
      <c r="L207" s="15" t="s">
        <v>1513</v>
      </c>
      <c r="M207" s="15" t="s">
        <v>1495</v>
      </c>
      <c r="N207" s="15" t="s">
        <v>1513</v>
      </c>
      <c r="O207" s="15"/>
    </row>
    <row r="208" spans="1:15" ht="18" customHeight="1" x14ac:dyDescent="0.3">
      <c r="A208" s="29">
        <v>207</v>
      </c>
      <c r="B208" s="15" t="s">
        <v>214</v>
      </c>
      <c r="C208" s="15" t="s">
        <v>13</v>
      </c>
      <c r="D208" s="69">
        <v>10</v>
      </c>
      <c r="E208" s="68" t="s">
        <v>2737</v>
      </c>
      <c r="F208" s="21" t="s">
        <v>385</v>
      </c>
      <c r="G208" s="15" t="s">
        <v>164</v>
      </c>
      <c r="H208" s="15" t="s">
        <v>906</v>
      </c>
      <c r="I208" s="69">
        <v>136</v>
      </c>
      <c r="J208" s="15" t="s">
        <v>1495</v>
      </c>
      <c r="K208" s="15" t="s">
        <v>903</v>
      </c>
      <c r="L208" s="15" t="s">
        <v>1513</v>
      </c>
      <c r="M208" s="15" t="s">
        <v>1495</v>
      </c>
      <c r="N208" s="15" t="s">
        <v>1513</v>
      </c>
      <c r="O208" s="15"/>
    </row>
    <row r="209" spans="1:15" ht="18" customHeight="1" x14ac:dyDescent="0.3">
      <c r="A209" s="29">
        <v>208</v>
      </c>
      <c r="B209" s="15" t="s">
        <v>214</v>
      </c>
      <c r="C209" s="15" t="s">
        <v>13</v>
      </c>
      <c r="D209" s="69">
        <v>10</v>
      </c>
      <c r="E209" s="68" t="s">
        <v>2737</v>
      </c>
      <c r="F209" s="21" t="s">
        <v>385</v>
      </c>
      <c r="G209" s="15" t="s">
        <v>164</v>
      </c>
      <c r="H209" s="15" t="s">
        <v>907</v>
      </c>
      <c r="I209" s="69">
        <v>136</v>
      </c>
      <c r="J209" s="15" t="s">
        <v>1495</v>
      </c>
      <c r="K209" s="15" t="s">
        <v>903</v>
      </c>
      <c r="L209" s="15" t="s">
        <v>1513</v>
      </c>
      <c r="M209" s="15" t="s">
        <v>1495</v>
      </c>
      <c r="N209" s="15" t="s">
        <v>1513</v>
      </c>
      <c r="O209" s="15"/>
    </row>
    <row r="210" spans="1:15" ht="18" customHeight="1" x14ac:dyDescent="0.3">
      <c r="A210" s="29">
        <v>209</v>
      </c>
      <c r="B210" s="15" t="s">
        <v>214</v>
      </c>
      <c r="C210" s="15" t="s">
        <v>2738</v>
      </c>
      <c r="D210" s="69">
        <v>10</v>
      </c>
      <c r="E210" s="68" t="s">
        <v>3225</v>
      </c>
      <c r="F210" s="21" t="s">
        <v>1569</v>
      </c>
      <c r="G210" s="15" t="s">
        <v>154</v>
      </c>
      <c r="H210" s="15" t="s">
        <v>2711</v>
      </c>
      <c r="I210" s="69">
        <v>96</v>
      </c>
      <c r="J210" s="15" t="s">
        <v>1802</v>
      </c>
      <c r="K210" s="15" t="s">
        <v>1802</v>
      </c>
      <c r="L210" s="15" t="s">
        <v>1797</v>
      </c>
      <c r="M210" s="15" t="s">
        <v>1495</v>
      </c>
      <c r="N210" s="15" t="s">
        <v>1513</v>
      </c>
      <c r="O210" s="15"/>
    </row>
    <row r="211" spans="1:15" ht="18" customHeight="1" x14ac:dyDescent="0.3">
      <c r="A211" s="29">
        <v>210</v>
      </c>
      <c r="B211" s="15" t="s">
        <v>214</v>
      </c>
      <c r="C211" s="15" t="s">
        <v>2738</v>
      </c>
      <c r="D211" s="69">
        <v>10</v>
      </c>
      <c r="E211" s="68" t="s">
        <v>3225</v>
      </c>
      <c r="F211" s="21" t="s">
        <v>1569</v>
      </c>
      <c r="G211" s="15" t="s">
        <v>154</v>
      </c>
      <c r="H211" s="15" t="s">
        <v>2678</v>
      </c>
      <c r="I211" s="69">
        <v>123</v>
      </c>
      <c r="J211" s="15" t="s">
        <v>1495</v>
      </c>
      <c r="K211" s="15" t="s">
        <v>903</v>
      </c>
      <c r="L211" s="15" t="s">
        <v>1513</v>
      </c>
      <c r="M211" s="15" t="s">
        <v>1495</v>
      </c>
      <c r="N211" s="15" t="s">
        <v>1513</v>
      </c>
      <c r="O211" s="15"/>
    </row>
    <row r="212" spans="1:15" ht="18" customHeight="1" x14ac:dyDescent="0.3">
      <c r="A212" s="29">
        <v>211</v>
      </c>
      <c r="B212" s="15" t="s">
        <v>214</v>
      </c>
      <c r="C212" s="15" t="s">
        <v>2738</v>
      </c>
      <c r="D212" s="69">
        <v>10</v>
      </c>
      <c r="E212" s="68" t="s">
        <v>3225</v>
      </c>
      <c r="F212" s="21" t="s">
        <v>1569</v>
      </c>
      <c r="G212" s="15" t="s">
        <v>154</v>
      </c>
      <c r="H212" s="15" t="s">
        <v>2679</v>
      </c>
      <c r="I212" s="69">
        <v>132</v>
      </c>
      <c r="J212" s="15" t="s">
        <v>1495</v>
      </c>
      <c r="K212" s="15" t="s">
        <v>903</v>
      </c>
      <c r="L212" s="15" t="s">
        <v>1513</v>
      </c>
      <c r="M212" s="15" t="s">
        <v>1495</v>
      </c>
      <c r="N212" s="15" t="s">
        <v>1513</v>
      </c>
      <c r="O212" s="15"/>
    </row>
    <row r="213" spans="1:15" ht="18" customHeight="1" x14ac:dyDescent="0.3">
      <c r="A213" s="29">
        <v>212</v>
      </c>
      <c r="B213" s="15" t="s">
        <v>214</v>
      </c>
      <c r="C213" s="15" t="s">
        <v>2738</v>
      </c>
      <c r="D213" s="69">
        <v>10</v>
      </c>
      <c r="E213" s="68" t="s">
        <v>3225</v>
      </c>
      <c r="F213" s="21" t="s">
        <v>2739</v>
      </c>
      <c r="G213" s="15" t="s">
        <v>154</v>
      </c>
      <c r="H213" s="15" t="s">
        <v>2680</v>
      </c>
      <c r="I213" s="69">
        <v>132</v>
      </c>
      <c r="J213" s="15" t="s">
        <v>1495</v>
      </c>
      <c r="K213" s="15" t="s">
        <v>903</v>
      </c>
      <c r="L213" s="15" t="s">
        <v>1513</v>
      </c>
      <c r="M213" s="15" t="s">
        <v>1495</v>
      </c>
      <c r="N213" s="15" t="s">
        <v>1513</v>
      </c>
      <c r="O213" s="15"/>
    </row>
    <row r="214" spans="1:15" ht="18" customHeight="1" x14ac:dyDescent="0.3">
      <c r="A214" s="29">
        <v>213</v>
      </c>
      <c r="B214" s="15" t="s">
        <v>214</v>
      </c>
      <c r="C214" s="15" t="s">
        <v>2738</v>
      </c>
      <c r="D214" s="69">
        <v>10</v>
      </c>
      <c r="E214" s="68" t="s">
        <v>3225</v>
      </c>
      <c r="F214" s="21" t="s">
        <v>2739</v>
      </c>
      <c r="G214" s="15" t="s">
        <v>154</v>
      </c>
      <c r="H214" s="15" t="s">
        <v>2690</v>
      </c>
      <c r="I214" s="69">
        <v>132</v>
      </c>
      <c r="J214" s="15" t="s">
        <v>1495</v>
      </c>
      <c r="K214" s="15" t="s">
        <v>903</v>
      </c>
      <c r="L214" s="15" t="s">
        <v>1513</v>
      </c>
      <c r="M214" s="15" t="s">
        <v>1495</v>
      </c>
      <c r="N214" s="15" t="s">
        <v>1513</v>
      </c>
      <c r="O214" s="15"/>
    </row>
    <row r="215" spans="1:15" ht="18" customHeight="1" x14ac:dyDescent="0.3">
      <c r="A215" s="29">
        <v>214</v>
      </c>
      <c r="B215" s="15" t="s">
        <v>214</v>
      </c>
      <c r="C215" s="15" t="s">
        <v>2738</v>
      </c>
      <c r="D215" s="69">
        <v>10</v>
      </c>
      <c r="E215" s="68" t="s">
        <v>3225</v>
      </c>
      <c r="F215" s="21" t="s">
        <v>2739</v>
      </c>
      <c r="G215" s="15" t="s">
        <v>154</v>
      </c>
      <c r="H215" s="15" t="s">
        <v>2682</v>
      </c>
      <c r="I215" s="69">
        <v>123</v>
      </c>
      <c r="J215" s="15" t="s">
        <v>1495</v>
      </c>
      <c r="K215" s="15" t="s">
        <v>903</v>
      </c>
      <c r="L215" s="15" t="s">
        <v>1513</v>
      </c>
      <c r="M215" s="15" t="s">
        <v>1495</v>
      </c>
      <c r="N215" s="15" t="s">
        <v>1513</v>
      </c>
      <c r="O215" s="15"/>
    </row>
    <row r="216" spans="1:15" ht="18" customHeight="1" x14ac:dyDescent="0.3">
      <c r="A216" s="29">
        <v>215</v>
      </c>
      <c r="B216" s="15" t="s">
        <v>214</v>
      </c>
      <c r="C216" s="15" t="s">
        <v>2738</v>
      </c>
      <c r="D216" s="69">
        <v>10</v>
      </c>
      <c r="E216" s="68" t="s">
        <v>3225</v>
      </c>
      <c r="F216" s="21" t="s">
        <v>2739</v>
      </c>
      <c r="G216" s="15" t="s">
        <v>154</v>
      </c>
      <c r="H216" s="15" t="s">
        <v>2732</v>
      </c>
      <c r="I216" s="69">
        <v>132</v>
      </c>
      <c r="J216" s="15" t="s">
        <v>1495</v>
      </c>
      <c r="K216" s="15" t="s">
        <v>903</v>
      </c>
      <c r="L216" s="15" t="s">
        <v>1513</v>
      </c>
      <c r="M216" s="15" t="s">
        <v>1495</v>
      </c>
      <c r="N216" s="15" t="s">
        <v>1513</v>
      </c>
      <c r="O216" s="15"/>
    </row>
    <row r="217" spans="1:15" ht="18" customHeight="1" x14ac:dyDescent="0.3">
      <c r="A217" s="29">
        <v>216</v>
      </c>
      <c r="B217" s="15" t="s">
        <v>214</v>
      </c>
      <c r="C217" s="15" t="s">
        <v>14</v>
      </c>
      <c r="D217" s="69">
        <v>11</v>
      </c>
      <c r="E217" s="68" t="s">
        <v>1024</v>
      </c>
      <c r="F217" s="21" t="s">
        <v>1573</v>
      </c>
      <c r="G217" s="15" t="s">
        <v>1513</v>
      </c>
      <c r="H217" s="15" t="s">
        <v>901</v>
      </c>
      <c r="I217" s="69">
        <v>42</v>
      </c>
      <c r="J217" s="15" t="s">
        <v>1495</v>
      </c>
      <c r="K217" s="15" t="s">
        <v>903</v>
      </c>
      <c r="L217" s="15" t="s">
        <v>1513</v>
      </c>
      <c r="M217" s="15" t="s">
        <v>1802</v>
      </c>
      <c r="N217" s="15" t="s">
        <v>1508</v>
      </c>
      <c r="O217" s="15"/>
    </row>
    <row r="218" spans="1:15" ht="18" customHeight="1" x14ac:dyDescent="0.3">
      <c r="A218" s="29">
        <v>217</v>
      </c>
      <c r="B218" s="15" t="s">
        <v>214</v>
      </c>
      <c r="C218" s="15" t="s">
        <v>14</v>
      </c>
      <c r="D218" s="69">
        <v>11</v>
      </c>
      <c r="E218" s="68" t="s">
        <v>1024</v>
      </c>
      <c r="F218" s="21" t="s">
        <v>1573</v>
      </c>
      <c r="G218" s="15" t="s">
        <v>1513</v>
      </c>
      <c r="H218" s="15" t="s">
        <v>904</v>
      </c>
      <c r="I218" s="69">
        <v>40</v>
      </c>
      <c r="J218" s="15" t="s">
        <v>1495</v>
      </c>
      <c r="K218" s="15" t="s">
        <v>903</v>
      </c>
      <c r="L218" s="15" t="s">
        <v>1513</v>
      </c>
      <c r="M218" s="15" t="s">
        <v>1802</v>
      </c>
      <c r="N218" s="15" t="s">
        <v>2740</v>
      </c>
      <c r="O218" s="15"/>
    </row>
    <row r="219" spans="1:15" ht="18" customHeight="1" x14ac:dyDescent="0.3">
      <c r="A219" s="29">
        <v>218</v>
      </c>
      <c r="B219" s="15" t="s">
        <v>214</v>
      </c>
      <c r="C219" s="15" t="s">
        <v>14</v>
      </c>
      <c r="D219" s="69">
        <v>11</v>
      </c>
      <c r="E219" s="68" t="s">
        <v>168</v>
      </c>
      <c r="F219" s="21" t="s">
        <v>381</v>
      </c>
      <c r="G219" s="15" t="s">
        <v>154</v>
      </c>
      <c r="H219" s="15" t="s">
        <v>901</v>
      </c>
      <c r="I219" s="69">
        <v>227</v>
      </c>
      <c r="J219" s="13" t="s">
        <v>902</v>
      </c>
      <c r="K219" s="15" t="s">
        <v>903</v>
      </c>
      <c r="L219" s="15" t="s">
        <v>1513</v>
      </c>
      <c r="M219" s="15" t="s">
        <v>1495</v>
      </c>
      <c r="N219" s="15" t="s">
        <v>1513</v>
      </c>
      <c r="O219" s="15"/>
    </row>
    <row r="220" spans="1:15" ht="18" customHeight="1" x14ac:dyDescent="0.3">
      <c r="A220" s="29">
        <v>219</v>
      </c>
      <c r="B220" s="15" t="s">
        <v>214</v>
      </c>
      <c r="C220" s="15" t="s">
        <v>14</v>
      </c>
      <c r="D220" s="69">
        <v>11</v>
      </c>
      <c r="E220" s="68" t="s">
        <v>168</v>
      </c>
      <c r="F220" s="21" t="s">
        <v>381</v>
      </c>
      <c r="G220" s="15" t="s">
        <v>154</v>
      </c>
      <c r="H220" s="15" t="s">
        <v>904</v>
      </c>
      <c r="I220" s="69">
        <v>227</v>
      </c>
      <c r="J220" s="13" t="s">
        <v>1495</v>
      </c>
      <c r="K220" s="15" t="s">
        <v>903</v>
      </c>
      <c r="L220" s="15" t="s">
        <v>1513</v>
      </c>
      <c r="M220" s="15" t="s">
        <v>1495</v>
      </c>
      <c r="N220" s="15" t="s">
        <v>1513</v>
      </c>
      <c r="O220" s="15"/>
    </row>
    <row r="221" spans="1:15" ht="18" customHeight="1" x14ac:dyDescent="0.3">
      <c r="A221" s="29">
        <v>220</v>
      </c>
      <c r="B221" s="15" t="s">
        <v>214</v>
      </c>
      <c r="C221" s="15" t="s">
        <v>14</v>
      </c>
      <c r="D221" s="69">
        <v>11</v>
      </c>
      <c r="E221" s="68" t="s">
        <v>168</v>
      </c>
      <c r="F221" s="21" t="s">
        <v>381</v>
      </c>
      <c r="G221" s="15" t="s">
        <v>154</v>
      </c>
      <c r="H221" s="15" t="s">
        <v>905</v>
      </c>
      <c r="I221" s="69">
        <v>129</v>
      </c>
      <c r="J221" s="13" t="s">
        <v>902</v>
      </c>
      <c r="K221" s="15" t="s">
        <v>903</v>
      </c>
      <c r="L221" s="15" t="s">
        <v>1513</v>
      </c>
      <c r="M221" s="15" t="s">
        <v>1495</v>
      </c>
      <c r="N221" s="15" t="s">
        <v>1513</v>
      </c>
      <c r="O221" s="15"/>
    </row>
    <row r="222" spans="1:15" ht="18" customHeight="1" x14ac:dyDescent="0.3">
      <c r="A222" s="29">
        <v>221</v>
      </c>
      <c r="B222" s="15" t="s">
        <v>214</v>
      </c>
      <c r="C222" s="15" t="s">
        <v>14</v>
      </c>
      <c r="D222" s="69">
        <v>11</v>
      </c>
      <c r="E222" s="68" t="s">
        <v>168</v>
      </c>
      <c r="F222" s="21" t="s">
        <v>381</v>
      </c>
      <c r="G222" s="15" t="s">
        <v>154</v>
      </c>
      <c r="H222" s="15" t="s">
        <v>906</v>
      </c>
      <c r="I222" s="69">
        <v>261</v>
      </c>
      <c r="J222" s="13" t="s">
        <v>902</v>
      </c>
      <c r="K222" s="15" t="s">
        <v>903</v>
      </c>
      <c r="L222" s="15" t="s">
        <v>1513</v>
      </c>
      <c r="M222" s="15" t="s">
        <v>1495</v>
      </c>
      <c r="N222" s="15" t="s">
        <v>1513</v>
      </c>
      <c r="O222" s="15"/>
    </row>
    <row r="223" spans="1:15" ht="18" customHeight="1" x14ac:dyDescent="0.3">
      <c r="A223" s="29">
        <v>222</v>
      </c>
      <c r="B223" s="15" t="s">
        <v>214</v>
      </c>
      <c r="C223" s="15" t="s">
        <v>14</v>
      </c>
      <c r="D223" s="69">
        <v>11</v>
      </c>
      <c r="E223" s="68" t="s">
        <v>168</v>
      </c>
      <c r="F223" s="21" t="s">
        <v>381</v>
      </c>
      <c r="G223" s="15" t="s">
        <v>154</v>
      </c>
      <c r="H223" s="15" t="s">
        <v>907</v>
      </c>
      <c r="I223" s="69">
        <v>256</v>
      </c>
      <c r="J223" s="13" t="s">
        <v>902</v>
      </c>
      <c r="K223" s="15" t="s">
        <v>903</v>
      </c>
      <c r="L223" s="15" t="s">
        <v>1513</v>
      </c>
      <c r="M223" s="15" t="s">
        <v>1495</v>
      </c>
      <c r="N223" s="15" t="s">
        <v>1513</v>
      </c>
      <c r="O223" s="15"/>
    </row>
    <row r="224" spans="1:15" ht="18" customHeight="1" x14ac:dyDescent="0.3">
      <c r="A224" s="29">
        <v>223</v>
      </c>
      <c r="B224" s="15" t="s">
        <v>214</v>
      </c>
      <c r="C224" s="15" t="s">
        <v>14</v>
      </c>
      <c r="D224" s="69">
        <v>11</v>
      </c>
      <c r="E224" s="68" t="s">
        <v>168</v>
      </c>
      <c r="F224" s="21" t="s">
        <v>381</v>
      </c>
      <c r="G224" s="15" t="s">
        <v>154</v>
      </c>
      <c r="H224" s="15" t="s">
        <v>910</v>
      </c>
      <c r="I224" s="69">
        <v>256</v>
      </c>
      <c r="J224" s="13" t="s">
        <v>1495</v>
      </c>
      <c r="K224" s="15" t="s">
        <v>903</v>
      </c>
      <c r="L224" s="15" t="s">
        <v>1513</v>
      </c>
      <c r="M224" s="15" t="s">
        <v>1495</v>
      </c>
      <c r="N224" s="15" t="s">
        <v>1513</v>
      </c>
      <c r="O224" s="15"/>
    </row>
    <row r="225" spans="1:15" ht="18" customHeight="1" x14ac:dyDescent="0.3">
      <c r="A225" s="29">
        <v>224</v>
      </c>
      <c r="B225" s="15" t="s">
        <v>214</v>
      </c>
      <c r="C225" s="15" t="s">
        <v>14</v>
      </c>
      <c r="D225" s="69">
        <v>11</v>
      </c>
      <c r="E225" s="68" t="s">
        <v>168</v>
      </c>
      <c r="F225" s="21" t="s">
        <v>381</v>
      </c>
      <c r="G225" s="15" t="s">
        <v>154</v>
      </c>
      <c r="H225" s="15" t="s">
        <v>911</v>
      </c>
      <c r="I225" s="69">
        <v>261</v>
      </c>
      <c r="J225" s="13" t="s">
        <v>1495</v>
      </c>
      <c r="K225" s="15" t="s">
        <v>903</v>
      </c>
      <c r="L225" s="15" t="s">
        <v>1513</v>
      </c>
      <c r="M225" s="15" t="s">
        <v>1495</v>
      </c>
      <c r="N225" s="15" t="s">
        <v>1513</v>
      </c>
      <c r="O225" s="15"/>
    </row>
    <row r="226" spans="1:15" ht="18" customHeight="1" x14ac:dyDescent="0.3">
      <c r="A226" s="29">
        <v>225</v>
      </c>
      <c r="B226" s="15" t="s">
        <v>214</v>
      </c>
      <c r="C226" s="15" t="s">
        <v>14</v>
      </c>
      <c r="D226" s="69">
        <v>11</v>
      </c>
      <c r="E226" s="68" t="s">
        <v>168</v>
      </c>
      <c r="F226" s="21" t="s">
        <v>381</v>
      </c>
      <c r="G226" s="15" t="s">
        <v>154</v>
      </c>
      <c r="H226" s="15" t="s">
        <v>927</v>
      </c>
      <c r="I226" s="69">
        <v>102</v>
      </c>
      <c r="J226" s="13" t="s">
        <v>1495</v>
      </c>
      <c r="K226" s="15" t="s">
        <v>903</v>
      </c>
      <c r="L226" s="15" t="s">
        <v>1513</v>
      </c>
      <c r="M226" s="15" t="s">
        <v>1495</v>
      </c>
      <c r="N226" s="15" t="s">
        <v>1513</v>
      </c>
      <c r="O226" s="15"/>
    </row>
    <row r="227" spans="1:15" ht="18" customHeight="1" x14ac:dyDescent="0.3">
      <c r="A227" s="29">
        <v>226</v>
      </c>
      <c r="B227" s="15" t="s">
        <v>214</v>
      </c>
      <c r="C227" s="15" t="s">
        <v>14</v>
      </c>
      <c r="D227" s="69">
        <v>11</v>
      </c>
      <c r="E227" s="68" t="s">
        <v>168</v>
      </c>
      <c r="F227" s="21" t="s">
        <v>3423</v>
      </c>
      <c r="G227" s="15" t="s">
        <v>154</v>
      </c>
      <c r="H227" s="15" t="s">
        <v>908</v>
      </c>
      <c r="I227" s="69">
        <v>43</v>
      </c>
      <c r="J227" s="13" t="s">
        <v>1503</v>
      </c>
      <c r="K227" s="15" t="s">
        <v>1495</v>
      </c>
      <c r="L227" s="15" t="s">
        <v>1513</v>
      </c>
      <c r="M227" s="15" t="s">
        <v>1802</v>
      </c>
      <c r="N227" s="15" t="s">
        <v>2741</v>
      </c>
      <c r="O227" s="14"/>
    </row>
    <row r="228" spans="1:15" ht="18" customHeight="1" x14ac:dyDescent="0.3">
      <c r="A228" s="29">
        <v>227</v>
      </c>
      <c r="B228" s="15" t="s">
        <v>214</v>
      </c>
      <c r="C228" s="15" t="s">
        <v>14</v>
      </c>
      <c r="D228" s="69">
        <v>11</v>
      </c>
      <c r="E228" s="68" t="s">
        <v>168</v>
      </c>
      <c r="F228" s="21" t="s">
        <v>3423</v>
      </c>
      <c r="G228" s="15" t="s">
        <v>154</v>
      </c>
      <c r="H228" s="15" t="s">
        <v>909</v>
      </c>
      <c r="I228" s="69">
        <v>93</v>
      </c>
      <c r="J228" s="13" t="s">
        <v>902</v>
      </c>
      <c r="K228" s="15" t="s">
        <v>1802</v>
      </c>
      <c r="L228" s="15" t="s">
        <v>1577</v>
      </c>
      <c r="M228" s="15" t="s">
        <v>1495</v>
      </c>
      <c r="N228" s="15" t="s">
        <v>1513</v>
      </c>
      <c r="O228" s="15"/>
    </row>
    <row r="229" spans="1:15" ht="18" customHeight="1" x14ac:dyDescent="0.3">
      <c r="A229" s="29">
        <v>228</v>
      </c>
      <c r="B229" s="15" t="s">
        <v>214</v>
      </c>
      <c r="C229" s="15" t="s">
        <v>14</v>
      </c>
      <c r="D229" s="69">
        <v>11</v>
      </c>
      <c r="E229" s="68" t="s">
        <v>967</v>
      </c>
      <c r="F229" s="21" t="s">
        <v>383</v>
      </c>
      <c r="G229" s="15" t="s">
        <v>2742</v>
      </c>
      <c r="H229" s="15" t="s">
        <v>901</v>
      </c>
      <c r="I229" s="69">
        <v>102</v>
      </c>
      <c r="J229" s="13" t="s">
        <v>1495</v>
      </c>
      <c r="K229" s="15" t="s">
        <v>903</v>
      </c>
      <c r="L229" s="15" t="s">
        <v>1513</v>
      </c>
      <c r="M229" s="15" t="s">
        <v>1495</v>
      </c>
      <c r="N229" s="15" t="s">
        <v>1513</v>
      </c>
      <c r="O229" s="15"/>
    </row>
    <row r="230" spans="1:15" ht="18" customHeight="1" x14ac:dyDescent="0.3">
      <c r="A230" s="29">
        <v>229</v>
      </c>
      <c r="B230" s="15" t="s">
        <v>214</v>
      </c>
      <c r="C230" s="15" t="s">
        <v>14</v>
      </c>
      <c r="D230" s="69">
        <v>11</v>
      </c>
      <c r="E230" s="68" t="s">
        <v>967</v>
      </c>
      <c r="F230" s="21" t="s">
        <v>383</v>
      </c>
      <c r="G230" s="15" t="s">
        <v>2742</v>
      </c>
      <c r="H230" s="15" t="s">
        <v>904</v>
      </c>
      <c r="I230" s="69">
        <v>99</v>
      </c>
      <c r="J230" s="13" t="s">
        <v>1495</v>
      </c>
      <c r="K230" s="15" t="s">
        <v>903</v>
      </c>
      <c r="L230" s="15" t="s">
        <v>1513</v>
      </c>
      <c r="M230" s="15" t="s">
        <v>1495</v>
      </c>
      <c r="N230" s="15" t="s">
        <v>1513</v>
      </c>
      <c r="O230" s="15"/>
    </row>
    <row r="231" spans="1:15" ht="18" customHeight="1" x14ac:dyDescent="0.3">
      <c r="A231" s="29">
        <v>230</v>
      </c>
      <c r="B231" s="15" t="s">
        <v>214</v>
      </c>
      <c r="C231" s="15" t="s">
        <v>14</v>
      </c>
      <c r="D231" s="69">
        <v>11</v>
      </c>
      <c r="E231" s="68" t="s">
        <v>967</v>
      </c>
      <c r="F231" s="21" t="s">
        <v>383</v>
      </c>
      <c r="G231" s="15" t="s">
        <v>2742</v>
      </c>
      <c r="H231" s="15" t="s">
        <v>905</v>
      </c>
      <c r="I231" s="69">
        <v>102</v>
      </c>
      <c r="J231" s="13" t="s">
        <v>1495</v>
      </c>
      <c r="K231" s="15" t="s">
        <v>903</v>
      </c>
      <c r="L231" s="15" t="s">
        <v>1513</v>
      </c>
      <c r="M231" s="15" t="s">
        <v>1495</v>
      </c>
      <c r="N231" s="15" t="s">
        <v>1513</v>
      </c>
      <c r="O231" s="15"/>
    </row>
    <row r="232" spans="1:15" ht="18" customHeight="1" x14ac:dyDescent="0.3">
      <c r="A232" s="29">
        <v>231</v>
      </c>
      <c r="B232" s="15" t="s">
        <v>214</v>
      </c>
      <c r="C232" s="15" t="s">
        <v>14</v>
      </c>
      <c r="D232" s="69">
        <v>11</v>
      </c>
      <c r="E232" s="68" t="s">
        <v>967</v>
      </c>
      <c r="F232" s="21" t="s">
        <v>383</v>
      </c>
      <c r="G232" s="15" t="s">
        <v>2742</v>
      </c>
      <c r="H232" s="15" t="s">
        <v>906</v>
      </c>
      <c r="I232" s="69">
        <v>99</v>
      </c>
      <c r="J232" s="13" t="s">
        <v>1495</v>
      </c>
      <c r="K232" s="15" t="s">
        <v>903</v>
      </c>
      <c r="L232" s="15" t="s">
        <v>1513</v>
      </c>
      <c r="M232" s="15" t="s">
        <v>1495</v>
      </c>
      <c r="N232" s="15" t="s">
        <v>1513</v>
      </c>
      <c r="O232" s="15"/>
    </row>
    <row r="233" spans="1:15" ht="18" customHeight="1" x14ac:dyDescent="0.3">
      <c r="A233" s="29">
        <v>232</v>
      </c>
      <c r="B233" s="15" t="s">
        <v>214</v>
      </c>
      <c r="C233" s="15" t="s">
        <v>14</v>
      </c>
      <c r="D233" s="69">
        <v>11</v>
      </c>
      <c r="E233" s="68" t="s">
        <v>967</v>
      </c>
      <c r="F233" s="21" t="s">
        <v>383</v>
      </c>
      <c r="G233" s="15" t="s">
        <v>2742</v>
      </c>
      <c r="H233" s="15" t="s">
        <v>907</v>
      </c>
      <c r="I233" s="69">
        <v>232</v>
      </c>
      <c r="J233" s="13" t="s">
        <v>1495</v>
      </c>
      <c r="K233" s="15" t="s">
        <v>903</v>
      </c>
      <c r="L233" s="15" t="s">
        <v>1513</v>
      </c>
      <c r="M233" s="15" t="s">
        <v>1495</v>
      </c>
      <c r="N233" s="15" t="s">
        <v>1513</v>
      </c>
      <c r="O233" s="15"/>
    </row>
    <row r="234" spans="1:15" ht="18" customHeight="1" x14ac:dyDescent="0.3">
      <c r="A234" s="29">
        <v>233</v>
      </c>
      <c r="B234" s="15" t="s">
        <v>214</v>
      </c>
      <c r="C234" s="15" t="s">
        <v>14</v>
      </c>
      <c r="D234" s="69">
        <v>11</v>
      </c>
      <c r="E234" s="68" t="s">
        <v>3248</v>
      </c>
      <c r="F234" s="24" t="s">
        <v>379</v>
      </c>
      <c r="G234" s="15" t="s">
        <v>154</v>
      </c>
      <c r="H234" s="15" t="s">
        <v>901</v>
      </c>
      <c r="I234" s="69">
        <v>102</v>
      </c>
      <c r="J234" s="15" t="s">
        <v>1802</v>
      </c>
      <c r="K234" s="15" t="s">
        <v>903</v>
      </c>
      <c r="L234" s="15" t="s">
        <v>1513</v>
      </c>
      <c r="M234" s="15" t="s">
        <v>1495</v>
      </c>
      <c r="N234" s="15" t="s">
        <v>1513</v>
      </c>
      <c r="O234" s="15"/>
    </row>
    <row r="235" spans="1:15" ht="18" customHeight="1" x14ac:dyDescent="0.3">
      <c r="A235" s="29">
        <v>234</v>
      </c>
      <c r="B235" s="15" t="s">
        <v>214</v>
      </c>
      <c r="C235" s="15" t="s">
        <v>14</v>
      </c>
      <c r="D235" s="69">
        <v>11</v>
      </c>
      <c r="E235" s="68" t="s">
        <v>3248</v>
      </c>
      <c r="F235" s="24" t="s">
        <v>379</v>
      </c>
      <c r="G235" s="15" t="s">
        <v>154</v>
      </c>
      <c r="H235" s="15" t="s">
        <v>906</v>
      </c>
      <c r="I235" s="69">
        <v>188</v>
      </c>
      <c r="J235" s="15" t="s">
        <v>1495</v>
      </c>
      <c r="K235" s="15" t="s">
        <v>903</v>
      </c>
      <c r="L235" s="15" t="s">
        <v>1513</v>
      </c>
      <c r="M235" s="15" t="s">
        <v>1495</v>
      </c>
      <c r="N235" s="15" t="s">
        <v>1513</v>
      </c>
      <c r="O235" s="15"/>
    </row>
    <row r="236" spans="1:15" ht="18" customHeight="1" x14ac:dyDescent="0.3">
      <c r="A236" s="29">
        <v>235</v>
      </c>
      <c r="B236" s="15" t="s">
        <v>214</v>
      </c>
      <c r="C236" s="15" t="s">
        <v>14</v>
      </c>
      <c r="D236" s="69">
        <v>11</v>
      </c>
      <c r="E236" s="68" t="s">
        <v>3248</v>
      </c>
      <c r="F236" s="24" t="s">
        <v>379</v>
      </c>
      <c r="G236" s="15" t="s">
        <v>154</v>
      </c>
      <c r="H236" s="15" t="s">
        <v>907</v>
      </c>
      <c r="I236" s="69">
        <v>148</v>
      </c>
      <c r="J236" s="15" t="s">
        <v>1802</v>
      </c>
      <c r="K236" s="15" t="s">
        <v>903</v>
      </c>
      <c r="L236" s="15" t="s">
        <v>1513</v>
      </c>
      <c r="M236" s="15" t="s">
        <v>1495</v>
      </c>
      <c r="N236" s="15" t="s">
        <v>1513</v>
      </c>
      <c r="O236" s="15"/>
    </row>
    <row r="237" spans="1:15" ht="18" customHeight="1" x14ac:dyDescent="0.3">
      <c r="A237" s="29">
        <v>236</v>
      </c>
      <c r="B237" s="15" t="s">
        <v>214</v>
      </c>
      <c r="C237" s="15" t="s">
        <v>14</v>
      </c>
      <c r="D237" s="69">
        <v>11</v>
      </c>
      <c r="E237" s="68" t="s">
        <v>3248</v>
      </c>
      <c r="F237" s="24" t="s">
        <v>379</v>
      </c>
      <c r="G237" s="15" t="s">
        <v>154</v>
      </c>
      <c r="H237" s="15" t="s">
        <v>908</v>
      </c>
      <c r="I237" s="69">
        <v>131</v>
      </c>
      <c r="J237" s="15" t="s">
        <v>1495</v>
      </c>
      <c r="K237" s="15" t="s">
        <v>903</v>
      </c>
      <c r="L237" s="15" t="s">
        <v>1513</v>
      </c>
      <c r="M237" s="15" t="s">
        <v>1495</v>
      </c>
      <c r="N237" s="15" t="s">
        <v>1513</v>
      </c>
      <c r="O237" s="15"/>
    </row>
    <row r="238" spans="1:15" ht="18" customHeight="1" x14ac:dyDescent="0.3">
      <c r="A238" s="29">
        <v>237</v>
      </c>
      <c r="B238" s="15" t="s">
        <v>214</v>
      </c>
      <c r="C238" s="15" t="s">
        <v>14</v>
      </c>
      <c r="D238" s="69">
        <v>11</v>
      </c>
      <c r="E238" s="68" t="s">
        <v>3248</v>
      </c>
      <c r="F238" s="24" t="s">
        <v>379</v>
      </c>
      <c r="G238" s="15" t="s">
        <v>154</v>
      </c>
      <c r="H238" s="15" t="s">
        <v>909</v>
      </c>
      <c r="I238" s="69">
        <v>199</v>
      </c>
      <c r="J238" s="15" t="s">
        <v>1495</v>
      </c>
      <c r="K238" s="15" t="s">
        <v>903</v>
      </c>
      <c r="L238" s="15" t="s">
        <v>1513</v>
      </c>
      <c r="M238" s="15" t="s">
        <v>1495</v>
      </c>
      <c r="N238" s="15" t="s">
        <v>1513</v>
      </c>
      <c r="O238" s="15"/>
    </row>
    <row r="239" spans="1:15" ht="18" customHeight="1" x14ac:dyDescent="0.3">
      <c r="A239" s="29">
        <v>238</v>
      </c>
      <c r="B239" s="15" t="s">
        <v>214</v>
      </c>
      <c r="C239" s="15" t="s">
        <v>14</v>
      </c>
      <c r="D239" s="69">
        <v>11</v>
      </c>
      <c r="E239" s="68" t="s">
        <v>3248</v>
      </c>
      <c r="F239" s="24" t="s">
        <v>2743</v>
      </c>
      <c r="G239" s="15" t="s">
        <v>154</v>
      </c>
      <c r="H239" s="15" t="s">
        <v>904</v>
      </c>
      <c r="I239" s="69">
        <v>214</v>
      </c>
      <c r="J239" s="15" t="s">
        <v>1495</v>
      </c>
      <c r="K239" s="15" t="s">
        <v>902</v>
      </c>
      <c r="L239" s="15" t="s">
        <v>1069</v>
      </c>
      <c r="M239" s="15" t="s">
        <v>1495</v>
      </c>
      <c r="N239" s="15" t="s">
        <v>1513</v>
      </c>
      <c r="O239" s="15"/>
    </row>
    <row r="240" spans="1:15" ht="18" customHeight="1" x14ac:dyDescent="0.3">
      <c r="A240" s="29">
        <v>239</v>
      </c>
      <c r="B240" s="15" t="s">
        <v>214</v>
      </c>
      <c r="C240" s="15" t="s">
        <v>14</v>
      </c>
      <c r="D240" s="69">
        <v>11</v>
      </c>
      <c r="E240" s="68" t="s">
        <v>3248</v>
      </c>
      <c r="F240" s="24" t="s">
        <v>2743</v>
      </c>
      <c r="G240" s="15" t="s">
        <v>154</v>
      </c>
      <c r="H240" s="15" t="s">
        <v>905</v>
      </c>
      <c r="I240" s="69">
        <v>108</v>
      </c>
      <c r="J240" s="15" t="s">
        <v>1802</v>
      </c>
      <c r="K240" s="15" t="s">
        <v>1802</v>
      </c>
      <c r="L240" s="15" t="s">
        <v>1797</v>
      </c>
      <c r="M240" s="15" t="s">
        <v>1495</v>
      </c>
      <c r="N240" s="15" t="s">
        <v>1513</v>
      </c>
      <c r="O240" s="15"/>
    </row>
    <row r="241" spans="1:15" ht="18" customHeight="1" x14ac:dyDescent="0.3">
      <c r="A241" s="29">
        <v>240</v>
      </c>
      <c r="B241" s="15" t="s">
        <v>214</v>
      </c>
      <c r="C241" s="15" t="s">
        <v>14</v>
      </c>
      <c r="D241" s="69">
        <v>11</v>
      </c>
      <c r="E241" s="68" t="s">
        <v>3249</v>
      </c>
      <c r="F241" s="24" t="s">
        <v>1137</v>
      </c>
      <c r="G241" s="15" t="s">
        <v>154</v>
      </c>
      <c r="H241" s="15" t="s">
        <v>905</v>
      </c>
      <c r="I241" s="69">
        <v>285</v>
      </c>
      <c r="J241" s="15" t="s">
        <v>1802</v>
      </c>
      <c r="K241" s="15" t="s">
        <v>903</v>
      </c>
      <c r="L241" s="15" t="s">
        <v>1513</v>
      </c>
      <c r="M241" s="15" t="s">
        <v>1495</v>
      </c>
      <c r="N241" s="15" t="s">
        <v>1513</v>
      </c>
      <c r="O241" s="15"/>
    </row>
    <row r="242" spans="1:15" ht="18" customHeight="1" x14ac:dyDescent="0.3">
      <c r="A242" s="29">
        <v>241</v>
      </c>
      <c r="B242" s="15" t="s">
        <v>214</v>
      </c>
      <c r="C242" s="15" t="s">
        <v>14</v>
      </c>
      <c r="D242" s="69">
        <v>11</v>
      </c>
      <c r="E242" s="68" t="s">
        <v>3249</v>
      </c>
      <c r="F242" s="24" t="s">
        <v>2744</v>
      </c>
      <c r="G242" s="15" t="s">
        <v>154</v>
      </c>
      <c r="H242" s="15" t="s">
        <v>2745</v>
      </c>
      <c r="I242" s="69">
        <v>75</v>
      </c>
      <c r="J242" s="15" t="s">
        <v>1802</v>
      </c>
      <c r="K242" s="15" t="s">
        <v>1495</v>
      </c>
      <c r="L242" s="15" t="s">
        <v>1513</v>
      </c>
      <c r="M242" s="15" t="s">
        <v>1495</v>
      </c>
      <c r="N242" s="15" t="s">
        <v>1513</v>
      </c>
      <c r="O242" s="15"/>
    </row>
    <row r="243" spans="1:15" ht="18" customHeight="1" x14ac:dyDescent="0.3">
      <c r="A243" s="29">
        <v>242</v>
      </c>
      <c r="B243" s="15" t="s">
        <v>214</v>
      </c>
      <c r="C243" s="15" t="s">
        <v>14</v>
      </c>
      <c r="D243" s="69">
        <v>11</v>
      </c>
      <c r="E243" s="68" t="s">
        <v>3249</v>
      </c>
      <c r="F243" s="24" t="s">
        <v>1582</v>
      </c>
      <c r="G243" s="15" t="s">
        <v>154</v>
      </c>
      <c r="H243" s="15" t="s">
        <v>901</v>
      </c>
      <c r="I243" s="69">
        <v>269</v>
      </c>
      <c r="J243" s="15" t="s">
        <v>1495</v>
      </c>
      <c r="K243" s="15" t="s">
        <v>903</v>
      </c>
      <c r="L243" s="15" t="s">
        <v>1513</v>
      </c>
      <c r="M243" s="15" t="s">
        <v>1495</v>
      </c>
      <c r="N243" s="15" t="s">
        <v>1513</v>
      </c>
      <c r="O243" s="15"/>
    </row>
    <row r="244" spans="1:15" ht="18" customHeight="1" x14ac:dyDescent="0.3">
      <c r="A244" s="29">
        <v>243</v>
      </c>
      <c r="B244" s="15" t="s">
        <v>214</v>
      </c>
      <c r="C244" s="15" t="s">
        <v>14</v>
      </c>
      <c r="D244" s="69">
        <v>11</v>
      </c>
      <c r="E244" s="68" t="s">
        <v>3249</v>
      </c>
      <c r="F244" s="24" t="s">
        <v>1582</v>
      </c>
      <c r="G244" s="15" t="s">
        <v>154</v>
      </c>
      <c r="H244" s="15" t="s">
        <v>904</v>
      </c>
      <c r="I244" s="69">
        <v>269</v>
      </c>
      <c r="J244" s="15" t="s">
        <v>1802</v>
      </c>
      <c r="K244" s="15" t="s">
        <v>903</v>
      </c>
      <c r="L244" s="15" t="s">
        <v>1513</v>
      </c>
      <c r="M244" s="15" t="s">
        <v>1495</v>
      </c>
      <c r="N244" s="15" t="s">
        <v>1513</v>
      </c>
      <c r="O244" s="15"/>
    </row>
    <row r="245" spans="1:15" ht="18" customHeight="1" x14ac:dyDescent="0.3">
      <c r="A245" s="29">
        <v>244</v>
      </c>
      <c r="B245" s="15" t="s">
        <v>214</v>
      </c>
      <c r="C245" s="15" t="s">
        <v>15</v>
      </c>
      <c r="D245" s="69">
        <v>12</v>
      </c>
      <c r="E245" s="68" t="s">
        <v>3250</v>
      </c>
      <c r="F245" s="24" t="s">
        <v>420</v>
      </c>
      <c r="G245" s="15" t="s">
        <v>164</v>
      </c>
      <c r="H245" s="15" t="s">
        <v>901</v>
      </c>
      <c r="I245" s="69">
        <v>283</v>
      </c>
      <c r="J245" s="15" t="s">
        <v>1802</v>
      </c>
      <c r="K245" s="15" t="s">
        <v>903</v>
      </c>
      <c r="L245" s="15" t="s">
        <v>1513</v>
      </c>
      <c r="M245" s="15" t="s">
        <v>1495</v>
      </c>
      <c r="N245" s="15" t="s">
        <v>1513</v>
      </c>
      <c r="O245" s="15"/>
    </row>
    <row r="246" spans="1:15" ht="18" customHeight="1" x14ac:dyDescent="0.3">
      <c r="A246" s="29">
        <v>245</v>
      </c>
      <c r="B246" s="15" t="s">
        <v>214</v>
      </c>
      <c r="C246" s="15" t="s">
        <v>15</v>
      </c>
      <c r="D246" s="69">
        <v>12</v>
      </c>
      <c r="E246" s="68" t="s">
        <v>3250</v>
      </c>
      <c r="F246" s="24" t="s">
        <v>420</v>
      </c>
      <c r="G246" s="15" t="s">
        <v>164</v>
      </c>
      <c r="H246" s="15" t="s">
        <v>904</v>
      </c>
      <c r="I246" s="69">
        <v>93</v>
      </c>
      <c r="J246" s="15" t="s">
        <v>1495</v>
      </c>
      <c r="K246" s="15" t="s">
        <v>903</v>
      </c>
      <c r="L246" s="15" t="s">
        <v>1513</v>
      </c>
      <c r="M246" s="15" t="s">
        <v>1495</v>
      </c>
      <c r="N246" s="15" t="s">
        <v>1513</v>
      </c>
      <c r="O246" s="15"/>
    </row>
    <row r="247" spans="1:15" ht="18" customHeight="1" x14ac:dyDescent="0.3">
      <c r="A247" s="29">
        <v>246</v>
      </c>
      <c r="B247" s="15" t="s">
        <v>214</v>
      </c>
      <c r="C247" s="15" t="s">
        <v>15</v>
      </c>
      <c r="D247" s="69">
        <v>12</v>
      </c>
      <c r="E247" s="68" t="s">
        <v>3250</v>
      </c>
      <c r="F247" s="24" t="s">
        <v>420</v>
      </c>
      <c r="G247" s="15" t="s">
        <v>164</v>
      </c>
      <c r="H247" s="15" t="s">
        <v>905</v>
      </c>
      <c r="I247" s="69">
        <v>172</v>
      </c>
      <c r="J247" s="15" t="s">
        <v>1802</v>
      </c>
      <c r="K247" s="15" t="s">
        <v>903</v>
      </c>
      <c r="L247" s="15" t="s">
        <v>1513</v>
      </c>
      <c r="M247" s="15" t="s">
        <v>1495</v>
      </c>
      <c r="N247" s="15" t="s">
        <v>1513</v>
      </c>
      <c r="O247" s="15"/>
    </row>
    <row r="248" spans="1:15" ht="18" customHeight="1" x14ac:dyDescent="0.3">
      <c r="A248" s="29">
        <v>247</v>
      </c>
      <c r="B248" s="15" t="s">
        <v>214</v>
      </c>
      <c r="C248" s="15" t="s">
        <v>15</v>
      </c>
      <c r="D248" s="69">
        <v>12</v>
      </c>
      <c r="E248" s="68" t="s">
        <v>3250</v>
      </c>
      <c r="F248" s="24" t="s">
        <v>420</v>
      </c>
      <c r="G248" s="15" t="s">
        <v>164</v>
      </c>
      <c r="H248" s="15" t="s">
        <v>906</v>
      </c>
      <c r="I248" s="69">
        <v>162</v>
      </c>
      <c r="J248" s="15" t="s">
        <v>1495</v>
      </c>
      <c r="K248" s="15" t="s">
        <v>903</v>
      </c>
      <c r="L248" s="15" t="s">
        <v>1513</v>
      </c>
      <c r="M248" s="15" t="s">
        <v>1495</v>
      </c>
      <c r="N248" s="15" t="s">
        <v>1513</v>
      </c>
      <c r="O248" s="15"/>
    </row>
    <row r="249" spans="1:15" ht="18" customHeight="1" x14ac:dyDescent="0.3">
      <c r="A249" s="29">
        <v>248</v>
      </c>
      <c r="B249" s="15" t="s">
        <v>214</v>
      </c>
      <c r="C249" s="15" t="s">
        <v>15</v>
      </c>
      <c r="D249" s="69">
        <v>12</v>
      </c>
      <c r="E249" s="68" t="s">
        <v>3250</v>
      </c>
      <c r="F249" s="24" t="s">
        <v>420</v>
      </c>
      <c r="G249" s="15" t="s">
        <v>164</v>
      </c>
      <c r="H249" s="15" t="s">
        <v>907</v>
      </c>
      <c r="I249" s="69">
        <v>283</v>
      </c>
      <c r="J249" s="15" t="s">
        <v>1495</v>
      </c>
      <c r="K249" s="15" t="s">
        <v>903</v>
      </c>
      <c r="L249" s="15" t="s">
        <v>1513</v>
      </c>
      <c r="M249" s="15" t="s">
        <v>1495</v>
      </c>
      <c r="N249" s="15" t="s">
        <v>1513</v>
      </c>
      <c r="O249" s="15"/>
    </row>
    <row r="250" spans="1:15" ht="18" customHeight="1" x14ac:dyDescent="0.3">
      <c r="A250" s="29">
        <v>249</v>
      </c>
      <c r="B250" s="15" t="s">
        <v>214</v>
      </c>
      <c r="C250" s="15" t="s">
        <v>15</v>
      </c>
      <c r="D250" s="69">
        <v>12</v>
      </c>
      <c r="E250" s="68" t="s">
        <v>3250</v>
      </c>
      <c r="F250" s="24" t="s">
        <v>420</v>
      </c>
      <c r="G250" s="15" t="s">
        <v>164</v>
      </c>
      <c r="H250" s="15" t="s">
        <v>908</v>
      </c>
      <c r="I250" s="69">
        <v>93</v>
      </c>
      <c r="J250" s="15" t="s">
        <v>1495</v>
      </c>
      <c r="K250" s="15" t="s">
        <v>903</v>
      </c>
      <c r="L250" s="15" t="s">
        <v>1513</v>
      </c>
      <c r="M250" s="15" t="s">
        <v>1495</v>
      </c>
      <c r="N250" s="15" t="s">
        <v>1513</v>
      </c>
      <c r="O250" s="15"/>
    </row>
    <row r="251" spans="1:15" ht="18" customHeight="1" x14ac:dyDescent="0.3">
      <c r="A251" s="29">
        <v>250</v>
      </c>
      <c r="B251" s="15" t="s">
        <v>214</v>
      </c>
      <c r="C251" s="15" t="s">
        <v>15</v>
      </c>
      <c r="D251" s="69">
        <v>12</v>
      </c>
      <c r="E251" s="68" t="s">
        <v>3250</v>
      </c>
      <c r="F251" s="24" t="s">
        <v>420</v>
      </c>
      <c r="G251" s="15" t="s">
        <v>164</v>
      </c>
      <c r="H251" s="15" t="s">
        <v>909</v>
      </c>
      <c r="I251" s="69">
        <v>172</v>
      </c>
      <c r="J251" s="15" t="s">
        <v>1495</v>
      </c>
      <c r="K251" s="15" t="s">
        <v>903</v>
      </c>
      <c r="L251" s="15" t="s">
        <v>1513</v>
      </c>
      <c r="M251" s="15" t="s">
        <v>1495</v>
      </c>
      <c r="N251" s="15" t="s">
        <v>1513</v>
      </c>
      <c r="O251" s="15"/>
    </row>
    <row r="252" spans="1:15" ht="18" customHeight="1" x14ac:dyDescent="0.3">
      <c r="A252" s="29">
        <v>251</v>
      </c>
      <c r="B252" s="15" t="s">
        <v>214</v>
      </c>
      <c r="C252" s="15" t="s">
        <v>15</v>
      </c>
      <c r="D252" s="69">
        <v>12</v>
      </c>
      <c r="E252" s="68" t="s">
        <v>3250</v>
      </c>
      <c r="F252" s="24" t="s">
        <v>420</v>
      </c>
      <c r="G252" s="15" t="s">
        <v>164</v>
      </c>
      <c r="H252" s="15" t="s">
        <v>910</v>
      </c>
      <c r="I252" s="69">
        <v>148</v>
      </c>
      <c r="J252" s="15" t="s">
        <v>1802</v>
      </c>
      <c r="K252" s="15" t="s">
        <v>903</v>
      </c>
      <c r="L252" s="15" t="s">
        <v>1513</v>
      </c>
      <c r="M252" s="15" t="s">
        <v>1495</v>
      </c>
      <c r="N252" s="15" t="s">
        <v>1492</v>
      </c>
      <c r="O252" s="15"/>
    </row>
    <row r="253" spans="1:15" ht="18" customHeight="1" x14ac:dyDescent="0.3">
      <c r="A253" s="29">
        <v>252</v>
      </c>
      <c r="B253" s="15" t="s">
        <v>214</v>
      </c>
      <c r="C253" s="15" t="s">
        <v>15</v>
      </c>
      <c r="D253" s="69">
        <v>12</v>
      </c>
      <c r="E253" s="68" t="s">
        <v>3250</v>
      </c>
      <c r="F253" s="24" t="s">
        <v>420</v>
      </c>
      <c r="G253" s="15" t="s">
        <v>164</v>
      </c>
      <c r="H253" s="15" t="s">
        <v>911</v>
      </c>
      <c r="I253" s="69">
        <v>214</v>
      </c>
      <c r="J253" s="15" t="s">
        <v>1495</v>
      </c>
      <c r="K253" s="15" t="s">
        <v>903</v>
      </c>
      <c r="L253" s="15" t="s">
        <v>1513</v>
      </c>
      <c r="M253" s="15" t="s">
        <v>1495</v>
      </c>
      <c r="N253" s="15" t="s">
        <v>1513</v>
      </c>
      <c r="O253" s="15"/>
    </row>
    <row r="254" spans="1:15" ht="18" customHeight="1" x14ac:dyDescent="0.3">
      <c r="A254" s="29">
        <v>253</v>
      </c>
      <c r="B254" s="15" t="s">
        <v>214</v>
      </c>
      <c r="C254" s="15" t="s">
        <v>15</v>
      </c>
      <c r="D254" s="69">
        <v>12</v>
      </c>
      <c r="E254" s="68" t="s">
        <v>2746</v>
      </c>
      <c r="F254" s="21" t="s">
        <v>422</v>
      </c>
      <c r="G254" s="15" t="s">
        <v>154</v>
      </c>
      <c r="H254" s="15" t="s">
        <v>901</v>
      </c>
      <c r="I254" s="69">
        <v>240</v>
      </c>
      <c r="J254" s="13" t="s">
        <v>902</v>
      </c>
      <c r="K254" s="15" t="s">
        <v>903</v>
      </c>
      <c r="L254" s="15" t="s">
        <v>1513</v>
      </c>
      <c r="M254" s="15" t="s">
        <v>1495</v>
      </c>
      <c r="N254" s="15" t="s">
        <v>1513</v>
      </c>
      <c r="O254" s="15"/>
    </row>
    <row r="255" spans="1:15" ht="18" customHeight="1" x14ac:dyDescent="0.3">
      <c r="A255" s="29">
        <v>254</v>
      </c>
      <c r="B255" s="15" t="s">
        <v>214</v>
      </c>
      <c r="C255" s="15" t="s">
        <v>15</v>
      </c>
      <c r="D255" s="69">
        <v>12</v>
      </c>
      <c r="E255" s="68" t="s">
        <v>2746</v>
      </c>
      <c r="F255" s="21" t="s">
        <v>422</v>
      </c>
      <c r="G255" s="15" t="s">
        <v>154</v>
      </c>
      <c r="H255" s="15" t="s">
        <v>904</v>
      </c>
      <c r="I255" s="69">
        <v>138</v>
      </c>
      <c r="J255" s="13" t="s">
        <v>902</v>
      </c>
      <c r="K255" s="15" t="s">
        <v>903</v>
      </c>
      <c r="L255" s="15" t="s">
        <v>1513</v>
      </c>
      <c r="M255" s="15" t="s">
        <v>1495</v>
      </c>
      <c r="N255" s="15" t="s">
        <v>1513</v>
      </c>
      <c r="O255" s="15"/>
    </row>
    <row r="256" spans="1:15" ht="18" customHeight="1" x14ac:dyDescent="0.3">
      <c r="A256" s="29">
        <v>255</v>
      </c>
      <c r="B256" s="15" t="s">
        <v>214</v>
      </c>
      <c r="C256" s="15" t="s">
        <v>15</v>
      </c>
      <c r="D256" s="69">
        <v>12</v>
      </c>
      <c r="E256" s="68" t="s">
        <v>2746</v>
      </c>
      <c r="F256" s="21" t="s">
        <v>422</v>
      </c>
      <c r="G256" s="15" t="s">
        <v>154</v>
      </c>
      <c r="H256" s="15" t="s">
        <v>905</v>
      </c>
      <c r="I256" s="69">
        <v>116</v>
      </c>
      <c r="J256" s="13" t="s">
        <v>1495</v>
      </c>
      <c r="K256" s="15" t="s">
        <v>903</v>
      </c>
      <c r="L256" s="15" t="s">
        <v>1513</v>
      </c>
      <c r="M256" s="15" t="s">
        <v>1495</v>
      </c>
      <c r="N256" s="15" t="s">
        <v>1513</v>
      </c>
      <c r="O256" s="15"/>
    </row>
    <row r="257" spans="1:15" ht="18" customHeight="1" x14ac:dyDescent="0.3">
      <c r="A257" s="29">
        <v>256</v>
      </c>
      <c r="B257" s="15" t="s">
        <v>214</v>
      </c>
      <c r="C257" s="15" t="s">
        <v>15</v>
      </c>
      <c r="D257" s="69">
        <v>12</v>
      </c>
      <c r="E257" s="68" t="s">
        <v>2746</v>
      </c>
      <c r="F257" s="21" t="s">
        <v>422</v>
      </c>
      <c r="G257" s="15" t="s">
        <v>154</v>
      </c>
      <c r="H257" s="15" t="s">
        <v>906</v>
      </c>
      <c r="I257" s="69">
        <v>116</v>
      </c>
      <c r="J257" s="13" t="s">
        <v>902</v>
      </c>
      <c r="K257" s="15" t="s">
        <v>903</v>
      </c>
      <c r="L257" s="15" t="s">
        <v>1513</v>
      </c>
      <c r="M257" s="15" t="s">
        <v>1495</v>
      </c>
      <c r="N257" s="15" t="s">
        <v>1513</v>
      </c>
      <c r="O257" s="15"/>
    </row>
    <row r="258" spans="1:15" ht="18" customHeight="1" x14ac:dyDescent="0.3">
      <c r="A258" s="29">
        <v>257</v>
      </c>
      <c r="B258" s="15" t="s">
        <v>214</v>
      </c>
      <c r="C258" s="15" t="s">
        <v>15</v>
      </c>
      <c r="D258" s="69">
        <v>12</v>
      </c>
      <c r="E258" s="68" t="s">
        <v>2746</v>
      </c>
      <c r="F258" s="21" t="s">
        <v>422</v>
      </c>
      <c r="G258" s="15" t="s">
        <v>154</v>
      </c>
      <c r="H258" s="15" t="s">
        <v>907</v>
      </c>
      <c r="I258" s="69">
        <v>116</v>
      </c>
      <c r="J258" s="13" t="s">
        <v>1495</v>
      </c>
      <c r="K258" s="15" t="s">
        <v>903</v>
      </c>
      <c r="L258" s="15" t="s">
        <v>1513</v>
      </c>
      <c r="M258" s="15" t="s">
        <v>1495</v>
      </c>
      <c r="N258" s="15" t="s">
        <v>1513</v>
      </c>
      <c r="O258" s="15"/>
    </row>
    <row r="259" spans="1:15" ht="18" customHeight="1" x14ac:dyDescent="0.3">
      <c r="A259" s="29">
        <v>258</v>
      </c>
      <c r="B259" s="15" t="s">
        <v>214</v>
      </c>
      <c r="C259" s="15" t="s">
        <v>15</v>
      </c>
      <c r="D259" s="69">
        <v>12</v>
      </c>
      <c r="E259" s="68" t="s">
        <v>2746</v>
      </c>
      <c r="F259" s="21" t="s">
        <v>422</v>
      </c>
      <c r="G259" s="15" t="s">
        <v>154</v>
      </c>
      <c r="H259" s="15" t="s">
        <v>908</v>
      </c>
      <c r="I259" s="69">
        <v>116</v>
      </c>
      <c r="J259" s="13" t="s">
        <v>1495</v>
      </c>
      <c r="K259" s="15" t="s">
        <v>903</v>
      </c>
      <c r="L259" s="15" t="s">
        <v>1513</v>
      </c>
      <c r="M259" s="15" t="s">
        <v>1495</v>
      </c>
      <c r="N259" s="15" t="s">
        <v>1513</v>
      </c>
      <c r="O259" s="15"/>
    </row>
    <row r="260" spans="1:15" ht="18" customHeight="1" x14ac:dyDescent="0.3">
      <c r="A260" s="29">
        <v>259</v>
      </c>
      <c r="B260" s="15" t="s">
        <v>214</v>
      </c>
      <c r="C260" s="15" t="s">
        <v>15</v>
      </c>
      <c r="D260" s="69">
        <v>12</v>
      </c>
      <c r="E260" s="68" t="s">
        <v>2746</v>
      </c>
      <c r="F260" s="21" t="s">
        <v>422</v>
      </c>
      <c r="G260" s="15" t="s">
        <v>154</v>
      </c>
      <c r="H260" s="15" t="s">
        <v>909</v>
      </c>
      <c r="I260" s="69">
        <v>90</v>
      </c>
      <c r="J260" s="13" t="s">
        <v>1495</v>
      </c>
      <c r="K260" s="15" t="s">
        <v>903</v>
      </c>
      <c r="L260" s="15" t="s">
        <v>1513</v>
      </c>
      <c r="M260" s="15" t="s">
        <v>1495</v>
      </c>
      <c r="N260" s="15" t="s">
        <v>1513</v>
      </c>
      <c r="O260" s="15"/>
    </row>
    <row r="261" spans="1:15" ht="18" customHeight="1" x14ac:dyDescent="0.3">
      <c r="A261" s="29">
        <v>260</v>
      </c>
      <c r="B261" s="15" t="s">
        <v>214</v>
      </c>
      <c r="C261" s="15" t="s">
        <v>15</v>
      </c>
      <c r="D261" s="69">
        <v>12</v>
      </c>
      <c r="E261" s="68" t="s">
        <v>2746</v>
      </c>
      <c r="F261" s="21" t="s">
        <v>422</v>
      </c>
      <c r="G261" s="15" t="s">
        <v>154</v>
      </c>
      <c r="H261" s="15" t="s">
        <v>910</v>
      </c>
      <c r="I261" s="69">
        <v>404</v>
      </c>
      <c r="J261" s="13" t="s">
        <v>902</v>
      </c>
      <c r="K261" s="15" t="s">
        <v>1802</v>
      </c>
      <c r="L261" s="15" t="s">
        <v>2747</v>
      </c>
      <c r="M261" s="15" t="s">
        <v>1495</v>
      </c>
      <c r="N261" s="15" t="s">
        <v>1513</v>
      </c>
      <c r="O261" s="15" t="s">
        <v>2748</v>
      </c>
    </row>
    <row r="262" spans="1:15" ht="18" customHeight="1" x14ac:dyDescent="0.3">
      <c r="A262" s="29">
        <v>261</v>
      </c>
      <c r="B262" s="15" t="s">
        <v>214</v>
      </c>
      <c r="C262" s="15" t="s">
        <v>16</v>
      </c>
      <c r="D262" s="69">
        <v>13</v>
      </c>
      <c r="E262" s="68" t="s">
        <v>171</v>
      </c>
      <c r="F262" s="16" t="s">
        <v>1585</v>
      </c>
      <c r="G262" s="15" t="s">
        <v>1513</v>
      </c>
      <c r="H262" s="15" t="s">
        <v>901</v>
      </c>
      <c r="I262" s="69">
        <v>90</v>
      </c>
      <c r="J262" s="15" t="s">
        <v>1495</v>
      </c>
      <c r="K262" s="15" t="s">
        <v>903</v>
      </c>
      <c r="L262" s="15" t="s">
        <v>1513</v>
      </c>
      <c r="M262" s="15" t="s">
        <v>1802</v>
      </c>
      <c r="N262" s="15" t="s">
        <v>1508</v>
      </c>
      <c r="O262" s="15"/>
    </row>
    <row r="263" spans="1:15" ht="18" customHeight="1" x14ac:dyDescent="0.3">
      <c r="A263" s="29">
        <v>262</v>
      </c>
      <c r="B263" s="15" t="s">
        <v>214</v>
      </c>
      <c r="C263" s="15" t="s">
        <v>16</v>
      </c>
      <c r="D263" s="69">
        <v>13</v>
      </c>
      <c r="E263" s="68" t="s">
        <v>171</v>
      </c>
      <c r="F263" s="16" t="s">
        <v>1585</v>
      </c>
      <c r="G263" s="15" t="s">
        <v>1513</v>
      </c>
      <c r="H263" s="15" t="s">
        <v>904</v>
      </c>
      <c r="I263" s="69">
        <v>52</v>
      </c>
      <c r="J263" s="15" t="s">
        <v>1495</v>
      </c>
      <c r="K263" s="15" t="s">
        <v>903</v>
      </c>
      <c r="L263" s="15" t="s">
        <v>1513</v>
      </c>
      <c r="M263" s="15" t="s">
        <v>1802</v>
      </c>
      <c r="N263" s="15" t="s">
        <v>2689</v>
      </c>
      <c r="O263" s="15"/>
    </row>
    <row r="264" spans="1:15" ht="18" customHeight="1" x14ac:dyDescent="0.3">
      <c r="A264" s="29">
        <v>263</v>
      </c>
      <c r="B264" s="15" t="s">
        <v>214</v>
      </c>
      <c r="C264" s="15" t="s">
        <v>16</v>
      </c>
      <c r="D264" s="69">
        <v>13</v>
      </c>
      <c r="E264" s="68" t="s">
        <v>3251</v>
      </c>
      <c r="F264" s="24" t="s">
        <v>1140</v>
      </c>
      <c r="G264" s="15" t="s">
        <v>154</v>
      </c>
      <c r="H264" s="15" t="s">
        <v>2678</v>
      </c>
      <c r="I264" s="69">
        <v>221</v>
      </c>
      <c r="J264" s="15" t="s">
        <v>1495</v>
      </c>
      <c r="K264" s="15" t="s">
        <v>903</v>
      </c>
      <c r="L264" s="15" t="s">
        <v>1513</v>
      </c>
      <c r="M264" s="15" t="s">
        <v>1495</v>
      </c>
      <c r="N264" s="15" t="s">
        <v>1513</v>
      </c>
      <c r="O264" s="15"/>
    </row>
    <row r="265" spans="1:15" ht="18" customHeight="1" x14ac:dyDescent="0.3">
      <c r="A265" s="29">
        <v>264</v>
      </c>
      <c r="B265" s="15" t="s">
        <v>214</v>
      </c>
      <c r="C265" s="15" t="s">
        <v>16</v>
      </c>
      <c r="D265" s="69">
        <v>13</v>
      </c>
      <c r="E265" s="68" t="s">
        <v>3251</v>
      </c>
      <c r="F265" s="24" t="s">
        <v>1140</v>
      </c>
      <c r="G265" s="15" t="s">
        <v>154</v>
      </c>
      <c r="H265" s="15" t="s">
        <v>905</v>
      </c>
      <c r="I265" s="69">
        <v>205</v>
      </c>
      <c r="J265" s="15" t="s">
        <v>1802</v>
      </c>
      <c r="K265" s="15" t="s">
        <v>903</v>
      </c>
      <c r="L265" s="15" t="s">
        <v>1513</v>
      </c>
      <c r="M265" s="15" t="s">
        <v>1495</v>
      </c>
      <c r="N265" s="15" t="s">
        <v>1513</v>
      </c>
      <c r="O265" s="15"/>
    </row>
    <row r="266" spans="1:15" ht="18" customHeight="1" x14ac:dyDescent="0.3">
      <c r="A266" s="29">
        <v>265</v>
      </c>
      <c r="B266" s="15" t="s">
        <v>214</v>
      </c>
      <c r="C266" s="15" t="s">
        <v>16</v>
      </c>
      <c r="D266" s="69">
        <v>13</v>
      </c>
      <c r="E266" s="68" t="s">
        <v>3251</v>
      </c>
      <c r="F266" s="24" t="s">
        <v>1140</v>
      </c>
      <c r="G266" s="15" t="s">
        <v>154</v>
      </c>
      <c r="H266" s="15" t="s">
        <v>907</v>
      </c>
      <c r="I266" s="69">
        <v>127</v>
      </c>
      <c r="J266" s="15" t="s">
        <v>1802</v>
      </c>
      <c r="K266" s="15" t="s">
        <v>903</v>
      </c>
      <c r="L266" s="15" t="s">
        <v>1513</v>
      </c>
      <c r="M266" s="15" t="s">
        <v>1495</v>
      </c>
      <c r="N266" s="15" t="s">
        <v>1513</v>
      </c>
      <c r="O266" s="15"/>
    </row>
    <row r="267" spans="1:15" ht="18" customHeight="1" x14ac:dyDescent="0.3">
      <c r="A267" s="29">
        <v>266</v>
      </c>
      <c r="B267" s="15" t="s">
        <v>214</v>
      </c>
      <c r="C267" s="15" t="s">
        <v>16</v>
      </c>
      <c r="D267" s="69">
        <v>13</v>
      </c>
      <c r="E267" s="68" t="s">
        <v>3251</v>
      </c>
      <c r="F267" s="24" t="s">
        <v>1140</v>
      </c>
      <c r="G267" s="15" t="s">
        <v>154</v>
      </c>
      <c r="H267" s="15" t="s">
        <v>2732</v>
      </c>
      <c r="I267" s="69">
        <v>127</v>
      </c>
      <c r="J267" s="15" t="s">
        <v>1495</v>
      </c>
      <c r="K267" s="15" t="s">
        <v>1495</v>
      </c>
      <c r="L267" s="15" t="s">
        <v>1513</v>
      </c>
      <c r="M267" s="15" t="s">
        <v>1495</v>
      </c>
      <c r="N267" s="15" t="s">
        <v>1513</v>
      </c>
      <c r="O267" s="15"/>
    </row>
    <row r="268" spans="1:15" ht="18" customHeight="1" x14ac:dyDescent="0.3">
      <c r="A268" s="29">
        <v>267</v>
      </c>
      <c r="B268" s="15" t="s">
        <v>214</v>
      </c>
      <c r="C268" s="15" t="s">
        <v>16</v>
      </c>
      <c r="D268" s="69">
        <v>13</v>
      </c>
      <c r="E268" s="68" t="s">
        <v>3251</v>
      </c>
      <c r="F268" s="24" t="s">
        <v>1140</v>
      </c>
      <c r="G268" s="15" t="s">
        <v>154</v>
      </c>
      <c r="H268" s="15" t="s">
        <v>910</v>
      </c>
      <c r="I268" s="69">
        <v>133</v>
      </c>
      <c r="J268" s="15" t="s">
        <v>1802</v>
      </c>
      <c r="K268" s="15" t="s">
        <v>903</v>
      </c>
      <c r="L268" s="15" t="s">
        <v>1513</v>
      </c>
      <c r="M268" s="15" t="s">
        <v>1495</v>
      </c>
      <c r="N268" s="15" t="s">
        <v>1513</v>
      </c>
      <c r="O268" s="15"/>
    </row>
    <row r="269" spans="1:15" ht="18" customHeight="1" x14ac:dyDescent="0.3">
      <c r="A269" s="29">
        <v>268</v>
      </c>
      <c r="B269" s="15" t="s">
        <v>214</v>
      </c>
      <c r="C269" s="15" t="s">
        <v>16</v>
      </c>
      <c r="D269" s="69">
        <v>13</v>
      </c>
      <c r="E269" s="68" t="s">
        <v>3251</v>
      </c>
      <c r="F269" s="24" t="s">
        <v>1140</v>
      </c>
      <c r="G269" s="15" t="s">
        <v>154</v>
      </c>
      <c r="H269" s="15" t="s">
        <v>911</v>
      </c>
      <c r="I269" s="69">
        <v>127</v>
      </c>
      <c r="J269" s="15" t="s">
        <v>1495</v>
      </c>
      <c r="K269" s="15" t="s">
        <v>903</v>
      </c>
      <c r="L269" s="15" t="s">
        <v>1513</v>
      </c>
      <c r="M269" s="15" t="s">
        <v>1495</v>
      </c>
      <c r="N269" s="15" t="s">
        <v>1513</v>
      </c>
      <c r="O269" s="15"/>
    </row>
    <row r="270" spans="1:15" ht="18" customHeight="1" x14ac:dyDescent="0.3">
      <c r="A270" s="29">
        <v>269</v>
      </c>
      <c r="B270" s="15" t="s">
        <v>214</v>
      </c>
      <c r="C270" s="15" t="s">
        <v>16</v>
      </c>
      <c r="D270" s="69">
        <v>13</v>
      </c>
      <c r="E270" s="68" t="s">
        <v>3251</v>
      </c>
      <c r="F270" s="24" t="s">
        <v>1140</v>
      </c>
      <c r="G270" s="15" t="s">
        <v>154</v>
      </c>
      <c r="H270" s="15" t="s">
        <v>927</v>
      </c>
      <c r="I270" s="69">
        <v>93</v>
      </c>
      <c r="J270" s="15" t="s">
        <v>1495</v>
      </c>
      <c r="K270" s="15" t="s">
        <v>903</v>
      </c>
      <c r="L270" s="15" t="s">
        <v>1513</v>
      </c>
      <c r="M270" s="15" t="s">
        <v>1802</v>
      </c>
      <c r="N270" s="15" t="s">
        <v>1530</v>
      </c>
      <c r="O270" s="15"/>
    </row>
    <row r="271" spans="1:15" ht="18" customHeight="1" x14ac:dyDescent="0.3">
      <c r="A271" s="29">
        <v>270</v>
      </c>
      <c r="B271" s="15" t="s">
        <v>214</v>
      </c>
      <c r="C271" s="15" t="s">
        <v>16</v>
      </c>
      <c r="D271" s="69">
        <v>13</v>
      </c>
      <c r="E271" s="68" t="s">
        <v>3251</v>
      </c>
      <c r="F271" s="24" t="s">
        <v>2749</v>
      </c>
      <c r="G271" s="15" t="s">
        <v>154</v>
      </c>
      <c r="H271" s="15" t="s">
        <v>906</v>
      </c>
      <c r="I271" s="69">
        <v>132</v>
      </c>
      <c r="J271" s="15" t="s">
        <v>1495</v>
      </c>
      <c r="K271" s="15" t="s">
        <v>902</v>
      </c>
      <c r="L271" s="15" t="s">
        <v>1069</v>
      </c>
      <c r="M271" s="15" t="s">
        <v>1495</v>
      </c>
      <c r="N271" s="15" t="s">
        <v>1513</v>
      </c>
      <c r="O271" s="15"/>
    </row>
    <row r="272" spans="1:15" ht="18" customHeight="1" x14ac:dyDescent="0.3">
      <c r="A272" s="29">
        <v>271</v>
      </c>
      <c r="B272" s="15" t="s">
        <v>214</v>
      </c>
      <c r="C272" s="15" t="s">
        <v>16</v>
      </c>
      <c r="D272" s="69">
        <v>13</v>
      </c>
      <c r="E272" s="68" t="s">
        <v>3251</v>
      </c>
      <c r="F272" s="24" t="s">
        <v>2749</v>
      </c>
      <c r="G272" s="15" t="s">
        <v>154</v>
      </c>
      <c r="H272" s="15" t="s">
        <v>908</v>
      </c>
      <c r="I272" s="69">
        <v>108</v>
      </c>
      <c r="J272" s="15" t="s">
        <v>1802</v>
      </c>
      <c r="K272" s="15" t="s">
        <v>1802</v>
      </c>
      <c r="L272" s="15" t="s">
        <v>208</v>
      </c>
      <c r="M272" s="15" t="s">
        <v>1495</v>
      </c>
      <c r="N272" s="15" t="s">
        <v>1513</v>
      </c>
      <c r="O272" s="15"/>
    </row>
    <row r="273" spans="1:15" ht="18" customHeight="1" x14ac:dyDescent="0.3">
      <c r="A273" s="29">
        <v>272</v>
      </c>
      <c r="B273" s="15" t="s">
        <v>214</v>
      </c>
      <c r="C273" s="15" t="s">
        <v>16</v>
      </c>
      <c r="D273" s="69">
        <v>13</v>
      </c>
      <c r="E273" s="68" t="s">
        <v>3251</v>
      </c>
      <c r="F273" s="24" t="s">
        <v>395</v>
      </c>
      <c r="G273" s="15" t="s">
        <v>154</v>
      </c>
      <c r="H273" s="15" t="s">
        <v>901</v>
      </c>
      <c r="I273" s="69">
        <v>288</v>
      </c>
      <c r="J273" s="15" t="s">
        <v>1802</v>
      </c>
      <c r="K273" s="15" t="s">
        <v>903</v>
      </c>
      <c r="L273" s="15" t="s">
        <v>1513</v>
      </c>
      <c r="M273" s="15" t="s">
        <v>1495</v>
      </c>
      <c r="N273" s="15" t="s">
        <v>1513</v>
      </c>
      <c r="O273" s="15"/>
    </row>
    <row r="274" spans="1:15" ht="18" customHeight="1" x14ac:dyDescent="0.3">
      <c r="A274" s="29">
        <v>273</v>
      </c>
      <c r="B274" s="15" t="s">
        <v>214</v>
      </c>
      <c r="C274" s="15" t="s">
        <v>16</v>
      </c>
      <c r="D274" s="69">
        <v>13</v>
      </c>
      <c r="E274" s="68" t="s">
        <v>169</v>
      </c>
      <c r="F274" s="16" t="s">
        <v>397</v>
      </c>
      <c r="G274" s="15" t="s">
        <v>154</v>
      </c>
      <c r="H274" s="15" t="s">
        <v>904</v>
      </c>
      <c r="I274" s="69">
        <v>218</v>
      </c>
      <c r="J274" s="15" t="s">
        <v>1495</v>
      </c>
      <c r="K274" s="15" t="s">
        <v>903</v>
      </c>
      <c r="L274" s="15" t="s">
        <v>1513</v>
      </c>
      <c r="M274" s="15" t="s">
        <v>1495</v>
      </c>
      <c r="N274" s="15" t="s">
        <v>1513</v>
      </c>
      <c r="O274" s="15"/>
    </row>
    <row r="275" spans="1:15" ht="18" customHeight="1" x14ac:dyDescent="0.3">
      <c r="A275" s="29">
        <v>274</v>
      </c>
      <c r="B275" s="15" t="s">
        <v>214</v>
      </c>
      <c r="C275" s="15" t="s">
        <v>16</v>
      </c>
      <c r="D275" s="69">
        <v>13</v>
      </c>
      <c r="E275" s="68" t="s">
        <v>169</v>
      </c>
      <c r="F275" s="16" t="s">
        <v>397</v>
      </c>
      <c r="G275" s="15" t="s">
        <v>154</v>
      </c>
      <c r="H275" s="15" t="s">
        <v>905</v>
      </c>
      <c r="I275" s="69">
        <v>319</v>
      </c>
      <c r="J275" s="15" t="s">
        <v>1495</v>
      </c>
      <c r="K275" s="15" t="s">
        <v>903</v>
      </c>
      <c r="L275" s="15" t="s">
        <v>1513</v>
      </c>
      <c r="M275" s="15" t="s">
        <v>1495</v>
      </c>
      <c r="N275" s="15" t="s">
        <v>1513</v>
      </c>
      <c r="O275" s="15"/>
    </row>
    <row r="276" spans="1:15" ht="18" customHeight="1" x14ac:dyDescent="0.3">
      <c r="A276" s="29">
        <v>275</v>
      </c>
      <c r="B276" s="15" t="s">
        <v>214</v>
      </c>
      <c r="C276" s="15" t="s">
        <v>16</v>
      </c>
      <c r="D276" s="69">
        <v>13</v>
      </c>
      <c r="E276" s="68" t="s">
        <v>169</v>
      </c>
      <c r="F276" s="16" t="s">
        <v>397</v>
      </c>
      <c r="G276" s="15" t="s">
        <v>154</v>
      </c>
      <c r="H276" s="15" t="s">
        <v>907</v>
      </c>
      <c r="I276" s="69">
        <v>190</v>
      </c>
      <c r="J276" s="15" t="s">
        <v>1495</v>
      </c>
      <c r="K276" s="15" t="s">
        <v>903</v>
      </c>
      <c r="L276" s="15" t="s">
        <v>1513</v>
      </c>
      <c r="M276" s="15" t="s">
        <v>1495</v>
      </c>
      <c r="N276" s="15" t="s">
        <v>1513</v>
      </c>
      <c r="O276" s="15"/>
    </row>
    <row r="277" spans="1:15" ht="18" customHeight="1" x14ac:dyDescent="0.3">
      <c r="A277" s="29">
        <v>276</v>
      </c>
      <c r="B277" s="15" t="s">
        <v>214</v>
      </c>
      <c r="C277" s="15" t="s">
        <v>16</v>
      </c>
      <c r="D277" s="69">
        <v>13</v>
      </c>
      <c r="E277" s="68" t="s">
        <v>169</v>
      </c>
      <c r="F277" s="16" t="s">
        <v>397</v>
      </c>
      <c r="G277" s="15" t="s">
        <v>154</v>
      </c>
      <c r="H277" s="15" t="s">
        <v>908</v>
      </c>
      <c r="I277" s="69">
        <v>190</v>
      </c>
      <c r="J277" s="15" t="s">
        <v>1802</v>
      </c>
      <c r="K277" s="15" t="s">
        <v>903</v>
      </c>
      <c r="L277" s="15" t="s">
        <v>1513</v>
      </c>
      <c r="M277" s="15" t="s">
        <v>1495</v>
      </c>
      <c r="N277" s="15" t="s">
        <v>1513</v>
      </c>
      <c r="O277" s="15"/>
    </row>
    <row r="278" spans="1:15" ht="18" customHeight="1" x14ac:dyDescent="0.3">
      <c r="A278" s="29">
        <v>277</v>
      </c>
      <c r="B278" s="15" t="s">
        <v>214</v>
      </c>
      <c r="C278" s="15" t="s">
        <v>16</v>
      </c>
      <c r="D278" s="69">
        <v>13</v>
      </c>
      <c r="E278" s="68" t="s">
        <v>169</v>
      </c>
      <c r="F278" s="16" t="s">
        <v>397</v>
      </c>
      <c r="G278" s="15" t="s">
        <v>154</v>
      </c>
      <c r="H278" s="15" t="s">
        <v>909</v>
      </c>
      <c r="I278" s="69">
        <v>188</v>
      </c>
      <c r="J278" s="15" t="s">
        <v>1495</v>
      </c>
      <c r="K278" s="15" t="s">
        <v>903</v>
      </c>
      <c r="L278" s="15" t="s">
        <v>1513</v>
      </c>
      <c r="M278" s="15" t="s">
        <v>1495</v>
      </c>
      <c r="N278" s="15" t="s">
        <v>1513</v>
      </c>
      <c r="O278" s="15"/>
    </row>
    <row r="279" spans="1:15" ht="18" customHeight="1" x14ac:dyDescent="0.3">
      <c r="A279" s="29">
        <v>278</v>
      </c>
      <c r="B279" s="15" t="s">
        <v>214</v>
      </c>
      <c r="C279" s="15" t="s">
        <v>16</v>
      </c>
      <c r="D279" s="69">
        <v>13</v>
      </c>
      <c r="E279" s="68" t="s">
        <v>169</v>
      </c>
      <c r="F279" s="16" t="s">
        <v>397</v>
      </c>
      <c r="G279" s="15" t="s">
        <v>154</v>
      </c>
      <c r="H279" s="15" t="s">
        <v>910</v>
      </c>
      <c r="I279" s="69">
        <v>87</v>
      </c>
      <c r="J279" s="15" t="s">
        <v>1495</v>
      </c>
      <c r="K279" s="15" t="s">
        <v>903</v>
      </c>
      <c r="L279" s="15" t="s">
        <v>1513</v>
      </c>
      <c r="M279" s="15" t="s">
        <v>1495</v>
      </c>
      <c r="N279" s="15" t="s">
        <v>1513</v>
      </c>
      <c r="O279" s="15"/>
    </row>
    <row r="280" spans="1:15" ht="18" customHeight="1" x14ac:dyDescent="0.3">
      <c r="A280" s="29">
        <v>279</v>
      </c>
      <c r="B280" s="15" t="s">
        <v>214</v>
      </c>
      <c r="C280" s="15" t="s">
        <v>16</v>
      </c>
      <c r="D280" s="69">
        <v>13</v>
      </c>
      <c r="E280" s="68" t="s">
        <v>169</v>
      </c>
      <c r="F280" s="16" t="s">
        <v>2750</v>
      </c>
      <c r="G280" s="15" t="s">
        <v>154</v>
      </c>
      <c r="H280" s="15" t="s">
        <v>901</v>
      </c>
      <c r="I280" s="69">
        <v>400</v>
      </c>
      <c r="J280" s="15" t="s">
        <v>1495</v>
      </c>
      <c r="K280" s="15" t="s">
        <v>1802</v>
      </c>
      <c r="L280" s="15" t="s">
        <v>1703</v>
      </c>
      <c r="M280" s="15" t="s">
        <v>1495</v>
      </c>
      <c r="N280" s="15" t="s">
        <v>1513</v>
      </c>
      <c r="O280" s="15"/>
    </row>
    <row r="281" spans="1:15" ht="18" customHeight="1" x14ac:dyDescent="0.3">
      <c r="A281" s="29">
        <v>280</v>
      </c>
      <c r="B281" s="15" t="s">
        <v>214</v>
      </c>
      <c r="C281" s="15" t="s">
        <v>16</v>
      </c>
      <c r="D281" s="69">
        <v>13</v>
      </c>
      <c r="E281" s="68" t="s">
        <v>169</v>
      </c>
      <c r="F281" s="16" t="s">
        <v>2750</v>
      </c>
      <c r="G281" s="15" t="s">
        <v>154</v>
      </c>
      <c r="H281" s="15" t="s">
        <v>906</v>
      </c>
      <c r="I281" s="69">
        <v>102</v>
      </c>
      <c r="J281" s="15" t="s">
        <v>1495</v>
      </c>
      <c r="K281" s="15" t="s">
        <v>1802</v>
      </c>
      <c r="L281" s="15" t="s">
        <v>1703</v>
      </c>
      <c r="M281" s="15" t="s">
        <v>1495</v>
      </c>
      <c r="N281" s="15" t="s">
        <v>1513</v>
      </c>
      <c r="O281" s="15"/>
    </row>
    <row r="282" spans="1:15" ht="18" customHeight="1" x14ac:dyDescent="0.3">
      <c r="A282" s="29">
        <v>281</v>
      </c>
      <c r="B282" s="15" t="s">
        <v>214</v>
      </c>
      <c r="C282" s="15" t="s">
        <v>16</v>
      </c>
      <c r="D282" s="69">
        <v>13</v>
      </c>
      <c r="E282" s="68" t="s">
        <v>2751</v>
      </c>
      <c r="F282" s="16" t="s">
        <v>2752</v>
      </c>
      <c r="G282" s="15" t="s">
        <v>1513</v>
      </c>
      <c r="H282" s="15" t="s">
        <v>2753</v>
      </c>
      <c r="I282" s="69">
        <v>39</v>
      </c>
      <c r="J282" s="15" t="s">
        <v>1495</v>
      </c>
      <c r="K282" s="15" t="s">
        <v>903</v>
      </c>
      <c r="L282" s="15" t="s">
        <v>1513</v>
      </c>
      <c r="M282" s="15" t="s">
        <v>1802</v>
      </c>
      <c r="N282" s="15" t="s">
        <v>2753</v>
      </c>
      <c r="O282" s="14"/>
    </row>
    <row r="283" spans="1:15" ht="18" customHeight="1" x14ac:dyDescent="0.3">
      <c r="A283" s="29">
        <v>282</v>
      </c>
      <c r="B283" s="15" t="s">
        <v>214</v>
      </c>
      <c r="C283" s="15" t="s">
        <v>16</v>
      </c>
      <c r="D283" s="69">
        <v>13</v>
      </c>
      <c r="E283" s="68" t="s">
        <v>2754</v>
      </c>
      <c r="F283" s="16" t="s">
        <v>1599</v>
      </c>
      <c r="G283" s="15" t="s">
        <v>1513</v>
      </c>
      <c r="H283" s="15" t="s">
        <v>2685</v>
      </c>
      <c r="I283" s="69">
        <v>138</v>
      </c>
      <c r="J283" s="15" t="s">
        <v>1495</v>
      </c>
      <c r="K283" s="15" t="s">
        <v>903</v>
      </c>
      <c r="L283" s="15" t="s">
        <v>1513</v>
      </c>
      <c r="M283" s="15" t="s">
        <v>1802</v>
      </c>
      <c r="N283" s="15" t="s">
        <v>1508</v>
      </c>
      <c r="O283" s="14"/>
    </row>
    <row r="284" spans="1:15" ht="18" customHeight="1" x14ac:dyDescent="0.3">
      <c r="A284" s="29">
        <v>283</v>
      </c>
      <c r="B284" s="15" t="s">
        <v>214</v>
      </c>
      <c r="C284" s="15" t="s">
        <v>16</v>
      </c>
      <c r="D284" s="69">
        <v>13</v>
      </c>
      <c r="E284" s="68" t="s">
        <v>2754</v>
      </c>
      <c r="F284" s="16" t="s">
        <v>1599</v>
      </c>
      <c r="G284" s="15" t="s">
        <v>1513</v>
      </c>
      <c r="H284" s="15" t="s">
        <v>2678</v>
      </c>
      <c r="I284" s="69">
        <v>138</v>
      </c>
      <c r="J284" s="15" t="s">
        <v>1802</v>
      </c>
      <c r="K284" s="15" t="s">
        <v>903</v>
      </c>
      <c r="L284" s="15" t="s">
        <v>1513</v>
      </c>
      <c r="M284" s="15" t="s">
        <v>1802</v>
      </c>
      <c r="N284" s="15" t="s">
        <v>2689</v>
      </c>
      <c r="O284" s="14"/>
    </row>
    <row r="285" spans="1:15" ht="18" customHeight="1" x14ac:dyDescent="0.3">
      <c r="A285" s="29">
        <v>284</v>
      </c>
      <c r="B285" s="15" t="s">
        <v>214</v>
      </c>
      <c r="C285" s="15" t="s">
        <v>17</v>
      </c>
      <c r="D285" s="69">
        <v>14</v>
      </c>
      <c r="E285" s="68" t="s">
        <v>935</v>
      </c>
      <c r="F285" s="21" t="s">
        <v>2755</v>
      </c>
      <c r="G285" s="15" t="s">
        <v>154</v>
      </c>
      <c r="H285" s="15" t="s">
        <v>901</v>
      </c>
      <c r="I285" s="69">
        <v>160</v>
      </c>
      <c r="J285" s="15" t="s">
        <v>1495</v>
      </c>
      <c r="K285" s="15" t="s">
        <v>903</v>
      </c>
      <c r="L285" s="15" t="s">
        <v>1513</v>
      </c>
      <c r="M285" s="15" t="s">
        <v>1495</v>
      </c>
      <c r="N285" s="15" t="s">
        <v>1513</v>
      </c>
      <c r="O285" s="15"/>
    </row>
    <row r="286" spans="1:15" ht="18" customHeight="1" x14ac:dyDescent="0.3">
      <c r="A286" s="29">
        <v>285</v>
      </c>
      <c r="B286" s="15" t="s">
        <v>214</v>
      </c>
      <c r="C286" s="15" t="s">
        <v>17</v>
      </c>
      <c r="D286" s="69">
        <v>14</v>
      </c>
      <c r="E286" s="68" t="s">
        <v>935</v>
      </c>
      <c r="F286" s="21" t="s">
        <v>2755</v>
      </c>
      <c r="G286" s="15" t="s">
        <v>154</v>
      </c>
      <c r="H286" s="15" t="s">
        <v>904</v>
      </c>
      <c r="I286" s="69">
        <v>170</v>
      </c>
      <c r="J286" s="15" t="s">
        <v>1495</v>
      </c>
      <c r="K286" s="15" t="s">
        <v>903</v>
      </c>
      <c r="L286" s="15" t="s">
        <v>1513</v>
      </c>
      <c r="M286" s="15" t="s">
        <v>1495</v>
      </c>
      <c r="N286" s="15" t="s">
        <v>1513</v>
      </c>
      <c r="O286" s="15"/>
    </row>
    <row r="287" spans="1:15" ht="18" customHeight="1" x14ac:dyDescent="0.3">
      <c r="A287" s="29">
        <v>286</v>
      </c>
      <c r="B287" s="15" t="s">
        <v>214</v>
      </c>
      <c r="C287" s="15" t="s">
        <v>17</v>
      </c>
      <c r="D287" s="69">
        <v>14</v>
      </c>
      <c r="E287" s="68" t="s">
        <v>935</v>
      </c>
      <c r="F287" s="21" t="s">
        <v>1139</v>
      </c>
      <c r="G287" s="15" t="s">
        <v>154</v>
      </c>
      <c r="H287" s="15" t="s">
        <v>905</v>
      </c>
      <c r="I287" s="69">
        <v>113</v>
      </c>
      <c r="J287" s="15" t="s">
        <v>1495</v>
      </c>
      <c r="K287" s="15" t="s">
        <v>903</v>
      </c>
      <c r="L287" s="15" t="s">
        <v>1513</v>
      </c>
      <c r="M287" s="15" t="s">
        <v>1495</v>
      </c>
      <c r="N287" s="15" t="s">
        <v>1513</v>
      </c>
      <c r="O287" s="15"/>
    </row>
    <row r="288" spans="1:15" ht="18" customHeight="1" x14ac:dyDescent="0.3">
      <c r="A288" s="29">
        <v>287</v>
      </c>
      <c r="B288" s="15" t="s">
        <v>214</v>
      </c>
      <c r="C288" s="15" t="s">
        <v>17</v>
      </c>
      <c r="D288" s="69">
        <v>14</v>
      </c>
      <c r="E288" s="68" t="s">
        <v>935</v>
      </c>
      <c r="F288" s="21" t="s">
        <v>1139</v>
      </c>
      <c r="G288" s="15" t="s">
        <v>154</v>
      </c>
      <c r="H288" s="15" t="s">
        <v>906</v>
      </c>
      <c r="I288" s="69">
        <v>170</v>
      </c>
      <c r="J288" s="15" t="s">
        <v>1495</v>
      </c>
      <c r="K288" s="15" t="s">
        <v>903</v>
      </c>
      <c r="L288" s="15" t="s">
        <v>1513</v>
      </c>
      <c r="M288" s="15" t="s">
        <v>1495</v>
      </c>
      <c r="N288" s="15" t="s">
        <v>1513</v>
      </c>
      <c r="O288" s="15"/>
    </row>
    <row r="289" spans="1:15" ht="18" customHeight="1" x14ac:dyDescent="0.3">
      <c r="A289" s="29">
        <v>288</v>
      </c>
      <c r="B289" s="15" t="s">
        <v>214</v>
      </c>
      <c r="C289" s="15" t="s">
        <v>17</v>
      </c>
      <c r="D289" s="69">
        <v>14</v>
      </c>
      <c r="E289" s="68" t="s">
        <v>935</v>
      </c>
      <c r="F289" s="21" t="s">
        <v>1139</v>
      </c>
      <c r="G289" s="15" t="s">
        <v>154</v>
      </c>
      <c r="H289" s="15" t="s">
        <v>907</v>
      </c>
      <c r="I289" s="69">
        <v>113</v>
      </c>
      <c r="J289" s="15" t="s">
        <v>1495</v>
      </c>
      <c r="K289" s="15" t="s">
        <v>903</v>
      </c>
      <c r="L289" s="15" t="s">
        <v>1513</v>
      </c>
      <c r="M289" s="15" t="s">
        <v>1495</v>
      </c>
      <c r="N289" s="15" t="s">
        <v>1513</v>
      </c>
      <c r="O289" s="15"/>
    </row>
    <row r="290" spans="1:15" ht="18" customHeight="1" x14ac:dyDescent="0.3">
      <c r="A290" s="29">
        <v>289</v>
      </c>
      <c r="B290" s="15" t="s">
        <v>214</v>
      </c>
      <c r="C290" s="15" t="s">
        <v>17</v>
      </c>
      <c r="D290" s="69">
        <v>14</v>
      </c>
      <c r="E290" s="68" t="s">
        <v>3252</v>
      </c>
      <c r="F290" s="24" t="s">
        <v>1138</v>
      </c>
      <c r="G290" s="15" t="s">
        <v>154</v>
      </c>
      <c r="H290" s="15" t="s">
        <v>906</v>
      </c>
      <c r="I290" s="69">
        <v>134</v>
      </c>
      <c r="J290" s="15" t="s">
        <v>1495</v>
      </c>
      <c r="K290" s="15" t="s">
        <v>903</v>
      </c>
      <c r="L290" s="15" t="s">
        <v>1513</v>
      </c>
      <c r="M290" s="15" t="s">
        <v>1495</v>
      </c>
      <c r="N290" s="15" t="s">
        <v>1513</v>
      </c>
      <c r="O290" s="15"/>
    </row>
    <row r="291" spans="1:15" ht="18" customHeight="1" x14ac:dyDescent="0.3">
      <c r="A291" s="29">
        <v>290</v>
      </c>
      <c r="B291" s="15" t="s">
        <v>214</v>
      </c>
      <c r="C291" s="15" t="s">
        <v>17</v>
      </c>
      <c r="D291" s="69">
        <v>14</v>
      </c>
      <c r="E291" s="68" t="s">
        <v>3252</v>
      </c>
      <c r="F291" s="24" t="s">
        <v>1138</v>
      </c>
      <c r="G291" s="15" t="s">
        <v>154</v>
      </c>
      <c r="H291" s="15" t="s">
        <v>908</v>
      </c>
      <c r="I291" s="69">
        <v>134</v>
      </c>
      <c r="J291" s="15" t="s">
        <v>1802</v>
      </c>
      <c r="K291" s="15" t="s">
        <v>903</v>
      </c>
      <c r="L291" s="15" t="s">
        <v>1513</v>
      </c>
      <c r="M291" s="15" t="s">
        <v>1495</v>
      </c>
      <c r="N291" s="15" t="s">
        <v>1513</v>
      </c>
      <c r="O291" s="15"/>
    </row>
    <row r="292" spans="1:15" ht="18" customHeight="1" x14ac:dyDescent="0.3">
      <c r="A292" s="29">
        <v>291</v>
      </c>
      <c r="B292" s="15" t="s">
        <v>214</v>
      </c>
      <c r="C292" s="15" t="s">
        <v>17</v>
      </c>
      <c r="D292" s="69">
        <v>14</v>
      </c>
      <c r="E292" s="68" t="s">
        <v>3252</v>
      </c>
      <c r="F292" s="24" t="s">
        <v>2756</v>
      </c>
      <c r="G292" s="15" t="s">
        <v>154</v>
      </c>
      <c r="H292" s="15" t="s">
        <v>907</v>
      </c>
      <c r="I292" s="69">
        <v>178</v>
      </c>
      <c r="J292" s="15" t="s">
        <v>1495</v>
      </c>
      <c r="K292" s="15" t="s">
        <v>902</v>
      </c>
      <c r="L292" s="15" t="s">
        <v>1069</v>
      </c>
      <c r="M292" s="15" t="s">
        <v>1495</v>
      </c>
      <c r="N292" s="15" t="s">
        <v>1513</v>
      </c>
      <c r="O292" s="15"/>
    </row>
    <row r="293" spans="1:15" ht="18" customHeight="1" x14ac:dyDescent="0.3">
      <c r="A293" s="29">
        <v>292</v>
      </c>
      <c r="B293" s="15" t="s">
        <v>214</v>
      </c>
      <c r="C293" s="15" t="s">
        <v>17</v>
      </c>
      <c r="D293" s="69">
        <v>14</v>
      </c>
      <c r="E293" s="68" t="s">
        <v>3252</v>
      </c>
      <c r="F293" s="24" t="s">
        <v>2756</v>
      </c>
      <c r="G293" s="15" t="s">
        <v>154</v>
      </c>
      <c r="H293" s="15" t="s">
        <v>905</v>
      </c>
      <c r="I293" s="69">
        <v>178</v>
      </c>
      <c r="J293" s="15" t="s">
        <v>1802</v>
      </c>
      <c r="K293" s="15" t="s">
        <v>902</v>
      </c>
      <c r="L293" s="15" t="s">
        <v>1069</v>
      </c>
      <c r="M293" s="15" t="s">
        <v>1495</v>
      </c>
      <c r="N293" s="15" t="s">
        <v>1513</v>
      </c>
      <c r="O293" s="15"/>
    </row>
    <row r="294" spans="1:15" ht="18" customHeight="1" x14ac:dyDescent="0.3">
      <c r="A294" s="29">
        <v>293</v>
      </c>
      <c r="B294" s="15" t="s">
        <v>214</v>
      </c>
      <c r="C294" s="15" t="s">
        <v>17</v>
      </c>
      <c r="D294" s="69">
        <v>14</v>
      </c>
      <c r="E294" s="68" t="s">
        <v>3252</v>
      </c>
      <c r="F294" s="24" t="s">
        <v>388</v>
      </c>
      <c r="G294" s="15" t="s">
        <v>154</v>
      </c>
      <c r="H294" s="15" t="s">
        <v>904</v>
      </c>
      <c r="I294" s="69">
        <v>134</v>
      </c>
      <c r="J294" s="15" t="s">
        <v>1495</v>
      </c>
      <c r="K294" s="15" t="s">
        <v>903</v>
      </c>
      <c r="L294" s="15" t="s">
        <v>1513</v>
      </c>
      <c r="M294" s="15" t="s">
        <v>1495</v>
      </c>
      <c r="N294" s="15" t="s">
        <v>1513</v>
      </c>
      <c r="O294" s="15"/>
    </row>
    <row r="295" spans="1:15" ht="18" customHeight="1" x14ac:dyDescent="0.3">
      <c r="A295" s="29">
        <v>294</v>
      </c>
      <c r="B295" s="15" t="s">
        <v>214</v>
      </c>
      <c r="C295" s="15" t="s">
        <v>17</v>
      </c>
      <c r="D295" s="69">
        <v>14</v>
      </c>
      <c r="E295" s="68" t="s">
        <v>3252</v>
      </c>
      <c r="F295" s="24" t="s">
        <v>2757</v>
      </c>
      <c r="G295" s="15" t="s">
        <v>154</v>
      </c>
      <c r="H295" s="15" t="s">
        <v>901</v>
      </c>
      <c r="I295" s="69">
        <v>178</v>
      </c>
      <c r="J295" s="15" t="s">
        <v>1802</v>
      </c>
      <c r="K295" s="15" t="s">
        <v>902</v>
      </c>
      <c r="L295" s="15" t="s">
        <v>1069</v>
      </c>
      <c r="M295" s="15" t="s">
        <v>1495</v>
      </c>
      <c r="N295" s="15" t="s">
        <v>1513</v>
      </c>
      <c r="O295" s="15"/>
    </row>
    <row r="296" spans="1:15" ht="18" customHeight="1" x14ac:dyDescent="0.3">
      <c r="A296" s="29">
        <v>295</v>
      </c>
      <c r="B296" s="15" t="s">
        <v>214</v>
      </c>
      <c r="C296" s="15" t="s">
        <v>17</v>
      </c>
      <c r="D296" s="69">
        <v>14</v>
      </c>
      <c r="E296" s="68" t="s">
        <v>173</v>
      </c>
      <c r="F296" s="21" t="s">
        <v>390</v>
      </c>
      <c r="G296" s="15" t="s">
        <v>154</v>
      </c>
      <c r="H296" s="15" t="s">
        <v>901</v>
      </c>
      <c r="I296" s="69">
        <v>186</v>
      </c>
      <c r="J296" s="13" t="s">
        <v>1495</v>
      </c>
      <c r="K296" s="15" t="s">
        <v>903</v>
      </c>
      <c r="L296" s="15" t="s">
        <v>1513</v>
      </c>
      <c r="M296" s="15" t="s">
        <v>1495</v>
      </c>
      <c r="N296" s="15" t="s">
        <v>1513</v>
      </c>
      <c r="O296" s="15"/>
    </row>
    <row r="297" spans="1:15" ht="18" customHeight="1" x14ac:dyDescent="0.3">
      <c r="A297" s="29">
        <v>296</v>
      </c>
      <c r="B297" s="15" t="s">
        <v>214</v>
      </c>
      <c r="C297" s="15" t="s">
        <v>17</v>
      </c>
      <c r="D297" s="69">
        <v>14</v>
      </c>
      <c r="E297" s="68" t="s">
        <v>173</v>
      </c>
      <c r="F297" s="21" t="s">
        <v>390</v>
      </c>
      <c r="G297" s="15" t="s">
        <v>154</v>
      </c>
      <c r="H297" s="15" t="s">
        <v>904</v>
      </c>
      <c r="I297" s="69">
        <v>186</v>
      </c>
      <c r="J297" s="13" t="s">
        <v>1495</v>
      </c>
      <c r="K297" s="15" t="s">
        <v>903</v>
      </c>
      <c r="L297" s="15" t="s">
        <v>1513</v>
      </c>
      <c r="M297" s="15" t="s">
        <v>1495</v>
      </c>
      <c r="N297" s="15" t="s">
        <v>1513</v>
      </c>
      <c r="O297" s="15"/>
    </row>
    <row r="298" spans="1:15" ht="18" customHeight="1" x14ac:dyDescent="0.3">
      <c r="A298" s="29">
        <v>297</v>
      </c>
      <c r="B298" s="15" t="s">
        <v>214</v>
      </c>
      <c r="C298" s="15" t="s">
        <v>17</v>
      </c>
      <c r="D298" s="69">
        <v>14</v>
      </c>
      <c r="E298" s="68" t="s">
        <v>173</v>
      </c>
      <c r="F298" s="21" t="s">
        <v>390</v>
      </c>
      <c r="G298" s="15" t="s">
        <v>154</v>
      </c>
      <c r="H298" s="15" t="s">
        <v>905</v>
      </c>
      <c r="I298" s="69">
        <v>178</v>
      </c>
      <c r="J298" s="13" t="s">
        <v>902</v>
      </c>
      <c r="K298" s="15" t="s">
        <v>903</v>
      </c>
      <c r="L298" s="15" t="s">
        <v>1513</v>
      </c>
      <c r="M298" s="15" t="s">
        <v>1495</v>
      </c>
      <c r="N298" s="15" t="s">
        <v>1513</v>
      </c>
      <c r="O298" s="15"/>
    </row>
    <row r="299" spans="1:15" ht="18" customHeight="1" x14ac:dyDescent="0.3">
      <c r="A299" s="29">
        <v>298</v>
      </c>
      <c r="B299" s="15" t="s">
        <v>214</v>
      </c>
      <c r="C299" s="15" t="s">
        <v>17</v>
      </c>
      <c r="D299" s="69">
        <v>14</v>
      </c>
      <c r="E299" s="68" t="s">
        <v>173</v>
      </c>
      <c r="F299" s="21" t="s">
        <v>390</v>
      </c>
      <c r="G299" s="15" t="s">
        <v>154</v>
      </c>
      <c r="H299" s="15" t="s">
        <v>906</v>
      </c>
      <c r="I299" s="69">
        <v>187</v>
      </c>
      <c r="J299" s="13" t="s">
        <v>1495</v>
      </c>
      <c r="K299" s="15" t="s">
        <v>903</v>
      </c>
      <c r="L299" s="15" t="s">
        <v>1513</v>
      </c>
      <c r="M299" s="15" t="s">
        <v>1495</v>
      </c>
      <c r="N299" s="15" t="s">
        <v>1513</v>
      </c>
      <c r="O299" s="15"/>
    </row>
    <row r="300" spans="1:15" ht="18" customHeight="1" x14ac:dyDescent="0.3">
      <c r="A300" s="29">
        <v>299</v>
      </c>
      <c r="B300" s="15" t="s">
        <v>214</v>
      </c>
      <c r="C300" s="15" t="s">
        <v>17</v>
      </c>
      <c r="D300" s="69">
        <v>14</v>
      </c>
      <c r="E300" s="68" t="s">
        <v>173</v>
      </c>
      <c r="F300" s="21" t="s">
        <v>390</v>
      </c>
      <c r="G300" s="15" t="s">
        <v>154</v>
      </c>
      <c r="H300" s="15" t="s">
        <v>907</v>
      </c>
      <c r="I300" s="69">
        <v>187</v>
      </c>
      <c r="J300" s="13" t="s">
        <v>902</v>
      </c>
      <c r="K300" s="15" t="s">
        <v>903</v>
      </c>
      <c r="L300" s="15" t="s">
        <v>1513</v>
      </c>
      <c r="M300" s="15" t="s">
        <v>1495</v>
      </c>
      <c r="N300" s="15" t="s">
        <v>1513</v>
      </c>
      <c r="O300" s="15"/>
    </row>
    <row r="301" spans="1:15" ht="18" customHeight="1" x14ac:dyDescent="0.3">
      <c r="A301" s="29">
        <v>300</v>
      </c>
      <c r="B301" s="15" t="s">
        <v>214</v>
      </c>
      <c r="C301" s="15" t="s">
        <v>17</v>
      </c>
      <c r="D301" s="69">
        <v>14</v>
      </c>
      <c r="E301" s="68" t="s">
        <v>173</v>
      </c>
      <c r="F301" s="21" t="s">
        <v>390</v>
      </c>
      <c r="G301" s="15" t="s">
        <v>154</v>
      </c>
      <c r="H301" s="15" t="s">
        <v>908</v>
      </c>
      <c r="I301" s="69">
        <v>178</v>
      </c>
      <c r="J301" s="13" t="s">
        <v>902</v>
      </c>
      <c r="K301" s="15" t="s">
        <v>903</v>
      </c>
      <c r="L301" s="15" t="s">
        <v>1513</v>
      </c>
      <c r="M301" s="15" t="s">
        <v>1495</v>
      </c>
      <c r="N301" s="15" t="s">
        <v>1513</v>
      </c>
      <c r="O301" s="15"/>
    </row>
    <row r="302" spans="1:15" ht="18" customHeight="1" x14ac:dyDescent="0.3">
      <c r="A302" s="29">
        <v>301</v>
      </c>
      <c r="B302" s="15" t="s">
        <v>214</v>
      </c>
      <c r="C302" s="15" t="s">
        <v>1603</v>
      </c>
      <c r="D302" s="69">
        <v>14</v>
      </c>
      <c r="E302" s="68" t="s">
        <v>1028</v>
      </c>
      <c r="F302" s="21" t="s">
        <v>1610</v>
      </c>
      <c r="G302" s="15" t="s">
        <v>1513</v>
      </c>
      <c r="H302" s="15" t="s">
        <v>901</v>
      </c>
      <c r="I302" s="69">
        <v>186</v>
      </c>
      <c r="J302" s="15" t="s">
        <v>1495</v>
      </c>
      <c r="K302" s="15" t="s">
        <v>903</v>
      </c>
      <c r="L302" s="15" t="s">
        <v>1513</v>
      </c>
      <c r="M302" s="15" t="s">
        <v>1802</v>
      </c>
      <c r="N302" s="15" t="s">
        <v>1508</v>
      </c>
      <c r="O302" s="15"/>
    </row>
    <row r="303" spans="1:15" ht="18" customHeight="1" x14ac:dyDescent="0.3">
      <c r="A303" s="29">
        <v>302</v>
      </c>
      <c r="B303" s="15" t="s">
        <v>1534</v>
      </c>
      <c r="C303" s="15" t="s">
        <v>1603</v>
      </c>
      <c r="D303" s="69">
        <v>14</v>
      </c>
      <c r="E303" s="68" t="s">
        <v>3253</v>
      </c>
      <c r="F303" s="21" t="s">
        <v>2758</v>
      </c>
      <c r="G303" s="15" t="s">
        <v>1538</v>
      </c>
      <c r="H303" s="15" t="s">
        <v>3208</v>
      </c>
      <c r="I303" s="69">
        <v>116</v>
      </c>
      <c r="J303" s="15" t="s">
        <v>1802</v>
      </c>
      <c r="K303" s="15" t="s">
        <v>1802</v>
      </c>
      <c r="L303" s="15" t="s">
        <v>1797</v>
      </c>
      <c r="M303" s="15" t="s">
        <v>1495</v>
      </c>
      <c r="N303" s="15" t="s">
        <v>1513</v>
      </c>
      <c r="O303" s="15"/>
    </row>
    <row r="304" spans="1:15" ht="18" customHeight="1" x14ac:dyDescent="0.3">
      <c r="A304" s="29">
        <v>303</v>
      </c>
      <c r="B304" s="15" t="s">
        <v>1534</v>
      </c>
      <c r="C304" s="15" t="s">
        <v>1603</v>
      </c>
      <c r="D304" s="69">
        <v>14</v>
      </c>
      <c r="E304" s="68" t="s">
        <v>3253</v>
      </c>
      <c r="F304" s="21" t="s">
        <v>2758</v>
      </c>
      <c r="G304" s="15" t="s">
        <v>1538</v>
      </c>
      <c r="H304" s="15" t="s">
        <v>2678</v>
      </c>
      <c r="I304" s="69">
        <v>78</v>
      </c>
      <c r="J304" s="15" t="s">
        <v>1495</v>
      </c>
      <c r="K304" s="15" t="s">
        <v>1495</v>
      </c>
      <c r="L304" s="15" t="s">
        <v>1513</v>
      </c>
      <c r="M304" s="15" t="s">
        <v>1495</v>
      </c>
      <c r="N304" s="15" t="s">
        <v>1513</v>
      </c>
      <c r="O304" s="15"/>
    </row>
    <row r="305" spans="1:15" ht="18" customHeight="1" x14ac:dyDescent="0.3">
      <c r="A305" s="29">
        <v>304</v>
      </c>
      <c r="B305" s="15" t="s">
        <v>1534</v>
      </c>
      <c r="C305" s="15" t="s">
        <v>1603</v>
      </c>
      <c r="D305" s="69">
        <v>14</v>
      </c>
      <c r="E305" s="68" t="s">
        <v>3253</v>
      </c>
      <c r="F305" s="21" t="s">
        <v>2758</v>
      </c>
      <c r="G305" s="15" t="s">
        <v>1538</v>
      </c>
      <c r="H305" s="15" t="s">
        <v>2759</v>
      </c>
      <c r="I305" s="69">
        <v>20</v>
      </c>
      <c r="J305" s="15" t="s">
        <v>1495</v>
      </c>
      <c r="K305" s="15" t="s">
        <v>1802</v>
      </c>
      <c r="L305" s="15" t="s">
        <v>2760</v>
      </c>
      <c r="M305" s="15" t="s">
        <v>1495</v>
      </c>
      <c r="N305" s="15" t="s">
        <v>1513</v>
      </c>
      <c r="O305" s="15"/>
    </row>
    <row r="306" spans="1:15" ht="18" customHeight="1" x14ac:dyDescent="0.3">
      <c r="A306" s="29">
        <v>305</v>
      </c>
      <c r="B306" s="15" t="s">
        <v>1534</v>
      </c>
      <c r="C306" s="15" t="s">
        <v>1603</v>
      </c>
      <c r="D306" s="69">
        <v>14</v>
      </c>
      <c r="E306" s="68" t="s">
        <v>3253</v>
      </c>
      <c r="F306" s="21" t="s">
        <v>2758</v>
      </c>
      <c r="G306" s="15" t="s">
        <v>1538</v>
      </c>
      <c r="H306" s="15" t="s">
        <v>2680</v>
      </c>
      <c r="I306" s="69">
        <v>188</v>
      </c>
      <c r="J306" s="15" t="s">
        <v>1495</v>
      </c>
      <c r="K306" s="15" t="s">
        <v>1495</v>
      </c>
      <c r="L306" s="15" t="s">
        <v>1513</v>
      </c>
      <c r="M306" s="15" t="s">
        <v>1495</v>
      </c>
      <c r="N306" s="15" t="s">
        <v>1513</v>
      </c>
      <c r="O306" s="15"/>
    </row>
    <row r="307" spans="1:15" ht="18" customHeight="1" x14ac:dyDescent="0.3">
      <c r="A307" s="29">
        <v>306</v>
      </c>
      <c r="B307" s="15" t="s">
        <v>1534</v>
      </c>
      <c r="C307" s="15" t="s">
        <v>1603</v>
      </c>
      <c r="D307" s="69">
        <v>14</v>
      </c>
      <c r="E307" s="68" t="s">
        <v>3253</v>
      </c>
      <c r="F307" s="21" t="s">
        <v>2758</v>
      </c>
      <c r="G307" s="15" t="s">
        <v>1538</v>
      </c>
      <c r="H307" s="15" t="s">
        <v>2690</v>
      </c>
      <c r="I307" s="69">
        <v>144</v>
      </c>
      <c r="J307" s="15" t="s">
        <v>1495</v>
      </c>
      <c r="K307" s="15" t="s">
        <v>1495</v>
      </c>
      <c r="L307" s="15" t="s">
        <v>1513</v>
      </c>
      <c r="M307" s="15" t="s">
        <v>1495</v>
      </c>
      <c r="N307" s="15" t="s">
        <v>1513</v>
      </c>
      <c r="O307" s="15"/>
    </row>
    <row r="308" spans="1:15" ht="18" customHeight="1" x14ac:dyDescent="0.3">
      <c r="A308" s="29">
        <v>307</v>
      </c>
      <c r="B308" s="15" t="s">
        <v>1534</v>
      </c>
      <c r="C308" s="15" t="s">
        <v>1603</v>
      </c>
      <c r="D308" s="69">
        <v>14</v>
      </c>
      <c r="E308" s="68" t="s">
        <v>3253</v>
      </c>
      <c r="F308" s="21" t="s">
        <v>2758</v>
      </c>
      <c r="G308" s="15" t="s">
        <v>1538</v>
      </c>
      <c r="H308" s="15" t="s">
        <v>2682</v>
      </c>
      <c r="I308" s="69">
        <v>188</v>
      </c>
      <c r="J308" s="15" t="s">
        <v>1495</v>
      </c>
      <c r="K308" s="15" t="s">
        <v>1495</v>
      </c>
      <c r="L308" s="15" t="s">
        <v>1513</v>
      </c>
      <c r="M308" s="15" t="s">
        <v>1495</v>
      </c>
      <c r="N308" s="15" t="s">
        <v>1513</v>
      </c>
      <c r="O308" s="15"/>
    </row>
    <row r="309" spans="1:15" ht="18" customHeight="1" x14ac:dyDescent="0.3">
      <c r="A309" s="29">
        <v>308</v>
      </c>
      <c r="B309" s="15" t="s">
        <v>214</v>
      </c>
      <c r="C309" s="15" t="s">
        <v>17</v>
      </c>
      <c r="D309" s="69">
        <v>14</v>
      </c>
      <c r="E309" s="68" t="s">
        <v>172</v>
      </c>
      <c r="F309" s="21" t="s">
        <v>389</v>
      </c>
      <c r="G309" s="15" t="s">
        <v>154</v>
      </c>
      <c r="H309" s="15" t="s">
        <v>901</v>
      </c>
      <c r="I309" s="69">
        <v>233</v>
      </c>
      <c r="J309" s="13" t="s">
        <v>1495</v>
      </c>
      <c r="K309" s="15" t="s">
        <v>903</v>
      </c>
      <c r="L309" s="15" t="s">
        <v>1513</v>
      </c>
      <c r="M309" s="15" t="s">
        <v>1495</v>
      </c>
      <c r="N309" s="15" t="s">
        <v>1513</v>
      </c>
      <c r="O309" s="15"/>
    </row>
    <row r="310" spans="1:15" ht="18" customHeight="1" x14ac:dyDescent="0.3">
      <c r="A310" s="29">
        <v>309</v>
      </c>
      <c r="B310" s="15" t="s">
        <v>214</v>
      </c>
      <c r="C310" s="15" t="s">
        <v>17</v>
      </c>
      <c r="D310" s="69">
        <v>14</v>
      </c>
      <c r="E310" s="68" t="s">
        <v>172</v>
      </c>
      <c r="F310" s="21" t="s">
        <v>389</v>
      </c>
      <c r="G310" s="15" t="s">
        <v>154</v>
      </c>
      <c r="H310" s="15" t="s">
        <v>904</v>
      </c>
      <c r="I310" s="69">
        <v>229</v>
      </c>
      <c r="J310" s="13" t="s">
        <v>902</v>
      </c>
      <c r="K310" s="15" t="s">
        <v>903</v>
      </c>
      <c r="L310" s="15" t="s">
        <v>1513</v>
      </c>
      <c r="M310" s="15" t="s">
        <v>1495</v>
      </c>
      <c r="N310" s="15" t="s">
        <v>1513</v>
      </c>
      <c r="O310" s="15"/>
    </row>
    <row r="311" spans="1:15" ht="18" customHeight="1" x14ac:dyDescent="0.3">
      <c r="A311" s="29">
        <v>310</v>
      </c>
      <c r="B311" s="15" t="s">
        <v>214</v>
      </c>
      <c r="C311" s="15" t="s">
        <v>17</v>
      </c>
      <c r="D311" s="69">
        <v>14</v>
      </c>
      <c r="E311" s="68" t="s">
        <v>172</v>
      </c>
      <c r="F311" s="21" t="s">
        <v>389</v>
      </c>
      <c r="G311" s="15" t="s">
        <v>154</v>
      </c>
      <c r="H311" s="15" t="s">
        <v>905</v>
      </c>
      <c r="I311" s="69">
        <v>148</v>
      </c>
      <c r="J311" s="13" t="s">
        <v>902</v>
      </c>
      <c r="K311" s="15" t="s">
        <v>903</v>
      </c>
      <c r="L311" s="15" t="s">
        <v>1513</v>
      </c>
      <c r="M311" s="15" t="s">
        <v>1495</v>
      </c>
      <c r="N311" s="15" t="s">
        <v>1513</v>
      </c>
      <c r="O311" s="15"/>
    </row>
    <row r="312" spans="1:15" ht="18" customHeight="1" x14ac:dyDescent="0.3">
      <c r="A312" s="29">
        <v>311</v>
      </c>
      <c r="B312" s="15" t="s">
        <v>214</v>
      </c>
      <c r="C312" s="15" t="s">
        <v>17</v>
      </c>
      <c r="D312" s="69">
        <v>14</v>
      </c>
      <c r="E312" s="68" t="s">
        <v>172</v>
      </c>
      <c r="F312" s="21" t="s">
        <v>389</v>
      </c>
      <c r="G312" s="15" t="s">
        <v>154</v>
      </c>
      <c r="H312" s="15" t="s">
        <v>906</v>
      </c>
      <c r="I312" s="69">
        <v>123</v>
      </c>
      <c r="J312" s="13" t="s">
        <v>1495</v>
      </c>
      <c r="K312" s="15" t="s">
        <v>903</v>
      </c>
      <c r="L312" s="15" t="s">
        <v>1513</v>
      </c>
      <c r="M312" s="15" t="s">
        <v>1495</v>
      </c>
      <c r="N312" s="15" t="s">
        <v>1513</v>
      </c>
      <c r="O312" s="15"/>
    </row>
    <row r="313" spans="1:15" ht="18" customHeight="1" x14ac:dyDescent="0.3">
      <c r="A313" s="29">
        <v>312</v>
      </c>
      <c r="B313" s="13" t="s">
        <v>214</v>
      </c>
      <c r="C313" s="13" t="s">
        <v>17</v>
      </c>
      <c r="D313" s="13">
        <v>14</v>
      </c>
      <c r="E313" s="6" t="s">
        <v>2761</v>
      </c>
      <c r="F313" s="16" t="s">
        <v>1618</v>
      </c>
      <c r="G313" s="15" t="s">
        <v>336</v>
      </c>
      <c r="H313" s="69" t="s">
        <v>2685</v>
      </c>
      <c r="I313" s="127">
        <v>76</v>
      </c>
      <c r="J313" s="15" t="s">
        <v>1495</v>
      </c>
      <c r="K313" s="15" t="s">
        <v>903</v>
      </c>
      <c r="L313" s="15" t="s">
        <v>1513</v>
      </c>
      <c r="M313" s="15" t="s">
        <v>1802</v>
      </c>
      <c r="N313" s="15" t="s">
        <v>1508</v>
      </c>
      <c r="O313" s="15"/>
    </row>
    <row r="314" spans="1:15" ht="18" customHeight="1" x14ac:dyDescent="0.3">
      <c r="A314" s="29">
        <v>313</v>
      </c>
      <c r="B314" s="15" t="s">
        <v>214</v>
      </c>
      <c r="C314" s="15" t="s">
        <v>17</v>
      </c>
      <c r="D314" s="69">
        <v>14</v>
      </c>
      <c r="E314" s="68" t="s">
        <v>174</v>
      </c>
      <c r="F314" s="21" t="s">
        <v>393</v>
      </c>
      <c r="G314" s="15" t="s">
        <v>154</v>
      </c>
      <c r="H314" s="15" t="s">
        <v>905</v>
      </c>
      <c r="I314" s="69">
        <v>305</v>
      </c>
      <c r="J314" s="15" t="s">
        <v>1495</v>
      </c>
      <c r="K314" s="15" t="s">
        <v>903</v>
      </c>
      <c r="L314" s="15" t="s">
        <v>1513</v>
      </c>
      <c r="M314" s="15" t="s">
        <v>1495</v>
      </c>
      <c r="N314" s="15" t="s">
        <v>1513</v>
      </c>
      <c r="O314" s="15"/>
    </row>
    <row r="315" spans="1:15" ht="18" customHeight="1" x14ac:dyDescent="0.3">
      <c r="A315" s="29">
        <v>314</v>
      </c>
      <c r="B315" s="15" t="s">
        <v>214</v>
      </c>
      <c r="C315" s="15" t="s">
        <v>17</v>
      </c>
      <c r="D315" s="69">
        <v>14</v>
      </c>
      <c r="E315" s="68" t="s">
        <v>174</v>
      </c>
      <c r="F315" s="21" t="s">
        <v>393</v>
      </c>
      <c r="G315" s="15" t="s">
        <v>154</v>
      </c>
      <c r="H315" s="15" t="s">
        <v>906</v>
      </c>
      <c r="I315" s="69">
        <v>217</v>
      </c>
      <c r="J315" s="15" t="s">
        <v>1495</v>
      </c>
      <c r="K315" s="15" t="s">
        <v>903</v>
      </c>
      <c r="L315" s="15" t="s">
        <v>1513</v>
      </c>
      <c r="M315" s="15" t="s">
        <v>1495</v>
      </c>
      <c r="N315" s="15" t="s">
        <v>1513</v>
      </c>
      <c r="O315" s="15"/>
    </row>
    <row r="316" spans="1:15" ht="18" customHeight="1" x14ac:dyDescent="0.3">
      <c r="A316" s="29">
        <v>315</v>
      </c>
      <c r="B316" s="15" t="s">
        <v>214</v>
      </c>
      <c r="C316" s="15" t="s">
        <v>17</v>
      </c>
      <c r="D316" s="69">
        <v>14</v>
      </c>
      <c r="E316" s="68" t="s">
        <v>174</v>
      </c>
      <c r="F316" s="21" t="s">
        <v>393</v>
      </c>
      <c r="G316" s="15" t="s">
        <v>154</v>
      </c>
      <c r="H316" s="15" t="s">
        <v>907</v>
      </c>
      <c r="I316" s="69">
        <v>86</v>
      </c>
      <c r="J316" s="15" t="s">
        <v>1495</v>
      </c>
      <c r="K316" s="15" t="s">
        <v>903</v>
      </c>
      <c r="L316" s="15" t="s">
        <v>1513</v>
      </c>
      <c r="M316" s="15" t="s">
        <v>1495</v>
      </c>
      <c r="N316" s="15" t="s">
        <v>1513</v>
      </c>
      <c r="O316" s="15"/>
    </row>
    <row r="317" spans="1:15" ht="18" customHeight="1" x14ac:dyDescent="0.3">
      <c r="A317" s="29">
        <v>316</v>
      </c>
      <c r="B317" s="15" t="s">
        <v>214</v>
      </c>
      <c r="C317" s="15" t="s">
        <v>17</v>
      </c>
      <c r="D317" s="69">
        <v>14</v>
      </c>
      <c r="E317" s="68" t="s">
        <v>174</v>
      </c>
      <c r="F317" s="21" t="s">
        <v>393</v>
      </c>
      <c r="G317" s="15" t="s">
        <v>154</v>
      </c>
      <c r="H317" s="15" t="s">
        <v>908</v>
      </c>
      <c r="I317" s="69">
        <v>97</v>
      </c>
      <c r="J317" s="15" t="s">
        <v>1495</v>
      </c>
      <c r="K317" s="15" t="s">
        <v>903</v>
      </c>
      <c r="L317" s="15" t="s">
        <v>1513</v>
      </c>
      <c r="M317" s="15" t="s">
        <v>1495</v>
      </c>
      <c r="N317" s="15" t="s">
        <v>1513</v>
      </c>
      <c r="O317" s="15"/>
    </row>
    <row r="318" spans="1:15" ht="18" customHeight="1" x14ac:dyDescent="0.3">
      <c r="A318" s="29">
        <v>317</v>
      </c>
      <c r="B318" s="15" t="s">
        <v>214</v>
      </c>
      <c r="C318" s="15" t="s">
        <v>17</v>
      </c>
      <c r="D318" s="69">
        <v>14</v>
      </c>
      <c r="E318" s="68" t="s">
        <v>174</v>
      </c>
      <c r="F318" s="21" t="s">
        <v>393</v>
      </c>
      <c r="G318" s="15" t="s">
        <v>154</v>
      </c>
      <c r="H318" s="15" t="s">
        <v>909</v>
      </c>
      <c r="I318" s="69">
        <v>97</v>
      </c>
      <c r="J318" s="15" t="s">
        <v>1495</v>
      </c>
      <c r="K318" s="15" t="s">
        <v>903</v>
      </c>
      <c r="L318" s="15" t="s">
        <v>1513</v>
      </c>
      <c r="M318" s="15" t="s">
        <v>1495</v>
      </c>
      <c r="N318" s="15" t="s">
        <v>1513</v>
      </c>
      <c r="O318" s="15"/>
    </row>
    <row r="319" spans="1:15" ht="18" customHeight="1" x14ac:dyDescent="0.3">
      <c r="A319" s="29">
        <v>318</v>
      </c>
      <c r="B319" s="15" t="s">
        <v>214</v>
      </c>
      <c r="C319" s="15" t="s">
        <v>17</v>
      </c>
      <c r="D319" s="69">
        <v>14</v>
      </c>
      <c r="E319" s="68" t="s">
        <v>174</v>
      </c>
      <c r="F319" s="21" t="s">
        <v>393</v>
      </c>
      <c r="G319" s="15" t="s">
        <v>154</v>
      </c>
      <c r="H319" s="15" t="s">
        <v>910</v>
      </c>
      <c r="I319" s="69">
        <v>97</v>
      </c>
      <c r="J319" s="15" t="s">
        <v>1495</v>
      </c>
      <c r="K319" s="15" t="s">
        <v>903</v>
      </c>
      <c r="L319" s="15" t="s">
        <v>1513</v>
      </c>
      <c r="M319" s="15" t="s">
        <v>1495</v>
      </c>
      <c r="N319" s="15" t="s">
        <v>1513</v>
      </c>
      <c r="O319" s="15"/>
    </row>
    <row r="320" spans="1:15" ht="18" customHeight="1" x14ac:dyDescent="0.3">
      <c r="A320" s="29">
        <v>319</v>
      </c>
      <c r="B320" s="15" t="s">
        <v>214</v>
      </c>
      <c r="C320" s="15" t="s">
        <v>17</v>
      </c>
      <c r="D320" s="69">
        <v>14</v>
      </c>
      <c r="E320" s="68" t="s">
        <v>174</v>
      </c>
      <c r="F320" s="21" t="s">
        <v>393</v>
      </c>
      <c r="G320" s="15" t="s">
        <v>154</v>
      </c>
      <c r="H320" s="15" t="s">
        <v>911</v>
      </c>
      <c r="I320" s="69">
        <v>97</v>
      </c>
      <c r="J320" s="15" t="s">
        <v>1495</v>
      </c>
      <c r="K320" s="15" t="s">
        <v>903</v>
      </c>
      <c r="L320" s="15" t="s">
        <v>1513</v>
      </c>
      <c r="M320" s="15" t="s">
        <v>1495</v>
      </c>
      <c r="N320" s="15" t="s">
        <v>1513</v>
      </c>
      <c r="O320" s="15"/>
    </row>
    <row r="321" spans="1:15" ht="18" customHeight="1" x14ac:dyDescent="0.3">
      <c r="A321" s="29">
        <v>320</v>
      </c>
      <c r="B321" s="15" t="s">
        <v>214</v>
      </c>
      <c r="C321" s="15" t="s">
        <v>17</v>
      </c>
      <c r="D321" s="69">
        <v>14</v>
      </c>
      <c r="E321" s="68" t="s">
        <v>174</v>
      </c>
      <c r="F321" s="21" t="s">
        <v>393</v>
      </c>
      <c r="G321" s="15" t="s">
        <v>154</v>
      </c>
      <c r="H321" s="15" t="s">
        <v>2762</v>
      </c>
      <c r="I321" s="69">
        <v>202</v>
      </c>
      <c r="J321" s="15" t="s">
        <v>1495</v>
      </c>
      <c r="K321" s="15" t="s">
        <v>902</v>
      </c>
      <c r="L321" s="15" t="s">
        <v>1703</v>
      </c>
      <c r="M321" s="15" t="s">
        <v>1495</v>
      </c>
      <c r="N321" s="15" t="s">
        <v>1513</v>
      </c>
      <c r="O321" s="15" t="s">
        <v>1508</v>
      </c>
    </row>
    <row r="322" spans="1:15" ht="18" customHeight="1" x14ac:dyDescent="0.3">
      <c r="A322" s="29">
        <v>321</v>
      </c>
      <c r="B322" s="15" t="s">
        <v>214</v>
      </c>
      <c r="C322" s="15" t="s">
        <v>17</v>
      </c>
      <c r="D322" s="69">
        <v>14</v>
      </c>
      <c r="E322" s="68" t="s">
        <v>174</v>
      </c>
      <c r="F322" s="21" t="s">
        <v>393</v>
      </c>
      <c r="G322" s="15" t="s">
        <v>154</v>
      </c>
      <c r="H322" s="15" t="s">
        <v>2763</v>
      </c>
      <c r="I322" s="69">
        <v>342</v>
      </c>
      <c r="J322" s="15" t="s">
        <v>1495</v>
      </c>
      <c r="K322" s="15" t="s">
        <v>902</v>
      </c>
      <c r="L322" s="15" t="s">
        <v>1852</v>
      </c>
      <c r="M322" s="15" t="s">
        <v>1495</v>
      </c>
      <c r="N322" s="15" t="s">
        <v>1513</v>
      </c>
      <c r="O322" s="15" t="s">
        <v>2748</v>
      </c>
    </row>
    <row r="323" spans="1:15" ht="18" customHeight="1" x14ac:dyDescent="0.3">
      <c r="A323" s="29">
        <v>322</v>
      </c>
      <c r="B323" s="15" t="s">
        <v>214</v>
      </c>
      <c r="C323" s="15" t="s">
        <v>18</v>
      </c>
      <c r="D323" s="69">
        <v>15</v>
      </c>
      <c r="E323" s="21" t="s">
        <v>2764</v>
      </c>
      <c r="F323" s="21" t="s">
        <v>1624</v>
      </c>
      <c r="G323" s="15" t="s">
        <v>154</v>
      </c>
      <c r="H323" s="15" t="s">
        <v>3192</v>
      </c>
      <c r="I323" s="69">
        <v>154</v>
      </c>
      <c r="J323" s="15" t="s">
        <v>1802</v>
      </c>
      <c r="K323" s="15" t="s">
        <v>902</v>
      </c>
      <c r="L323" s="15" t="s">
        <v>3180</v>
      </c>
      <c r="M323" s="15" t="s">
        <v>1495</v>
      </c>
      <c r="N323" s="15" t="s">
        <v>1513</v>
      </c>
      <c r="O323" s="15"/>
    </row>
    <row r="324" spans="1:15" ht="18" customHeight="1" x14ac:dyDescent="0.3">
      <c r="A324" s="29">
        <v>323</v>
      </c>
      <c r="B324" s="15" t="s">
        <v>214</v>
      </c>
      <c r="C324" s="15" t="s">
        <v>18</v>
      </c>
      <c r="D324" s="69">
        <v>15</v>
      </c>
      <c r="E324" s="21" t="s">
        <v>2764</v>
      </c>
      <c r="F324" s="21" t="s">
        <v>1624</v>
      </c>
      <c r="G324" s="15" t="s">
        <v>154</v>
      </c>
      <c r="H324" s="15" t="s">
        <v>3193</v>
      </c>
      <c r="I324" s="69">
        <v>135</v>
      </c>
      <c r="J324" s="15" t="s">
        <v>1495</v>
      </c>
      <c r="K324" s="15" t="s">
        <v>902</v>
      </c>
      <c r="L324" s="15" t="s">
        <v>3180</v>
      </c>
      <c r="M324" s="15" t="s">
        <v>1495</v>
      </c>
      <c r="N324" s="15" t="s">
        <v>1513</v>
      </c>
      <c r="O324" s="15"/>
    </row>
    <row r="325" spans="1:15" ht="18" customHeight="1" x14ac:dyDescent="0.3">
      <c r="A325" s="29">
        <v>324</v>
      </c>
      <c r="B325" s="15" t="s">
        <v>214</v>
      </c>
      <c r="C325" s="15" t="s">
        <v>18</v>
      </c>
      <c r="D325" s="69">
        <v>15</v>
      </c>
      <c r="E325" s="21" t="s">
        <v>2764</v>
      </c>
      <c r="F325" s="21" t="s">
        <v>2765</v>
      </c>
      <c r="G325" s="15" t="s">
        <v>154</v>
      </c>
      <c r="H325" s="15" t="s">
        <v>3194</v>
      </c>
      <c r="I325" s="69">
        <v>138</v>
      </c>
      <c r="J325" s="15" t="s">
        <v>1495</v>
      </c>
      <c r="K325" s="15" t="s">
        <v>902</v>
      </c>
      <c r="L325" s="15" t="s">
        <v>3180</v>
      </c>
      <c r="M325" s="15" t="s">
        <v>1495</v>
      </c>
      <c r="N325" s="15" t="s">
        <v>1513</v>
      </c>
      <c r="O325" s="15"/>
    </row>
    <row r="326" spans="1:15" ht="18" customHeight="1" x14ac:dyDescent="0.3">
      <c r="A326" s="29">
        <v>325</v>
      </c>
      <c r="B326" s="15" t="s">
        <v>214</v>
      </c>
      <c r="C326" s="15" t="s">
        <v>18</v>
      </c>
      <c r="D326" s="69">
        <v>15</v>
      </c>
      <c r="E326" s="21" t="s">
        <v>2764</v>
      </c>
      <c r="F326" s="21" t="s">
        <v>2765</v>
      </c>
      <c r="G326" s="15" t="s">
        <v>154</v>
      </c>
      <c r="H326" s="15" t="s">
        <v>3195</v>
      </c>
      <c r="I326" s="69">
        <v>115</v>
      </c>
      <c r="J326" s="15" t="s">
        <v>1495</v>
      </c>
      <c r="K326" s="15" t="s">
        <v>902</v>
      </c>
      <c r="L326" s="15" t="s">
        <v>3180</v>
      </c>
      <c r="M326" s="15" t="s">
        <v>1495</v>
      </c>
      <c r="N326" s="15" t="s">
        <v>1513</v>
      </c>
      <c r="O326" s="15"/>
    </row>
    <row r="327" spans="1:15" ht="18" customHeight="1" x14ac:dyDescent="0.3">
      <c r="A327" s="29">
        <v>326</v>
      </c>
      <c r="B327" s="15" t="s">
        <v>214</v>
      </c>
      <c r="C327" s="15" t="s">
        <v>18</v>
      </c>
      <c r="D327" s="69">
        <v>15</v>
      </c>
      <c r="E327" s="21" t="s">
        <v>2764</v>
      </c>
      <c r="F327" s="21" t="s">
        <v>2765</v>
      </c>
      <c r="G327" s="15" t="s">
        <v>154</v>
      </c>
      <c r="H327" s="15" t="s">
        <v>3196</v>
      </c>
      <c r="I327" s="69">
        <v>96</v>
      </c>
      <c r="J327" s="15" t="s">
        <v>1495</v>
      </c>
      <c r="K327" s="15" t="s">
        <v>902</v>
      </c>
      <c r="L327" s="15" t="s">
        <v>3180</v>
      </c>
      <c r="M327" s="15" t="s">
        <v>1495</v>
      </c>
      <c r="N327" s="15" t="s">
        <v>1513</v>
      </c>
      <c r="O327" s="15"/>
    </row>
    <row r="328" spans="1:15" ht="18" customHeight="1" x14ac:dyDescent="0.3">
      <c r="A328" s="29">
        <v>327</v>
      </c>
      <c r="B328" s="15" t="s">
        <v>214</v>
      </c>
      <c r="C328" s="15" t="s">
        <v>18</v>
      </c>
      <c r="D328" s="69">
        <v>15</v>
      </c>
      <c r="E328" s="21" t="s">
        <v>2764</v>
      </c>
      <c r="F328" s="21" t="s">
        <v>2765</v>
      </c>
      <c r="G328" s="15" t="s">
        <v>154</v>
      </c>
      <c r="H328" s="15" t="s">
        <v>3197</v>
      </c>
      <c r="I328" s="69">
        <v>115</v>
      </c>
      <c r="J328" s="15" t="s">
        <v>1495</v>
      </c>
      <c r="K328" s="15" t="s">
        <v>902</v>
      </c>
      <c r="L328" s="15" t="s">
        <v>3180</v>
      </c>
      <c r="M328" s="15" t="s">
        <v>1495</v>
      </c>
      <c r="N328" s="15" t="s">
        <v>1513</v>
      </c>
      <c r="O328" s="15"/>
    </row>
    <row r="329" spans="1:15" ht="18" customHeight="1" x14ac:dyDescent="0.3">
      <c r="A329" s="29">
        <v>328</v>
      </c>
      <c r="B329" s="15" t="s">
        <v>214</v>
      </c>
      <c r="C329" s="15" t="s">
        <v>18</v>
      </c>
      <c r="D329" s="69">
        <v>15</v>
      </c>
      <c r="E329" s="21" t="s">
        <v>2764</v>
      </c>
      <c r="F329" s="21" t="s">
        <v>2765</v>
      </c>
      <c r="G329" s="15" t="s">
        <v>154</v>
      </c>
      <c r="H329" s="15" t="s">
        <v>3198</v>
      </c>
      <c r="I329" s="69">
        <v>44</v>
      </c>
      <c r="J329" s="15" t="s">
        <v>1495</v>
      </c>
      <c r="K329" s="15" t="s">
        <v>902</v>
      </c>
      <c r="L329" s="15" t="s">
        <v>3181</v>
      </c>
      <c r="M329" s="15" t="s">
        <v>1495</v>
      </c>
      <c r="N329" s="15" t="s">
        <v>1492</v>
      </c>
      <c r="O329" s="15"/>
    </row>
    <row r="330" spans="1:15" ht="18" customHeight="1" x14ac:dyDescent="0.3">
      <c r="A330" s="29">
        <v>329</v>
      </c>
      <c r="B330" s="15" t="s">
        <v>214</v>
      </c>
      <c r="C330" s="15" t="s">
        <v>18</v>
      </c>
      <c r="D330" s="69">
        <v>15</v>
      </c>
      <c r="E330" s="21" t="s">
        <v>2764</v>
      </c>
      <c r="F330" s="21" t="s">
        <v>2765</v>
      </c>
      <c r="G330" s="15" t="s">
        <v>154</v>
      </c>
      <c r="H330" s="15" t="s">
        <v>3199</v>
      </c>
      <c r="I330" s="69">
        <v>86</v>
      </c>
      <c r="J330" s="15" t="s">
        <v>1802</v>
      </c>
      <c r="K330" s="15" t="s">
        <v>902</v>
      </c>
      <c r="L330" s="15" t="s">
        <v>3181</v>
      </c>
      <c r="M330" s="15" t="s">
        <v>1495</v>
      </c>
      <c r="N330" s="15" t="s">
        <v>1513</v>
      </c>
      <c r="O330" s="15"/>
    </row>
    <row r="331" spans="1:15" ht="18" customHeight="1" x14ac:dyDescent="0.3">
      <c r="A331" s="29">
        <v>330</v>
      </c>
      <c r="B331" s="15" t="s">
        <v>214</v>
      </c>
      <c r="C331" s="15" t="s">
        <v>18</v>
      </c>
      <c r="D331" s="69">
        <v>15</v>
      </c>
      <c r="E331" s="68" t="s">
        <v>175</v>
      </c>
      <c r="F331" s="21" t="s">
        <v>411</v>
      </c>
      <c r="G331" s="15" t="s">
        <v>154</v>
      </c>
      <c r="H331" s="15" t="s">
        <v>905</v>
      </c>
      <c r="I331" s="69">
        <v>114</v>
      </c>
      <c r="J331" s="15" t="s">
        <v>1495</v>
      </c>
      <c r="K331" s="15" t="s">
        <v>903</v>
      </c>
      <c r="L331" s="15" t="s">
        <v>1513</v>
      </c>
      <c r="M331" s="15" t="s">
        <v>1495</v>
      </c>
      <c r="N331" s="15" t="s">
        <v>1513</v>
      </c>
      <c r="O331" s="15"/>
    </row>
    <row r="332" spans="1:15" ht="18" customHeight="1" x14ac:dyDescent="0.3">
      <c r="A332" s="29">
        <v>331</v>
      </c>
      <c r="B332" s="15" t="s">
        <v>214</v>
      </c>
      <c r="C332" s="15" t="s">
        <v>18</v>
      </c>
      <c r="D332" s="69">
        <v>15</v>
      </c>
      <c r="E332" s="68" t="s">
        <v>175</v>
      </c>
      <c r="F332" s="21" t="s">
        <v>411</v>
      </c>
      <c r="G332" s="15" t="s">
        <v>154</v>
      </c>
      <c r="H332" s="15" t="s">
        <v>906</v>
      </c>
      <c r="I332" s="69">
        <v>190</v>
      </c>
      <c r="J332" s="15" t="s">
        <v>1495</v>
      </c>
      <c r="K332" s="15" t="s">
        <v>903</v>
      </c>
      <c r="L332" s="15" t="s">
        <v>1513</v>
      </c>
      <c r="M332" s="15" t="s">
        <v>1495</v>
      </c>
      <c r="N332" s="15" t="s">
        <v>1513</v>
      </c>
      <c r="O332" s="15"/>
    </row>
    <row r="333" spans="1:15" ht="18" customHeight="1" x14ac:dyDescent="0.3">
      <c r="A333" s="29">
        <v>332</v>
      </c>
      <c r="B333" s="15" t="s">
        <v>214</v>
      </c>
      <c r="C333" s="15" t="s">
        <v>18</v>
      </c>
      <c r="D333" s="69">
        <v>15</v>
      </c>
      <c r="E333" s="68" t="s">
        <v>175</v>
      </c>
      <c r="F333" s="21" t="s">
        <v>411</v>
      </c>
      <c r="G333" s="15" t="s">
        <v>154</v>
      </c>
      <c r="H333" s="15" t="s">
        <v>2766</v>
      </c>
      <c r="I333" s="69">
        <v>210</v>
      </c>
      <c r="J333" s="15" t="s">
        <v>1495</v>
      </c>
      <c r="K333" s="15" t="s">
        <v>1802</v>
      </c>
      <c r="L333" s="15" t="s">
        <v>1703</v>
      </c>
      <c r="M333" s="15" t="s">
        <v>1495</v>
      </c>
      <c r="N333" s="15" t="s">
        <v>1513</v>
      </c>
      <c r="O333" s="15"/>
    </row>
    <row r="334" spans="1:15" ht="18" customHeight="1" x14ac:dyDescent="0.3">
      <c r="A334" s="29">
        <v>333</v>
      </c>
      <c r="B334" s="15" t="s">
        <v>214</v>
      </c>
      <c r="C334" s="15" t="s">
        <v>18</v>
      </c>
      <c r="D334" s="69">
        <v>15</v>
      </c>
      <c r="E334" s="68" t="s">
        <v>175</v>
      </c>
      <c r="F334" s="21" t="s">
        <v>411</v>
      </c>
      <c r="G334" s="15" t="s">
        <v>154</v>
      </c>
      <c r="H334" s="15" t="s">
        <v>909</v>
      </c>
      <c r="I334" s="69">
        <v>158</v>
      </c>
      <c r="J334" s="15" t="s">
        <v>1495</v>
      </c>
      <c r="K334" s="15" t="s">
        <v>903</v>
      </c>
      <c r="L334" s="15" t="s">
        <v>1513</v>
      </c>
      <c r="M334" s="15" t="s">
        <v>1495</v>
      </c>
      <c r="N334" s="15" t="s">
        <v>1513</v>
      </c>
      <c r="O334" s="15"/>
    </row>
    <row r="335" spans="1:15" ht="18" customHeight="1" x14ac:dyDescent="0.3">
      <c r="A335" s="29">
        <v>334</v>
      </c>
      <c r="B335" s="15" t="s">
        <v>214</v>
      </c>
      <c r="C335" s="15" t="s">
        <v>18</v>
      </c>
      <c r="D335" s="69">
        <v>15</v>
      </c>
      <c r="E335" s="68" t="s">
        <v>175</v>
      </c>
      <c r="F335" s="21" t="s">
        <v>411</v>
      </c>
      <c r="G335" s="15" t="s">
        <v>154</v>
      </c>
      <c r="H335" s="15" t="s">
        <v>910</v>
      </c>
      <c r="I335" s="69">
        <v>190</v>
      </c>
      <c r="J335" s="15" t="s">
        <v>1495</v>
      </c>
      <c r="K335" s="15" t="s">
        <v>903</v>
      </c>
      <c r="L335" s="15" t="s">
        <v>1513</v>
      </c>
      <c r="M335" s="15" t="s">
        <v>1495</v>
      </c>
      <c r="N335" s="15" t="s">
        <v>1513</v>
      </c>
      <c r="O335" s="15"/>
    </row>
    <row r="336" spans="1:15" ht="18" customHeight="1" x14ac:dyDescent="0.3">
      <c r="A336" s="29">
        <v>335</v>
      </c>
      <c r="B336" s="15" t="s">
        <v>214</v>
      </c>
      <c r="C336" s="15" t="s">
        <v>18</v>
      </c>
      <c r="D336" s="69">
        <v>15</v>
      </c>
      <c r="E336" s="68" t="s">
        <v>175</v>
      </c>
      <c r="F336" s="21" t="s">
        <v>411</v>
      </c>
      <c r="G336" s="15" t="s">
        <v>154</v>
      </c>
      <c r="H336" s="15" t="s">
        <v>911</v>
      </c>
      <c r="I336" s="69">
        <v>114</v>
      </c>
      <c r="J336" s="15" t="s">
        <v>1802</v>
      </c>
      <c r="K336" s="15" t="s">
        <v>903</v>
      </c>
      <c r="L336" s="15" t="s">
        <v>1513</v>
      </c>
      <c r="M336" s="15" t="s">
        <v>1495</v>
      </c>
      <c r="N336" s="15" t="s">
        <v>1513</v>
      </c>
      <c r="O336" s="15"/>
    </row>
    <row r="337" spans="1:15" ht="18" customHeight="1" x14ac:dyDescent="0.3">
      <c r="A337" s="29">
        <v>336</v>
      </c>
      <c r="B337" s="15" t="s">
        <v>214</v>
      </c>
      <c r="C337" s="15" t="s">
        <v>18</v>
      </c>
      <c r="D337" s="69">
        <v>15</v>
      </c>
      <c r="E337" s="68" t="s">
        <v>175</v>
      </c>
      <c r="F337" s="21" t="s">
        <v>411</v>
      </c>
      <c r="G337" s="15" t="s">
        <v>154</v>
      </c>
      <c r="H337" s="15" t="s">
        <v>2767</v>
      </c>
      <c r="I337" s="69">
        <v>210</v>
      </c>
      <c r="J337" s="15" t="s">
        <v>1495</v>
      </c>
      <c r="K337" s="15" t="s">
        <v>1802</v>
      </c>
      <c r="L337" s="15" t="s">
        <v>1703</v>
      </c>
      <c r="M337" s="15" t="s">
        <v>1495</v>
      </c>
      <c r="N337" s="15" t="s">
        <v>1513</v>
      </c>
      <c r="O337" s="15"/>
    </row>
    <row r="338" spans="1:15" ht="18" customHeight="1" x14ac:dyDescent="0.3">
      <c r="A338" s="29">
        <v>337</v>
      </c>
      <c r="B338" s="15" t="s">
        <v>214</v>
      </c>
      <c r="C338" s="15" t="s">
        <v>18</v>
      </c>
      <c r="D338" s="69">
        <v>15</v>
      </c>
      <c r="E338" s="68" t="s">
        <v>175</v>
      </c>
      <c r="F338" s="21" t="s">
        <v>2768</v>
      </c>
      <c r="G338" s="15" t="s">
        <v>154</v>
      </c>
      <c r="H338" s="15" t="s">
        <v>2769</v>
      </c>
      <c r="I338" s="69">
        <v>66</v>
      </c>
      <c r="J338" s="15" t="s">
        <v>1495</v>
      </c>
      <c r="K338" s="15" t="s">
        <v>902</v>
      </c>
      <c r="L338" s="15" t="s">
        <v>1703</v>
      </c>
      <c r="M338" s="15" t="s">
        <v>1495</v>
      </c>
      <c r="N338" s="15" t="s">
        <v>1513</v>
      </c>
      <c r="O338" s="15"/>
    </row>
    <row r="339" spans="1:15" ht="18" customHeight="1" x14ac:dyDescent="0.3">
      <c r="A339" s="29">
        <v>338</v>
      </c>
      <c r="B339" s="15" t="s">
        <v>214</v>
      </c>
      <c r="C339" s="15" t="s">
        <v>18</v>
      </c>
      <c r="D339" s="69">
        <v>15</v>
      </c>
      <c r="E339" s="68" t="s">
        <v>175</v>
      </c>
      <c r="F339" s="21" t="s">
        <v>2768</v>
      </c>
      <c r="G339" s="15" t="s">
        <v>154</v>
      </c>
      <c r="H339" s="15" t="s">
        <v>2763</v>
      </c>
      <c r="I339" s="69">
        <v>332</v>
      </c>
      <c r="J339" s="15" t="s">
        <v>1802</v>
      </c>
      <c r="K339" s="15" t="s">
        <v>902</v>
      </c>
      <c r="L339" s="15" t="s">
        <v>1852</v>
      </c>
      <c r="M339" s="15" t="s">
        <v>1802</v>
      </c>
      <c r="N339" s="15" t="s">
        <v>3132</v>
      </c>
      <c r="O339" s="14" t="s">
        <v>2770</v>
      </c>
    </row>
    <row r="340" spans="1:15" ht="18" customHeight="1" x14ac:dyDescent="0.3">
      <c r="A340" s="29">
        <v>339</v>
      </c>
      <c r="B340" s="15" t="s">
        <v>214</v>
      </c>
      <c r="C340" s="15" t="s">
        <v>19</v>
      </c>
      <c r="D340" s="69">
        <v>16</v>
      </c>
      <c r="E340" s="68" t="s">
        <v>178</v>
      </c>
      <c r="F340" s="21" t="s">
        <v>358</v>
      </c>
      <c r="G340" s="15" t="s">
        <v>154</v>
      </c>
      <c r="H340" s="15" t="s">
        <v>901</v>
      </c>
      <c r="I340" s="69">
        <v>123</v>
      </c>
      <c r="J340" s="15" t="s">
        <v>1495</v>
      </c>
      <c r="K340" s="15" t="s">
        <v>903</v>
      </c>
      <c r="L340" s="15" t="s">
        <v>1513</v>
      </c>
      <c r="M340" s="15" t="s">
        <v>1495</v>
      </c>
      <c r="N340" s="15" t="s">
        <v>1513</v>
      </c>
      <c r="O340" s="15"/>
    </row>
    <row r="341" spans="1:15" ht="18" customHeight="1" x14ac:dyDescent="0.3">
      <c r="A341" s="29">
        <v>340</v>
      </c>
      <c r="B341" s="15" t="s">
        <v>214</v>
      </c>
      <c r="C341" s="15" t="s">
        <v>19</v>
      </c>
      <c r="D341" s="69">
        <v>16</v>
      </c>
      <c r="E341" s="68" t="s">
        <v>178</v>
      </c>
      <c r="F341" s="21" t="s">
        <v>358</v>
      </c>
      <c r="G341" s="15" t="s">
        <v>154</v>
      </c>
      <c r="H341" s="15" t="s">
        <v>904</v>
      </c>
      <c r="I341" s="69">
        <v>153</v>
      </c>
      <c r="J341" s="15" t="s">
        <v>1495</v>
      </c>
      <c r="K341" s="15" t="s">
        <v>903</v>
      </c>
      <c r="L341" s="15" t="s">
        <v>1513</v>
      </c>
      <c r="M341" s="15" t="s">
        <v>1495</v>
      </c>
      <c r="N341" s="15" t="s">
        <v>1513</v>
      </c>
      <c r="O341" s="15"/>
    </row>
    <row r="342" spans="1:15" ht="18" customHeight="1" x14ac:dyDescent="0.3">
      <c r="A342" s="29">
        <v>341</v>
      </c>
      <c r="B342" s="15" t="s">
        <v>214</v>
      </c>
      <c r="C342" s="15" t="s">
        <v>19</v>
      </c>
      <c r="D342" s="69">
        <v>16</v>
      </c>
      <c r="E342" s="68" t="s">
        <v>178</v>
      </c>
      <c r="F342" s="21" t="s">
        <v>358</v>
      </c>
      <c r="G342" s="15" t="s">
        <v>154</v>
      </c>
      <c r="H342" s="15" t="s">
        <v>905</v>
      </c>
      <c r="I342" s="69">
        <v>132</v>
      </c>
      <c r="J342" s="15" t="s">
        <v>1495</v>
      </c>
      <c r="K342" s="15" t="s">
        <v>903</v>
      </c>
      <c r="L342" s="15" t="s">
        <v>1513</v>
      </c>
      <c r="M342" s="15" t="s">
        <v>1495</v>
      </c>
      <c r="N342" s="15" t="s">
        <v>1513</v>
      </c>
      <c r="O342" s="15"/>
    </row>
    <row r="343" spans="1:15" ht="18" customHeight="1" x14ac:dyDescent="0.3">
      <c r="A343" s="29">
        <v>342</v>
      </c>
      <c r="B343" s="15" t="s">
        <v>214</v>
      </c>
      <c r="C343" s="15" t="s">
        <v>19</v>
      </c>
      <c r="D343" s="69">
        <v>16</v>
      </c>
      <c r="E343" s="68" t="s">
        <v>178</v>
      </c>
      <c r="F343" s="21" t="s">
        <v>358</v>
      </c>
      <c r="G343" s="15" t="s">
        <v>154</v>
      </c>
      <c r="H343" s="15" t="s">
        <v>906</v>
      </c>
      <c r="I343" s="69">
        <v>122</v>
      </c>
      <c r="J343" s="15" t="s">
        <v>1495</v>
      </c>
      <c r="K343" s="15" t="s">
        <v>903</v>
      </c>
      <c r="L343" s="15" t="s">
        <v>1513</v>
      </c>
      <c r="M343" s="15" t="s">
        <v>1495</v>
      </c>
      <c r="N343" s="15" t="s">
        <v>1513</v>
      </c>
      <c r="O343" s="15"/>
    </row>
    <row r="344" spans="1:15" ht="18" customHeight="1" x14ac:dyDescent="0.3">
      <c r="A344" s="29">
        <v>343</v>
      </c>
      <c r="B344" s="15" t="s">
        <v>214</v>
      </c>
      <c r="C344" s="15" t="s">
        <v>19</v>
      </c>
      <c r="D344" s="69">
        <v>16</v>
      </c>
      <c r="E344" s="68" t="s">
        <v>178</v>
      </c>
      <c r="F344" s="21" t="s">
        <v>358</v>
      </c>
      <c r="G344" s="15" t="s">
        <v>154</v>
      </c>
      <c r="H344" s="15" t="s">
        <v>907</v>
      </c>
      <c r="I344" s="69">
        <v>153</v>
      </c>
      <c r="J344" s="15" t="s">
        <v>1495</v>
      </c>
      <c r="K344" s="15" t="s">
        <v>903</v>
      </c>
      <c r="L344" s="15" t="s">
        <v>1513</v>
      </c>
      <c r="M344" s="15" t="s">
        <v>1495</v>
      </c>
      <c r="N344" s="15" t="s">
        <v>1513</v>
      </c>
      <c r="O344" s="15"/>
    </row>
    <row r="345" spans="1:15" ht="18" customHeight="1" x14ac:dyDescent="0.3">
      <c r="A345" s="29">
        <v>344</v>
      </c>
      <c r="B345" s="15" t="s">
        <v>214</v>
      </c>
      <c r="C345" s="15" t="s">
        <v>19</v>
      </c>
      <c r="D345" s="69">
        <v>16</v>
      </c>
      <c r="E345" s="68" t="s">
        <v>178</v>
      </c>
      <c r="F345" s="21" t="s">
        <v>358</v>
      </c>
      <c r="G345" s="15" t="s">
        <v>154</v>
      </c>
      <c r="H345" s="15" t="s">
        <v>908</v>
      </c>
      <c r="I345" s="69">
        <v>132</v>
      </c>
      <c r="J345" s="15" t="s">
        <v>1495</v>
      </c>
      <c r="K345" s="15" t="s">
        <v>903</v>
      </c>
      <c r="L345" s="15" t="s">
        <v>1513</v>
      </c>
      <c r="M345" s="15" t="s">
        <v>1495</v>
      </c>
      <c r="N345" s="15" t="s">
        <v>1513</v>
      </c>
      <c r="O345" s="15"/>
    </row>
    <row r="346" spans="1:15" ht="18" customHeight="1" x14ac:dyDescent="0.3">
      <c r="A346" s="29">
        <v>345</v>
      </c>
      <c r="B346" s="15" t="s">
        <v>1534</v>
      </c>
      <c r="C346" s="15" t="s">
        <v>1706</v>
      </c>
      <c r="D346" s="69">
        <v>16</v>
      </c>
      <c r="E346" s="68" t="s">
        <v>3254</v>
      </c>
      <c r="F346" s="21" t="s">
        <v>2771</v>
      </c>
      <c r="G346" s="15" t="s">
        <v>1538</v>
      </c>
      <c r="H346" s="15" t="s">
        <v>2685</v>
      </c>
      <c r="I346" s="69">
        <v>170</v>
      </c>
      <c r="J346" s="15" t="s">
        <v>1802</v>
      </c>
      <c r="K346" s="15" t="s">
        <v>903</v>
      </c>
      <c r="L346" s="15" t="s">
        <v>1513</v>
      </c>
      <c r="M346" s="15" t="s">
        <v>1495</v>
      </c>
      <c r="N346" s="15" t="s">
        <v>1513</v>
      </c>
      <c r="O346" s="15"/>
    </row>
    <row r="347" spans="1:15" ht="18" customHeight="1" x14ac:dyDescent="0.3">
      <c r="A347" s="29">
        <v>346</v>
      </c>
      <c r="B347" s="15" t="s">
        <v>1534</v>
      </c>
      <c r="C347" s="15" t="s">
        <v>1706</v>
      </c>
      <c r="D347" s="69">
        <v>16</v>
      </c>
      <c r="E347" s="68" t="s">
        <v>3254</v>
      </c>
      <c r="F347" s="21" t="s">
        <v>2771</v>
      </c>
      <c r="G347" s="15" t="s">
        <v>1538</v>
      </c>
      <c r="H347" s="15" t="s">
        <v>2678</v>
      </c>
      <c r="I347" s="69">
        <v>139</v>
      </c>
      <c r="J347" s="15" t="s">
        <v>1495</v>
      </c>
      <c r="K347" s="15" t="s">
        <v>903</v>
      </c>
      <c r="L347" s="15" t="s">
        <v>1513</v>
      </c>
      <c r="M347" s="15" t="s">
        <v>1495</v>
      </c>
      <c r="N347" s="15" t="s">
        <v>1513</v>
      </c>
      <c r="O347" s="15"/>
    </row>
    <row r="348" spans="1:15" ht="18" customHeight="1" x14ac:dyDescent="0.3">
      <c r="A348" s="29">
        <v>347</v>
      </c>
      <c r="B348" s="15" t="s">
        <v>1534</v>
      </c>
      <c r="C348" s="15" t="s">
        <v>1706</v>
      </c>
      <c r="D348" s="69">
        <v>16</v>
      </c>
      <c r="E348" s="68" t="s">
        <v>3254</v>
      </c>
      <c r="F348" s="21" t="s">
        <v>2771</v>
      </c>
      <c r="G348" s="15" t="s">
        <v>1538</v>
      </c>
      <c r="H348" s="15" t="s">
        <v>2679</v>
      </c>
      <c r="I348" s="69">
        <v>156</v>
      </c>
      <c r="J348" s="15" t="s">
        <v>1802</v>
      </c>
      <c r="K348" s="15" t="s">
        <v>903</v>
      </c>
      <c r="L348" s="15" t="s">
        <v>1513</v>
      </c>
      <c r="M348" s="15" t="s">
        <v>1495</v>
      </c>
      <c r="N348" s="15" t="s">
        <v>1513</v>
      </c>
      <c r="O348" s="15"/>
    </row>
    <row r="349" spans="1:15" ht="18" customHeight="1" x14ac:dyDescent="0.3">
      <c r="A349" s="29">
        <v>348</v>
      </c>
      <c r="B349" s="15" t="s">
        <v>1534</v>
      </c>
      <c r="C349" s="15" t="s">
        <v>1706</v>
      </c>
      <c r="D349" s="69">
        <v>16</v>
      </c>
      <c r="E349" s="68" t="s">
        <v>3254</v>
      </c>
      <c r="F349" s="21" t="s">
        <v>2771</v>
      </c>
      <c r="G349" s="15" t="s">
        <v>1538</v>
      </c>
      <c r="H349" s="15" t="s">
        <v>2680</v>
      </c>
      <c r="I349" s="69">
        <v>170</v>
      </c>
      <c r="J349" s="15" t="s">
        <v>1495</v>
      </c>
      <c r="K349" s="15" t="s">
        <v>903</v>
      </c>
      <c r="L349" s="15" t="s">
        <v>1513</v>
      </c>
      <c r="M349" s="15" t="s">
        <v>1495</v>
      </c>
      <c r="N349" s="15" t="s">
        <v>1513</v>
      </c>
      <c r="O349" s="15"/>
    </row>
    <row r="350" spans="1:15" ht="18" customHeight="1" x14ac:dyDescent="0.3">
      <c r="A350" s="29">
        <v>349</v>
      </c>
      <c r="B350" s="15" t="s">
        <v>1534</v>
      </c>
      <c r="C350" s="15" t="s">
        <v>1706</v>
      </c>
      <c r="D350" s="69">
        <v>16</v>
      </c>
      <c r="E350" s="68" t="s">
        <v>3254</v>
      </c>
      <c r="F350" s="21" t="s">
        <v>2771</v>
      </c>
      <c r="G350" s="15" t="s">
        <v>1538</v>
      </c>
      <c r="H350" s="15" t="s">
        <v>2690</v>
      </c>
      <c r="I350" s="69">
        <v>143</v>
      </c>
      <c r="J350" s="15" t="s">
        <v>1495</v>
      </c>
      <c r="K350" s="15" t="s">
        <v>903</v>
      </c>
      <c r="L350" s="15" t="s">
        <v>1513</v>
      </c>
      <c r="M350" s="15" t="s">
        <v>1495</v>
      </c>
      <c r="N350" s="15" t="s">
        <v>1513</v>
      </c>
      <c r="O350" s="15"/>
    </row>
    <row r="351" spans="1:15" ht="18" customHeight="1" x14ac:dyDescent="0.3">
      <c r="A351" s="29">
        <v>350</v>
      </c>
      <c r="B351" s="15" t="s">
        <v>1534</v>
      </c>
      <c r="C351" s="15" t="s">
        <v>1706</v>
      </c>
      <c r="D351" s="69">
        <v>16</v>
      </c>
      <c r="E351" s="68" t="s">
        <v>3254</v>
      </c>
      <c r="F351" s="21" t="s">
        <v>2771</v>
      </c>
      <c r="G351" s="15" t="s">
        <v>1538</v>
      </c>
      <c r="H351" s="15" t="s">
        <v>2772</v>
      </c>
      <c r="I351" s="69">
        <v>156</v>
      </c>
      <c r="J351" s="15" t="s">
        <v>1495</v>
      </c>
      <c r="K351" s="15" t="s">
        <v>1802</v>
      </c>
      <c r="L351" s="15" t="s">
        <v>2773</v>
      </c>
      <c r="M351" s="15" t="s">
        <v>1495</v>
      </c>
      <c r="N351" s="15" t="s">
        <v>1513</v>
      </c>
      <c r="O351" s="15"/>
    </row>
    <row r="352" spans="1:15" ht="18" customHeight="1" x14ac:dyDescent="0.3">
      <c r="A352" s="29">
        <v>351</v>
      </c>
      <c r="B352" s="15" t="s">
        <v>214</v>
      </c>
      <c r="C352" s="15" t="s">
        <v>19</v>
      </c>
      <c r="D352" s="69">
        <v>16</v>
      </c>
      <c r="E352" s="68" t="s">
        <v>176</v>
      </c>
      <c r="F352" s="21" t="s">
        <v>356</v>
      </c>
      <c r="G352" s="15" t="s">
        <v>1553</v>
      </c>
      <c r="H352" s="15" t="s">
        <v>901</v>
      </c>
      <c r="I352" s="69">
        <v>43</v>
      </c>
      <c r="J352" s="13" t="s">
        <v>1495</v>
      </c>
      <c r="K352" s="15" t="s">
        <v>1802</v>
      </c>
      <c r="L352" s="15" t="s">
        <v>2525</v>
      </c>
      <c r="M352" s="15" t="s">
        <v>1495</v>
      </c>
      <c r="N352" s="15" t="s">
        <v>1513</v>
      </c>
      <c r="O352" s="15" t="s">
        <v>2774</v>
      </c>
    </row>
    <row r="353" spans="1:15" ht="18" customHeight="1" x14ac:dyDescent="0.3">
      <c r="A353" s="29">
        <v>352</v>
      </c>
      <c r="B353" s="15" t="s">
        <v>214</v>
      </c>
      <c r="C353" s="15" t="s">
        <v>19</v>
      </c>
      <c r="D353" s="69">
        <v>16</v>
      </c>
      <c r="E353" s="68" t="s">
        <v>176</v>
      </c>
      <c r="F353" s="21" t="s">
        <v>356</v>
      </c>
      <c r="G353" s="15" t="s">
        <v>1553</v>
      </c>
      <c r="H353" s="15" t="s">
        <v>904</v>
      </c>
      <c r="I353" s="69">
        <v>90</v>
      </c>
      <c r="J353" s="13" t="s">
        <v>1495</v>
      </c>
      <c r="K353" s="15" t="s">
        <v>1802</v>
      </c>
      <c r="L353" s="15" t="s">
        <v>2525</v>
      </c>
      <c r="M353" s="15" t="s">
        <v>1495</v>
      </c>
      <c r="N353" s="15" t="s">
        <v>1513</v>
      </c>
      <c r="O353" s="15" t="s">
        <v>2774</v>
      </c>
    </row>
    <row r="354" spans="1:15" ht="18" customHeight="1" x14ac:dyDescent="0.3">
      <c r="A354" s="29">
        <v>353</v>
      </c>
      <c r="B354" s="15" t="s">
        <v>214</v>
      </c>
      <c r="C354" s="15" t="s">
        <v>19</v>
      </c>
      <c r="D354" s="69">
        <v>16</v>
      </c>
      <c r="E354" s="68" t="s">
        <v>176</v>
      </c>
      <c r="F354" s="21" t="s">
        <v>356</v>
      </c>
      <c r="G354" s="15" t="s">
        <v>1553</v>
      </c>
      <c r="H354" s="15" t="s">
        <v>905</v>
      </c>
      <c r="I354" s="69">
        <v>77</v>
      </c>
      <c r="J354" s="13" t="s">
        <v>1495</v>
      </c>
      <c r="K354" s="15" t="s">
        <v>1802</v>
      </c>
      <c r="L354" s="15" t="s">
        <v>2525</v>
      </c>
      <c r="M354" s="15" t="s">
        <v>1495</v>
      </c>
      <c r="N354" s="15" t="s">
        <v>1513</v>
      </c>
      <c r="O354" s="15" t="s">
        <v>2775</v>
      </c>
    </row>
    <row r="355" spans="1:15" ht="18" customHeight="1" x14ac:dyDescent="0.3">
      <c r="A355" s="29">
        <v>354</v>
      </c>
      <c r="B355" s="15" t="s">
        <v>214</v>
      </c>
      <c r="C355" s="15" t="s">
        <v>19</v>
      </c>
      <c r="D355" s="69">
        <v>16</v>
      </c>
      <c r="E355" s="68" t="s">
        <v>176</v>
      </c>
      <c r="F355" s="21" t="s">
        <v>356</v>
      </c>
      <c r="G355" s="15" t="s">
        <v>1553</v>
      </c>
      <c r="H355" s="15" t="s">
        <v>906</v>
      </c>
      <c r="I355" s="69">
        <v>73</v>
      </c>
      <c r="J355" s="13" t="s">
        <v>1495</v>
      </c>
      <c r="K355" s="15" t="s">
        <v>1802</v>
      </c>
      <c r="L355" s="15" t="s">
        <v>2525</v>
      </c>
      <c r="M355" s="15" t="s">
        <v>1495</v>
      </c>
      <c r="N355" s="15" t="s">
        <v>1513</v>
      </c>
      <c r="O355" s="15" t="s">
        <v>2775</v>
      </c>
    </row>
    <row r="356" spans="1:15" ht="18" customHeight="1" x14ac:dyDescent="0.3">
      <c r="A356" s="29">
        <v>355</v>
      </c>
      <c r="B356" s="15" t="s">
        <v>214</v>
      </c>
      <c r="C356" s="15" t="s">
        <v>19</v>
      </c>
      <c r="D356" s="69">
        <v>16</v>
      </c>
      <c r="E356" s="68" t="s">
        <v>176</v>
      </c>
      <c r="F356" s="21" t="s">
        <v>356</v>
      </c>
      <c r="G356" s="15" t="s">
        <v>1553</v>
      </c>
      <c r="H356" s="15" t="s">
        <v>907</v>
      </c>
      <c r="I356" s="69">
        <v>54</v>
      </c>
      <c r="J356" s="13" t="s">
        <v>1495</v>
      </c>
      <c r="K356" s="15" t="s">
        <v>1802</v>
      </c>
      <c r="L356" s="15" t="s">
        <v>2525</v>
      </c>
      <c r="M356" s="15" t="s">
        <v>1495</v>
      </c>
      <c r="N356" s="15" t="s">
        <v>1513</v>
      </c>
      <c r="O356" s="15" t="s">
        <v>2775</v>
      </c>
    </row>
    <row r="357" spans="1:15" ht="18" customHeight="1" x14ac:dyDescent="0.3">
      <c r="A357" s="29">
        <v>356</v>
      </c>
      <c r="B357" s="15" t="s">
        <v>214</v>
      </c>
      <c r="C357" s="15" t="s">
        <v>19</v>
      </c>
      <c r="D357" s="69">
        <v>16</v>
      </c>
      <c r="E357" s="68" t="s">
        <v>176</v>
      </c>
      <c r="F357" s="21" t="s">
        <v>356</v>
      </c>
      <c r="G357" s="15" t="s">
        <v>1553</v>
      </c>
      <c r="H357" s="15" t="s">
        <v>908</v>
      </c>
      <c r="I357" s="69">
        <v>107</v>
      </c>
      <c r="J357" s="13" t="s">
        <v>1495</v>
      </c>
      <c r="K357" s="15" t="s">
        <v>1802</v>
      </c>
      <c r="L357" s="15" t="s">
        <v>2525</v>
      </c>
      <c r="M357" s="15" t="s">
        <v>1495</v>
      </c>
      <c r="N357" s="15" t="s">
        <v>1513</v>
      </c>
      <c r="O357" s="15" t="s">
        <v>2775</v>
      </c>
    </row>
    <row r="358" spans="1:15" ht="18" customHeight="1" x14ac:dyDescent="0.3">
      <c r="A358" s="29">
        <v>357</v>
      </c>
      <c r="B358" s="15" t="s">
        <v>214</v>
      </c>
      <c r="C358" s="15" t="s">
        <v>19</v>
      </c>
      <c r="D358" s="69">
        <v>16</v>
      </c>
      <c r="E358" s="68" t="s">
        <v>177</v>
      </c>
      <c r="F358" s="21" t="s">
        <v>357</v>
      </c>
      <c r="G358" s="15" t="s">
        <v>154</v>
      </c>
      <c r="H358" s="15" t="s">
        <v>905</v>
      </c>
      <c r="I358" s="69">
        <v>288</v>
      </c>
      <c r="J358" s="13" t="s">
        <v>902</v>
      </c>
      <c r="K358" s="15" t="s">
        <v>903</v>
      </c>
      <c r="L358" s="15" t="s">
        <v>1513</v>
      </c>
      <c r="M358" s="15" t="s">
        <v>1495</v>
      </c>
      <c r="N358" s="15" t="s">
        <v>1513</v>
      </c>
      <c r="O358" s="15"/>
    </row>
    <row r="359" spans="1:15" ht="18" customHeight="1" x14ac:dyDescent="0.3">
      <c r="A359" s="29">
        <v>358</v>
      </c>
      <c r="B359" s="15" t="s">
        <v>214</v>
      </c>
      <c r="C359" s="15" t="s">
        <v>19</v>
      </c>
      <c r="D359" s="69">
        <v>16</v>
      </c>
      <c r="E359" s="68" t="s">
        <v>177</v>
      </c>
      <c r="F359" s="21" t="s">
        <v>357</v>
      </c>
      <c r="G359" s="15" t="s">
        <v>154</v>
      </c>
      <c r="H359" s="15" t="s">
        <v>906</v>
      </c>
      <c r="I359" s="69">
        <v>192</v>
      </c>
      <c r="J359" s="13" t="s">
        <v>902</v>
      </c>
      <c r="K359" s="15" t="s">
        <v>903</v>
      </c>
      <c r="L359" s="15" t="s">
        <v>1513</v>
      </c>
      <c r="M359" s="15" t="s">
        <v>1495</v>
      </c>
      <c r="N359" s="15" t="s">
        <v>1513</v>
      </c>
      <c r="O359" s="15"/>
    </row>
    <row r="360" spans="1:15" ht="18" customHeight="1" x14ac:dyDescent="0.3">
      <c r="A360" s="29">
        <v>359</v>
      </c>
      <c r="B360" s="15" t="s">
        <v>214</v>
      </c>
      <c r="C360" s="15" t="s">
        <v>19</v>
      </c>
      <c r="D360" s="69">
        <v>16</v>
      </c>
      <c r="E360" s="68" t="s">
        <v>177</v>
      </c>
      <c r="F360" s="21" t="s">
        <v>357</v>
      </c>
      <c r="G360" s="15" t="s">
        <v>154</v>
      </c>
      <c r="H360" s="15" t="s">
        <v>907</v>
      </c>
      <c r="I360" s="69">
        <v>192</v>
      </c>
      <c r="J360" s="13" t="s">
        <v>902</v>
      </c>
      <c r="K360" s="15" t="s">
        <v>903</v>
      </c>
      <c r="L360" s="15" t="s">
        <v>1513</v>
      </c>
      <c r="M360" s="15" t="s">
        <v>1495</v>
      </c>
      <c r="N360" s="15" t="s">
        <v>1513</v>
      </c>
      <c r="O360" s="15"/>
    </row>
    <row r="361" spans="1:15" ht="18" customHeight="1" x14ac:dyDescent="0.3">
      <c r="A361" s="29">
        <v>360</v>
      </c>
      <c r="B361" s="15" t="s">
        <v>214</v>
      </c>
      <c r="C361" s="15" t="s">
        <v>19</v>
      </c>
      <c r="D361" s="69">
        <v>16</v>
      </c>
      <c r="E361" s="68" t="s">
        <v>177</v>
      </c>
      <c r="F361" s="21" t="s">
        <v>357</v>
      </c>
      <c r="G361" s="15" t="s">
        <v>154</v>
      </c>
      <c r="H361" s="15" t="s">
        <v>908</v>
      </c>
      <c r="I361" s="69">
        <v>318</v>
      </c>
      <c r="J361" s="13" t="s">
        <v>902</v>
      </c>
      <c r="K361" s="15" t="s">
        <v>903</v>
      </c>
      <c r="L361" s="15" t="s">
        <v>1513</v>
      </c>
      <c r="M361" s="15" t="s">
        <v>1495</v>
      </c>
      <c r="N361" s="15" t="s">
        <v>1513</v>
      </c>
      <c r="O361" s="15"/>
    </row>
    <row r="362" spans="1:15" ht="18" customHeight="1" x14ac:dyDescent="0.3">
      <c r="A362" s="29">
        <v>361</v>
      </c>
      <c r="B362" s="15" t="s">
        <v>214</v>
      </c>
      <c r="C362" s="15" t="s">
        <v>19</v>
      </c>
      <c r="D362" s="69">
        <v>16</v>
      </c>
      <c r="E362" s="68" t="s">
        <v>177</v>
      </c>
      <c r="F362" s="21" t="s">
        <v>357</v>
      </c>
      <c r="G362" s="15" t="s">
        <v>154</v>
      </c>
      <c r="H362" s="15" t="s">
        <v>909</v>
      </c>
      <c r="I362" s="69">
        <v>288</v>
      </c>
      <c r="J362" s="13" t="s">
        <v>1495</v>
      </c>
      <c r="K362" s="15" t="s">
        <v>903</v>
      </c>
      <c r="L362" s="15" t="s">
        <v>1513</v>
      </c>
      <c r="M362" s="15" t="s">
        <v>1495</v>
      </c>
      <c r="N362" s="15" t="s">
        <v>1513</v>
      </c>
      <c r="O362" s="15"/>
    </row>
    <row r="363" spans="1:15" ht="18" customHeight="1" x14ac:dyDescent="0.3">
      <c r="A363" s="29">
        <v>362</v>
      </c>
      <c r="B363" s="15" t="s">
        <v>214</v>
      </c>
      <c r="C363" s="15" t="s">
        <v>19</v>
      </c>
      <c r="D363" s="69">
        <v>16</v>
      </c>
      <c r="E363" s="68" t="s">
        <v>177</v>
      </c>
      <c r="F363" s="21" t="s">
        <v>357</v>
      </c>
      <c r="G363" s="15" t="s">
        <v>154</v>
      </c>
      <c r="H363" s="15" t="s">
        <v>910</v>
      </c>
      <c r="I363" s="69">
        <v>187</v>
      </c>
      <c r="J363" s="13" t="s">
        <v>1495</v>
      </c>
      <c r="K363" s="15" t="s">
        <v>903</v>
      </c>
      <c r="L363" s="15" t="s">
        <v>1513</v>
      </c>
      <c r="M363" s="15" t="s">
        <v>1495</v>
      </c>
      <c r="N363" s="15" t="s">
        <v>1513</v>
      </c>
      <c r="O363" s="15"/>
    </row>
    <row r="364" spans="1:15" ht="18" customHeight="1" x14ac:dyDescent="0.3">
      <c r="A364" s="29">
        <v>363</v>
      </c>
      <c r="B364" s="15" t="s">
        <v>214</v>
      </c>
      <c r="C364" s="15" t="s">
        <v>19</v>
      </c>
      <c r="D364" s="69">
        <v>16</v>
      </c>
      <c r="E364" s="68" t="s">
        <v>177</v>
      </c>
      <c r="F364" s="21" t="s">
        <v>357</v>
      </c>
      <c r="G364" s="15" t="s">
        <v>154</v>
      </c>
      <c r="H364" s="15" t="s">
        <v>911</v>
      </c>
      <c r="I364" s="69">
        <v>192</v>
      </c>
      <c r="J364" s="13" t="s">
        <v>1495</v>
      </c>
      <c r="K364" s="15" t="s">
        <v>903</v>
      </c>
      <c r="L364" s="15" t="s">
        <v>1513</v>
      </c>
      <c r="M364" s="15" t="s">
        <v>1495</v>
      </c>
      <c r="N364" s="15" t="s">
        <v>1513</v>
      </c>
      <c r="O364" s="15"/>
    </row>
    <row r="365" spans="1:15" ht="18" customHeight="1" x14ac:dyDescent="0.3">
      <c r="A365" s="29">
        <v>364</v>
      </c>
      <c r="B365" s="15" t="s">
        <v>214</v>
      </c>
      <c r="C365" s="15" t="s">
        <v>19</v>
      </c>
      <c r="D365" s="69">
        <v>16</v>
      </c>
      <c r="E365" s="68" t="s">
        <v>177</v>
      </c>
      <c r="F365" s="21" t="s">
        <v>357</v>
      </c>
      <c r="G365" s="15" t="s">
        <v>154</v>
      </c>
      <c r="H365" s="15" t="s">
        <v>927</v>
      </c>
      <c r="I365" s="69">
        <v>322</v>
      </c>
      <c r="J365" s="13" t="s">
        <v>902</v>
      </c>
      <c r="K365" s="15" t="s">
        <v>903</v>
      </c>
      <c r="L365" s="15" t="s">
        <v>1513</v>
      </c>
      <c r="M365" s="15" t="s">
        <v>1495</v>
      </c>
      <c r="N365" s="15" t="s">
        <v>1513</v>
      </c>
      <c r="O365" s="15"/>
    </row>
    <row r="366" spans="1:15" ht="18" customHeight="1" x14ac:dyDescent="0.3">
      <c r="A366" s="29">
        <v>365</v>
      </c>
      <c r="B366" s="15" t="s">
        <v>214</v>
      </c>
      <c r="C366" s="15" t="s">
        <v>19</v>
      </c>
      <c r="D366" s="69">
        <v>16</v>
      </c>
      <c r="E366" s="68" t="s">
        <v>177</v>
      </c>
      <c r="F366" s="21" t="s">
        <v>1186</v>
      </c>
      <c r="G366" s="15" t="s">
        <v>154</v>
      </c>
      <c r="H366" s="15" t="s">
        <v>904</v>
      </c>
      <c r="I366" s="69">
        <v>116</v>
      </c>
      <c r="J366" s="13" t="s">
        <v>902</v>
      </c>
      <c r="K366" s="15" t="s">
        <v>1802</v>
      </c>
      <c r="L366" s="15" t="s">
        <v>1577</v>
      </c>
      <c r="M366" s="15" t="s">
        <v>1495</v>
      </c>
      <c r="N366" s="15" t="s">
        <v>1513</v>
      </c>
      <c r="O366" s="15"/>
    </row>
    <row r="367" spans="1:15" ht="18" customHeight="1" x14ac:dyDescent="0.3">
      <c r="A367" s="29">
        <v>366</v>
      </c>
      <c r="B367" s="15" t="s">
        <v>214</v>
      </c>
      <c r="C367" s="15" t="s">
        <v>19</v>
      </c>
      <c r="D367" s="69">
        <v>16</v>
      </c>
      <c r="E367" s="68" t="s">
        <v>1257</v>
      </c>
      <c r="F367" s="21" t="s">
        <v>1186</v>
      </c>
      <c r="G367" s="15" t="s">
        <v>154</v>
      </c>
      <c r="H367" s="15" t="s">
        <v>1254</v>
      </c>
      <c r="I367" s="69">
        <v>32</v>
      </c>
      <c r="J367" s="13" t="s">
        <v>902</v>
      </c>
      <c r="K367" s="15" t="s">
        <v>1802</v>
      </c>
      <c r="L367" s="15" t="s">
        <v>2692</v>
      </c>
      <c r="M367" s="15" t="s">
        <v>1495</v>
      </c>
      <c r="N367" s="15" t="s">
        <v>1513</v>
      </c>
      <c r="O367" s="15"/>
    </row>
    <row r="368" spans="1:15" ht="18" customHeight="1" x14ac:dyDescent="0.3">
      <c r="A368" s="29">
        <v>367</v>
      </c>
      <c r="B368" s="15" t="s">
        <v>214</v>
      </c>
      <c r="C368" s="15" t="s">
        <v>19</v>
      </c>
      <c r="D368" s="69">
        <v>16</v>
      </c>
      <c r="E368" s="68" t="s">
        <v>934</v>
      </c>
      <c r="F368" s="21" t="s">
        <v>360</v>
      </c>
      <c r="G368" s="15" t="s">
        <v>154</v>
      </c>
      <c r="H368" s="15" t="s">
        <v>901</v>
      </c>
      <c r="I368" s="69">
        <v>198</v>
      </c>
      <c r="J368" s="15" t="s">
        <v>1495</v>
      </c>
      <c r="K368" s="15" t="s">
        <v>903</v>
      </c>
      <c r="L368" s="15" t="s">
        <v>1513</v>
      </c>
      <c r="M368" s="15" t="s">
        <v>1495</v>
      </c>
      <c r="N368" s="15" t="s">
        <v>1513</v>
      </c>
      <c r="O368" s="15"/>
    </row>
    <row r="369" spans="1:15" ht="18" customHeight="1" x14ac:dyDescent="0.3">
      <c r="A369" s="29">
        <v>368</v>
      </c>
      <c r="B369" s="15" t="s">
        <v>214</v>
      </c>
      <c r="C369" s="15" t="s">
        <v>19</v>
      </c>
      <c r="D369" s="69">
        <v>16</v>
      </c>
      <c r="E369" s="68" t="s">
        <v>934</v>
      </c>
      <c r="F369" s="21" t="s">
        <v>360</v>
      </c>
      <c r="G369" s="15" t="s">
        <v>154</v>
      </c>
      <c r="H369" s="15" t="s">
        <v>904</v>
      </c>
      <c r="I369" s="69">
        <v>174</v>
      </c>
      <c r="J369" s="15" t="s">
        <v>1495</v>
      </c>
      <c r="K369" s="15" t="s">
        <v>903</v>
      </c>
      <c r="L369" s="15" t="s">
        <v>1513</v>
      </c>
      <c r="M369" s="15" t="s">
        <v>1495</v>
      </c>
      <c r="N369" s="15" t="s">
        <v>1513</v>
      </c>
      <c r="O369" s="15"/>
    </row>
    <row r="370" spans="1:15" ht="18" customHeight="1" x14ac:dyDescent="0.3">
      <c r="A370" s="29">
        <v>369</v>
      </c>
      <c r="B370" s="15" t="s">
        <v>214</v>
      </c>
      <c r="C370" s="15" t="s">
        <v>19</v>
      </c>
      <c r="D370" s="69">
        <v>16</v>
      </c>
      <c r="E370" s="68" t="s">
        <v>934</v>
      </c>
      <c r="F370" s="21" t="s">
        <v>360</v>
      </c>
      <c r="G370" s="15" t="s">
        <v>154</v>
      </c>
      <c r="H370" s="15" t="s">
        <v>905</v>
      </c>
      <c r="I370" s="69">
        <v>210</v>
      </c>
      <c r="J370" s="15" t="s">
        <v>1495</v>
      </c>
      <c r="K370" s="15" t="s">
        <v>903</v>
      </c>
      <c r="L370" s="15" t="s">
        <v>1513</v>
      </c>
      <c r="M370" s="15" t="s">
        <v>1495</v>
      </c>
      <c r="N370" s="15" t="s">
        <v>1513</v>
      </c>
      <c r="O370" s="15"/>
    </row>
    <row r="371" spans="1:15" ht="18" customHeight="1" x14ac:dyDescent="0.3">
      <c r="A371" s="29">
        <v>370</v>
      </c>
      <c r="B371" s="15" t="s">
        <v>214</v>
      </c>
      <c r="C371" s="15" t="s">
        <v>19</v>
      </c>
      <c r="D371" s="69">
        <v>16</v>
      </c>
      <c r="E371" s="68" t="s">
        <v>934</v>
      </c>
      <c r="F371" s="21" t="s">
        <v>360</v>
      </c>
      <c r="G371" s="15" t="s">
        <v>154</v>
      </c>
      <c r="H371" s="15" t="s">
        <v>906</v>
      </c>
      <c r="I371" s="69">
        <v>95</v>
      </c>
      <c r="J371" s="15" t="s">
        <v>1495</v>
      </c>
      <c r="K371" s="15" t="s">
        <v>903</v>
      </c>
      <c r="L371" s="15" t="s">
        <v>1513</v>
      </c>
      <c r="M371" s="15" t="s">
        <v>1495</v>
      </c>
      <c r="N371" s="15" t="s">
        <v>1513</v>
      </c>
      <c r="O371" s="15"/>
    </row>
    <row r="372" spans="1:15" ht="18" customHeight="1" x14ac:dyDescent="0.3">
      <c r="A372" s="29">
        <v>371</v>
      </c>
      <c r="B372" s="15" t="s">
        <v>214</v>
      </c>
      <c r="C372" s="15" t="s">
        <v>19</v>
      </c>
      <c r="D372" s="69">
        <v>16</v>
      </c>
      <c r="E372" s="68" t="s">
        <v>934</v>
      </c>
      <c r="F372" s="21" t="s">
        <v>360</v>
      </c>
      <c r="G372" s="15" t="s">
        <v>154</v>
      </c>
      <c r="H372" s="15" t="s">
        <v>907</v>
      </c>
      <c r="I372" s="69">
        <v>174</v>
      </c>
      <c r="J372" s="15" t="s">
        <v>1495</v>
      </c>
      <c r="K372" s="15" t="s">
        <v>903</v>
      </c>
      <c r="L372" s="15" t="s">
        <v>1513</v>
      </c>
      <c r="M372" s="15" t="s">
        <v>1495</v>
      </c>
      <c r="N372" s="15" t="s">
        <v>1513</v>
      </c>
      <c r="O372" s="15"/>
    </row>
    <row r="373" spans="1:15" ht="18" customHeight="1" x14ac:dyDescent="0.3">
      <c r="A373" s="29">
        <v>372</v>
      </c>
      <c r="B373" s="15" t="s">
        <v>214</v>
      </c>
      <c r="C373" s="15" t="s">
        <v>20</v>
      </c>
      <c r="D373" s="69">
        <v>17</v>
      </c>
      <c r="E373" s="68" t="s">
        <v>179</v>
      </c>
      <c r="F373" s="21" t="s">
        <v>373</v>
      </c>
      <c r="G373" s="15" t="s">
        <v>154</v>
      </c>
      <c r="H373" s="15" t="s">
        <v>901</v>
      </c>
      <c r="I373" s="69">
        <v>124</v>
      </c>
      <c r="J373" s="13" t="s">
        <v>902</v>
      </c>
      <c r="K373" s="15" t="s">
        <v>903</v>
      </c>
      <c r="L373" s="15" t="s">
        <v>1513</v>
      </c>
      <c r="M373" s="15" t="s">
        <v>1495</v>
      </c>
      <c r="N373" s="15" t="s">
        <v>1513</v>
      </c>
      <c r="O373" s="15"/>
    </row>
    <row r="374" spans="1:15" ht="18" customHeight="1" x14ac:dyDescent="0.3">
      <c r="A374" s="29">
        <v>373</v>
      </c>
      <c r="B374" s="15" t="s">
        <v>214</v>
      </c>
      <c r="C374" s="15" t="s">
        <v>20</v>
      </c>
      <c r="D374" s="69">
        <v>17</v>
      </c>
      <c r="E374" s="68" t="s">
        <v>179</v>
      </c>
      <c r="F374" s="21" t="s">
        <v>373</v>
      </c>
      <c r="G374" s="15" t="s">
        <v>154</v>
      </c>
      <c r="H374" s="15" t="s">
        <v>904</v>
      </c>
      <c r="I374" s="69">
        <v>116</v>
      </c>
      <c r="J374" s="13" t="s">
        <v>1495</v>
      </c>
      <c r="K374" s="15" t="s">
        <v>903</v>
      </c>
      <c r="L374" s="15" t="s">
        <v>1513</v>
      </c>
      <c r="M374" s="15" t="s">
        <v>1495</v>
      </c>
      <c r="N374" s="15" t="s">
        <v>1513</v>
      </c>
      <c r="O374" s="15"/>
    </row>
    <row r="375" spans="1:15" ht="18" customHeight="1" x14ac:dyDescent="0.3">
      <c r="A375" s="29">
        <v>374</v>
      </c>
      <c r="B375" s="15" t="s">
        <v>214</v>
      </c>
      <c r="C375" s="15" t="s">
        <v>20</v>
      </c>
      <c r="D375" s="69">
        <v>17</v>
      </c>
      <c r="E375" s="68" t="s">
        <v>179</v>
      </c>
      <c r="F375" s="21" t="s">
        <v>373</v>
      </c>
      <c r="G375" s="15" t="s">
        <v>154</v>
      </c>
      <c r="H375" s="15" t="s">
        <v>905</v>
      </c>
      <c r="I375" s="69">
        <v>261</v>
      </c>
      <c r="J375" s="13" t="s">
        <v>902</v>
      </c>
      <c r="K375" s="15" t="s">
        <v>903</v>
      </c>
      <c r="L375" s="15" t="s">
        <v>1513</v>
      </c>
      <c r="M375" s="15" t="s">
        <v>1495</v>
      </c>
      <c r="N375" s="15" t="s">
        <v>1513</v>
      </c>
      <c r="O375" s="15"/>
    </row>
    <row r="376" spans="1:15" ht="18" customHeight="1" x14ac:dyDescent="0.3">
      <c r="A376" s="29">
        <v>375</v>
      </c>
      <c r="B376" s="15" t="s">
        <v>214</v>
      </c>
      <c r="C376" s="15" t="s">
        <v>20</v>
      </c>
      <c r="D376" s="69">
        <v>17</v>
      </c>
      <c r="E376" s="68" t="s">
        <v>179</v>
      </c>
      <c r="F376" s="21" t="s">
        <v>373</v>
      </c>
      <c r="G376" s="15" t="s">
        <v>154</v>
      </c>
      <c r="H376" s="15" t="s">
        <v>906</v>
      </c>
      <c r="I376" s="69">
        <v>32</v>
      </c>
      <c r="J376" s="13" t="s">
        <v>1495</v>
      </c>
      <c r="K376" s="15" t="s">
        <v>1495</v>
      </c>
      <c r="L376" s="15" t="s">
        <v>1513</v>
      </c>
      <c r="M376" s="15" t="s">
        <v>1802</v>
      </c>
      <c r="N376" s="15" t="s">
        <v>2741</v>
      </c>
      <c r="O376" s="15"/>
    </row>
    <row r="377" spans="1:15" ht="18" customHeight="1" x14ac:dyDescent="0.3">
      <c r="A377" s="29">
        <v>376</v>
      </c>
      <c r="B377" s="15" t="s">
        <v>214</v>
      </c>
      <c r="C377" s="15" t="s">
        <v>20</v>
      </c>
      <c r="D377" s="69">
        <v>17</v>
      </c>
      <c r="E377" s="68" t="s">
        <v>179</v>
      </c>
      <c r="F377" s="21" t="s">
        <v>373</v>
      </c>
      <c r="G377" s="15" t="s">
        <v>154</v>
      </c>
      <c r="H377" s="15" t="s">
        <v>907</v>
      </c>
      <c r="I377" s="69">
        <v>27</v>
      </c>
      <c r="J377" s="13" t="s">
        <v>1495</v>
      </c>
      <c r="K377" s="15" t="s">
        <v>903</v>
      </c>
      <c r="L377" s="15" t="s">
        <v>1513</v>
      </c>
      <c r="M377" s="15" t="s">
        <v>1495</v>
      </c>
      <c r="N377" s="15" t="s">
        <v>1513</v>
      </c>
      <c r="O377" s="15"/>
    </row>
    <row r="378" spans="1:15" ht="18" customHeight="1" x14ac:dyDescent="0.3">
      <c r="A378" s="29">
        <v>377</v>
      </c>
      <c r="B378" s="15" t="s">
        <v>214</v>
      </c>
      <c r="C378" s="15" t="s">
        <v>20</v>
      </c>
      <c r="D378" s="69">
        <v>17</v>
      </c>
      <c r="E378" s="68" t="s">
        <v>3255</v>
      </c>
      <c r="F378" s="24" t="s">
        <v>369</v>
      </c>
      <c r="G378" s="15" t="s">
        <v>154</v>
      </c>
      <c r="H378" s="15" t="s">
        <v>904</v>
      </c>
      <c r="I378" s="69">
        <v>171</v>
      </c>
      <c r="J378" s="15" t="s">
        <v>1802</v>
      </c>
      <c r="K378" s="15" t="s">
        <v>903</v>
      </c>
      <c r="L378" s="15" t="s">
        <v>1513</v>
      </c>
      <c r="M378" s="15" t="s">
        <v>1495</v>
      </c>
      <c r="N378" s="15" t="s">
        <v>1513</v>
      </c>
      <c r="O378" s="15"/>
    </row>
    <row r="379" spans="1:15" ht="18" customHeight="1" x14ac:dyDescent="0.3">
      <c r="A379" s="29">
        <v>378</v>
      </c>
      <c r="B379" s="15" t="s">
        <v>214</v>
      </c>
      <c r="C379" s="15" t="s">
        <v>20</v>
      </c>
      <c r="D379" s="69">
        <v>17</v>
      </c>
      <c r="E379" s="68" t="s">
        <v>3255</v>
      </c>
      <c r="F379" s="24" t="s">
        <v>369</v>
      </c>
      <c r="G379" s="15" t="s">
        <v>154</v>
      </c>
      <c r="H379" s="15" t="s">
        <v>907</v>
      </c>
      <c r="I379" s="69">
        <v>171</v>
      </c>
      <c r="J379" s="15" t="s">
        <v>1495</v>
      </c>
      <c r="K379" s="15" t="s">
        <v>903</v>
      </c>
      <c r="L379" s="15" t="s">
        <v>1513</v>
      </c>
      <c r="M379" s="15" t="s">
        <v>1495</v>
      </c>
      <c r="N379" s="15" t="s">
        <v>1513</v>
      </c>
      <c r="O379" s="15"/>
    </row>
    <row r="380" spans="1:15" ht="18" customHeight="1" x14ac:dyDescent="0.3">
      <c r="A380" s="29">
        <v>379</v>
      </c>
      <c r="B380" s="15" t="s">
        <v>214</v>
      </c>
      <c r="C380" s="15" t="s">
        <v>20</v>
      </c>
      <c r="D380" s="69">
        <v>17</v>
      </c>
      <c r="E380" s="68" t="s">
        <v>3255</v>
      </c>
      <c r="F380" s="24" t="s">
        <v>369</v>
      </c>
      <c r="G380" s="15" t="s">
        <v>154</v>
      </c>
      <c r="H380" s="15" t="s">
        <v>908</v>
      </c>
      <c r="I380" s="69">
        <v>183</v>
      </c>
      <c r="J380" s="15" t="s">
        <v>1802</v>
      </c>
      <c r="K380" s="15" t="s">
        <v>903</v>
      </c>
      <c r="L380" s="15" t="s">
        <v>1513</v>
      </c>
      <c r="M380" s="15" t="s">
        <v>1495</v>
      </c>
      <c r="N380" s="15" t="s">
        <v>1513</v>
      </c>
      <c r="O380" s="15"/>
    </row>
    <row r="381" spans="1:15" ht="18" customHeight="1" x14ac:dyDescent="0.3">
      <c r="A381" s="29">
        <v>380</v>
      </c>
      <c r="B381" s="15" t="s">
        <v>214</v>
      </c>
      <c r="C381" s="15" t="s">
        <v>20</v>
      </c>
      <c r="D381" s="69">
        <v>17</v>
      </c>
      <c r="E381" s="68" t="s">
        <v>3255</v>
      </c>
      <c r="F381" s="24" t="s">
        <v>369</v>
      </c>
      <c r="G381" s="15" t="s">
        <v>154</v>
      </c>
      <c r="H381" s="15" t="s">
        <v>909</v>
      </c>
      <c r="I381" s="69">
        <v>132</v>
      </c>
      <c r="J381" s="15" t="s">
        <v>1802</v>
      </c>
      <c r="K381" s="15" t="s">
        <v>903</v>
      </c>
      <c r="L381" s="15" t="s">
        <v>1513</v>
      </c>
      <c r="M381" s="15" t="s">
        <v>942</v>
      </c>
      <c r="N381" s="15" t="s">
        <v>1492</v>
      </c>
      <c r="O381" s="15" t="s">
        <v>3136</v>
      </c>
    </row>
    <row r="382" spans="1:15" ht="18" customHeight="1" x14ac:dyDescent="0.3">
      <c r="A382" s="29">
        <v>381</v>
      </c>
      <c r="B382" s="15" t="s">
        <v>214</v>
      </c>
      <c r="C382" s="15" t="s">
        <v>20</v>
      </c>
      <c r="D382" s="69">
        <v>17</v>
      </c>
      <c r="E382" s="68" t="s">
        <v>3255</v>
      </c>
      <c r="F382" s="24" t="s">
        <v>369</v>
      </c>
      <c r="G382" s="15" t="s">
        <v>154</v>
      </c>
      <c r="H382" s="15" t="s">
        <v>2683</v>
      </c>
      <c r="I382" s="69">
        <v>132</v>
      </c>
      <c r="J382" s="15" t="s">
        <v>1495</v>
      </c>
      <c r="K382" s="15" t="s">
        <v>903</v>
      </c>
      <c r="L382" s="15" t="s">
        <v>1513</v>
      </c>
      <c r="M382" s="15" t="s">
        <v>1495</v>
      </c>
      <c r="N382" s="15" t="s">
        <v>1513</v>
      </c>
      <c r="O382" s="15"/>
    </row>
    <row r="383" spans="1:15" ht="18" customHeight="1" x14ac:dyDescent="0.3">
      <c r="A383" s="29">
        <v>382</v>
      </c>
      <c r="B383" s="15" t="s">
        <v>214</v>
      </c>
      <c r="C383" s="15" t="s">
        <v>20</v>
      </c>
      <c r="D383" s="69">
        <v>17</v>
      </c>
      <c r="E383" s="68" t="s">
        <v>3255</v>
      </c>
      <c r="F383" s="24" t="s">
        <v>369</v>
      </c>
      <c r="G383" s="15" t="s">
        <v>154</v>
      </c>
      <c r="H383" s="15" t="s">
        <v>911</v>
      </c>
      <c r="I383" s="69">
        <v>141</v>
      </c>
      <c r="J383" s="15" t="s">
        <v>1495</v>
      </c>
      <c r="K383" s="15" t="s">
        <v>903</v>
      </c>
      <c r="L383" s="15" t="s">
        <v>1513</v>
      </c>
      <c r="M383" s="15" t="s">
        <v>1495</v>
      </c>
      <c r="N383" s="15" t="s">
        <v>1513</v>
      </c>
      <c r="O383" s="15"/>
    </row>
    <row r="384" spans="1:15" ht="18" customHeight="1" x14ac:dyDescent="0.3">
      <c r="A384" s="29">
        <v>383</v>
      </c>
      <c r="B384" s="15" t="s">
        <v>214</v>
      </c>
      <c r="C384" s="15" t="s">
        <v>20</v>
      </c>
      <c r="D384" s="69">
        <v>17</v>
      </c>
      <c r="E384" s="68" t="s">
        <v>3255</v>
      </c>
      <c r="F384" s="24" t="s">
        <v>369</v>
      </c>
      <c r="G384" s="15" t="s">
        <v>154</v>
      </c>
      <c r="H384" s="15" t="s">
        <v>2776</v>
      </c>
      <c r="I384" s="69">
        <v>131</v>
      </c>
      <c r="J384" s="15" t="s">
        <v>1802</v>
      </c>
      <c r="K384" s="15" t="s">
        <v>903</v>
      </c>
      <c r="L384" s="15" t="s">
        <v>1513</v>
      </c>
      <c r="M384" s="15" t="s">
        <v>1495</v>
      </c>
      <c r="N384" s="15" t="s">
        <v>1513</v>
      </c>
      <c r="O384" s="15"/>
    </row>
    <row r="385" spans="1:15" ht="18" customHeight="1" x14ac:dyDescent="0.3">
      <c r="A385" s="29">
        <v>384</v>
      </c>
      <c r="B385" s="15" t="s">
        <v>214</v>
      </c>
      <c r="C385" s="15" t="s">
        <v>20</v>
      </c>
      <c r="D385" s="69">
        <v>17</v>
      </c>
      <c r="E385" s="68" t="s">
        <v>3255</v>
      </c>
      <c r="F385" s="24" t="s">
        <v>2777</v>
      </c>
      <c r="G385" s="15" t="s">
        <v>154</v>
      </c>
      <c r="H385" s="15" t="s">
        <v>901</v>
      </c>
      <c r="I385" s="69">
        <v>171</v>
      </c>
      <c r="J385" s="15" t="s">
        <v>1802</v>
      </c>
      <c r="K385" s="15" t="s">
        <v>902</v>
      </c>
      <c r="L385" s="15" t="s">
        <v>1069</v>
      </c>
      <c r="M385" s="15" t="s">
        <v>1495</v>
      </c>
      <c r="N385" s="15" t="s">
        <v>1513</v>
      </c>
      <c r="O385" s="15"/>
    </row>
    <row r="386" spans="1:15" ht="18" customHeight="1" x14ac:dyDescent="0.3">
      <c r="A386" s="29">
        <v>385</v>
      </c>
      <c r="B386" s="15" t="s">
        <v>214</v>
      </c>
      <c r="C386" s="15" t="s">
        <v>20</v>
      </c>
      <c r="D386" s="69">
        <v>17</v>
      </c>
      <c r="E386" s="68" t="s">
        <v>2778</v>
      </c>
      <c r="F386" s="32" t="s">
        <v>371</v>
      </c>
      <c r="G386" s="15" t="s">
        <v>154</v>
      </c>
      <c r="H386" s="15" t="s">
        <v>901</v>
      </c>
      <c r="I386" s="69">
        <v>214</v>
      </c>
      <c r="J386" s="15" t="s">
        <v>1495</v>
      </c>
      <c r="K386" s="15" t="s">
        <v>903</v>
      </c>
      <c r="L386" s="15" t="s">
        <v>1513</v>
      </c>
      <c r="M386" s="15" t="s">
        <v>1495</v>
      </c>
      <c r="N386" s="15" t="s">
        <v>1513</v>
      </c>
      <c r="O386" s="15"/>
    </row>
    <row r="387" spans="1:15" ht="18" customHeight="1" x14ac:dyDescent="0.3">
      <c r="A387" s="29">
        <v>386</v>
      </c>
      <c r="B387" s="15" t="s">
        <v>214</v>
      </c>
      <c r="C387" s="15" t="s">
        <v>20</v>
      </c>
      <c r="D387" s="69">
        <v>17</v>
      </c>
      <c r="E387" s="68" t="s">
        <v>2778</v>
      </c>
      <c r="F387" s="32" t="s">
        <v>371</v>
      </c>
      <c r="G387" s="15" t="s">
        <v>154</v>
      </c>
      <c r="H387" s="15" t="s">
        <v>904</v>
      </c>
      <c r="I387" s="69">
        <v>174</v>
      </c>
      <c r="J387" s="15" t="s">
        <v>1802</v>
      </c>
      <c r="K387" s="15" t="s">
        <v>903</v>
      </c>
      <c r="L387" s="15" t="s">
        <v>1513</v>
      </c>
      <c r="M387" s="15" t="s">
        <v>1495</v>
      </c>
      <c r="N387" s="15" t="s">
        <v>1513</v>
      </c>
      <c r="O387" s="15"/>
    </row>
    <row r="388" spans="1:15" ht="18" customHeight="1" x14ac:dyDescent="0.3">
      <c r="A388" s="29">
        <v>387</v>
      </c>
      <c r="B388" s="15" t="s">
        <v>214</v>
      </c>
      <c r="C388" s="15" t="s">
        <v>20</v>
      </c>
      <c r="D388" s="69">
        <v>17</v>
      </c>
      <c r="E388" s="68" t="s">
        <v>2778</v>
      </c>
      <c r="F388" s="32" t="s">
        <v>371</v>
      </c>
      <c r="G388" s="15" t="s">
        <v>154</v>
      </c>
      <c r="H388" s="15" t="s">
        <v>2779</v>
      </c>
      <c r="I388" s="69">
        <v>69</v>
      </c>
      <c r="J388" s="15" t="s">
        <v>1495</v>
      </c>
      <c r="K388" s="15" t="s">
        <v>1802</v>
      </c>
      <c r="L388" s="15" t="s">
        <v>2780</v>
      </c>
      <c r="M388" s="15" t="s">
        <v>1495</v>
      </c>
      <c r="N388" s="15" t="s">
        <v>1513</v>
      </c>
      <c r="O388" s="15"/>
    </row>
    <row r="389" spans="1:15" ht="18" customHeight="1" x14ac:dyDescent="0.3">
      <c r="A389" s="29">
        <v>388</v>
      </c>
      <c r="B389" s="15" t="s">
        <v>214</v>
      </c>
      <c r="C389" s="15" t="s">
        <v>20</v>
      </c>
      <c r="D389" s="69">
        <v>17</v>
      </c>
      <c r="E389" s="68" t="s">
        <v>2778</v>
      </c>
      <c r="F389" s="32" t="s">
        <v>371</v>
      </c>
      <c r="G389" s="15" t="s">
        <v>154</v>
      </c>
      <c r="H389" s="15" t="s">
        <v>906</v>
      </c>
      <c r="I389" s="69">
        <v>140</v>
      </c>
      <c r="J389" s="15" t="s">
        <v>1495</v>
      </c>
      <c r="K389" s="15" t="s">
        <v>903</v>
      </c>
      <c r="L389" s="15" t="s">
        <v>1513</v>
      </c>
      <c r="M389" s="15" t="s">
        <v>1495</v>
      </c>
      <c r="N389" s="15" t="s">
        <v>1513</v>
      </c>
      <c r="O389" s="15"/>
    </row>
    <row r="390" spans="1:15" ht="18" customHeight="1" x14ac:dyDescent="0.3">
      <c r="A390" s="29">
        <v>389</v>
      </c>
      <c r="B390" s="15" t="s">
        <v>214</v>
      </c>
      <c r="C390" s="15" t="s">
        <v>20</v>
      </c>
      <c r="D390" s="69">
        <v>17</v>
      </c>
      <c r="E390" s="68" t="s">
        <v>2778</v>
      </c>
      <c r="F390" s="32" t="s">
        <v>371</v>
      </c>
      <c r="G390" s="15" t="s">
        <v>154</v>
      </c>
      <c r="H390" s="15" t="s">
        <v>2781</v>
      </c>
      <c r="I390" s="69">
        <v>69</v>
      </c>
      <c r="J390" s="15" t="s">
        <v>1495</v>
      </c>
      <c r="K390" s="15" t="s">
        <v>1802</v>
      </c>
      <c r="L390" s="15" t="s">
        <v>2780</v>
      </c>
      <c r="M390" s="15" t="s">
        <v>1495</v>
      </c>
      <c r="N390" s="15" t="s">
        <v>1513</v>
      </c>
      <c r="O390" s="15"/>
    </row>
    <row r="391" spans="1:15" ht="18" customHeight="1" x14ac:dyDescent="0.3">
      <c r="A391" s="29">
        <v>390</v>
      </c>
      <c r="B391" s="15" t="s">
        <v>214</v>
      </c>
      <c r="C391" s="15" t="s">
        <v>20</v>
      </c>
      <c r="D391" s="69">
        <v>17</v>
      </c>
      <c r="E391" s="68" t="s">
        <v>2778</v>
      </c>
      <c r="F391" s="32" t="s">
        <v>371</v>
      </c>
      <c r="G391" s="15" t="s">
        <v>154</v>
      </c>
      <c r="H391" s="15" t="s">
        <v>908</v>
      </c>
      <c r="I391" s="69">
        <v>146</v>
      </c>
      <c r="J391" s="15" t="s">
        <v>1495</v>
      </c>
      <c r="K391" s="15" t="s">
        <v>903</v>
      </c>
      <c r="L391" s="15" t="s">
        <v>1513</v>
      </c>
      <c r="M391" s="15" t="s">
        <v>1495</v>
      </c>
      <c r="N391" s="15" t="s">
        <v>1513</v>
      </c>
      <c r="O391" s="15"/>
    </row>
    <row r="392" spans="1:15" ht="18" customHeight="1" x14ac:dyDescent="0.3">
      <c r="A392" s="29">
        <v>391</v>
      </c>
      <c r="B392" s="15" t="s">
        <v>214</v>
      </c>
      <c r="C392" s="15" t="s">
        <v>20</v>
      </c>
      <c r="D392" s="69">
        <v>17</v>
      </c>
      <c r="E392" s="68" t="s">
        <v>2778</v>
      </c>
      <c r="F392" s="32" t="s">
        <v>371</v>
      </c>
      <c r="G392" s="15" t="s">
        <v>154</v>
      </c>
      <c r="H392" s="15" t="s">
        <v>2782</v>
      </c>
      <c r="I392" s="69">
        <v>30</v>
      </c>
      <c r="J392" s="15" t="s">
        <v>1495</v>
      </c>
      <c r="K392" s="15" t="s">
        <v>1802</v>
      </c>
      <c r="L392" s="15" t="s">
        <v>2783</v>
      </c>
      <c r="M392" s="15" t="s">
        <v>1495</v>
      </c>
      <c r="N392" s="15" t="s">
        <v>1513</v>
      </c>
      <c r="O392" s="15"/>
    </row>
    <row r="393" spans="1:15" ht="18" customHeight="1" x14ac:dyDescent="0.3">
      <c r="A393" s="29">
        <v>392</v>
      </c>
      <c r="B393" s="15" t="s">
        <v>214</v>
      </c>
      <c r="C393" s="15" t="s">
        <v>20</v>
      </c>
      <c r="D393" s="69">
        <v>17</v>
      </c>
      <c r="E393" s="68" t="s">
        <v>2778</v>
      </c>
      <c r="F393" s="32" t="s">
        <v>371</v>
      </c>
      <c r="G393" s="15" t="s">
        <v>154</v>
      </c>
      <c r="H393" s="15" t="s">
        <v>910</v>
      </c>
      <c r="I393" s="69">
        <v>91</v>
      </c>
      <c r="J393" s="15" t="s">
        <v>1802</v>
      </c>
      <c r="K393" s="15" t="s">
        <v>903</v>
      </c>
      <c r="L393" s="15" t="s">
        <v>1513</v>
      </c>
      <c r="M393" s="15" t="s">
        <v>1495</v>
      </c>
      <c r="N393" s="15" t="s">
        <v>1513</v>
      </c>
      <c r="O393" s="15"/>
    </row>
    <row r="394" spans="1:15" ht="18" customHeight="1" x14ac:dyDescent="0.3">
      <c r="A394" s="29">
        <v>393</v>
      </c>
      <c r="B394" s="15" t="s">
        <v>214</v>
      </c>
      <c r="C394" s="15" t="s">
        <v>20</v>
      </c>
      <c r="D394" s="69">
        <v>17</v>
      </c>
      <c r="E394" s="68" t="s">
        <v>2778</v>
      </c>
      <c r="F394" s="32" t="s">
        <v>371</v>
      </c>
      <c r="G394" s="15" t="s">
        <v>154</v>
      </c>
      <c r="H394" s="15" t="s">
        <v>911</v>
      </c>
      <c r="I394" s="69">
        <v>91</v>
      </c>
      <c r="J394" s="15" t="s">
        <v>1495</v>
      </c>
      <c r="K394" s="15" t="s">
        <v>903</v>
      </c>
      <c r="L394" s="15" t="s">
        <v>1513</v>
      </c>
      <c r="M394" s="15" t="s">
        <v>1495</v>
      </c>
      <c r="N394" s="15" t="s">
        <v>1513</v>
      </c>
      <c r="O394" s="15"/>
    </row>
    <row r="395" spans="1:15" ht="18" customHeight="1" x14ac:dyDescent="0.3">
      <c r="A395" s="29">
        <v>394</v>
      </c>
      <c r="B395" s="15" t="s">
        <v>214</v>
      </c>
      <c r="C395" s="15" t="s">
        <v>20</v>
      </c>
      <c r="D395" s="69">
        <v>17</v>
      </c>
      <c r="E395" s="68" t="s">
        <v>2778</v>
      </c>
      <c r="F395" s="32" t="s">
        <v>371</v>
      </c>
      <c r="G395" s="15" t="s">
        <v>154</v>
      </c>
      <c r="H395" s="15" t="s">
        <v>927</v>
      </c>
      <c r="I395" s="69">
        <v>91</v>
      </c>
      <c r="J395" s="15" t="s">
        <v>1495</v>
      </c>
      <c r="K395" s="15" t="s">
        <v>903</v>
      </c>
      <c r="L395" s="15" t="s">
        <v>1513</v>
      </c>
      <c r="M395" s="15" t="s">
        <v>1495</v>
      </c>
      <c r="N395" s="15" t="s">
        <v>1513</v>
      </c>
      <c r="O395" s="15"/>
    </row>
    <row r="396" spans="1:15" ht="18" customHeight="1" x14ac:dyDescent="0.3">
      <c r="A396" s="29">
        <v>395</v>
      </c>
      <c r="B396" s="15" t="s">
        <v>214</v>
      </c>
      <c r="C396" s="15" t="s">
        <v>21</v>
      </c>
      <c r="D396" s="69">
        <v>18</v>
      </c>
      <c r="E396" s="68" t="s">
        <v>966</v>
      </c>
      <c r="F396" s="21" t="s">
        <v>376</v>
      </c>
      <c r="G396" s="15" t="s">
        <v>154</v>
      </c>
      <c r="H396" s="15" t="s">
        <v>2685</v>
      </c>
      <c r="I396" s="69">
        <v>164</v>
      </c>
      <c r="J396" s="13" t="s">
        <v>1495</v>
      </c>
      <c r="K396" s="15" t="s">
        <v>903</v>
      </c>
      <c r="L396" s="15" t="s">
        <v>1513</v>
      </c>
      <c r="M396" s="15" t="s">
        <v>1495</v>
      </c>
      <c r="N396" s="15" t="s">
        <v>1513</v>
      </c>
      <c r="O396" s="15"/>
    </row>
    <row r="397" spans="1:15" ht="18" customHeight="1" x14ac:dyDescent="0.3">
      <c r="A397" s="29">
        <v>396</v>
      </c>
      <c r="B397" s="15" t="s">
        <v>214</v>
      </c>
      <c r="C397" s="15" t="s">
        <v>21</v>
      </c>
      <c r="D397" s="69">
        <v>18</v>
      </c>
      <c r="E397" s="68" t="s">
        <v>966</v>
      </c>
      <c r="F397" s="21" t="s">
        <v>376</v>
      </c>
      <c r="G397" s="15" t="s">
        <v>154</v>
      </c>
      <c r="H397" s="15" t="s">
        <v>2678</v>
      </c>
      <c r="I397" s="69">
        <v>142</v>
      </c>
      <c r="J397" s="13" t="s">
        <v>1495</v>
      </c>
      <c r="K397" s="15" t="s">
        <v>903</v>
      </c>
      <c r="L397" s="15" t="s">
        <v>1513</v>
      </c>
      <c r="M397" s="15" t="s">
        <v>1495</v>
      </c>
      <c r="N397" s="15" t="s">
        <v>1513</v>
      </c>
      <c r="O397" s="15"/>
    </row>
    <row r="398" spans="1:15" ht="18" customHeight="1" x14ac:dyDescent="0.3">
      <c r="A398" s="29">
        <v>397</v>
      </c>
      <c r="B398" s="15" t="s">
        <v>214</v>
      </c>
      <c r="C398" s="15" t="s">
        <v>21</v>
      </c>
      <c r="D398" s="69">
        <v>18</v>
      </c>
      <c r="E398" s="68" t="s">
        <v>966</v>
      </c>
      <c r="F398" s="21" t="s">
        <v>376</v>
      </c>
      <c r="G398" s="15" t="s">
        <v>154</v>
      </c>
      <c r="H398" s="15" t="s">
        <v>2680</v>
      </c>
      <c r="I398" s="69">
        <v>132</v>
      </c>
      <c r="J398" s="13" t="s">
        <v>1495</v>
      </c>
      <c r="K398" s="15" t="s">
        <v>903</v>
      </c>
      <c r="L398" s="15" t="s">
        <v>1513</v>
      </c>
      <c r="M398" s="15" t="s">
        <v>1495</v>
      </c>
      <c r="N398" s="15" t="s">
        <v>1513</v>
      </c>
      <c r="O398" s="15"/>
    </row>
    <row r="399" spans="1:15" ht="18" customHeight="1" x14ac:dyDescent="0.3">
      <c r="A399" s="29">
        <v>398</v>
      </c>
      <c r="B399" s="15" t="s">
        <v>214</v>
      </c>
      <c r="C399" s="15" t="s">
        <v>21</v>
      </c>
      <c r="D399" s="69">
        <v>18</v>
      </c>
      <c r="E399" s="68" t="s">
        <v>966</v>
      </c>
      <c r="F399" s="21" t="s">
        <v>376</v>
      </c>
      <c r="G399" s="15" t="s">
        <v>154</v>
      </c>
      <c r="H399" s="15" t="s">
        <v>2690</v>
      </c>
      <c r="I399" s="69">
        <v>332</v>
      </c>
      <c r="J399" s="13" t="s">
        <v>902</v>
      </c>
      <c r="K399" s="15" t="s">
        <v>903</v>
      </c>
      <c r="L399" s="15" t="s">
        <v>1513</v>
      </c>
      <c r="M399" s="15" t="s">
        <v>1495</v>
      </c>
      <c r="N399" s="15" t="s">
        <v>1492</v>
      </c>
      <c r="O399" s="15"/>
    </row>
    <row r="400" spans="1:15" ht="18" customHeight="1" x14ac:dyDescent="0.3">
      <c r="A400" s="29">
        <v>399</v>
      </c>
      <c r="B400" s="15" t="s">
        <v>214</v>
      </c>
      <c r="C400" s="15" t="s">
        <v>21</v>
      </c>
      <c r="D400" s="69">
        <v>18</v>
      </c>
      <c r="E400" s="68" t="s">
        <v>966</v>
      </c>
      <c r="F400" s="21" t="s">
        <v>376</v>
      </c>
      <c r="G400" s="15" t="s">
        <v>154</v>
      </c>
      <c r="H400" s="15" t="s">
        <v>2682</v>
      </c>
      <c r="I400" s="69">
        <v>184</v>
      </c>
      <c r="J400" s="13" t="s">
        <v>1495</v>
      </c>
      <c r="K400" s="15" t="s">
        <v>903</v>
      </c>
      <c r="L400" s="15" t="s">
        <v>1513</v>
      </c>
      <c r="M400" s="15" t="s">
        <v>1495</v>
      </c>
      <c r="N400" s="15" t="s">
        <v>1513</v>
      </c>
      <c r="O400" s="15"/>
    </row>
    <row r="401" spans="1:15" ht="18" customHeight="1" x14ac:dyDescent="0.3">
      <c r="A401" s="29">
        <v>400</v>
      </c>
      <c r="B401" s="15" t="s">
        <v>214</v>
      </c>
      <c r="C401" s="15" t="s">
        <v>21</v>
      </c>
      <c r="D401" s="69">
        <v>18</v>
      </c>
      <c r="E401" s="68" t="s">
        <v>966</v>
      </c>
      <c r="F401" s="21" t="s">
        <v>1187</v>
      </c>
      <c r="G401" s="15" t="s">
        <v>154</v>
      </c>
      <c r="H401" s="15" t="s">
        <v>2679</v>
      </c>
      <c r="I401" s="69">
        <v>100</v>
      </c>
      <c r="J401" s="13" t="s">
        <v>902</v>
      </c>
      <c r="K401" s="15" t="s">
        <v>902</v>
      </c>
      <c r="L401" s="15" t="s">
        <v>1577</v>
      </c>
      <c r="M401" s="15" t="s">
        <v>1495</v>
      </c>
      <c r="N401" s="15" t="s">
        <v>1513</v>
      </c>
      <c r="O401" s="15"/>
    </row>
    <row r="402" spans="1:15" ht="18" customHeight="1" x14ac:dyDescent="0.3">
      <c r="A402" s="29">
        <v>401</v>
      </c>
      <c r="B402" s="15" t="s">
        <v>214</v>
      </c>
      <c r="C402" s="15" t="s">
        <v>21</v>
      </c>
      <c r="D402" s="69">
        <v>18</v>
      </c>
      <c r="E402" s="68" t="s">
        <v>180</v>
      </c>
      <c r="F402" s="21" t="s">
        <v>1136</v>
      </c>
      <c r="G402" s="15" t="s">
        <v>154</v>
      </c>
      <c r="H402" s="15" t="s">
        <v>905</v>
      </c>
      <c r="I402" s="69">
        <v>161</v>
      </c>
      <c r="J402" s="13" t="s">
        <v>902</v>
      </c>
      <c r="K402" s="15" t="s">
        <v>903</v>
      </c>
      <c r="L402" s="15" t="s">
        <v>1513</v>
      </c>
      <c r="M402" s="15" t="s">
        <v>1495</v>
      </c>
      <c r="N402" s="15" t="s">
        <v>1513</v>
      </c>
      <c r="O402" s="15"/>
    </row>
    <row r="403" spans="1:15" ht="18" customHeight="1" x14ac:dyDescent="0.3">
      <c r="A403" s="29">
        <v>402</v>
      </c>
      <c r="B403" s="15" t="s">
        <v>214</v>
      </c>
      <c r="C403" s="15" t="s">
        <v>21</v>
      </c>
      <c r="D403" s="69">
        <v>18</v>
      </c>
      <c r="E403" s="68" t="s">
        <v>180</v>
      </c>
      <c r="F403" s="21" t="s">
        <v>1136</v>
      </c>
      <c r="G403" s="15" t="s">
        <v>154</v>
      </c>
      <c r="H403" s="15" t="s">
        <v>906</v>
      </c>
      <c r="I403" s="69">
        <v>176</v>
      </c>
      <c r="J403" s="13" t="s">
        <v>902</v>
      </c>
      <c r="K403" s="15" t="s">
        <v>903</v>
      </c>
      <c r="L403" s="15" t="s">
        <v>1513</v>
      </c>
      <c r="M403" s="15" t="s">
        <v>1495</v>
      </c>
      <c r="N403" s="15" t="s">
        <v>1513</v>
      </c>
      <c r="O403" s="15"/>
    </row>
    <row r="404" spans="1:15" ht="18" customHeight="1" x14ac:dyDescent="0.3">
      <c r="A404" s="29">
        <v>403</v>
      </c>
      <c r="B404" s="15" t="s">
        <v>214</v>
      </c>
      <c r="C404" s="15" t="s">
        <v>21</v>
      </c>
      <c r="D404" s="69">
        <v>18</v>
      </c>
      <c r="E404" s="68" t="s">
        <v>180</v>
      </c>
      <c r="F404" s="21" t="s">
        <v>1136</v>
      </c>
      <c r="G404" s="15" t="s">
        <v>154</v>
      </c>
      <c r="H404" s="15" t="s">
        <v>907</v>
      </c>
      <c r="I404" s="69">
        <v>306</v>
      </c>
      <c r="J404" s="13" t="s">
        <v>902</v>
      </c>
      <c r="K404" s="15" t="s">
        <v>903</v>
      </c>
      <c r="L404" s="15" t="s">
        <v>1513</v>
      </c>
      <c r="M404" s="15" t="s">
        <v>1495</v>
      </c>
      <c r="N404" s="15" t="s">
        <v>1513</v>
      </c>
      <c r="O404" s="15"/>
    </row>
    <row r="405" spans="1:15" ht="18" customHeight="1" x14ac:dyDescent="0.3">
      <c r="A405" s="29">
        <v>404</v>
      </c>
      <c r="B405" s="15" t="s">
        <v>214</v>
      </c>
      <c r="C405" s="15" t="s">
        <v>21</v>
      </c>
      <c r="D405" s="69">
        <v>18</v>
      </c>
      <c r="E405" s="68" t="s">
        <v>180</v>
      </c>
      <c r="F405" s="21" t="s">
        <v>1136</v>
      </c>
      <c r="G405" s="15" t="s">
        <v>154</v>
      </c>
      <c r="H405" s="15" t="s">
        <v>908</v>
      </c>
      <c r="I405" s="69">
        <v>161</v>
      </c>
      <c r="J405" s="13" t="s">
        <v>1495</v>
      </c>
      <c r="K405" s="15" t="s">
        <v>903</v>
      </c>
      <c r="L405" s="15" t="s">
        <v>1513</v>
      </c>
      <c r="M405" s="15" t="s">
        <v>1495</v>
      </c>
      <c r="N405" s="15" t="s">
        <v>1513</v>
      </c>
      <c r="O405" s="15"/>
    </row>
    <row r="406" spans="1:15" ht="18" customHeight="1" x14ac:dyDescent="0.3">
      <c r="A406" s="29">
        <v>405</v>
      </c>
      <c r="B406" s="15" t="s">
        <v>214</v>
      </c>
      <c r="C406" s="15" t="s">
        <v>21</v>
      </c>
      <c r="D406" s="69">
        <v>18</v>
      </c>
      <c r="E406" s="68" t="s">
        <v>180</v>
      </c>
      <c r="F406" s="21" t="s">
        <v>1136</v>
      </c>
      <c r="G406" s="15" t="s">
        <v>154</v>
      </c>
      <c r="H406" s="15" t="s">
        <v>909</v>
      </c>
      <c r="I406" s="69">
        <v>161</v>
      </c>
      <c r="J406" s="13" t="s">
        <v>1495</v>
      </c>
      <c r="K406" s="15" t="s">
        <v>903</v>
      </c>
      <c r="L406" s="15" t="s">
        <v>1513</v>
      </c>
      <c r="M406" s="15" t="s">
        <v>1495</v>
      </c>
      <c r="N406" s="15" t="s">
        <v>1513</v>
      </c>
      <c r="O406" s="15"/>
    </row>
    <row r="407" spans="1:15" ht="18" customHeight="1" x14ac:dyDescent="0.3">
      <c r="A407" s="29">
        <v>406</v>
      </c>
      <c r="B407" s="15" t="s">
        <v>214</v>
      </c>
      <c r="C407" s="15" t="s">
        <v>21</v>
      </c>
      <c r="D407" s="69">
        <v>18</v>
      </c>
      <c r="E407" s="68" t="s">
        <v>180</v>
      </c>
      <c r="F407" s="21" t="s">
        <v>1136</v>
      </c>
      <c r="G407" s="15" t="s">
        <v>154</v>
      </c>
      <c r="H407" s="15" t="s">
        <v>910</v>
      </c>
      <c r="I407" s="69">
        <v>176</v>
      </c>
      <c r="J407" s="13" t="s">
        <v>1495</v>
      </c>
      <c r="K407" s="15" t="s">
        <v>903</v>
      </c>
      <c r="L407" s="15" t="s">
        <v>1513</v>
      </c>
      <c r="M407" s="15" t="s">
        <v>1495</v>
      </c>
      <c r="N407" s="15" t="s">
        <v>1513</v>
      </c>
      <c r="O407" s="15"/>
    </row>
    <row r="408" spans="1:15" ht="18" customHeight="1" x14ac:dyDescent="0.3">
      <c r="A408" s="29">
        <v>407</v>
      </c>
      <c r="B408" s="15" t="s">
        <v>214</v>
      </c>
      <c r="C408" s="15" t="s">
        <v>21</v>
      </c>
      <c r="D408" s="69">
        <v>18</v>
      </c>
      <c r="E408" s="68" t="s">
        <v>180</v>
      </c>
      <c r="F408" s="21" t="s">
        <v>378</v>
      </c>
      <c r="G408" s="15" t="s">
        <v>154</v>
      </c>
      <c r="H408" s="15" t="s">
        <v>901</v>
      </c>
      <c r="I408" s="69">
        <v>304</v>
      </c>
      <c r="J408" s="13" t="s">
        <v>2672</v>
      </c>
      <c r="K408" s="15" t="s">
        <v>903</v>
      </c>
      <c r="L408" s="15" t="s">
        <v>2673</v>
      </c>
      <c r="M408" s="15" t="s">
        <v>2672</v>
      </c>
      <c r="N408" s="15" t="s">
        <v>2673</v>
      </c>
      <c r="O408" s="15"/>
    </row>
    <row r="409" spans="1:15" ht="18" customHeight="1" x14ac:dyDescent="0.3">
      <c r="A409" s="29">
        <v>408</v>
      </c>
      <c r="B409" s="15" t="s">
        <v>214</v>
      </c>
      <c r="C409" s="15" t="s">
        <v>21</v>
      </c>
      <c r="D409" s="69">
        <v>18</v>
      </c>
      <c r="E409" s="68" t="s">
        <v>180</v>
      </c>
      <c r="F409" s="21" t="s">
        <v>378</v>
      </c>
      <c r="G409" s="15" t="s">
        <v>154</v>
      </c>
      <c r="H409" s="15" t="s">
        <v>904</v>
      </c>
      <c r="I409" s="69">
        <v>161</v>
      </c>
      <c r="J409" s="13" t="s">
        <v>2672</v>
      </c>
      <c r="K409" s="15" t="s">
        <v>903</v>
      </c>
      <c r="L409" s="15" t="s">
        <v>2673</v>
      </c>
      <c r="M409" s="15" t="s">
        <v>2672</v>
      </c>
      <c r="N409" s="15" t="s">
        <v>2673</v>
      </c>
      <c r="O409" s="15"/>
    </row>
    <row r="410" spans="1:15" ht="18" customHeight="1" x14ac:dyDescent="0.3">
      <c r="A410" s="29">
        <v>409</v>
      </c>
      <c r="B410" s="15" t="s">
        <v>214</v>
      </c>
      <c r="C410" s="15" t="s">
        <v>22</v>
      </c>
      <c r="D410" s="69">
        <v>19</v>
      </c>
      <c r="E410" s="68" t="s">
        <v>181</v>
      </c>
      <c r="F410" s="21" t="s">
        <v>415</v>
      </c>
      <c r="G410" s="15" t="s">
        <v>154</v>
      </c>
      <c r="H410" s="15" t="s">
        <v>901</v>
      </c>
      <c r="I410" s="69">
        <v>227</v>
      </c>
      <c r="J410" s="13" t="s">
        <v>902</v>
      </c>
      <c r="K410" s="15" t="s">
        <v>903</v>
      </c>
      <c r="L410" s="15" t="s">
        <v>2673</v>
      </c>
      <c r="M410" s="15" t="s">
        <v>2672</v>
      </c>
      <c r="N410" s="15" t="s">
        <v>2673</v>
      </c>
      <c r="O410" s="15"/>
    </row>
    <row r="411" spans="1:15" ht="18" customHeight="1" x14ac:dyDescent="0.3">
      <c r="A411" s="29">
        <v>410</v>
      </c>
      <c r="B411" s="15" t="s">
        <v>214</v>
      </c>
      <c r="C411" s="15" t="s">
        <v>22</v>
      </c>
      <c r="D411" s="69">
        <v>19</v>
      </c>
      <c r="E411" s="68" t="s">
        <v>181</v>
      </c>
      <c r="F411" s="21" t="s">
        <v>415</v>
      </c>
      <c r="G411" s="15" t="s">
        <v>154</v>
      </c>
      <c r="H411" s="15" t="s">
        <v>904</v>
      </c>
      <c r="I411" s="69">
        <v>206</v>
      </c>
      <c r="J411" s="13" t="s">
        <v>2672</v>
      </c>
      <c r="K411" s="15" t="s">
        <v>903</v>
      </c>
      <c r="L411" s="15" t="s">
        <v>2673</v>
      </c>
      <c r="M411" s="15" t="s">
        <v>2672</v>
      </c>
      <c r="N411" s="15" t="s">
        <v>2673</v>
      </c>
      <c r="O411" s="15"/>
    </row>
    <row r="412" spans="1:15" ht="18" customHeight="1" x14ac:dyDescent="0.3">
      <c r="A412" s="29">
        <v>411</v>
      </c>
      <c r="B412" s="15" t="s">
        <v>214</v>
      </c>
      <c r="C412" s="15" t="s">
        <v>22</v>
      </c>
      <c r="D412" s="69">
        <v>19</v>
      </c>
      <c r="E412" s="68" t="s">
        <v>181</v>
      </c>
      <c r="F412" s="21" t="s">
        <v>415</v>
      </c>
      <c r="G412" s="15" t="s">
        <v>154</v>
      </c>
      <c r="H412" s="15" t="s">
        <v>905</v>
      </c>
      <c r="I412" s="69">
        <v>215</v>
      </c>
      <c r="J412" s="13" t="s">
        <v>2672</v>
      </c>
      <c r="K412" s="15" t="s">
        <v>903</v>
      </c>
      <c r="L412" s="15" t="s">
        <v>2673</v>
      </c>
      <c r="M412" s="15" t="s">
        <v>2672</v>
      </c>
      <c r="N412" s="15" t="s">
        <v>2673</v>
      </c>
      <c r="O412" s="15"/>
    </row>
    <row r="413" spans="1:15" ht="18" customHeight="1" x14ac:dyDescent="0.3">
      <c r="A413" s="29">
        <v>412</v>
      </c>
      <c r="B413" s="15" t="s">
        <v>214</v>
      </c>
      <c r="C413" s="15" t="s">
        <v>22</v>
      </c>
      <c r="D413" s="69">
        <v>19</v>
      </c>
      <c r="E413" s="68" t="s">
        <v>181</v>
      </c>
      <c r="F413" s="21" t="s">
        <v>415</v>
      </c>
      <c r="G413" s="15" t="s">
        <v>154</v>
      </c>
      <c r="H413" s="15" t="s">
        <v>906</v>
      </c>
      <c r="I413" s="69">
        <v>131</v>
      </c>
      <c r="J413" s="13" t="s">
        <v>2672</v>
      </c>
      <c r="K413" s="15" t="s">
        <v>903</v>
      </c>
      <c r="L413" s="15" t="s">
        <v>2673</v>
      </c>
      <c r="M413" s="15" t="s">
        <v>2672</v>
      </c>
      <c r="N413" s="15" t="s">
        <v>2673</v>
      </c>
      <c r="O413" s="15"/>
    </row>
    <row r="414" spans="1:15" ht="18" customHeight="1" x14ac:dyDescent="0.3">
      <c r="A414" s="29">
        <v>413</v>
      </c>
      <c r="B414" s="15" t="s">
        <v>214</v>
      </c>
      <c r="C414" s="15" t="s">
        <v>22</v>
      </c>
      <c r="D414" s="69">
        <v>19</v>
      </c>
      <c r="E414" s="68" t="s">
        <v>181</v>
      </c>
      <c r="F414" s="21" t="s">
        <v>415</v>
      </c>
      <c r="G414" s="15" t="s">
        <v>154</v>
      </c>
      <c r="H414" s="15" t="s">
        <v>907</v>
      </c>
      <c r="I414" s="69">
        <v>117</v>
      </c>
      <c r="J414" s="13" t="s">
        <v>902</v>
      </c>
      <c r="K414" s="15" t="s">
        <v>903</v>
      </c>
      <c r="L414" s="15" t="s">
        <v>2673</v>
      </c>
      <c r="M414" s="15" t="s">
        <v>2672</v>
      </c>
      <c r="N414" s="15" t="s">
        <v>2673</v>
      </c>
      <c r="O414" s="15"/>
    </row>
    <row r="415" spans="1:15" ht="18" customHeight="1" x14ac:dyDescent="0.3">
      <c r="A415" s="29">
        <v>414</v>
      </c>
      <c r="B415" s="15" t="s">
        <v>214</v>
      </c>
      <c r="C415" s="15" t="s">
        <v>22</v>
      </c>
      <c r="D415" s="69">
        <v>19</v>
      </c>
      <c r="E415" s="68" t="s">
        <v>181</v>
      </c>
      <c r="F415" s="21" t="s">
        <v>415</v>
      </c>
      <c r="G415" s="15" t="s">
        <v>154</v>
      </c>
      <c r="H415" s="15" t="s">
        <v>908</v>
      </c>
      <c r="I415" s="69">
        <v>226</v>
      </c>
      <c r="J415" s="13" t="s">
        <v>902</v>
      </c>
      <c r="K415" s="15" t="s">
        <v>903</v>
      </c>
      <c r="L415" s="15" t="s">
        <v>2673</v>
      </c>
      <c r="M415" s="15" t="s">
        <v>2672</v>
      </c>
      <c r="N415" s="15" t="s">
        <v>2673</v>
      </c>
      <c r="O415" s="15"/>
    </row>
    <row r="416" spans="1:15" ht="18" customHeight="1" x14ac:dyDescent="0.3">
      <c r="A416" s="29">
        <v>415</v>
      </c>
      <c r="B416" s="15" t="s">
        <v>214</v>
      </c>
      <c r="C416" s="15" t="s">
        <v>22</v>
      </c>
      <c r="D416" s="69">
        <v>19</v>
      </c>
      <c r="E416" s="68" t="s">
        <v>181</v>
      </c>
      <c r="F416" s="21" t="s">
        <v>415</v>
      </c>
      <c r="G416" s="15" t="s">
        <v>154</v>
      </c>
      <c r="H416" s="15" t="s">
        <v>909</v>
      </c>
      <c r="I416" s="69">
        <v>206</v>
      </c>
      <c r="J416" s="13" t="s">
        <v>902</v>
      </c>
      <c r="K416" s="15" t="s">
        <v>903</v>
      </c>
      <c r="L416" s="15" t="s">
        <v>2673</v>
      </c>
      <c r="M416" s="15" t="s">
        <v>2672</v>
      </c>
      <c r="N416" s="15" t="s">
        <v>2673</v>
      </c>
      <c r="O416" s="15"/>
    </row>
    <row r="417" spans="1:15" ht="18" customHeight="1" x14ac:dyDescent="0.3">
      <c r="A417" s="29">
        <v>416</v>
      </c>
      <c r="B417" s="15" t="s">
        <v>214</v>
      </c>
      <c r="C417" s="15" t="s">
        <v>22</v>
      </c>
      <c r="D417" s="69">
        <v>19</v>
      </c>
      <c r="E417" s="68" t="s">
        <v>3256</v>
      </c>
      <c r="F417" s="24" t="s">
        <v>413</v>
      </c>
      <c r="G417" s="15" t="s">
        <v>154</v>
      </c>
      <c r="H417" s="15" t="s">
        <v>901</v>
      </c>
      <c r="I417" s="69">
        <v>89</v>
      </c>
      <c r="J417" s="15" t="s">
        <v>2674</v>
      </c>
      <c r="K417" s="15" t="s">
        <v>2672</v>
      </c>
      <c r="L417" s="15" t="s">
        <v>2673</v>
      </c>
      <c r="M417" s="15" t="s">
        <v>2672</v>
      </c>
      <c r="N417" s="15" t="s">
        <v>2673</v>
      </c>
      <c r="O417" s="15" t="s">
        <v>1242</v>
      </c>
    </row>
    <row r="418" spans="1:15" ht="18" customHeight="1" x14ac:dyDescent="0.3">
      <c r="A418" s="29">
        <v>417</v>
      </c>
      <c r="B418" s="15" t="s">
        <v>214</v>
      </c>
      <c r="C418" s="15" t="s">
        <v>22</v>
      </c>
      <c r="D418" s="69">
        <v>19</v>
      </c>
      <c r="E418" s="68" t="s">
        <v>3256</v>
      </c>
      <c r="F418" s="24" t="s">
        <v>413</v>
      </c>
      <c r="G418" s="15" t="s">
        <v>154</v>
      </c>
      <c r="H418" s="15" t="s">
        <v>904</v>
      </c>
      <c r="I418" s="69">
        <v>72</v>
      </c>
      <c r="J418" s="15" t="s">
        <v>2674</v>
      </c>
      <c r="K418" s="15" t="s">
        <v>2672</v>
      </c>
      <c r="L418" s="15" t="s">
        <v>2673</v>
      </c>
      <c r="M418" s="15" t="s">
        <v>2672</v>
      </c>
      <c r="N418" s="15" t="s">
        <v>2673</v>
      </c>
      <c r="O418" s="15" t="s">
        <v>1242</v>
      </c>
    </row>
    <row r="419" spans="1:15" ht="18" customHeight="1" x14ac:dyDescent="0.3">
      <c r="A419" s="29">
        <v>418</v>
      </c>
      <c r="B419" s="15" t="s">
        <v>214</v>
      </c>
      <c r="C419" s="15" t="s">
        <v>22</v>
      </c>
      <c r="D419" s="69">
        <v>19</v>
      </c>
      <c r="E419" s="68" t="s">
        <v>3256</v>
      </c>
      <c r="F419" s="24" t="s">
        <v>413</v>
      </c>
      <c r="G419" s="15" t="s">
        <v>154</v>
      </c>
      <c r="H419" s="15" t="s">
        <v>905</v>
      </c>
      <c r="I419" s="69">
        <v>229</v>
      </c>
      <c r="J419" s="15" t="s">
        <v>2674</v>
      </c>
      <c r="K419" s="15" t="s">
        <v>2672</v>
      </c>
      <c r="L419" s="15" t="s">
        <v>2673</v>
      </c>
      <c r="M419" s="15" t="s">
        <v>2672</v>
      </c>
      <c r="N419" s="15" t="s">
        <v>2673</v>
      </c>
      <c r="O419" s="15" t="s">
        <v>1242</v>
      </c>
    </row>
    <row r="420" spans="1:15" ht="18" customHeight="1" x14ac:dyDescent="0.3">
      <c r="A420" s="29">
        <v>419</v>
      </c>
      <c r="B420" s="15" t="s">
        <v>214</v>
      </c>
      <c r="C420" s="15" t="s">
        <v>22</v>
      </c>
      <c r="D420" s="69">
        <v>19</v>
      </c>
      <c r="E420" s="68" t="s">
        <v>3256</v>
      </c>
      <c r="F420" s="24" t="s">
        <v>413</v>
      </c>
      <c r="G420" s="15" t="s">
        <v>154</v>
      </c>
      <c r="H420" s="15" t="s">
        <v>906</v>
      </c>
      <c r="I420" s="69">
        <v>164</v>
      </c>
      <c r="J420" s="15" t="s">
        <v>2674</v>
      </c>
      <c r="K420" s="15" t="s">
        <v>2672</v>
      </c>
      <c r="L420" s="15" t="s">
        <v>2673</v>
      </c>
      <c r="M420" s="15" t="s">
        <v>2672</v>
      </c>
      <c r="N420" s="15" t="s">
        <v>2673</v>
      </c>
      <c r="O420" s="15" t="s">
        <v>1242</v>
      </c>
    </row>
    <row r="421" spans="1:15" ht="18" customHeight="1" x14ac:dyDescent="0.3">
      <c r="A421" s="29">
        <v>420</v>
      </c>
      <c r="B421" s="15" t="s">
        <v>214</v>
      </c>
      <c r="C421" s="15" t="s">
        <v>22</v>
      </c>
      <c r="D421" s="69">
        <v>19</v>
      </c>
      <c r="E421" s="68" t="s">
        <v>3256</v>
      </c>
      <c r="F421" s="24" t="s">
        <v>413</v>
      </c>
      <c r="G421" s="15" t="s">
        <v>154</v>
      </c>
      <c r="H421" s="15" t="s">
        <v>907</v>
      </c>
      <c r="I421" s="69">
        <v>58</v>
      </c>
      <c r="J421" s="15" t="s">
        <v>2674</v>
      </c>
      <c r="K421" s="15" t="s">
        <v>2672</v>
      </c>
      <c r="L421" s="15" t="s">
        <v>2673</v>
      </c>
      <c r="M421" s="15" t="s">
        <v>2674</v>
      </c>
      <c r="N421" s="15" t="s">
        <v>1530</v>
      </c>
      <c r="O421" s="15"/>
    </row>
    <row r="422" spans="1:15" ht="18" customHeight="1" x14ac:dyDescent="0.3">
      <c r="A422" s="29">
        <v>421</v>
      </c>
      <c r="B422" s="15" t="s">
        <v>214</v>
      </c>
      <c r="C422" s="15" t="s">
        <v>22</v>
      </c>
      <c r="D422" s="69">
        <v>19</v>
      </c>
      <c r="E422" s="68" t="s">
        <v>3256</v>
      </c>
      <c r="F422" s="24" t="s">
        <v>2784</v>
      </c>
      <c r="G422" s="15" t="s">
        <v>154</v>
      </c>
      <c r="H422" s="15" t="s">
        <v>908</v>
      </c>
      <c r="I422" s="69">
        <v>120</v>
      </c>
      <c r="J422" s="15" t="s">
        <v>2674</v>
      </c>
      <c r="K422" s="15" t="s">
        <v>902</v>
      </c>
      <c r="L422" s="15" t="s">
        <v>1797</v>
      </c>
      <c r="M422" s="15" t="s">
        <v>2672</v>
      </c>
      <c r="N422" s="15" t="s">
        <v>2673</v>
      </c>
      <c r="O422" s="15"/>
    </row>
    <row r="423" spans="1:15" ht="18" customHeight="1" x14ac:dyDescent="0.3">
      <c r="A423" s="29">
        <v>422</v>
      </c>
      <c r="B423" s="15" t="s">
        <v>214</v>
      </c>
      <c r="C423" s="15" t="s">
        <v>22</v>
      </c>
      <c r="D423" s="69">
        <v>19</v>
      </c>
      <c r="E423" s="68" t="s">
        <v>3256</v>
      </c>
      <c r="F423" s="24" t="s">
        <v>2784</v>
      </c>
      <c r="G423" s="15" t="s">
        <v>154</v>
      </c>
      <c r="H423" s="15" t="s">
        <v>2785</v>
      </c>
      <c r="I423" s="69">
        <v>48</v>
      </c>
      <c r="J423" s="15" t="s">
        <v>2674</v>
      </c>
      <c r="K423" s="15" t="s">
        <v>902</v>
      </c>
      <c r="L423" s="15" t="s">
        <v>2785</v>
      </c>
      <c r="M423" s="15" t="s">
        <v>2672</v>
      </c>
      <c r="N423" s="15" t="s">
        <v>2673</v>
      </c>
      <c r="O423" s="15" t="s">
        <v>2786</v>
      </c>
    </row>
    <row r="424" spans="1:15" ht="18" customHeight="1" x14ac:dyDescent="0.3">
      <c r="A424" s="29">
        <v>423</v>
      </c>
      <c r="B424" s="15" t="s">
        <v>214</v>
      </c>
      <c r="C424" s="15" t="s">
        <v>22</v>
      </c>
      <c r="D424" s="69">
        <v>19</v>
      </c>
      <c r="E424" s="68" t="s">
        <v>3256</v>
      </c>
      <c r="F424" s="24" t="s">
        <v>2784</v>
      </c>
      <c r="G424" s="15" t="s">
        <v>154</v>
      </c>
      <c r="H424" s="15" t="s">
        <v>910</v>
      </c>
      <c r="I424" s="69">
        <v>159</v>
      </c>
      <c r="J424" s="15" t="s">
        <v>2674</v>
      </c>
      <c r="K424" s="15" t="s">
        <v>902</v>
      </c>
      <c r="L424" s="15" t="s">
        <v>1069</v>
      </c>
      <c r="M424" s="15" t="s">
        <v>2672</v>
      </c>
      <c r="N424" s="15" t="s">
        <v>2673</v>
      </c>
      <c r="O424" s="15"/>
    </row>
    <row r="425" spans="1:15" ht="18" customHeight="1" x14ac:dyDescent="0.3">
      <c r="A425" s="29">
        <v>424</v>
      </c>
      <c r="B425" s="15" t="s">
        <v>214</v>
      </c>
      <c r="C425" s="15" t="s">
        <v>22</v>
      </c>
      <c r="D425" s="69">
        <v>19</v>
      </c>
      <c r="E425" s="68" t="s">
        <v>3256</v>
      </c>
      <c r="F425" s="24" t="s">
        <v>2784</v>
      </c>
      <c r="G425" s="15" t="s">
        <v>154</v>
      </c>
      <c r="H425" s="15" t="s">
        <v>911</v>
      </c>
      <c r="I425" s="69">
        <v>194</v>
      </c>
      <c r="J425" s="15" t="s">
        <v>2674</v>
      </c>
      <c r="K425" s="15" t="s">
        <v>902</v>
      </c>
      <c r="L425" s="15" t="s">
        <v>1069</v>
      </c>
      <c r="M425" s="15" t="s">
        <v>2672</v>
      </c>
      <c r="N425" s="15" t="s">
        <v>2673</v>
      </c>
      <c r="O425" s="15"/>
    </row>
    <row r="426" spans="1:15" ht="18" customHeight="1" x14ac:dyDescent="0.3">
      <c r="A426" s="29">
        <v>425</v>
      </c>
      <c r="B426" s="15" t="s">
        <v>214</v>
      </c>
      <c r="C426" s="15" t="s">
        <v>22</v>
      </c>
      <c r="D426" s="69">
        <v>19</v>
      </c>
      <c r="E426" s="68" t="s">
        <v>3257</v>
      </c>
      <c r="F426" s="24" t="s">
        <v>414</v>
      </c>
      <c r="G426" s="15" t="s">
        <v>154</v>
      </c>
      <c r="H426" s="15" t="s">
        <v>2679</v>
      </c>
      <c r="I426" s="69">
        <v>177</v>
      </c>
      <c r="J426" s="15" t="s">
        <v>2672</v>
      </c>
      <c r="K426" s="15" t="s">
        <v>2672</v>
      </c>
      <c r="L426" s="15" t="s">
        <v>2673</v>
      </c>
      <c r="M426" s="15" t="s">
        <v>2672</v>
      </c>
      <c r="N426" s="15" t="s">
        <v>2673</v>
      </c>
      <c r="O426" s="15"/>
    </row>
    <row r="427" spans="1:15" ht="18" customHeight="1" x14ac:dyDescent="0.3">
      <c r="A427" s="29">
        <v>426</v>
      </c>
      <c r="B427" s="15" t="s">
        <v>214</v>
      </c>
      <c r="C427" s="15" t="s">
        <v>22</v>
      </c>
      <c r="D427" s="69">
        <v>19</v>
      </c>
      <c r="E427" s="68" t="s">
        <v>3257</v>
      </c>
      <c r="F427" s="24" t="s">
        <v>414</v>
      </c>
      <c r="G427" s="15" t="s">
        <v>154</v>
      </c>
      <c r="H427" s="15" t="s">
        <v>2680</v>
      </c>
      <c r="I427" s="69">
        <v>195</v>
      </c>
      <c r="J427" s="15" t="s">
        <v>2674</v>
      </c>
      <c r="K427" s="15" t="s">
        <v>2672</v>
      </c>
      <c r="L427" s="15" t="s">
        <v>2673</v>
      </c>
      <c r="M427" s="15" t="s">
        <v>2672</v>
      </c>
      <c r="N427" s="15" t="s">
        <v>2673</v>
      </c>
      <c r="O427" s="15"/>
    </row>
    <row r="428" spans="1:15" ht="18" customHeight="1" x14ac:dyDescent="0.3">
      <c r="A428" s="29">
        <v>427</v>
      </c>
      <c r="B428" s="15" t="s">
        <v>214</v>
      </c>
      <c r="C428" s="15" t="s">
        <v>22</v>
      </c>
      <c r="D428" s="69">
        <v>19</v>
      </c>
      <c r="E428" s="68" t="s">
        <v>3257</v>
      </c>
      <c r="F428" s="24" t="s">
        <v>414</v>
      </c>
      <c r="G428" s="15" t="s">
        <v>154</v>
      </c>
      <c r="H428" s="15" t="s">
        <v>907</v>
      </c>
      <c r="I428" s="69">
        <v>320</v>
      </c>
      <c r="J428" s="15" t="s">
        <v>2672</v>
      </c>
      <c r="K428" s="15" t="s">
        <v>903</v>
      </c>
      <c r="L428" s="15" t="s">
        <v>2673</v>
      </c>
      <c r="M428" s="15" t="s">
        <v>2672</v>
      </c>
      <c r="N428" s="15" t="s">
        <v>2673</v>
      </c>
      <c r="O428" s="15"/>
    </row>
    <row r="429" spans="1:15" ht="18" customHeight="1" x14ac:dyDescent="0.3">
      <c r="A429" s="29">
        <v>428</v>
      </c>
      <c r="B429" s="15" t="s">
        <v>214</v>
      </c>
      <c r="C429" s="15" t="s">
        <v>22</v>
      </c>
      <c r="D429" s="69">
        <v>19</v>
      </c>
      <c r="E429" s="68" t="s">
        <v>3257</v>
      </c>
      <c r="F429" s="24" t="s">
        <v>414</v>
      </c>
      <c r="G429" s="15" t="s">
        <v>154</v>
      </c>
      <c r="H429" s="15" t="s">
        <v>909</v>
      </c>
      <c r="I429" s="69">
        <v>126</v>
      </c>
      <c r="J429" s="15" t="s">
        <v>2674</v>
      </c>
      <c r="K429" s="15" t="s">
        <v>903</v>
      </c>
      <c r="L429" s="15" t="s">
        <v>2673</v>
      </c>
      <c r="M429" s="15" t="s">
        <v>2672</v>
      </c>
      <c r="N429" s="15" t="s">
        <v>2673</v>
      </c>
      <c r="O429" s="15"/>
    </row>
    <row r="430" spans="1:15" ht="18" customHeight="1" x14ac:dyDescent="0.3">
      <c r="A430" s="29">
        <v>429</v>
      </c>
      <c r="B430" s="15" t="s">
        <v>214</v>
      </c>
      <c r="C430" s="15" t="s">
        <v>22</v>
      </c>
      <c r="D430" s="69">
        <v>19</v>
      </c>
      <c r="E430" s="68" t="s">
        <v>3257</v>
      </c>
      <c r="F430" s="24" t="s">
        <v>414</v>
      </c>
      <c r="G430" s="15" t="s">
        <v>154</v>
      </c>
      <c r="H430" s="15" t="s">
        <v>910</v>
      </c>
      <c r="I430" s="69">
        <v>167</v>
      </c>
      <c r="J430" s="15" t="s">
        <v>2672</v>
      </c>
      <c r="K430" s="15" t="s">
        <v>903</v>
      </c>
      <c r="L430" s="15" t="s">
        <v>2673</v>
      </c>
      <c r="M430" s="15" t="s">
        <v>2672</v>
      </c>
      <c r="N430" s="15" t="s">
        <v>2673</v>
      </c>
      <c r="O430" s="15"/>
    </row>
    <row r="431" spans="1:15" ht="18" customHeight="1" x14ac:dyDescent="0.3">
      <c r="A431" s="29">
        <v>430</v>
      </c>
      <c r="B431" s="15" t="s">
        <v>214</v>
      </c>
      <c r="C431" s="15" t="s">
        <v>22</v>
      </c>
      <c r="D431" s="69">
        <v>19</v>
      </c>
      <c r="E431" s="68" t="s">
        <v>3257</v>
      </c>
      <c r="F431" s="24" t="s">
        <v>414</v>
      </c>
      <c r="G431" s="15" t="s">
        <v>154</v>
      </c>
      <c r="H431" s="15" t="s">
        <v>911</v>
      </c>
      <c r="I431" s="69">
        <v>130</v>
      </c>
      <c r="J431" s="15" t="s">
        <v>2672</v>
      </c>
      <c r="K431" s="15" t="s">
        <v>903</v>
      </c>
      <c r="L431" s="15" t="s">
        <v>2673</v>
      </c>
      <c r="M431" s="15" t="s">
        <v>2672</v>
      </c>
      <c r="N431" s="15" t="s">
        <v>2673</v>
      </c>
      <c r="O431" s="15"/>
    </row>
    <row r="432" spans="1:15" ht="18" customHeight="1" x14ac:dyDescent="0.3">
      <c r="A432" s="29">
        <v>431</v>
      </c>
      <c r="B432" s="15" t="s">
        <v>214</v>
      </c>
      <c r="C432" s="15" t="s">
        <v>22</v>
      </c>
      <c r="D432" s="69">
        <v>19</v>
      </c>
      <c r="E432" s="68" t="s">
        <v>3257</v>
      </c>
      <c r="F432" s="24" t="s">
        <v>414</v>
      </c>
      <c r="G432" s="15" t="s">
        <v>154</v>
      </c>
      <c r="H432" s="15" t="s">
        <v>930</v>
      </c>
      <c r="I432" s="69">
        <v>358</v>
      </c>
      <c r="J432" s="15" t="s">
        <v>2672</v>
      </c>
      <c r="K432" s="15" t="s">
        <v>903</v>
      </c>
      <c r="L432" s="15" t="s">
        <v>2673</v>
      </c>
      <c r="M432" s="15" t="s">
        <v>2672</v>
      </c>
      <c r="N432" s="15" t="s">
        <v>2673</v>
      </c>
      <c r="O432" s="15"/>
    </row>
    <row r="433" spans="1:15" ht="18" customHeight="1" x14ac:dyDescent="0.3">
      <c r="A433" s="29">
        <v>432</v>
      </c>
      <c r="B433" s="15" t="s">
        <v>214</v>
      </c>
      <c r="C433" s="15" t="s">
        <v>22</v>
      </c>
      <c r="D433" s="69">
        <v>19</v>
      </c>
      <c r="E433" s="68" t="s">
        <v>3257</v>
      </c>
      <c r="F433" s="24" t="s">
        <v>2787</v>
      </c>
      <c r="G433" s="15" t="s">
        <v>154</v>
      </c>
      <c r="H433" s="15" t="s">
        <v>904</v>
      </c>
      <c r="I433" s="69">
        <v>144</v>
      </c>
      <c r="J433" s="15" t="s">
        <v>2674</v>
      </c>
      <c r="K433" s="15" t="s">
        <v>902</v>
      </c>
      <c r="L433" s="15" t="s">
        <v>208</v>
      </c>
      <c r="M433" s="15" t="s">
        <v>2672</v>
      </c>
      <c r="N433" s="15" t="s">
        <v>2673</v>
      </c>
      <c r="O433" s="15"/>
    </row>
    <row r="434" spans="1:15" ht="18" customHeight="1" x14ac:dyDescent="0.3">
      <c r="A434" s="29">
        <v>433</v>
      </c>
      <c r="B434" s="15" t="s">
        <v>214</v>
      </c>
      <c r="C434" s="15" t="s">
        <v>22</v>
      </c>
      <c r="D434" s="69">
        <v>19</v>
      </c>
      <c r="E434" s="68" t="s">
        <v>3257</v>
      </c>
      <c r="F434" s="24" t="s">
        <v>2787</v>
      </c>
      <c r="G434" s="15" t="s">
        <v>154</v>
      </c>
      <c r="H434" s="15" t="s">
        <v>908</v>
      </c>
      <c r="I434" s="69">
        <v>200</v>
      </c>
      <c r="J434" s="15" t="s">
        <v>2672</v>
      </c>
      <c r="K434" s="15" t="s">
        <v>902</v>
      </c>
      <c r="L434" s="15" t="s">
        <v>1069</v>
      </c>
      <c r="M434" s="15" t="s">
        <v>2672</v>
      </c>
      <c r="N434" s="15" t="s">
        <v>2673</v>
      </c>
      <c r="O434" s="15"/>
    </row>
    <row r="435" spans="1:15" ht="18" customHeight="1" x14ac:dyDescent="0.3">
      <c r="A435" s="29">
        <v>434</v>
      </c>
      <c r="B435" s="15" t="s">
        <v>214</v>
      </c>
      <c r="C435" s="15" t="s">
        <v>22</v>
      </c>
      <c r="D435" s="69">
        <v>19</v>
      </c>
      <c r="E435" s="68" t="s">
        <v>3257</v>
      </c>
      <c r="F435" s="24" t="s">
        <v>2787</v>
      </c>
      <c r="G435" s="15" t="s">
        <v>154</v>
      </c>
      <c r="H435" s="15" t="s">
        <v>2712</v>
      </c>
      <c r="I435" s="69">
        <v>48</v>
      </c>
      <c r="J435" s="15" t="s">
        <v>2672</v>
      </c>
      <c r="K435" s="15" t="s">
        <v>902</v>
      </c>
      <c r="L435" s="15" t="s">
        <v>2713</v>
      </c>
      <c r="M435" s="15" t="s">
        <v>2672</v>
      </c>
      <c r="N435" s="15" t="s">
        <v>2673</v>
      </c>
      <c r="O435" s="15"/>
    </row>
    <row r="436" spans="1:15" ht="18" customHeight="1" x14ac:dyDescent="0.3">
      <c r="A436" s="29">
        <v>435</v>
      </c>
      <c r="B436" s="15" t="s">
        <v>214</v>
      </c>
      <c r="C436" s="15" t="s">
        <v>22</v>
      </c>
      <c r="D436" s="69">
        <v>19</v>
      </c>
      <c r="E436" s="68" t="s">
        <v>3257</v>
      </c>
      <c r="F436" s="24" t="s">
        <v>2787</v>
      </c>
      <c r="G436" s="15" t="s">
        <v>154</v>
      </c>
      <c r="H436" s="15" t="s">
        <v>1074</v>
      </c>
      <c r="I436" s="69">
        <v>387</v>
      </c>
      <c r="J436" s="15" t="s">
        <v>2674</v>
      </c>
      <c r="K436" s="15" t="s">
        <v>902</v>
      </c>
      <c r="L436" s="15" t="s">
        <v>1075</v>
      </c>
      <c r="M436" s="15" t="s">
        <v>2672</v>
      </c>
      <c r="N436" s="15" t="s">
        <v>2673</v>
      </c>
      <c r="O436" s="15"/>
    </row>
    <row r="437" spans="1:15" ht="18" customHeight="1" x14ac:dyDescent="0.3">
      <c r="A437" s="29">
        <v>436</v>
      </c>
      <c r="B437" s="15" t="s">
        <v>214</v>
      </c>
      <c r="C437" s="15" t="s">
        <v>22</v>
      </c>
      <c r="D437" s="69">
        <v>19</v>
      </c>
      <c r="E437" s="68" t="s">
        <v>3257</v>
      </c>
      <c r="F437" s="24" t="s">
        <v>2787</v>
      </c>
      <c r="G437" s="15" t="s">
        <v>154</v>
      </c>
      <c r="H437" s="15" t="s">
        <v>3209</v>
      </c>
      <c r="I437" s="69">
        <v>462</v>
      </c>
      <c r="J437" s="15" t="s">
        <v>2674</v>
      </c>
      <c r="K437" s="15" t="s">
        <v>902</v>
      </c>
      <c r="L437" s="15" t="s">
        <v>3211</v>
      </c>
      <c r="M437" s="15" t="s">
        <v>2672</v>
      </c>
      <c r="N437" s="15" t="s">
        <v>2673</v>
      </c>
      <c r="O437" s="15" t="s">
        <v>2788</v>
      </c>
    </row>
    <row r="438" spans="1:15" ht="18" customHeight="1" x14ac:dyDescent="0.3">
      <c r="A438" s="29">
        <v>437</v>
      </c>
      <c r="B438" s="15" t="s">
        <v>214</v>
      </c>
      <c r="C438" s="15" t="s">
        <v>23</v>
      </c>
      <c r="D438" s="69">
        <v>20</v>
      </c>
      <c r="E438" s="68" t="s">
        <v>1025</v>
      </c>
      <c r="F438" s="16" t="s">
        <v>1648</v>
      </c>
      <c r="G438" s="15" t="s">
        <v>2673</v>
      </c>
      <c r="H438" s="15" t="s">
        <v>1026</v>
      </c>
      <c r="I438" s="69">
        <v>92</v>
      </c>
      <c r="J438" s="15" t="s">
        <v>2672</v>
      </c>
      <c r="K438" s="15" t="s">
        <v>903</v>
      </c>
      <c r="L438" s="15" t="s">
        <v>2673</v>
      </c>
      <c r="M438" s="15" t="s">
        <v>2674</v>
      </c>
      <c r="N438" s="15" t="s">
        <v>2789</v>
      </c>
      <c r="O438" s="15"/>
    </row>
    <row r="439" spans="1:15" ht="18" customHeight="1" x14ac:dyDescent="0.3">
      <c r="A439" s="29">
        <v>438</v>
      </c>
      <c r="B439" s="15" t="s">
        <v>214</v>
      </c>
      <c r="C439" s="15" t="s">
        <v>23</v>
      </c>
      <c r="D439" s="69">
        <v>20</v>
      </c>
      <c r="E439" s="68" t="s">
        <v>1025</v>
      </c>
      <c r="F439" s="16" t="s">
        <v>1648</v>
      </c>
      <c r="G439" s="15" t="s">
        <v>2673</v>
      </c>
      <c r="H439" s="15" t="s">
        <v>1027</v>
      </c>
      <c r="I439" s="69">
        <v>58</v>
      </c>
      <c r="J439" s="15" t="s">
        <v>2674</v>
      </c>
      <c r="K439" s="15" t="s">
        <v>903</v>
      </c>
      <c r="L439" s="15" t="s">
        <v>2673</v>
      </c>
      <c r="M439" s="15" t="s">
        <v>2674</v>
      </c>
      <c r="N439" s="15" t="s">
        <v>2790</v>
      </c>
      <c r="O439" s="15"/>
    </row>
    <row r="440" spans="1:15" ht="18" customHeight="1" x14ac:dyDescent="0.3">
      <c r="A440" s="29">
        <v>439</v>
      </c>
      <c r="B440" s="15" t="s">
        <v>214</v>
      </c>
      <c r="C440" s="15" t="s">
        <v>23</v>
      </c>
      <c r="D440" s="69">
        <v>20</v>
      </c>
      <c r="E440" s="68" t="s">
        <v>182</v>
      </c>
      <c r="F440" s="21" t="s">
        <v>387</v>
      </c>
      <c r="G440" s="15" t="s">
        <v>154</v>
      </c>
      <c r="H440" s="15" t="s">
        <v>901</v>
      </c>
      <c r="I440" s="69">
        <v>123</v>
      </c>
      <c r="J440" s="15" t="s">
        <v>2672</v>
      </c>
      <c r="K440" s="15" t="s">
        <v>903</v>
      </c>
      <c r="L440" s="15" t="s">
        <v>2673</v>
      </c>
      <c r="M440" s="15" t="s">
        <v>2672</v>
      </c>
      <c r="N440" s="15" t="s">
        <v>2673</v>
      </c>
      <c r="O440" s="15"/>
    </row>
    <row r="441" spans="1:15" ht="18" customHeight="1" x14ac:dyDescent="0.3">
      <c r="A441" s="29">
        <v>440</v>
      </c>
      <c r="B441" s="15" t="s">
        <v>214</v>
      </c>
      <c r="C441" s="15" t="s">
        <v>23</v>
      </c>
      <c r="D441" s="69">
        <v>20</v>
      </c>
      <c r="E441" s="68" t="s">
        <v>182</v>
      </c>
      <c r="F441" s="21" t="s">
        <v>387</v>
      </c>
      <c r="G441" s="15" t="s">
        <v>154</v>
      </c>
      <c r="H441" s="15" t="s">
        <v>904</v>
      </c>
      <c r="I441" s="69">
        <v>198</v>
      </c>
      <c r="J441" s="15" t="s">
        <v>2672</v>
      </c>
      <c r="K441" s="15" t="s">
        <v>903</v>
      </c>
      <c r="L441" s="15" t="s">
        <v>2673</v>
      </c>
      <c r="M441" s="15" t="s">
        <v>2672</v>
      </c>
      <c r="N441" s="15" t="s">
        <v>2673</v>
      </c>
      <c r="O441" s="15"/>
    </row>
    <row r="442" spans="1:15" ht="18" customHeight="1" x14ac:dyDescent="0.3">
      <c r="A442" s="29">
        <v>441</v>
      </c>
      <c r="B442" s="15" t="s">
        <v>214</v>
      </c>
      <c r="C442" s="15" t="s">
        <v>23</v>
      </c>
      <c r="D442" s="69">
        <v>20</v>
      </c>
      <c r="E442" s="68" t="s">
        <v>182</v>
      </c>
      <c r="F442" s="21" t="s">
        <v>387</v>
      </c>
      <c r="G442" s="15" t="s">
        <v>154</v>
      </c>
      <c r="H442" s="15" t="s">
        <v>905</v>
      </c>
      <c r="I442" s="69">
        <v>123</v>
      </c>
      <c r="J442" s="15" t="s">
        <v>2672</v>
      </c>
      <c r="K442" s="15" t="s">
        <v>903</v>
      </c>
      <c r="L442" s="15" t="s">
        <v>2673</v>
      </c>
      <c r="M442" s="15" t="s">
        <v>2672</v>
      </c>
      <c r="N442" s="15" t="s">
        <v>2673</v>
      </c>
      <c r="O442" s="15"/>
    </row>
    <row r="443" spans="1:15" ht="18" customHeight="1" x14ac:dyDescent="0.3">
      <c r="A443" s="29">
        <v>442</v>
      </c>
      <c r="B443" s="15" t="s">
        <v>214</v>
      </c>
      <c r="C443" s="15" t="s">
        <v>23</v>
      </c>
      <c r="D443" s="69">
        <v>20</v>
      </c>
      <c r="E443" s="68" t="s">
        <v>182</v>
      </c>
      <c r="F443" s="21" t="s">
        <v>387</v>
      </c>
      <c r="G443" s="15" t="s">
        <v>154</v>
      </c>
      <c r="H443" s="15" t="s">
        <v>906</v>
      </c>
      <c r="I443" s="69">
        <v>123</v>
      </c>
      <c r="J443" s="15" t="s">
        <v>2672</v>
      </c>
      <c r="K443" s="15" t="s">
        <v>903</v>
      </c>
      <c r="L443" s="15" t="s">
        <v>2673</v>
      </c>
      <c r="M443" s="15" t="s">
        <v>2672</v>
      </c>
      <c r="N443" s="15" t="s">
        <v>2673</v>
      </c>
      <c r="O443" s="15"/>
    </row>
    <row r="444" spans="1:15" ht="18" customHeight="1" x14ac:dyDescent="0.3">
      <c r="A444" s="29">
        <v>443</v>
      </c>
      <c r="B444" s="15" t="s">
        <v>214</v>
      </c>
      <c r="C444" s="15" t="s">
        <v>23</v>
      </c>
      <c r="D444" s="69">
        <v>20</v>
      </c>
      <c r="E444" s="68" t="s">
        <v>182</v>
      </c>
      <c r="F444" s="21" t="s">
        <v>387</v>
      </c>
      <c r="G444" s="15" t="s">
        <v>154</v>
      </c>
      <c r="H444" s="15" t="s">
        <v>907</v>
      </c>
      <c r="I444" s="69">
        <v>198</v>
      </c>
      <c r="J444" s="15" t="s">
        <v>2672</v>
      </c>
      <c r="K444" s="15" t="s">
        <v>903</v>
      </c>
      <c r="L444" s="15" t="s">
        <v>2673</v>
      </c>
      <c r="M444" s="15" t="s">
        <v>2672</v>
      </c>
      <c r="N444" s="15" t="s">
        <v>2673</v>
      </c>
      <c r="O444" s="15"/>
    </row>
    <row r="445" spans="1:15" ht="18" customHeight="1" x14ac:dyDescent="0.3">
      <c r="A445" s="29">
        <v>444</v>
      </c>
      <c r="B445" s="15" t="s">
        <v>214</v>
      </c>
      <c r="C445" s="15" t="s">
        <v>23</v>
      </c>
      <c r="D445" s="69">
        <v>20</v>
      </c>
      <c r="E445" s="68" t="s">
        <v>182</v>
      </c>
      <c r="F445" s="21" t="s">
        <v>387</v>
      </c>
      <c r="G445" s="15" t="s">
        <v>154</v>
      </c>
      <c r="H445" s="15" t="s">
        <v>908</v>
      </c>
      <c r="I445" s="69">
        <v>123</v>
      </c>
      <c r="J445" s="15" t="s">
        <v>2674</v>
      </c>
      <c r="K445" s="15" t="s">
        <v>903</v>
      </c>
      <c r="L445" s="15" t="s">
        <v>2673</v>
      </c>
      <c r="M445" s="15" t="s">
        <v>2672</v>
      </c>
      <c r="N445" s="15" t="s">
        <v>2673</v>
      </c>
      <c r="O445" s="15"/>
    </row>
    <row r="446" spans="1:15" ht="18" customHeight="1" x14ac:dyDescent="0.3">
      <c r="A446" s="29">
        <v>445</v>
      </c>
      <c r="B446" s="15" t="s">
        <v>214</v>
      </c>
      <c r="C446" s="15" t="s">
        <v>24</v>
      </c>
      <c r="D446" s="69">
        <v>21</v>
      </c>
      <c r="E446" s="68" t="s">
        <v>183</v>
      </c>
      <c r="F446" s="21" t="s">
        <v>361</v>
      </c>
      <c r="G446" s="15" t="s">
        <v>154</v>
      </c>
      <c r="H446" s="15" t="s">
        <v>901</v>
      </c>
      <c r="I446" s="69">
        <v>131</v>
      </c>
      <c r="J446" s="13" t="s">
        <v>2672</v>
      </c>
      <c r="K446" s="15" t="s">
        <v>903</v>
      </c>
      <c r="L446" s="15" t="s">
        <v>2673</v>
      </c>
      <c r="M446" s="15" t="s">
        <v>2672</v>
      </c>
      <c r="N446" s="15" t="s">
        <v>2673</v>
      </c>
      <c r="O446" s="15"/>
    </row>
    <row r="447" spans="1:15" ht="18" customHeight="1" x14ac:dyDescent="0.3">
      <c r="A447" s="29">
        <v>446</v>
      </c>
      <c r="B447" s="15" t="s">
        <v>214</v>
      </c>
      <c r="C447" s="15" t="s">
        <v>24</v>
      </c>
      <c r="D447" s="69">
        <v>21</v>
      </c>
      <c r="E447" s="68" t="s">
        <v>183</v>
      </c>
      <c r="F447" s="21" t="s">
        <v>361</v>
      </c>
      <c r="G447" s="15" t="s">
        <v>154</v>
      </c>
      <c r="H447" s="15" t="s">
        <v>904</v>
      </c>
      <c r="I447" s="69">
        <v>185</v>
      </c>
      <c r="J447" s="13" t="s">
        <v>2672</v>
      </c>
      <c r="K447" s="15" t="s">
        <v>903</v>
      </c>
      <c r="L447" s="15" t="s">
        <v>2673</v>
      </c>
      <c r="M447" s="15" t="s">
        <v>2672</v>
      </c>
      <c r="N447" s="15" t="s">
        <v>2673</v>
      </c>
      <c r="O447" s="15"/>
    </row>
    <row r="448" spans="1:15" ht="18" customHeight="1" x14ac:dyDescent="0.3">
      <c r="A448" s="29">
        <v>447</v>
      </c>
      <c r="B448" s="15" t="s">
        <v>214</v>
      </c>
      <c r="C448" s="15" t="s">
        <v>24</v>
      </c>
      <c r="D448" s="69">
        <v>21</v>
      </c>
      <c r="E448" s="68" t="s">
        <v>183</v>
      </c>
      <c r="F448" s="21" t="s">
        <v>361</v>
      </c>
      <c r="G448" s="15" t="s">
        <v>154</v>
      </c>
      <c r="H448" s="15" t="s">
        <v>905</v>
      </c>
      <c r="I448" s="69">
        <v>78</v>
      </c>
      <c r="J448" s="13" t="s">
        <v>2672</v>
      </c>
      <c r="K448" s="15" t="s">
        <v>903</v>
      </c>
      <c r="L448" s="15" t="s">
        <v>2673</v>
      </c>
      <c r="M448" s="15" t="s">
        <v>2672</v>
      </c>
      <c r="N448" s="15" t="s">
        <v>2673</v>
      </c>
      <c r="O448" s="15"/>
    </row>
    <row r="449" spans="1:15" ht="18" customHeight="1" x14ac:dyDescent="0.3">
      <c r="A449" s="29">
        <v>448</v>
      </c>
      <c r="B449" s="15" t="s">
        <v>214</v>
      </c>
      <c r="C449" s="15" t="s">
        <v>24</v>
      </c>
      <c r="D449" s="69">
        <v>21</v>
      </c>
      <c r="E449" s="68" t="s">
        <v>183</v>
      </c>
      <c r="F449" s="21" t="s">
        <v>361</v>
      </c>
      <c r="G449" s="15" t="s">
        <v>154</v>
      </c>
      <c r="H449" s="15" t="s">
        <v>906</v>
      </c>
      <c r="I449" s="69">
        <v>107</v>
      </c>
      <c r="J449" s="13" t="s">
        <v>2672</v>
      </c>
      <c r="K449" s="15" t="s">
        <v>903</v>
      </c>
      <c r="L449" s="15" t="s">
        <v>2673</v>
      </c>
      <c r="M449" s="15" t="s">
        <v>2672</v>
      </c>
      <c r="N449" s="15" t="s">
        <v>2673</v>
      </c>
      <c r="O449" s="15"/>
    </row>
    <row r="450" spans="1:15" ht="18" customHeight="1" x14ac:dyDescent="0.3">
      <c r="A450" s="29">
        <v>449</v>
      </c>
      <c r="B450" s="15" t="s">
        <v>214</v>
      </c>
      <c r="C450" s="15" t="s">
        <v>24</v>
      </c>
      <c r="D450" s="69">
        <v>21</v>
      </c>
      <c r="E450" s="68" t="s">
        <v>183</v>
      </c>
      <c r="F450" s="21" t="s">
        <v>361</v>
      </c>
      <c r="G450" s="15" t="s">
        <v>154</v>
      </c>
      <c r="H450" s="15" t="s">
        <v>907</v>
      </c>
      <c r="I450" s="69">
        <v>186</v>
      </c>
      <c r="J450" s="13" t="s">
        <v>2672</v>
      </c>
      <c r="K450" s="15" t="s">
        <v>903</v>
      </c>
      <c r="L450" s="15" t="s">
        <v>2673</v>
      </c>
      <c r="M450" s="15" t="s">
        <v>2672</v>
      </c>
      <c r="N450" s="15" t="s">
        <v>2673</v>
      </c>
      <c r="O450" s="15"/>
    </row>
    <row r="451" spans="1:15" ht="18" customHeight="1" x14ac:dyDescent="0.3">
      <c r="A451" s="29">
        <v>450</v>
      </c>
      <c r="B451" s="15" t="s">
        <v>214</v>
      </c>
      <c r="C451" s="15" t="s">
        <v>24</v>
      </c>
      <c r="D451" s="69">
        <v>21</v>
      </c>
      <c r="E451" s="68" t="s">
        <v>184</v>
      </c>
      <c r="F451" s="21" t="s">
        <v>1651</v>
      </c>
      <c r="G451" s="15" t="s">
        <v>154</v>
      </c>
      <c r="H451" s="15" t="s">
        <v>901</v>
      </c>
      <c r="I451" s="69">
        <v>240</v>
      </c>
      <c r="J451" s="13" t="s">
        <v>902</v>
      </c>
      <c r="K451" s="15" t="s">
        <v>903</v>
      </c>
      <c r="L451" s="15" t="s">
        <v>2673</v>
      </c>
      <c r="M451" s="15" t="s">
        <v>2672</v>
      </c>
      <c r="N451" s="15" t="s">
        <v>2673</v>
      </c>
      <c r="O451" s="15"/>
    </row>
    <row r="452" spans="1:15" ht="18" customHeight="1" x14ac:dyDescent="0.3">
      <c r="A452" s="29">
        <v>451</v>
      </c>
      <c r="B452" s="15" t="s">
        <v>214</v>
      </c>
      <c r="C452" s="15" t="s">
        <v>24</v>
      </c>
      <c r="D452" s="69">
        <v>21</v>
      </c>
      <c r="E452" s="68" t="s">
        <v>184</v>
      </c>
      <c r="F452" s="21" t="s">
        <v>1651</v>
      </c>
      <c r="G452" s="15" t="s">
        <v>154</v>
      </c>
      <c r="H452" s="15" t="s">
        <v>904</v>
      </c>
      <c r="I452" s="69">
        <v>165</v>
      </c>
      <c r="J452" s="13" t="s">
        <v>902</v>
      </c>
      <c r="K452" s="15" t="s">
        <v>903</v>
      </c>
      <c r="L452" s="15" t="s">
        <v>2673</v>
      </c>
      <c r="M452" s="15" t="s">
        <v>2672</v>
      </c>
      <c r="N452" s="15" t="s">
        <v>2673</v>
      </c>
      <c r="O452" s="15"/>
    </row>
    <row r="453" spans="1:15" ht="18" customHeight="1" x14ac:dyDescent="0.3">
      <c r="A453" s="29">
        <v>452</v>
      </c>
      <c r="B453" s="15" t="s">
        <v>214</v>
      </c>
      <c r="C453" s="15" t="s">
        <v>24</v>
      </c>
      <c r="D453" s="69">
        <v>21</v>
      </c>
      <c r="E453" s="68" t="s">
        <v>184</v>
      </c>
      <c r="F453" s="21" t="s">
        <v>1135</v>
      </c>
      <c r="G453" s="15" t="s">
        <v>154</v>
      </c>
      <c r="H453" s="15" t="s">
        <v>905</v>
      </c>
      <c r="I453" s="69">
        <v>242</v>
      </c>
      <c r="J453" s="13" t="s">
        <v>902</v>
      </c>
      <c r="K453" s="15" t="s">
        <v>903</v>
      </c>
      <c r="L453" s="15" t="s">
        <v>2673</v>
      </c>
      <c r="M453" s="15" t="s">
        <v>2672</v>
      </c>
      <c r="N453" s="15" t="s">
        <v>2673</v>
      </c>
      <c r="O453" s="15"/>
    </row>
    <row r="454" spans="1:15" ht="18" customHeight="1" x14ac:dyDescent="0.3">
      <c r="A454" s="29">
        <v>453</v>
      </c>
      <c r="B454" s="15" t="s">
        <v>214</v>
      </c>
      <c r="C454" s="15" t="s">
        <v>24</v>
      </c>
      <c r="D454" s="69">
        <v>21</v>
      </c>
      <c r="E454" s="68" t="s">
        <v>184</v>
      </c>
      <c r="F454" s="21" t="s">
        <v>1135</v>
      </c>
      <c r="G454" s="15" t="s">
        <v>154</v>
      </c>
      <c r="H454" s="15" t="s">
        <v>906</v>
      </c>
      <c r="I454" s="69">
        <v>160</v>
      </c>
      <c r="J454" s="13" t="s">
        <v>2672</v>
      </c>
      <c r="K454" s="15" t="s">
        <v>903</v>
      </c>
      <c r="L454" s="15" t="s">
        <v>2673</v>
      </c>
      <c r="M454" s="15" t="s">
        <v>2672</v>
      </c>
      <c r="N454" s="15" t="s">
        <v>2673</v>
      </c>
      <c r="O454" s="15"/>
    </row>
    <row r="455" spans="1:15" ht="18" customHeight="1" x14ac:dyDescent="0.3">
      <c r="A455" s="29">
        <v>454</v>
      </c>
      <c r="B455" s="15" t="s">
        <v>214</v>
      </c>
      <c r="C455" s="15" t="s">
        <v>24</v>
      </c>
      <c r="D455" s="69">
        <v>21</v>
      </c>
      <c r="E455" s="68" t="s">
        <v>184</v>
      </c>
      <c r="F455" s="21" t="s">
        <v>1135</v>
      </c>
      <c r="G455" s="15" t="s">
        <v>154</v>
      </c>
      <c r="H455" s="15" t="s">
        <v>907</v>
      </c>
      <c r="I455" s="69">
        <v>142</v>
      </c>
      <c r="J455" s="13" t="s">
        <v>2672</v>
      </c>
      <c r="K455" s="15" t="s">
        <v>903</v>
      </c>
      <c r="L455" s="15" t="s">
        <v>2673</v>
      </c>
      <c r="M455" s="15" t="s">
        <v>2672</v>
      </c>
      <c r="N455" s="15" t="s">
        <v>2673</v>
      </c>
      <c r="O455" s="15"/>
    </row>
    <row r="456" spans="1:15" ht="18" customHeight="1" x14ac:dyDescent="0.3">
      <c r="A456" s="29">
        <v>455</v>
      </c>
      <c r="B456" s="15" t="s">
        <v>214</v>
      </c>
      <c r="C456" s="15" t="s">
        <v>24</v>
      </c>
      <c r="D456" s="69">
        <v>21</v>
      </c>
      <c r="E456" s="68" t="s">
        <v>184</v>
      </c>
      <c r="F456" s="21" t="s">
        <v>1135</v>
      </c>
      <c r="G456" s="15" t="s">
        <v>154</v>
      </c>
      <c r="H456" s="15" t="s">
        <v>908</v>
      </c>
      <c r="I456" s="69">
        <v>242</v>
      </c>
      <c r="J456" s="13" t="s">
        <v>902</v>
      </c>
      <c r="K456" s="15" t="s">
        <v>903</v>
      </c>
      <c r="L456" s="15" t="s">
        <v>2673</v>
      </c>
      <c r="M456" s="15" t="s">
        <v>2672</v>
      </c>
      <c r="N456" s="15" t="s">
        <v>2673</v>
      </c>
      <c r="O456" s="15"/>
    </row>
    <row r="457" spans="1:15" ht="18" customHeight="1" x14ac:dyDescent="0.3">
      <c r="A457" s="29">
        <v>456</v>
      </c>
      <c r="B457" s="15" t="s">
        <v>214</v>
      </c>
      <c r="C457" s="15" t="s">
        <v>24</v>
      </c>
      <c r="D457" s="69">
        <v>21</v>
      </c>
      <c r="E457" s="68" t="s">
        <v>184</v>
      </c>
      <c r="F457" s="21" t="s">
        <v>1135</v>
      </c>
      <c r="G457" s="15" t="s">
        <v>154</v>
      </c>
      <c r="H457" s="15" t="s">
        <v>909</v>
      </c>
      <c r="I457" s="69">
        <v>160</v>
      </c>
      <c r="J457" s="13" t="s">
        <v>902</v>
      </c>
      <c r="K457" s="15" t="s">
        <v>903</v>
      </c>
      <c r="L457" s="15" t="s">
        <v>2673</v>
      </c>
      <c r="M457" s="15" t="s">
        <v>2672</v>
      </c>
      <c r="N457" s="15" t="s">
        <v>2673</v>
      </c>
      <c r="O457" s="15"/>
    </row>
    <row r="458" spans="1:15" ht="18" customHeight="1" x14ac:dyDescent="0.3">
      <c r="A458" s="29">
        <v>457</v>
      </c>
      <c r="B458" s="15" t="s">
        <v>214</v>
      </c>
      <c r="C458" s="15" t="s">
        <v>24</v>
      </c>
      <c r="D458" s="69">
        <v>21</v>
      </c>
      <c r="E458" s="68" t="s">
        <v>184</v>
      </c>
      <c r="F458" s="21" t="s">
        <v>1135</v>
      </c>
      <c r="G458" s="15" t="s">
        <v>154</v>
      </c>
      <c r="H458" s="15" t="s">
        <v>910</v>
      </c>
      <c r="I458" s="69">
        <v>143</v>
      </c>
      <c r="J458" s="13" t="s">
        <v>2672</v>
      </c>
      <c r="K458" s="15" t="s">
        <v>903</v>
      </c>
      <c r="L458" s="15" t="s">
        <v>2673</v>
      </c>
      <c r="M458" s="15" t="s">
        <v>2672</v>
      </c>
      <c r="N458" s="15" t="s">
        <v>2673</v>
      </c>
      <c r="O458" s="15"/>
    </row>
    <row r="459" spans="1:15" ht="18" customHeight="1" x14ac:dyDescent="0.3">
      <c r="A459" s="29">
        <v>458</v>
      </c>
      <c r="B459" s="15" t="s">
        <v>214</v>
      </c>
      <c r="C459" s="15" t="s">
        <v>25</v>
      </c>
      <c r="D459" s="69">
        <v>22</v>
      </c>
      <c r="E459" s="68" t="s">
        <v>185</v>
      </c>
      <c r="F459" s="21" t="s">
        <v>401</v>
      </c>
      <c r="G459" s="15" t="s">
        <v>154</v>
      </c>
      <c r="H459" s="15" t="s">
        <v>901</v>
      </c>
      <c r="I459" s="69">
        <v>232</v>
      </c>
      <c r="J459" s="15" t="s">
        <v>2674</v>
      </c>
      <c r="K459" s="15" t="s">
        <v>903</v>
      </c>
      <c r="L459" s="15" t="s">
        <v>2673</v>
      </c>
      <c r="M459" s="15" t="s">
        <v>2672</v>
      </c>
      <c r="N459" s="15" t="s">
        <v>2673</v>
      </c>
      <c r="O459" s="15"/>
    </row>
    <row r="460" spans="1:15" ht="18" customHeight="1" x14ac:dyDescent="0.3">
      <c r="A460" s="29">
        <v>459</v>
      </c>
      <c r="B460" s="15" t="s">
        <v>214</v>
      </c>
      <c r="C460" s="15" t="s">
        <v>25</v>
      </c>
      <c r="D460" s="69">
        <v>22</v>
      </c>
      <c r="E460" s="68" t="s">
        <v>185</v>
      </c>
      <c r="F460" s="21" t="s">
        <v>401</v>
      </c>
      <c r="G460" s="15" t="s">
        <v>154</v>
      </c>
      <c r="H460" s="15" t="s">
        <v>904</v>
      </c>
      <c r="I460" s="69">
        <v>103</v>
      </c>
      <c r="J460" s="15" t="s">
        <v>2672</v>
      </c>
      <c r="K460" s="15" t="s">
        <v>903</v>
      </c>
      <c r="L460" s="15" t="s">
        <v>2673</v>
      </c>
      <c r="M460" s="15" t="s">
        <v>2672</v>
      </c>
      <c r="N460" s="15" t="s">
        <v>2673</v>
      </c>
      <c r="O460" s="15"/>
    </row>
    <row r="461" spans="1:15" ht="18" customHeight="1" x14ac:dyDescent="0.3">
      <c r="A461" s="29">
        <v>460</v>
      </c>
      <c r="B461" s="15" t="s">
        <v>214</v>
      </c>
      <c r="C461" s="15" t="s">
        <v>25</v>
      </c>
      <c r="D461" s="69">
        <v>22</v>
      </c>
      <c r="E461" s="68" t="s">
        <v>185</v>
      </c>
      <c r="F461" s="21" t="s">
        <v>401</v>
      </c>
      <c r="G461" s="15" t="s">
        <v>154</v>
      </c>
      <c r="H461" s="15" t="s">
        <v>905</v>
      </c>
      <c r="I461" s="69">
        <v>232</v>
      </c>
      <c r="J461" s="15" t="s">
        <v>2674</v>
      </c>
      <c r="K461" s="15" t="s">
        <v>903</v>
      </c>
      <c r="L461" s="15" t="s">
        <v>2673</v>
      </c>
      <c r="M461" s="15" t="s">
        <v>2672</v>
      </c>
      <c r="N461" s="15" t="s">
        <v>2673</v>
      </c>
      <c r="O461" s="15"/>
    </row>
    <row r="462" spans="1:15" ht="18" customHeight="1" x14ac:dyDescent="0.3">
      <c r="A462" s="29">
        <v>461</v>
      </c>
      <c r="B462" s="15" t="s">
        <v>214</v>
      </c>
      <c r="C462" s="15" t="s">
        <v>25</v>
      </c>
      <c r="D462" s="69">
        <v>22</v>
      </c>
      <c r="E462" s="68" t="s">
        <v>185</v>
      </c>
      <c r="F462" s="21" t="s">
        <v>401</v>
      </c>
      <c r="G462" s="15" t="s">
        <v>154</v>
      </c>
      <c r="H462" s="15" t="s">
        <v>906</v>
      </c>
      <c r="I462" s="69">
        <v>103</v>
      </c>
      <c r="J462" s="15" t="s">
        <v>2672</v>
      </c>
      <c r="K462" s="15" t="s">
        <v>903</v>
      </c>
      <c r="L462" s="15" t="s">
        <v>2673</v>
      </c>
      <c r="M462" s="15" t="s">
        <v>2672</v>
      </c>
      <c r="N462" s="15" t="s">
        <v>2673</v>
      </c>
      <c r="O462" s="15"/>
    </row>
    <row r="463" spans="1:15" ht="18" customHeight="1" x14ac:dyDescent="0.3">
      <c r="A463" s="29">
        <v>462</v>
      </c>
      <c r="B463" s="15" t="s">
        <v>214</v>
      </c>
      <c r="C463" s="15" t="s">
        <v>25</v>
      </c>
      <c r="D463" s="69">
        <v>22</v>
      </c>
      <c r="E463" s="68" t="s">
        <v>185</v>
      </c>
      <c r="F463" s="21" t="s">
        <v>401</v>
      </c>
      <c r="G463" s="15" t="s">
        <v>154</v>
      </c>
      <c r="H463" s="15" t="s">
        <v>907</v>
      </c>
      <c r="I463" s="69">
        <v>96</v>
      </c>
      <c r="J463" s="15" t="s">
        <v>2672</v>
      </c>
      <c r="K463" s="15" t="s">
        <v>903</v>
      </c>
      <c r="L463" s="15" t="s">
        <v>2673</v>
      </c>
      <c r="M463" s="15" t="s">
        <v>2672</v>
      </c>
      <c r="N463" s="15" t="s">
        <v>2673</v>
      </c>
      <c r="O463" s="15"/>
    </row>
    <row r="464" spans="1:15" ht="18" customHeight="1" x14ac:dyDescent="0.3">
      <c r="A464" s="29">
        <v>463</v>
      </c>
      <c r="B464" s="15" t="s">
        <v>214</v>
      </c>
      <c r="C464" s="15" t="s">
        <v>25</v>
      </c>
      <c r="D464" s="69">
        <v>22</v>
      </c>
      <c r="E464" s="68" t="s">
        <v>185</v>
      </c>
      <c r="F464" s="21" t="s">
        <v>401</v>
      </c>
      <c r="G464" s="15" t="s">
        <v>154</v>
      </c>
      <c r="H464" s="15" t="s">
        <v>908</v>
      </c>
      <c r="I464" s="69">
        <v>103</v>
      </c>
      <c r="J464" s="15" t="s">
        <v>2672</v>
      </c>
      <c r="K464" s="15" t="s">
        <v>903</v>
      </c>
      <c r="L464" s="15" t="s">
        <v>2673</v>
      </c>
      <c r="M464" s="15" t="s">
        <v>2672</v>
      </c>
      <c r="N464" s="15" t="s">
        <v>2673</v>
      </c>
      <c r="O464" s="15"/>
    </row>
    <row r="465" spans="1:15" ht="18" customHeight="1" x14ac:dyDescent="0.3">
      <c r="A465" s="29">
        <v>464</v>
      </c>
      <c r="B465" s="15" t="s">
        <v>214</v>
      </c>
      <c r="C465" s="15" t="s">
        <v>25</v>
      </c>
      <c r="D465" s="69">
        <v>22</v>
      </c>
      <c r="E465" s="68" t="s">
        <v>185</v>
      </c>
      <c r="F465" s="21" t="s">
        <v>401</v>
      </c>
      <c r="G465" s="15" t="s">
        <v>154</v>
      </c>
      <c r="H465" s="15" t="s">
        <v>909</v>
      </c>
      <c r="I465" s="69">
        <v>104</v>
      </c>
      <c r="J465" s="15" t="s">
        <v>2672</v>
      </c>
      <c r="K465" s="15" t="s">
        <v>903</v>
      </c>
      <c r="L465" s="15" t="s">
        <v>2673</v>
      </c>
      <c r="M465" s="15" t="s">
        <v>2672</v>
      </c>
      <c r="N465" s="15" t="s">
        <v>2673</v>
      </c>
      <c r="O465" s="15"/>
    </row>
    <row r="466" spans="1:15" ht="18" customHeight="1" x14ac:dyDescent="0.3">
      <c r="A466" s="29">
        <v>465</v>
      </c>
      <c r="B466" s="15" t="s">
        <v>214</v>
      </c>
      <c r="C466" s="15" t="s">
        <v>25</v>
      </c>
      <c r="D466" s="69">
        <v>22</v>
      </c>
      <c r="E466" s="68" t="s">
        <v>186</v>
      </c>
      <c r="F466" s="21" t="s">
        <v>1190</v>
      </c>
      <c r="G466" s="15" t="s">
        <v>154</v>
      </c>
      <c r="H466" s="15" t="s">
        <v>1245</v>
      </c>
      <c r="I466" s="69">
        <v>92</v>
      </c>
      <c r="J466" s="15" t="s">
        <v>2672</v>
      </c>
      <c r="K466" s="15" t="s">
        <v>902</v>
      </c>
      <c r="L466" s="15" t="s">
        <v>2791</v>
      </c>
      <c r="M466" s="15" t="s">
        <v>2672</v>
      </c>
      <c r="N466" s="15" t="s">
        <v>2673</v>
      </c>
      <c r="O466" s="15"/>
    </row>
    <row r="467" spans="1:15" ht="18" customHeight="1" x14ac:dyDescent="0.3">
      <c r="A467" s="29">
        <v>466</v>
      </c>
      <c r="B467" s="15" t="s">
        <v>214</v>
      </c>
      <c r="C467" s="15" t="s">
        <v>25</v>
      </c>
      <c r="D467" s="69">
        <v>22</v>
      </c>
      <c r="E467" s="68" t="s">
        <v>186</v>
      </c>
      <c r="F467" s="21" t="s">
        <v>1190</v>
      </c>
      <c r="G467" s="15" t="s">
        <v>154</v>
      </c>
      <c r="H467" s="15" t="s">
        <v>1244</v>
      </c>
      <c r="I467" s="69">
        <v>159</v>
      </c>
      <c r="J467" s="15" t="s">
        <v>2672</v>
      </c>
      <c r="K467" s="15" t="s">
        <v>902</v>
      </c>
      <c r="L467" s="15" t="s">
        <v>2791</v>
      </c>
      <c r="M467" s="15" t="s">
        <v>2672</v>
      </c>
      <c r="N467" s="15" t="s">
        <v>2673</v>
      </c>
      <c r="O467" s="15"/>
    </row>
    <row r="468" spans="1:15" ht="18" customHeight="1" x14ac:dyDescent="0.3">
      <c r="A468" s="29">
        <v>467</v>
      </c>
      <c r="B468" s="15" t="s">
        <v>214</v>
      </c>
      <c r="C468" s="15" t="s">
        <v>25</v>
      </c>
      <c r="D468" s="69">
        <v>22</v>
      </c>
      <c r="E468" s="68" t="s">
        <v>186</v>
      </c>
      <c r="F468" s="21" t="s">
        <v>1190</v>
      </c>
      <c r="G468" s="15" t="s">
        <v>154</v>
      </c>
      <c r="H468" s="15" t="s">
        <v>1246</v>
      </c>
      <c r="I468" s="69">
        <v>175</v>
      </c>
      <c r="J468" s="15" t="s">
        <v>2672</v>
      </c>
      <c r="K468" s="15" t="s">
        <v>902</v>
      </c>
      <c r="L468" s="15" t="s">
        <v>2791</v>
      </c>
      <c r="M468" s="15" t="s">
        <v>2672</v>
      </c>
      <c r="N468" s="15" t="s">
        <v>2673</v>
      </c>
      <c r="O468" s="15"/>
    </row>
    <row r="469" spans="1:15" ht="18" customHeight="1" x14ac:dyDescent="0.3">
      <c r="A469" s="29">
        <v>468</v>
      </c>
      <c r="B469" s="15" t="s">
        <v>214</v>
      </c>
      <c r="C469" s="15" t="s">
        <v>25</v>
      </c>
      <c r="D469" s="69">
        <v>22</v>
      </c>
      <c r="E469" s="68" t="s">
        <v>186</v>
      </c>
      <c r="F469" s="21" t="s">
        <v>1190</v>
      </c>
      <c r="G469" s="15" t="s">
        <v>154</v>
      </c>
      <c r="H469" s="15" t="s">
        <v>1247</v>
      </c>
      <c r="I469" s="69">
        <v>136</v>
      </c>
      <c r="J469" s="15" t="s">
        <v>2672</v>
      </c>
      <c r="K469" s="15" t="s">
        <v>902</v>
      </c>
      <c r="L469" s="15" t="s">
        <v>2791</v>
      </c>
      <c r="M469" s="15" t="s">
        <v>2672</v>
      </c>
      <c r="N469" s="15" t="s">
        <v>2673</v>
      </c>
      <c r="O469" s="15"/>
    </row>
    <row r="470" spans="1:15" ht="18" customHeight="1" x14ac:dyDescent="0.3">
      <c r="A470" s="29">
        <v>469</v>
      </c>
      <c r="B470" s="15" t="s">
        <v>214</v>
      </c>
      <c r="C470" s="15" t="s">
        <v>25</v>
      </c>
      <c r="D470" s="69">
        <v>22</v>
      </c>
      <c r="E470" s="68" t="s">
        <v>186</v>
      </c>
      <c r="F470" s="21" t="s">
        <v>1190</v>
      </c>
      <c r="G470" s="15" t="s">
        <v>154</v>
      </c>
      <c r="H470" s="15" t="s">
        <v>1248</v>
      </c>
      <c r="I470" s="69">
        <v>118</v>
      </c>
      <c r="J470" s="15" t="s">
        <v>2674</v>
      </c>
      <c r="K470" s="15" t="s">
        <v>902</v>
      </c>
      <c r="L470" s="15" t="s">
        <v>2791</v>
      </c>
      <c r="M470" s="15" t="s">
        <v>2672</v>
      </c>
      <c r="N470" s="15" t="s">
        <v>2673</v>
      </c>
      <c r="O470" s="15"/>
    </row>
    <row r="471" spans="1:15" ht="18" customHeight="1" x14ac:dyDescent="0.3">
      <c r="A471" s="29">
        <v>470</v>
      </c>
      <c r="B471" s="15" t="s">
        <v>1534</v>
      </c>
      <c r="C471" s="15" t="s">
        <v>1654</v>
      </c>
      <c r="D471" s="69">
        <v>22</v>
      </c>
      <c r="E471" s="68" t="s">
        <v>3258</v>
      </c>
      <c r="F471" s="51" t="s">
        <v>1656</v>
      </c>
      <c r="G471" s="15" t="s">
        <v>1538</v>
      </c>
      <c r="H471" s="15" t="s">
        <v>2685</v>
      </c>
      <c r="I471" s="69">
        <v>26</v>
      </c>
      <c r="J471" s="15" t="s">
        <v>2672</v>
      </c>
      <c r="K471" s="15" t="s">
        <v>2672</v>
      </c>
      <c r="L471" s="15" t="s">
        <v>2673</v>
      </c>
      <c r="M471" s="15" t="s">
        <v>2672</v>
      </c>
      <c r="N471" s="15" t="s">
        <v>2673</v>
      </c>
      <c r="O471" s="15"/>
    </row>
    <row r="472" spans="1:15" ht="18" customHeight="1" x14ac:dyDescent="0.3">
      <c r="A472" s="29">
        <v>471</v>
      </c>
      <c r="B472" s="15" t="s">
        <v>214</v>
      </c>
      <c r="C472" s="15" t="s">
        <v>26</v>
      </c>
      <c r="D472" s="69">
        <v>23</v>
      </c>
      <c r="E472" s="68" t="s">
        <v>2792</v>
      </c>
      <c r="F472" s="32" t="s">
        <v>335</v>
      </c>
      <c r="G472" s="15" t="s">
        <v>164</v>
      </c>
      <c r="H472" s="15" t="s">
        <v>901</v>
      </c>
      <c r="I472" s="69">
        <v>230</v>
      </c>
      <c r="J472" s="15" t="s">
        <v>2674</v>
      </c>
      <c r="K472" s="15" t="s">
        <v>903</v>
      </c>
      <c r="L472" s="15" t="s">
        <v>2673</v>
      </c>
      <c r="M472" s="15" t="s">
        <v>2672</v>
      </c>
      <c r="N472" s="15" t="s">
        <v>2673</v>
      </c>
      <c r="O472" s="15"/>
    </row>
    <row r="473" spans="1:15" ht="18" customHeight="1" x14ac:dyDescent="0.3">
      <c r="A473" s="29">
        <v>472</v>
      </c>
      <c r="B473" s="15" t="s">
        <v>214</v>
      </c>
      <c r="C473" s="15" t="s">
        <v>26</v>
      </c>
      <c r="D473" s="69">
        <v>23</v>
      </c>
      <c r="E473" s="68" t="s">
        <v>2792</v>
      </c>
      <c r="F473" s="32" t="s">
        <v>335</v>
      </c>
      <c r="G473" s="15" t="s">
        <v>164</v>
      </c>
      <c r="H473" s="15" t="s">
        <v>904</v>
      </c>
      <c r="I473" s="69">
        <v>240</v>
      </c>
      <c r="J473" s="15" t="s">
        <v>2672</v>
      </c>
      <c r="K473" s="15" t="s">
        <v>903</v>
      </c>
      <c r="L473" s="15" t="s">
        <v>2673</v>
      </c>
      <c r="M473" s="15" t="s">
        <v>2672</v>
      </c>
      <c r="N473" s="15" t="s">
        <v>2673</v>
      </c>
      <c r="O473" s="15"/>
    </row>
    <row r="474" spans="1:15" ht="18" customHeight="1" x14ac:dyDescent="0.3">
      <c r="A474" s="29">
        <v>473</v>
      </c>
      <c r="B474" s="15" t="s">
        <v>214</v>
      </c>
      <c r="C474" s="15" t="s">
        <v>26</v>
      </c>
      <c r="D474" s="69">
        <v>23</v>
      </c>
      <c r="E474" s="68" t="s">
        <v>2792</v>
      </c>
      <c r="F474" s="32" t="s">
        <v>335</v>
      </c>
      <c r="G474" s="15" t="s">
        <v>164</v>
      </c>
      <c r="H474" s="15" t="s">
        <v>905</v>
      </c>
      <c r="I474" s="69">
        <v>126</v>
      </c>
      <c r="J474" s="15" t="s">
        <v>2674</v>
      </c>
      <c r="K474" s="15" t="s">
        <v>903</v>
      </c>
      <c r="L474" s="15" t="s">
        <v>2673</v>
      </c>
      <c r="M474" s="15" t="s">
        <v>2672</v>
      </c>
      <c r="N474" s="15" t="s">
        <v>2673</v>
      </c>
      <c r="O474" s="15"/>
    </row>
    <row r="475" spans="1:15" ht="18" customHeight="1" x14ac:dyDescent="0.3">
      <c r="A475" s="29">
        <v>474</v>
      </c>
      <c r="B475" s="15" t="s">
        <v>214</v>
      </c>
      <c r="C475" s="15" t="s">
        <v>26</v>
      </c>
      <c r="D475" s="69">
        <v>23</v>
      </c>
      <c r="E475" s="68" t="s">
        <v>2792</v>
      </c>
      <c r="F475" s="32" t="s">
        <v>335</v>
      </c>
      <c r="G475" s="15" t="s">
        <v>164</v>
      </c>
      <c r="H475" s="15" t="s">
        <v>906</v>
      </c>
      <c r="I475" s="69">
        <v>123</v>
      </c>
      <c r="J475" s="15" t="s">
        <v>2672</v>
      </c>
      <c r="K475" s="15" t="s">
        <v>903</v>
      </c>
      <c r="L475" s="15" t="s">
        <v>2673</v>
      </c>
      <c r="M475" s="15" t="s">
        <v>2672</v>
      </c>
      <c r="N475" s="15" t="s">
        <v>2673</v>
      </c>
      <c r="O475" s="15"/>
    </row>
    <row r="476" spans="1:15" ht="18" customHeight="1" x14ac:dyDescent="0.3">
      <c r="A476" s="29">
        <v>475</v>
      </c>
      <c r="B476" s="15" t="s">
        <v>1534</v>
      </c>
      <c r="C476" s="15" t="s">
        <v>26</v>
      </c>
      <c r="D476" s="69">
        <v>23</v>
      </c>
      <c r="E476" s="68" t="s">
        <v>3259</v>
      </c>
      <c r="F476" s="16" t="s">
        <v>1132</v>
      </c>
      <c r="G476" s="15" t="s">
        <v>154</v>
      </c>
      <c r="H476" s="15" t="s">
        <v>905</v>
      </c>
      <c r="I476" s="69">
        <v>172</v>
      </c>
      <c r="J476" s="15" t="s">
        <v>2674</v>
      </c>
      <c r="K476" s="15" t="s">
        <v>903</v>
      </c>
      <c r="L476" s="15" t="s">
        <v>2673</v>
      </c>
      <c r="M476" s="15" t="s">
        <v>2672</v>
      </c>
      <c r="N476" s="15" t="s">
        <v>2673</v>
      </c>
      <c r="O476" s="15"/>
    </row>
    <row r="477" spans="1:15" ht="18" customHeight="1" x14ac:dyDescent="0.3">
      <c r="A477" s="29">
        <v>476</v>
      </c>
      <c r="B477" s="15" t="s">
        <v>214</v>
      </c>
      <c r="C477" s="15" t="s">
        <v>26</v>
      </c>
      <c r="D477" s="69">
        <v>23</v>
      </c>
      <c r="E477" s="68" t="s">
        <v>3259</v>
      </c>
      <c r="F477" s="16" t="s">
        <v>1132</v>
      </c>
      <c r="G477" s="15" t="s">
        <v>154</v>
      </c>
      <c r="H477" s="15" t="s">
        <v>907</v>
      </c>
      <c r="I477" s="69">
        <v>172</v>
      </c>
      <c r="J477" s="15" t="s">
        <v>2672</v>
      </c>
      <c r="K477" s="15" t="s">
        <v>903</v>
      </c>
      <c r="L477" s="15" t="s">
        <v>2673</v>
      </c>
      <c r="M477" s="15" t="s">
        <v>2672</v>
      </c>
      <c r="N477" s="15" t="s">
        <v>2673</v>
      </c>
      <c r="O477" s="15"/>
    </row>
    <row r="478" spans="1:15" ht="18" customHeight="1" x14ac:dyDescent="0.3">
      <c r="A478" s="29">
        <v>477</v>
      </c>
      <c r="B478" s="15" t="s">
        <v>214</v>
      </c>
      <c r="C478" s="15" t="s">
        <v>26</v>
      </c>
      <c r="D478" s="69">
        <v>23</v>
      </c>
      <c r="E478" s="68" t="s">
        <v>3259</v>
      </c>
      <c r="F478" s="16" t="s">
        <v>1132</v>
      </c>
      <c r="G478" s="15" t="s">
        <v>154</v>
      </c>
      <c r="H478" s="15" t="s">
        <v>908</v>
      </c>
      <c r="I478" s="69">
        <v>124</v>
      </c>
      <c r="J478" s="15" t="s">
        <v>2674</v>
      </c>
      <c r="K478" s="15" t="s">
        <v>903</v>
      </c>
      <c r="L478" s="15" t="s">
        <v>2673</v>
      </c>
      <c r="M478" s="15" t="s">
        <v>2672</v>
      </c>
      <c r="N478" s="15" t="s">
        <v>2673</v>
      </c>
      <c r="O478" s="15"/>
    </row>
    <row r="479" spans="1:15" ht="18" customHeight="1" x14ac:dyDescent="0.3">
      <c r="A479" s="29">
        <v>478</v>
      </c>
      <c r="B479" s="15" t="s">
        <v>214</v>
      </c>
      <c r="C479" s="15" t="s">
        <v>26</v>
      </c>
      <c r="D479" s="69">
        <v>23</v>
      </c>
      <c r="E479" s="68" t="s">
        <v>3259</v>
      </c>
      <c r="F479" s="16" t="s">
        <v>2793</v>
      </c>
      <c r="G479" s="15" t="s">
        <v>154</v>
      </c>
      <c r="H479" s="15" t="s">
        <v>906</v>
      </c>
      <c r="I479" s="69">
        <v>124</v>
      </c>
      <c r="J479" s="15" t="s">
        <v>2674</v>
      </c>
      <c r="K479" s="15" t="s">
        <v>902</v>
      </c>
      <c r="L479" s="15" t="s">
        <v>1069</v>
      </c>
      <c r="M479" s="15" t="s">
        <v>2672</v>
      </c>
      <c r="N479" s="15" t="s">
        <v>2673</v>
      </c>
      <c r="O479" s="15"/>
    </row>
    <row r="480" spans="1:15" ht="18" customHeight="1" x14ac:dyDescent="0.3">
      <c r="A480" s="29">
        <v>479</v>
      </c>
      <c r="B480" s="15" t="s">
        <v>214</v>
      </c>
      <c r="C480" s="15" t="s">
        <v>26</v>
      </c>
      <c r="D480" s="69">
        <v>23</v>
      </c>
      <c r="E480" s="68" t="s">
        <v>3259</v>
      </c>
      <c r="F480" s="16" t="s">
        <v>330</v>
      </c>
      <c r="G480" s="15" t="s">
        <v>154</v>
      </c>
      <c r="H480" s="15" t="s">
        <v>901</v>
      </c>
      <c r="I480" s="69">
        <v>158</v>
      </c>
      <c r="J480" s="15" t="s">
        <v>2672</v>
      </c>
      <c r="K480" s="15" t="s">
        <v>903</v>
      </c>
      <c r="L480" s="15" t="s">
        <v>2673</v>
      </c>
      <c r="M480" s="15" t="s">
        <v>2672</v>
      </c>
      <c r="N480" s="15" t="s">
        <v>2673</v>
      </c>
      <c r="O480" s="15"/>
    </row>
    <row r="481" spans="1:15" ht="18" customHeight="1" x14ac:dyDescent="0.3">
      <c r="A481" s="29">
        <v>480</v>
      </c>
      <c r="B481" s="15" t="s">
        <v>214</v>
      </c>
      <c r="C481" s="15" t="s">
        <v>26</v>
      </c>
      <c r="D481" s="69">
        <v>23</v>
      </c>
      <c r="E481" s="68" t="s">
        <v>3259</v>
      </c>
      <c r="F481" s="16" t="s">
        <v>330</v>
      </c>
      <c r="G481" s="15" t="s">
        <v>154</v>
      </c>
      <c r="H481" s="15" t="s">
        <v>904</v>
      </c>
      <c r="I481" s="69">
        <v>124</v>
      </c>
      <c r="J481" s="15" t="s">
        <v>2674</v>
      </c>
      <c r="K481" s="15" t="s">
        <v>903</v>
      </c>
      <c r="L481" s="15" t="s">
        <v>2673</v>
      </c>
      <c r="M481" s="15" t="s">
        <v>2672</v>
      </c>
      <c r="N481" s="15" t="s">
        <v>2673</v>
      </c>
      <c r="O481" s="15"/>
    </row>
    <row r="482" spans="1:15" ht="18" customHeight="1" x14ac:dyDescent="0.3">
      <c r="A482" s="29">
        <v>481</v>
      </c>
      <c r="B482" s="15" t="s">
        <v>1534</v>
      </c>
      <c r="C482" s="15" t="s">
        <v>1658</v>
      </c>
      <c r="D482" s="69">
        <v>23</v>
      </c>
      <c r="E482" s="68" t="s">
        <v>1659</v>
      </c>
      <c r="F482" s="21" t="s">
        <v>1660</v>
      </c>
      <c r="G482" s="15" t="s">
        <v>1538</v>
      </c>
      <c r="H482" s="15" t="s">
        <v>2685</v>
      </c>
      <c r="I482" s="69">
        <v>156</v>
      </c>
      <c r="J482" s="13" t="s">
        <v>902</v>
      </c>
      <c r="K482" s="15" t="s">
        <v>903</v>
      </c>
      <c r="L482" s="15" t="s">
        <v>2673</v>
      </c>
      <c r="M482" s="15" t="s">
        <v>2672</v>
      </c>
      <c r="N482" s="15" t="s">
        <v>2673</v>
      </c>
      <c r="O482" s="15"/>
    </row>
    <row r="483" spans="1:15" ht="18" customHeight="1" x14ac:dyDescent="0.3">
      <c r="A483" s="29">
        <v>482</v>
      </c>
      <c r="B483" s="15" t="s">
        <v>1534</v>
      </c>
      <c r="C483" s="15" t="s">
        <v>1658</v>
      </c>
      <c r="D483" s="69">
        <v>23</v>
      </c>
      <c r="E483" s="68" t="s">
        <v>1659</v>
      </c>
      <c r="F483" s="21" t="s">
        <v>1660</v>
      </c>
      <c r="G483" s="15" t="s">
        <v>1538</v>
      </c>
      <c r="H483" s="15" t="s">
        <v>2678</v>
      </c>
      <c r="I483" s="69">
        <v>114</v>
      </c>
      <c r="J483" s="13" t="s">
        <v>2672</v>
      </c>
      <c r="K483" s="15" t="s">
        <v>903</v>
      </c>
      <c r="L483" s="15" t="s">
        <v>2673</v>
      </c>
      <c r="M483" s="15" t="s">
        <v>2672</v>
      </c>
      <c r="N483" s="15" t="s">
        <v>2673</v>
      </c>
      <c r="O483" s="15"/>
    </row>
    <row r="484" spans="1:15" ht="18" customHeight="1" x14ac:dyDescent="0.3">
      <c r="A484" s="29">
        <v>483</v>
      </c>
      <c r="B484" s="15" t="s">
        <v>1534</v>
      </c>
      <c r="C484" s="15" t="s">
        <v>1658</v>
      </c>
      <c r="D484" s="69">
        <v>23</v>
      </c>
      <c r="E484" s="68" t="s">
        <v>1659</v>
      </c>
      <c r="F484" s="21" t="s">
        <v>1660</v>
      </c>
      <c r="G484" s="15" t="s">
        <v>1538</v>
      </c>
      <c r="H484" s="15" t="s">
        <v>2679</v>
      </c>
      <c r="I484" s="69">
        <v>28</v>
      </c>
      <c r="J484" s="13" t="s">
        <v>2672</v>
      </c>
      <c r="K484" s="15" t="s">
        <v>2674</v>
      </c>
      <c r="L484" s="15" t="s">
        <v>2794</v>
      </c>
      <c r="M484" s="15" t="s">
        <v>2672</v>
      </c>
      <c r="N484" s="15" t="s">
        <v>2673</v>
      </c>
      <c r="O484" s="15"/>
    </row>
    <row r="485" spans="1:15" ht="18" customHeight="1" x14ac:dyDescent="0.3">
      <c r="A485" s="29">
        <v>484</v>
      </c>
      <c r="B485" s="15" t="s">
        <v>1534</v>
      </c>
      <c r="C485" s="15" t="s">
        <v>1658</v>
      </c>
      <c r="D485" s="69">
        <v>23</v>
      </c>
      <c r="E485" s="68" t="s">
        <v>1659</v>
      </c>
      <c r="F485" s="21" t="s">
        <v>1660</v>
      </c>
      <c r="G485" s="15" t="s">
        <v>1538</v>
      </c>
      <c r="H485" s="15" t="s">
        <v>2680</v>
      </c>
      <c r="I485" s="69">
        <v>76</v>
      </c>
      <c r="J485" s="13" t="s">
        <v>2672</v>
      </c>
      <c r="K485" s="15" t="s">
        <v>903</v>
      </c>
      <c r="L485" s="15" t="s">
        <v>2673</v>
      </c>
      <c r="M485" s="15" t="s">
        <v>2672</v>
      </c>
      <c r="N485" s="15" t="s">
        <v>2673</v>
      </c>
      <c r="O485" s="15"/>
    </row>
    <row r="486" spans="1:15" ht="18" customHeight="1" x14ac:dyDescent="0.3">
      <c r="A486" s="29">
        <v>485</v>
      </c>
      <c r="B486" s="15" t="s">
        <v>1534</v>
      </c>
      <c r="C486" s="15" t="s">
        <v>1658</v>
      </c>
      <c r="D486" s="69">
        <v>23</v>
      </c>
      <c r="E486" s="68" t="s">
        <v>1659</v>
      </c>
      <c r="F486" s="21" t="s">
        <v>1660</v>
      </c>
      <c r="G486" s="15" t="s">
        <v>1538</v>
      </c>
      <c r="H486" s="15" t="s">
        <v>2690</v>
      </c>
      <c r="I486" s="69">
        <v>106</v>
      </c>
      <c r="J486" s="13" t="s">
        <v>2672</v>
      </c>
      <c r="K486" s="15" t="s">
        <v>903</v>
      </c>
      <c r="L486" s="15" t="s">
        <v>2673</v>
      </c>
      <c r="M486" s="15" t="s">
        <v>2672</v>
      </c>
      <c r="N486" s="15" t="s">
        <v>2673</v>
      </c>
      <c r="O486" s="15"/>
    </row>
    <row r="487" spans="1:15" ht="18" customHeight="1" x14ac:dyDescent="0.3">
      <c r="A487" s="29">
        <v>486</v>
      </c>
      <c r="B487" s="15" t="s">
        <v>1534</v>
      </c>
      <c r="C487" s="15" t="s">
        <v>1658</v>
      </c>
      <c r="D487" s="69">
        <v>23</v>
      </c>
      <c r="E487" s="68" t="s">
        <v>1659</v>
      </c>
      <c r="F487" s="21" t="s">
        <v>1660</v>
      </c>
      <c r="G487" s="15" t="s">
        <v>1538</v>
      </c>
      <c r="H487" s="15" t="s">
        <v>2682</v>
      </c>
      <c r="I487" s="69">
        <v>65</v>
      </c>
      <c r="J487" s="13" t="s">
        <v>902</v>
      </c>
      <c r="K487" s="15" t="s">
        <v>2674</v>
      </c>
      <c r="L487" s="15" t="s">
        <v>2794</v>
      </c>
      <c r="M487" s="15" t="s">
        <v>2672</v>
      </c>
      <c r="N487" s="15" t="s">
        <v>2673</v>
      </c>
      <c r="O487" s="15"/>
    </row>
    <row r="488" spans="1:15" ht="18" customHeight="1" x14ac:dyDescent="0.3">
      <c r="A488" s="29">
        <v>487</v>
      </c>
      <c r="B488" s="15" t="s">
        <v>1534</v>
      </c>
      <c r="C488" s="15" t="s">
        <v>1658</v>
      </c>
      <c r="D488" s="69">
        <v>23</v>
      </c>
      <c r="E488" s="68" t="s">
        <v>1659</v>
      </c>
      <c r="F488" s="21" t="s">
        <v>1660</v>
      </c>
      <c r="G488" s="15" t="s">
        <v>1538</v>
      </c>
      <c r="H488" s="15" t="s">
        <v>2795</v>
      </c>
      <c r="I488" s="69">
        <v>302</v>
      </c>
      <c r="J488" s="13" t="s">
        <v>2672</v>
      </c>
      <c r="K488" s="15" t="s">
        <v>903</v>
      </c>
      <c r="L488" s="15" t="s">
        <v>2673</v>
      </c>
      <c r="M488" s="15" t="s">
        <v>2672</v>
      </c>
      <c r="N488" s="15" t="s">
        <v>2673</v>
      </c>
      <c r="O488" s="15"/>
    </row>
    <row r="489" spans="1:15" ht="18" customHeight="1" x14ac:dyDescent="0.3">
      <c r="A489" s="29">
        <v>488</v>
      </c>
      <c r="B489" s="15" t="s">
        <v>214</v>
      </c>
      <c r="C489" s="15" t="s">
        <v>26</v>
      </c>
      <c r="D489" s="69">
        <v>23</v>
      </c>
      <c r="E489" s="68" t="s">
        <v>3260</v>
      </c>
      <c r="F489" s="16" t="s">
        <v>332</v>
      </c>
      <c r="G489" s="15" t="s">
        <v>154</v>
      </c>
      <c r="H489" s="15" t="s">
        <v>2796</v>
      </c>
      <c r="I489" s="69">
        <v>76</v>
      </c>
      <c r="J489" s="15" t="s">
        <v>2674</v>
      </c>
      <c r="K489" s="15" t="s">
        <v>903</v>
      </c>
      <c r="L489" s="15" t="s">
        <v>2673</v>
      </c>
      <c r="M489" s="15" t="s">
        <v>2672</v>
      </c>
      <c r="N489" s="15" t="s">
        <v>2673</v>
      </c>
      <c r="O489" s="15"/>
    </row>
    <row r="490" spans="1:15" ht="18" customHeight="1" x14ac:dyDescent="0.3">
      <c r="A490" s="29">
        <v>489</v>
      </c>
      <c r="B490" s="15" t="s">
        <v>214</v>
      </c>
      <c r="C490" s="15" t="s">
        <v>26</v>
      </c>
      <c r="D490" s="69">
        <v>23</v>
      </c>
      <c r="E490" s="68" t="s">
        <v>3260</v>
      </c>
      <c r="F490" s="16" t="s">
        <v>332</v>
      </c>
      <c r="G490" s="15" t="s">
        <v>154</v>
      </c>
      <c r="H490" s="15" t="s">
        <v>2797</v>
      </c>
      <c r="I490" s="69">
        <v>76</v>
      </c>
      <c r="J490" s="15" t="s">
        <v>2674</v>
      </c>
      <c r="K490" s="15" t="s">
        <v>903</v>
      </c>
      <c r="L490" s="15" t="s">
        <v>2673</v>
      </c>
      <c r="M490" s="15" t="s">
        <v>2672</v>
      </c>
      <c r="N490" s="15" t="s">
        <v>2673</v>
      </c>
      <c r="O490" s="15"/>
    </row>
    <row r="491" spans="1:15" ht="18" customHeight="1" x14ac:dyDescent="0.3">
      <c r="A491" s="29">
        <v>490</v>
      </c>
      <c r="B491" s="15" t="s">
        <v>214</v>
      </c>
      <c r="C491" s="15" t="s">
        <v>26</v>
      </c>
      <c r="D491" s="69">
        <v>23</v>
      </c>
      <c r="E491" s="68" t="s">
        <v>3260</v>
      </c>
      <c r="F491" s="16" t="s">
        <v>332</v>
      </c>
      <c r="G491" s="15" t="s">
        <v>154</v>
      </c>
      <c r="H491" s="15" t="s">
        <v>905</v>
      </c>
      <c r="I491" s="69">
        <v>206</v>
      </c>
      <c r="J491" s="15" t="s">
        <v>2674</v>
      </c>
      <c r="K491" s="15" t="s">
        <v>2672</v>
      </c>
      <c r="L491" s="15" t="s">
        <v>2673</v>
      </c>
      <c r="M491" s="15" t="s">
        <v>2672</v>
      </c>
      <c r="N491" s="15" t="s">
        <v>2673</v>
      </c>
      <c r="O491" s="15"/>
    </row>
    <row r="492" spans="1:15" ht="18" customHeight="1" x14ac:dyDescent="0.3">
      <c r="A492" s="29">
        <v>491</v>
      </c>
      <c r="B492" s="15" t="s">
        <v>214</v>
      </c>
      <c r="C492" s="15" t="s">
        <v>26</v>
      </c>
      <c r="D492" s="69">
        <v>23</v>
      </c>
      <c r="E492" s="68" t="s">
        <v>3260</v>
      </c>
      <c r="F492" s="16" t="s">
        <v>2798</v>
      </c>
      <c r="G492" s="15" t="s">
        <v>154</v>
      </c>
      <c r="H492" s="15" t="s">
        <v>983</v>
      </c>
      <c r="I492" s="69">
        <v>144</v>
      </c>
      <c r="J492" s="15" t="s">
        <v>2674</v>
      </c>
      <c r="K492" s="15" t="s">
        <v>902</v>
      </c>
      <c r="L492" s="15" t="s">
        <v>1797</v>
      </c>
      <c r="M492" s="15" t="s">
        <v>2672</v>
      </c>
      <c r="N492" s="15" t="s">
        <v>2673</v>
      </c>
      <c r="O492" s="15" t="s">
        <v>2799</v>
      </c>
    </row>
    <row r="493" spans="1:15" ht="18" customHeight="1" x14ac:dyDescent="0.3">
      <c r="A493" s="29">
        <v>492</v>
      </c>
      <c r="B493" s="15" t="s">
        <v>214</v>
      </c>
      <c r="C493" s="15" t="s">
        <v>26</v>
      </c>
      <c r="D493" s="69">
        <v>23</v>
      </c>
      <c r="E493" s="68" t="s">
        <v>3260</v>
      </c>
      <c r="F493" s="16" t="s">
        <v>2798</v>
      </c>
      <c r="G493" s="15" t="s">
        <v>154</v>
      </c>
      <c r="H493" s="15" t="s">
        <v>2800</v>
      </c>
      <c r="I493" s="69">
        <v>132</v>
      </c>
      <c r="J493" s="15" t="s">
        <v>2674</v>
      </c>
      <c r="K493" s="15" t="s">
        <v>2674</v>
      </c>
      <c r="L493" s="15" t="s">
        <v>2801</v>
      </c>
      <c r="M493" s="15" t="s">
        <v>2672</v>
      </c>
      <c r="N493" s="15" t="s">
        <v>2673</v>
      </c>
      <c r="O493" s="15"/>
    </row>
    <row r="494" spans="1:15" ht="18" customHeight="1" x14ac:dyDescent="0.3">
      <c r="A494" s="29">
        <v>493</v>
      </c>
      <c r="B494" s="15" t="s">
        <v>214</v>
      </c>
      <c r="C494" s="15" t="s">
        <v>26</v>
      </c>
      <c r="D494" s="69">
        <v>23</v>
      </c>
      <c r="E494" s="68" t="s">
        <v>2802</v>
      </c>
      <c r="F494" s="32" t="s">
        <v>1133</v>
      </c>
      <c r="G494" s="15" t="s">
        <v>164</v>
      </c>
      <c r="H494" s="15" t="s">
        <v>905</v>
      </c>
      <c r="I494" s="69">
        <v>70</v>
      </c>
      <c r="J494" s="13" t="s">
        <v>2672</v>
      </c>
      <c r="K494" s="15" t="s">
        <v>903</v>
      </c>
      <c r="L494" s="15" t="s">
        <v>2673</v>
      </c>
      <c r="M494" s="15" t="s">
        <v>2672</v>
      </c>
      <c r="N494" s="15" t="s">
        <v>2673</v>
      </c>
      <c r="O494" s="15"/>
    </row>
    <row r="495" spans="1:15" ht="18" customHeight="1" x14ac:dyDescent="0.3">
      <c r="A495" s="29">
        <v>494</v>
      </c>
      <c r="B495" s="15" t="s">
        <v>214</v>
      </c>
      <c r="C495" s="15" t="s">
        <v>26</v>
      </c>
      <c r="D495" s="69">
        <v>23</v>
      </c>
      <c r="E495" s="68" t="s">
        <v>2802</v>
      </c>
      <c r="F495" s="32" t="s">
        <v>1133</v>
      </c>
      <c r="G495" s="15" t="s">
        <v>164</v>
      </c>
      <c r="H495" s="15" t="s">
        <v>906</v>
      </c>
      <c r="I495" s="69">
        <v>42</v>
      </c>
      <c r="J495" s="13" t="s">
        <v>2672</v>
      </c>
      <c r="K495" s="15" t="s">
        <v>903</v>
      </c>
      <c r="L495" s="15" t="s">
        <v>2673</v>
      </c>
      <c r="M495" s="15" t="s">
        <v>2672</v>
      </c>
      <c r="N495" s="15" t="s">
        <v>2673</v>
      </c>
      <c r="O495" s="15"/>
    </row>
    <row r="496" spans="1:15" ht="18" customHeight="1" x14ac:dyDescent="0.3">
      <c r="A496" s="29">
        <v>495</v>
      </c>
      <c r="B496" s="15" t="s">
        <v>214</v>
      </c>
      <c r="C496" s="15" t="s">
        <v>26</v>
      </c>
      <c r="D496" s="69">
        <v>23</v>
      </c>
      <c r="E496" s="68" t="s">
        <v>2802</v>
      </c>
      <c r="F496" s="32" t="s">
        <v>1133</v>
      </c>
      <c r="G496" s="15" t="s">
        <v>164</v>
      </c>
      <c r="H496" s="15" t="s">
        <v>907</v>
      </c>
      <c r="I496" s="69">
        <v>35</v>
      </c>
      <c r="J496" s="13" t="s">
        <v>2672</v>
      </c>
      <c r="K496" s="15" t="s">
        <v>903</v>
      </c>
      <c r="L496" s="15" t="s">
        <v>2673</v>
      </c>
      <c r="M496" s="15" t="s">
        <v>2672</v>
      </c>
      <c r="N496" s="15" t="s">
        <v>2673</v>
      </c>
      <c r="O496" s="15"/>
    </row>
    <row r="497" spans="1:15" ht="18" customHeight="1" x14ac:dyDescent="0.3">
      <c r="A497" s="29">
        <v>496</v>
      </c>
      <c r="B497" s="15" t="s">
        <v>214</v>
      </c>
      <c r="C497" s="15" t="s">
        <v>26</v>
      </c>
      <c r="D497" s="69">
        <v>23</v>
      </c>
      <c r="E497" s="68" t="s">
        <v>2802</v>
      </c>
      <c r="F497" s="32" t="s">
        <v>1133</v>
      </c>
      <c r="G497" s="15" t="s">
        <v>164</v>
      </c>
      <c r="H497" s="15" t="s">
        <v>908</v>
      </c>
      <c r="I497" s="69">
        <v>80</v>
      </c>
      <c r="J497" s="13" t="s">
        <v>2672</v>
      </c>
      <c r="K497" s="15" t="s">
        <v>903</v>
      </c>
      <c r="L497" s="15" t="s">
        <v>2673</v>
      </c>
      <c r="M497" s="15" t="s">
        <v>2672</v>
      </c>
      <c r="N497" s="15" t="s">
        <v>2673</v>
      </c>
      <c r="O497" s="15"/>
    </row>
    <row r="498" spans="1:15" ht="18" customHeight="1" x14ac:dyDescent="0.3">
      <c r="A498" s="29">
        <v>497</v>
      </c>
      <c r="B498" s="15" t="s">
        <v>214</v>
      </c>
      <c r="C498" s="15" t="s">
        <v>26</v>
      </c>
      <c r="D498" s="69">
        <v>23</v>
      </c>
      <c r="E498" s="68" t="s">
        <v>2802</v>
      </c>
      <c r="F498" s="32" t="s">
        <v>341</v>
      </c>
      <c r="G498" s="15" t="s">
        <v>164</v>
      </c>
      <c r="H498" s="15" t="s">
        <v>901</v>
      </c>
      <c r="I498" s="69">
        <v>200</v>
      </c>
      <c r="J498" s="13" t="s">
        <v>2674</v>
      </c>
      <c r="K498" s="15" t="s">
        <v>903</v>
      </c>
      <c r="L498" s="15" t="s">
        <v>2673</v>
      </c>
      <c r="M498" s="15" t="s">
        <v>2672</v>
      </c>
      <c r="N498" s="15" t="s">
        <v>2673</v>
      </c>
      <c r="O498" s="15"/>
    </row>
    <row r="499" spans="1:15" ht="18" customHeight="1" x14ac:dyDescent="0.3">
      <c r="A499" s="29">
        <v>498</v>
      </c>
      <c r="B499" s="15" t="s">
        <v>214</v>
      </c>
      <c r="C499" s="15" t="s">
        <v>26</v>
      </c>
      <c r="D499" s="69">
        <v>23</v>
      </c>
      <c r="E499" s="68" t="s">
        <v>2802</v>
      </c>
      <c r="F499" s="32" t="s">
        <v>341</v>
      </c>
      <c r="G499" s="15" t="s">
        <v>164</v>
      </c>
      <c r="H499" s="15" t="s">
        <v>904</v>
      </c>
      <c r="I499" s="69">
        <v>143</v>
      </c>
      <c r="J499" s="13" t="s">
        <v>2674</v>
      </c>
      <c r="K499" s="15" t="s">
        <v>903</v>
      </c>
      <c r="L499" s="15" t="s">
        <v>2673</v>
      </c>
      <c r="M499" s="15" t="s">
        <v>2672</v>
      </c>
      <c r="N499" s="15" t="s">
        <v>2673</v>
      </c>
      <c r="O499" s="15"/>
    </row>
    <row r="500" spans="1:15" ht="18" customHeight="1" x14ac:dyDescent="0.3">
      <c r="A500" s="29">
        <v>499</v>
      </c>
      <c r="B500" s="15" t="s">
        <v>214</v>
      </c>
      <c r="C500" s="15" t="s">
        <v>26</v>
      </c>
      <c r="D500" s="69">
        <v>23</v>
      </c>
      <c r="E500" s="68" t="s">
        <v>187</v>
      </c>
      <c r="F500" s="21" t="s">
        <v>338</v>
      </c>
      <c r="G500" s="15" t="s">
        <v>154</v>
      </c>
      <c r="H500" s="15" t="s">
        <v>904</v>
      </c>
      <c r="I500" s="69">
        <v>432</v>
      </c>
      <c r="J500" s="15" t="s">
        <v>2672</v>
      </c>
      <c r="K500" s="15" t="s">
        <v>903</v>
      </c>
      <c r="L500" s="15" t="s">
        <v>2673</v>
      </c>
      <c r="M500" s="15" t="s">
        <v>2672</v>
      </c>
      <c r="N500" s="15" t="s">
        <v>2673</v>
      </c>
      <c r="O500" s="15"/>
    </row>
    <row r="501" spans="1:15" ht="18" customHeight="1" x14ac:dyDescent="0.3">
      <c r="A501" s="29">
        <v>500</v>
      </c>
      <c r="B501" s="15" t="s">
        <v>214</v>
      </c>
      <c r="C501" s="15" t="s">
        <v>26</v>
      </c>
      <c r="D501" s="69">
        <v>23</v>
      </c>
      <c r="E501" s="68" t="s">
        <v>187</v>
      </c>
      <c r="F501" s="21" t="s">
        <v>338</v>
      </c>
      <c r="G501" s="15" t="s">
        <v>154</v>
      </c>
      <c r="H501" s="15" t="s">
        <v>906</v>
      </c>
      <c r="I501" s="69">
        <v>332</v>
      </c>
      <c r="J501" s="15" t="s">
        <v>2672</v>
      </c>
      <c r="K501" s="15" t="s">
        <v>903</v>
      </c>
      <c r="L501" s="15" t="s">
        <v>2673</v>
      </c>
      <c r="M501" s="15" t="s">
        <v>2672</v>
      </c>
      <c r="N501" s="15" t="s">
        <v>2673</v>
      </c>
      <c r="O501" s="15"/>
    </row>
    <row r="502" spans="1:15" ht="18" customHeight="1" x14ac:dyDescent="0.3">
      <c r="A502" s="29">
        <v>501</v>
      </c>
      <c r="B502" s="15" t="s">
        <v>214</v>
      </c>
      <c r="C502" s="15" t="s">
        <v>26</v>
      </c>
      <c r="D502" s="69">
        <v>23</v>
      </c>
      <c r="E502" s="68" t="s">
        <v>187</v>
      </c>
      <c r="F502" s="21" t="s">
        <v>338</v>
      </c>
      <c r="G502" s="15" t="s">
        <v>154</v>
      </c>
      <c r="H502" s="15" t="s">
        <v>932</v>
      </c>
      <c r="I502" s="69">
        <v>36</v>
      </c>
      <c r="J502" s="15" t="s">
        <v>2672</v>
      </c>
      <c r="K502" s="15" t="s">
        <v>903</v>
      </c>
      <c r="L502" s="15" t="s">
        <v>2673</v>
      </c>
      <c r="M502" s="15" t="s">
        <v>2674</v>
      </c>
      <c r="N502" s="15" t="s">
        <v>2803</v>
      </c>
      <c r="O502" s="15"/>
    </row>
    <row r="503" spans="1:15" ht="18" customHeight="1" x14ac:dyDescent="0.3">
      <c r="A503" s="29">
        <v>502</v>
      </c>
      <c r="B503" s="15" t="s">
        <v>214</v>
      </c>
      <c r="C503" s="15" t="s">
        <v>26</v>
      </c>
      <c r="D503" s="69">
        <v>23</v>
      </c>
      <c r="E503" s="68" t="s">
        <v>187</v>
      </c>
      <c r="F503" s="21" t="s">
        <v>338</v>
      </c>
      <c r="G503" s="15" t="s">
        <v>154</v>
      </c>
      <c r="H503" s="15" t="s">
        <v>933</v>
      </c>
      <c r="I503" s="69">
        <v>30</v>
      </c>
      <c r="J503" s="15" t="s">
        <v>2672</v>
      </c>
      <c r="K503" s="15" t="s">
        <v>903</v>
      </c>
      <c r="L503" s="15" t="s">
        <v>2673</v>
      </c>
      <c r="M503" s="15" t="s">
        <v>2674</v>
      </c>
      <c r="N503" s="15" t="s">
        <v>2804</v>
      </c>
      <c r="O503" s="15"/>
    </row>
    <row r="504" spans="1:15" ht="18" customHeight="1" x14ac:dyDescent="0.3">
      <c r="A504" s="29">
        <v>503</v>
      </c>
      <c r="B504" s="15" t="s">
        <v>214</v>
      </c>
      <c r="C504" s="15" t="s">
        <v>26</v>
      </c>
      <c r="D504" s="69">
        <v>23</v>
      </c>
      <c r="E504" s="68" t="s">
        <v>187</v>
      </c>
      <c r="F504" s="21" t="s">
        <v>2805</v>
      </c>
      <c r="G504" s="15" t="s">
        <v>154</v>
      </c>
      <c r="H504" s="15" t="s">
        <v>2724</v>
      </c>
      <c r="I504" s="69">
        <v>32</v>
      </c>
      <c r="J504" s="15" t="s">
        <v>2672</v>
      </c>
      <c r="K504" s="15" t="s">
        <v>902</v>
      </c>
      <c r="L504" s="15" t="s">
        <v>2723</v>
      </c>
      <c r="M504" s="15" t="s">
        <v>2672</v>
      </c>
      <c r="N504" s="15" t="s">
        <v>2673</v>
      </c>
      <c r="O504" s="15"/>
    </row>
    <row r="505" spans="1:15" ht="18" customHeight="1" x14ac:dyDescent="0.3">
      <c r="A505" s="29">
        <v>504</v>
      </c>
      <c r="B505" s="15" t="s">
        <v>214</v>
      </c>
      <c r="C505" s="15" t="s">
        <v>26</v>
      </c>
      <c r="D505" s="69">
        <v>23</v>
      </c>
      <c r="E505" s="68" t="s">
        <v>187</v>
      </c>
      <c r="F505" s="21" t="s">
        <v>2805</v>
      </c>
      <c r="G505" s="15" t="s">
        <v>154</v>
      </c>
      <c r="H505" s="15" t="s">
        <v>2806</v>
      </c>
      <c r="I505" s="69">
        <v>36</v>
      </c>
      <c r="J505" s="15" t="s">
        <v>2672</v>
      </c>
      <c r="K505" s="15" t="s">
        <v>902</v>
      </c>
      <c r="L505" s="15" t="s">
        <v>2723</v>
      </c>
      <c r="M505" s="15" t="s">
        <v>2672</v>
      </c>
      <c r="N505" s="15" t="s">
        <v>2673</v>
      </c>
      <c r="O505" s="15"/>
    </row>
    <row r="506" spans="1:15" ht="18" customHeight="1" x14ac:dyDescent="0.3">
      <c r="A506" s="29">
        <v>505</v>
      </c>
      <c r="B506" s="15" t="s">
        <v>214</v>
      </c>
      <c r="C506" s="15" t="s">
        <v>26</v>
      </c>
      <c r="D506" s="69">
        <v>23</v>
      </c>
      <c r="E506" s="68" t="s">
        <v>187</v>
      </c>
      <c r="F506" s="21" t="s">
        <v>2805</v>
      </c>
      <c r="G506" s="15" t="s">
        <v>154</v>
      </c>
      <c r="H506" s="15" t="s">
        <v>2807</v>
      </c>
      <c r="I506" s="69">
        <v>36</v>
      </c>
      <c r="J506" s="15" t="s">
        <v>2672</v>
      </c>
      <c r="K506" s="15" t="s">
        <v>902</v>
      </c>
      <c r="L506" s="15" t="s">
        <v>2723</v>
      </c>
      <c r="M506" s="15" t="s">
        <v>2672</v>
      </c>
      <c r="N506" s="15" t="s">
        <v>2673</v>
      </c>
      <c r="O506" s="15"/>
    </row>
    <row r="507" spans="1:15" ht="18" customHeight="1" x14ac:dyDescent="0.3">
      <c r="A507" s="29">
        <v>506</v>
      </c>
      <c r="B507" s="15" t="s">
        <v>214</v>
      </c>
      <c r="C507" s="15" t="s">
        <v>26</v>
      </c>
      <c r="D507" s="69">
        <v>23</v>
      </c>
      <c r="E507" s="68" t="s">
        <v>187</v>
      </c>
      <c r="F507" s="21" t="s">
        <v>2805</v>
      </c>
      <c r="G507" s="15" t="s">
        <v>154</v>
      </c>
      <c r="H507" s="15" t="s">
        <v>2808</v>
      </c>
      <c r="I507" s="69">
        <v>82</v>
      </c>
      <c r="J507" s="15" t="s">
        <v>2672</v>
      </c>
      <c r="K507" s="15" t="s">
        <v>902</v>
      </c>
      <c r="L507" s="15" t="s">
        <v>2791</v>
      </c>
      <c r="M507" s="15" t="s">
        <v>2672</v>
      </c>
      <c r="N507" s="15" t="s">
        <v>2673</v>
      </c>
      <c r="O507" s="15"/>
    </row>
    <row r="508" spans="1:15" ht="18" customHeight="1" x14ac:dyDescent="0.3">
      <c r="A508" s="29">
        <v>507</v>
      </c>
      <c r="B508" s="15" t="s">
        <v>214</v>
      </c>
      <c r="C508" s="15" t="s">
        <v>26</v>
      </c>
      <c r="D508" s="69">
        <v>23</v>
      </c>
      <c r="E508" s="68" t="s">
        <v>187</v>
      </c>
      <c r="F508" s="21" t="s">
        <v>2805</v>
      </c>
      <c r="G508" s="15" t="s">
        <v>154</v>
      </c>
      <c r="H508" s="15" t="s">
        <v>2809</v>
      </c>
      <c r="I508" s="69">
        <v>82</v>
      </c>
      <c r="J508" s="15" t="s">
        <v>2674</v>
      </c>
      <c r="K508" s="15" t="s">
        <v>902</v>
      </c>
      <c r="L508" s="15" t="s">
        <v>2791</v>
      </c>
      <c r="M508" s="15" t="s">
        <v>2672</v>
      </c>
      <c r="N508" s="15" t="s">
        <v>2673</v>
      </c>
      <c r="O508" s="15"/>
    </row>
    <row r="509" spans="1:15" ht="18" customHeight="1" x14ac:dyDescent="0.3">
      <c r="A509" s="29">
        <v>508</v>
      </c>
      <c r="B509" s="15" t="s">
        <v>214</v>
      </c>
      <c r="C509" s="15" t="s">
        <v>26</v>
      </c>
      <c r="D509" s="69">
        <v>23</v>
      </c>
      <c r="E509" s="68" t="s">
        <v>187</v>
      </c>
      <c r="F509" s="21" t="s">
        <v>2805</v>
      </c>
      <c r="G509" s="15" t="s">
        <v>154</v>
      </c>
      <c r="H509" s="15" t="s">
        <v>2810</v>
      </c>
      <c r="I509" s="69">
        <v>166</v>
      </c>
      <c r="J509" s="15" t="s">
        <v>2672</v>
      </c>
      <c r="K509" s="15" t="s">
        <v>2674</v>
      </c>
      <c r="L509" s="15" t="s">
        <v>1703</v>
      </c>
      <c r="M509" s="15" t="s">
        <v>2672</v>
      </c>
      <c r="N509" s="15" t="s">
        <v>2673</v>
      </c>
      <c r="O509" s="15"/>
    </row>
    <row r="510" spans="1:15" ht="18" customHeight="1" x14ac:dyDescent="0.3">
      <c r="A510" s="29">
        <v>509</v>
      </c>
      <c r="B510" s="15" t="s">
        <v>214</v>
      </c>
      <c r="C510" s="15" t="s">
        <v>26</v>
      </c>
      <c r="D510" s="69">
        <v>23</v>
      </c>
      <c r="E510" s="68" t="s">
        <v>187</v>
      </c>
      <c r="F510" s="21" t="s">
        <v>2805</v>
      </c>
      <c r="G510" s="15" t="s">
        <v>154</v>
      </c>
      <c r="H510" s="15" t="s">
        <v>2811</v>
      </c>
      <c r="I510" s="69">
        <v>166</v>
      </c>
      <c r="J510" s="15" t="s">
        <v>2674</v>
      </c>
      <c r="K510" s="15" t="s">
        <v>2674</v>
      </c>
      <c r="L510" s="15" t="s">
        <v>1703</v>
      </c>
      <c r="M510" s="15" t="s">
        <v>2672</v>
      </c>
      <c r="N510" s="15" t="s">
        <v>2673</v>
      </c>
      <c r="O510" s="15"/>
    </row>
    <row r="511" spans="1:15" ht="18" customHeight="1" x14ac:dyDescent="0.3">
      <c r="A511" s="29">
        <v>510</v>
      </c>
      <c r="B511" s="15" t="s">
        <v>214</v>
      </c>
      <c r="C511" s="15" t="s">
        <v>26</v>
      </c>
      <c r="D511" s="69">
        <v>23</v>
      </c>
      <c r="E511" s="68" t="s">
        <v>187</v>
      </c>
      <c r="F511" s="21" t="s">
        <v>2805</v>
      </c>
      <c r="G511" s="15" t="s">
        <v>154</v>
      </c>
      <c r="H511" s="15" t="s">
        <v>2812</v>
      </c>
      <c r="I511" s="69">
        <v>348</v>
      </c>
      <c r="J511" s="15" t="s">
        <v>2672</v>
      </c>
      <c r="K511" s="15" t="s">
        <v>2674</v>
      </c>
      <c r="L511" s="15" t="s">
        <v>1703</v>
      </c>
      <c r="M511" s="15" t="s">
        <v>2672</v>
      </c>
      <c r="N511" s="15" t="s">
        <v>2673</v>
      </c>
      <c r="O511" s="15"/>
    </row>
    <row r="512" spans="1:15" ht="18" customHeight="1" x14ac:dyDescent="0.3">
      <c r="A512" s="29">
        <v>511</v>
      </c>
      <c r="B512" s="15" t="s">
        <v>214</v>
      </c>
      <c r="C512" s="15" t="s">
        <v>26</v>
      </c>
      <c r="D512" s="69">
        <v>23</v>
      </c>
      <c r="E512" s="68" t="s">
        <v>187</v>
      </c>
      <c r="F512" s="21" t="s">
        <v>2805</v>
      </c>
      <c r="G512" s="15" t="s">
        <v>154</v>
      </c>
      <c r="H512" s="15" t="s">
        <v>2769</v>
      </c>
      <c r="I512" s="69">
        <v>281</v>
      </c>
      <c r="J512" s="15" t="s">
        <v>2672</v>
      </c>
      <c r="K512" s="15" t="s">
        <v>2674</v>
      </c>
      <c r="L512" s="15" t="s">
        <v>1703</v>
      </c>
      <c r="M512" s="15" t="s">
        <v>2672</v>
      </c>
      <c r="N512" s="15" t="s">
        <v>2673</v>
      </c>
      <c r="O512" s="15"/>
    </row>
    <row r="513" spans="1:15" ht="18" customHeight="1" x14ac:dyDescent="0.3">
      <c r="A513" s="29">
        <v>512</v>
      </c>
      <c r="B513" s="15" t="s">
        <v>214</v>
      </c>
      <c r="C513" s="15" t="s">
        <v>26</v>
      </c>
      <c r="D513" s="69">
        <v>23</v>
      </c>
      <c r="E513" s="68" t="s">
        <v>187</v>
      </c>
      <c r="F513" s="21" t="s">
        <v>2805</v>
      </c>
      <c r="G513" s="15" t="s">
        <v>154</v>
      </c>
      <c r="H513" s="15" t="s">
        <v>2766</v>
      </c>
      <c r="I513" s="69">
        <v>285</v>
      </c>
      <c r="J513" s="15" t="s">
        <v>2672</v>
      </c>
      <c r="K513" s="15" t="s">
        <v>2674</v>
      </c>
      <c r="L513" s="15" t="s">
        <v>1703</v>
      </c>
      <c r="M513" s="15" t="s">
        <v>2672</v>
      </c>
      <c r="N513" s="15" t="s">
        <v>2673</v>
      </c>
      <c r="O513" s="15"/>
    </row>
    <row r="514" spans="1:15" ht="18" customHeight="1" x14ac:dyDescent="0.3">
      <c r="A514" s="29">
        <v>513</v>
      </c>
      <c r="B514" s="15" t="s">
        <v>214</v>
      </c>
      <c r="C514" s="15" t="s">
        <v>26</v>
      </c>
      <c r="D514" s="69">
        <v>23</v>
      </c>
      <c r="E514" s="68" t="s">
        <v>187</v>
      </c>
      <c r="F514" s="21" t="s">
        <v>2805</v>
      </c>
      <c r="G514" s="15" t="s">
        <v>154</v>
      </c>
      <c r="H514" s="15" t="s">
        <v>2813</v>
      </c>
      <c r="I514" s="69">
        <v>285</v>
      </c>
      <c r="J514" s="15" t="s">
        <v>2672</v>
      </c>
      <c r="K514" s="15" t="s">
        <v>2674</v>
      </c>
      <c r="L514" s="15" t="s">
        <v>1703</v>
      </c>
      <c r="M514" s="15" t="s">
        <v>2672</v>
      </c>
      <c r="N514" s="15" t="s">
        <v>2673</v>
      </c>
      <c r="O514" s="15"/>
    </row>
    <row r="515" spans="1:15" ht="18" customHeight="1" x14ac:dyDescent="0.3">
      <c r="A515" s="29">
        <v>514</v>
      </c>
      <c r="B515" s="15" t="s">
        <v>214</v>
      </c>
      <c r="C515" s="15" t="s">
        <v>26</v>
      </c>
      <c r="D515" s="69">
        <v>23</v>
      </c>
      <c r="E515" s="68" t="s">
        <v>187</v>
      </c>
      <c r="F515" s="21" t="s">
        <v>2805</v>
      </c>
      <c r="G515" s="15" t="s">
        <v>154</v>
      </c>
      <c r="H515" s="15" t="s">
        <v>2814</v>
      </c>
      <c r="I515" s="69">
        <v>255</v>
      </c>
      <c r="J515" s="15" t="s">
        <v>2672</v>
      </c>
      <c r="K515" s="15" t="s">
        <v>2674</v>
      </c>
      <c r="L515" s="15" t="s">
        <v>1703</v>
      </c>
      <c r="M515" s="15" t="s">
        <v>2672</v>
      </c>
      <c r="N515" s="15" t="s">
        <v>2673</v>
      </c>
      <c r="O515" s="15"/>
    </row>
    <row r="516" spans="1:15" ht="18" customHeight="1" x14ac:dyDescent="0.3">
      <c r="A516" s="29">
        <v>515</v>
      </c>
      <c r="B516" s="15" t="s">
        <v>214</v>
      </c>
      <c r="C516" s="15" t="s">
        <v>26</v>
      </c>
      <c r="D516" s="69">
        <v>23</v>
      </c>
      <c r="E516" s="68" t="s">
        <v>187</v>
      </c>
      <c r="F516" s="21" t="s">
        <v>2805</v>
      </c>
      <c r="G516" s="15" t="s">
        <v>154</v>
      </c>
      <c r="H516" s="15" t="s">
        <v>2815</v>
      </c>
      <c r="I516" s="69">
        <v>255</v>
      </c>
      <c r="J516" s="15" t="s">
        <v>2672</v>
      </c>
      <c r="K516" s="15" t="s">
        <v>2674</v>
      </c>
      <c r="L516" s="15" t="s">
        <v>1703</v>
      </c>
      <c r="M516" s="15" t="s">
        <v>2672</v>
      </c>
      <c r="N516" s="15" t="s">
        <v>2673</v>
      </c>
      <c r="O516" s="15"/>
    </row>
    <row r="517" spans="1:15" ht="18" customHeight="1" x14ac:dyDescent="0.3">
      <c r="A517" s="29">
        <v>516</v>
      </c>
      <c r="B517" s="15" t="s">
        <v>214</v>
      </c>
      <c r="C517" s="15" t="s">
        <v>26</v>
      </c>
      <c r="D517" s="69">
        <v>23</v>
      </c>
      <c r="E517" s="68" t="s">
        <v>187</v>
      </c>
      <c r="F517" s="21" t="s">
        <v>2805</v>
      </c>
      <c r="G517" s="15" t="s">
        <v>154</v>
      </c>
      <c r="H517" s="15" t="s">
        <v>2066</v>
      </c>
      <c r="I517" s="69">
        <v>378</v>
      </c>
      <c r="J517" s="15" t="s">
        <v>2674</v>
      </c>
      <c r="K517" s="15" t="s">
        <v>902</v>
      </c>
      <c r="L517" s="15" t="s">
        <v>2066</v>
      </c>
      <c r="M517" s="15" t="s">
        <v>2672</v>
      </c>
      <c r="N517" s="15" t="s">
        <v>2673</v>
      </c>
      <c r="O517" s="15" t="s">
        <v>2816</v>
      </c>
    </row>
    <row r="518" spans="1:15" ht="18" customHeight="1" x14ac:dyDescent="0.3">
      <c r="A518" s="29">
        <v>517</v>
      </c>
      <c r="B518" s="15" t="s">
        <v>214</v>
      </c>
      <c r="C518" s="15" t="s">
        <v>26</v>
      </c>
      <c r="D518" s="69">
        <v>23</v>
      </c>
      <c r="E518" s="68" t="s">
        <v>187</v>
      </c>
      <c r="F518" s="21" t="s">
        <v>2805</v>
      </c>
      <c r="G518" s="15" t="s">
        <v>154</v>
      </c>
      <c r="H518" s="15" t="s">
        <v>2817</v>
      </c>
      <c r="I518" s="69">
        <v>8</v>
      </c>
      <c r="J518" s="15" t="s">
        <v>2672</v>
      </c>
      <c r="K518" s="15" t="s">
        <v>902</v>
      </c>
      <c r="L518" s="15" t="s">
        <v>2817</v>
      </c>
      <c r="M518" s="15" t="s">
        <v>2672</v>
      </c>
      <c r="N518" s="15" t="s">
        <v>2673</v>
      </c>
      <c r="O518" s="15"/>
    </row>
    <row r="519" spans="1:15" ht="18" customHeight="1" x14ac:dyDescent="0.3">
      <c r="A519" s="29">
        <v>518</v>
      </c>
      <c r="B519" s="15" t="s">
        <v>214</v>
      </c>
      <c r="C519" s="15" t="s">
        <v>26</v>
      </c>
      <c r="D519" s="69">
        <v>23</v>
      </c>
      <c r="E519" s="68" t="s">
        <v>187</v>
      </c>
      <c r="F519" s="21" t="s">
        <v>2805</v>
      </c>
      <c r="G519" s="15" t="s">
        <v>154</v>
      </c>
      <c r="H519" s="15" t="s">
        <v>2818</v>
      </c>
      <c r="I519" s="69">
        <v>10</v>
      </c>
      <c r="J519" s="15" t="s">
        <v>2672</v>
      </c>
      <c r="K519" s="15" t="s">
        <v>902</v>
      </c>
      <c r="L519" s="15" t="s">
        <v>2818</v>
      </c>
      <c r="M519" s="15" t="s">
        <v>2672</v>
      </c>
      <c r="N519" s="15" t="s">
        <v>2673</v>
      </c>
      <c r="O519" s="15" t="s">
        <v>2819</v>
      </c>
    </row>
    <row r="520" spans="1:15" ht="18" customHeight="1" x14ac:dyDescent="0.3">
      <c r="A520" s="29">
        <v>519</v>
      </c>
      <c r="B520" s="15" t="s">
        <v>214</v>
      </c>
      <c r="C520" s="15" t="s">
        <v>26</v>
      </c>
      <c r="D520" s="69">
        <v>23</v>
      </c>
      <c r="E520" s="68" t="s">
        <v>1022</v>
      </c>
      <c r="F520" s="16" t="s">
        <v>1668</v>
      </c>
      <c r="G520" s="15" t="s">
        <v>2673</v>
      </c>
      <c r="H520" s="15" t="s">
        <v>901</v>
      </c>
      <c r="I520" s="69">
        <v>59</v>
      </c>
      <c r="J520" s="15" t="s">
        <v>2672</v>
      </c>
      <c r="K520" s="15" t="s">
        <v>903</v>
      </c>
      <c r="L520" s="15" t="s">
        <v>2673</v>
      </c>
      <c r="M520" s="15" t="s">
        <v>2672</v>
      </c>
      <c r="N520" s="15" t="s">
        <v>2673</v>
      </c>
      <c r="O520" s="15"/>
    </row>
    <row r="521" spans="1:15" ht="18" customHeight="1" x14ac:dyDescent="0.3">
      <c r="A521" s="29">
        <v>520</v>
      </c>
      <c r="B521" s="15" t="s">
        <v>214</v>
      </c>
      <c r="C521" s="15" t="s">
        <v>26</v>
      </c>
      <c r="D521" s="69">
        <v>23</v>
      </c>
      <c r="E521" s="68" t="s">
        <v>3261</v>
      </c>
      <c r="F521" s="16" t="s">
        <v>331</v>
      </c>
      <c r="G521" s="15" t="s">
        <v>154</v>
      </c>
      <c r="H521" s="15" t="s">
        <v>2714</v>
      </c>
      <c r="I521" s="69">
        <v>180</v>
      </c>
      <c r="J521" s="15" t="s">
        <v>2674</v>
      </c>
      <c r="K521" s="15" t="s">
        <v>2674</v>
      </c>
      <c r="L521" s="15" t="s">
        <v>2715</v>
      </c>
      <c r="M521" s="15" t="s">
        <v>2672</v>
      </c>
      <c r="N521" s="15" t="s">
        <v>2673</v>
      </c>
      <c r="O521" s="15" t="s">
        <v>2820</v>
      </c>
    </row>
    <row r="522" spans="1:15" ht="18" customHeight="1" x14ac:dyDescent="0.3">
      <c r="A522" s="29">
        <v>521</v>
      </c>
      <c r="B522" s="15" t="s">
        <v>214</v>
      </c>
      <c r="C522" s="15" t="s">
        <v>26</v>
      </c>
      <c r="D522" s="69">
        <v>23</v>
      </c>
      <c r="E522" s="68" t="s">
        <v>3261</v>
      </c>
      <c r="F522" s="16" t="s">
        <v>331</v>
      </c>
      <c r="G522" s="15" t="s">
        <v>154</v>
      </c>
      <c r="H522" s="15" t="s">
        <v>904</v>
      </c>
      <c r="I522" s="69">
        <v>174</v>
      </c>
      <c r="J522" s="15" t="s">
        <v>2672</v>
      </c>
      <c r="K522" s="15" t="s">
        <v>903</v>
      </c>
      <c r="L522" s="15" t="s">
        <v>2673</v>
      </c>
      <c r="M522" s="15" t="s">
        <v>2672</v>
      </c>
      <c r="N522" s="15" t="s">
        <v>2673</v>
      </c>
      <c r="O522" s="15"/>
    </row>
    <row r="523" spans="1:15" ht="18" customHeight="1" x14ac:dyDescent="0.3">
      <c r="A523" s="29">
        <v>522</v>
      </c>
      <c r="B523" s="15" t="s">
        <v>214</v>
      </c>
      <c r="C523" s="15" t="s">
        <v>26</v>
      </c>
      <c r="D523" s="69">
        <v>23</v>
      </c>
      <c r="E523" s="68" t="s">
        <v>3261</v>
      </c>
      <c r="F523" s="16" t="s">
        <v>331</v>
      </c>
      <c r="G523" s="15" t="s">
        <v>154</v>
      </c>
      <c r="H523" s="15" t="s">
        <v>905</v>
      </c>
      <c r="I523" s="69">
        <v>182</v>
      </c>
      <c r="J523" s="15" t="s">
        <v>2674</v>
      </c>
      <c r="K523" s="15" t="s">
        <v>903</v>
      </c>
      <c r="L523" s="15" t="s">
        <v>2673</v>
      </c>
      <c r="M523" s="15" t="s">
        <v>2672</v>
      </c>
      <c r="N523" s="15" t="s">
        <v>2673</v>
      </c>
      <c r="O523" s="15"/>
    </row>
    <row r="524" spans="1:15" ht="18" customHeight="1" x14ac:dyDescent="0.3">
      <c r="A524" s="29">
        <v>523</v>
      </c>
      <c r="B524" s="15" t="s">
        <v>214</v>
      </c>
      <c r="C524" s="15" t="s">
        <v>26</v>
      </c>
      <c r="D524" s="69">
        <v>23</v>
      </c>
      <c r="E524" s="68" t="s">
        <v>3261</v>
      </c>
      <c r="F524" s="16" t="s">
        <v>331</v>
      </c>
      <c r="G524" s="15" t="s">
        <v>154</v>
      </c>
      <c r="H524" s="15" t="s">
        <v>995</v>
      </c>
      <c r="I524" s="69">
        <v>94</v>
      </c>
      <c r="J524" s="15" t="s">
        <v>2672</v>
      </c>
      <c r="K524" s="15" t="s">
        <v>903</v>
      </c>
      <c r="L524" s="15" t="s">
        <v>2673</v>
      </c>
      <c r="M524" s="15" t="s">
        <v>2674</v>
      </c>
      <c r="N524" s="15" t="s">
        <v>1530</v>
      </c>
      <c r="O524" s="15"/>
    </row>
    <row r="525" spans="1:15" ht="18" customHeight="1" x14ac:dyDescent="0.3">
      <c r="A525" s="29">
        <v>524</v>
      </c>
      <c r="B525" s="15" t="s">
        <v>214</v>
      </c>
      <c r="C525" s="15" t="s">
        <v>26</v>
      </c>
      <c r="D525" s="69">
        <v>23</v>
      </c>
      <c r="E525" s="68" t="s">
        <v>3261</v>
      </c>
      <c r="F525" s="16" t="s">
        <v>331</v>
      </c>
      <c r="G525" s="15" t="s">
        <v>154</v>
      </c>
      <c r="H525" s="15" t="s">
        <v>996</v>
      </c>
      <c r="I525" s="69">
        <v>108</v>
      </c>
      <c r="J525" s="15" t="s">
        <v>2674</v>
      </c>
      <c r="K525" s="15" t="s">
        <v>903</v>
      </c>
      <c r="L525" s="15" t="s">
        <v>2673</v>
      </c>
      <c r="M525" s="15" t="s">
        <v>2674</v>
      </c>
      <c r="N525" s="15" t="s">
        <v>1530</v>
      </c>
      <c r="O525" s="15"/>
    </row>
    <row r="526" spans="1:15" ht="18" customHeight="1" x14ac:dyDescent="0.3">
      <c r="A526" s="29">
        <v>525</v>
      </c>
      <c r="B526" s="15" t="s">
        <v>214</v>
      </c>
      <c r="C526" s="15" t="s">
        <v>26</v>
      </c>
      <c r="D526" s="69">
        <v>23</v>
      </c>
      <c r="E526" s="68" t="s">
        <v>3261</v>
      </c>
      <c r="F526" s="16" t="s">
        <v>331</v>
      </c>
      <c r="G526" s="15" t="s">
        <v>154</v>
      </c>
      <c r="H526" s="15" t="s">
        <v>2680</v>
      </c>
      <c r="I526" s="69">
        <v>160</v>
      </c>
      <c r="J526" s="15" t="s">
        <v>2674</v>
      </c>
      <c r="K526" s="15" t="s">
        <v>903</v>
      </c>
      <c r="L526" s="15" t="s">
        <v>2673</v>
      </c>
      <c r="M526" s="15" t="s">
        <v>2672</v>
      </c>
      <c r="N526" s="15" t="s">
        <v>2673</v>
      </c>
      <c r="O526" s="15"/>
    </row>
    <row r="527" spans="1:15" ht="18" customHeight="1" x14ac:dyDescent="0.3">
      <c r="A527" s="29">
        <v>526</v>
      </c>
      <c r="B527" s="15" t="s">
        <v>214</v>
      </c>
      <c r="C527" s="15" t="s">
        <v>26</v>
      </c>
      <c r="D527" s="69">
        <v>23</v>
      </c>
      <c r="E527" s="68" t="s">
        <v>3262</v>
      </c>
      <c r="F527" s="16" t="s">
        <v>2821</v>
      </c>
      <c r="G527" s="15" t="s">
        <v>154</v>
      </c>
      <c r="H527" s="15" t="s">
        <v>2716</v>
      </c>
      <c r="I527" s="69">
        <v>30</v>
      </c>
      <c r="J527" s="15" t="s">
        <v>2674</v>
      </c>
      <c r="K527" s="15" t="s">
        <v>902</v>
      </c>
      <c r="L527" s="15" t="s">
        <v>2717</v>
      </c>
      <c r="M527" s="15" t="s">
        <v>2672</v>
      </c>
      <c r="N527" s="15" t="s">
        <v>2673</v>
      </c>
      <c r="O527" s="15"/>
    </row>
    <row r="528" spans="1:15" ht="18" customHeight="1" x14ac:dyDescent="0.3">
      <c r="A528" s="29">
        <v>527</v>
      </c>
      <c r="B528" s="15" t="s">
        <v>214</v>
      </c>
      <c r="C528" s="15" t="s">
        <v>26</v>
      </c>
      <c r="D528" s="69">
        <v>23</v>
      </c>
      <c r="E528" s="68" t="s">
        <v>3262</v>
      </c>
      <c r="F528" s="16" t="s">
        <v>2821</v>
      </c>
      <c r="G528" s="15" t="s">
        <v>154</v>
      </c>
      <c r="H528" s="15" t="s">
        <v>2822</v>
      </c>
      <c r="I528" s="69">
        <v>46</v>
      </c>
      <c r="J528" s="15" t="s">
        <v>2674</v>
      </c>
      <c r="K528" s="15" t="s">
        <v>902</v>
      </c>
      <c r="L528" s="15" t="s">
        <v>1043</v>
      </c>
      <c r="M528" s="15" t="s">
        <v>2672</v>
      </c>
      <c r="N528" s="15" t="s">
        <v>2673</v>
      </c>
      <c r="O528" s="15"/>
    </row>
    <row r="529" spans="1:15" ht="18" customHeight="1" x14ac:dyDescent="0.3">
      <c r="A529" s="29">
        <v>528</v>
      </c>
      <c r="B529" s="15" t="s">
        <v>214</v>
      </c>
      <c r="C529" s="15" t="s">
        <v>27</v>
      </c>
      <c r="D529" s="69">
        <v>24</v>
      </c>
      <c r="E529" s="68" t="s">
        <v>2823</v>
      </c>
      <c r="F529" s="21" t="s">
        <v>410</v>
      </c>
      <c r="G529" s="15" t="s">
        <v>164</v>
      </c>
      <c r="H529" s="15" t="s">
        <v>901</v>
      </c>
      <c r="I529" s="69">
        <v>246</v>
      </c>
      <c r="J529" s="15" t="s">
        <v>2672</v>
      </c>
      <c r="K529" s="15" t="s">
        <v>903</v>
      </c>
      <c r="L529" s="15" t="s">
        <v>2673</v>
      </c>
      <c r="M529" s="15" t="s">
        <v>2672</v>
      </c>
      <c r="N529" s="15" t="s">
        <v>2673</v>
      </c>
      <c r="O529" s="15"/>
    </row>
    <row r="530" spans="1:15" ht="18" customHeight="1" x14ac:dyDescent="0.3">
      <c r="A530" s="29">
        <v>529</v>
      </c>
      <c r="B530" s="15" t="s">
        <v>214</v>
      </c>
      <c r="C530" s="15" t="s">
        <v>27</v>
      </c>
      <c r="D530" s="69">
        <v>24</v>
      </c>
      <c r="E530" s="68" t="s">
        <v>2823</v>
      </c>
      <c r="F530" s="21" t="s">
        <v>410</v>
      </c>
      <c r="G530" s="15" t="s">
        <v>164</v>
      </c>
      <c r="H530" s="15" t="s">
        <v>904</v>
      </c>
      <c r="I530" s="69">
        <v>67</v>
      </c>
      <c r="J530" s="15" t="s">
        <v>2672</v>
      </c>
      <c r="K530" s="15" t="s">
        <v>903</v>
      </c>
      <c r="L530" s="15" t="s">
        <v>2673</v>
      </c>
      <c r="M530" s="15" t="s">
        <v>2672</v>
      </c>
      <c r="N530" s="15" t="s">
        <v>2673</v>
      </c>
      <c r="O530" s="15"/>
    </row>
    <row r="531" spans="1:15" ht="18" customHeight="1" x14ac:dyDescent="0.3">
      <c r="A531" s="29">
        <v>530</v>
      </c>
      <c r="B531" s="15" t="s">
        <v>214</v>
      </c>
      <c r="C531" s="15" t="s">
        <v>27</v>
      </c>
      <c r="D531" s="69">
        <v>24</v>
      </c>
      <c r="E531" s="68" t="s">
        <v>2823</v>
      </c>
      <c r="F531" s="21" t="s">
        <v>410</v>
      </c>
      <c r="G531" s="15" t="s">
        <v>164</v>
      </c>
      <c r="H531" s="15" t="s">
        <v>905</v>
      </c>
      <c r="I531" s="69">
        <v>67</v>
      </c>
      <c r="J531" s="15" t="s">
        <v>2672</v>
      </c>
      <c r="K531" s="15" t="s">
        <v>903</v>
      </c>
      <c r="L531" s="15" t="s">
        <v>2673</v>
      </c>
      <c r="M531" s="15" t="s">
        <v>2672</v>
      </c>
      <c r="N531" s="15" t="s">
        <v>2673</v>
      </c>
      <c r="O531" s="15"/>
    </row>
    <row r="532" spans="1:15" ht="18" customHeight="1" x14ac:dyDescent="0.3">
      <c r="A532" s="29">
        <v>531</v>
      </c>
      <c r="B532" s="15" t="s">
        <v>214</v>
      </c>
      <c r="C532" s="15" t="s">
        <v>27</v>
      </c>
      <c r="D532" s="69">
        <v>24</v>
      </c>
      <c r="E532" s="68" t="s">
        <v>2823</v>
      </c>
      <c r="F532" s="21" t="s">
        <v>410</v>
      </c>
      <c r="G532" s="15" t="s">
        <v>164</v>
      </c>
      <c r="H532" s="15" t="s">
        <v>906</v>
      </c>
      <c r="I532" s="69">
        <v>110</v>
      </c>
      <c r="J532" s="15" t="s">
        <v>2672</v>
      </c>
      <c r="K532" s="15" t="s">
        <v>903</v>
      </c>
      <c r="L532" s="15" t="s">
        <v>2673</v>
      </c>
      <c r="M532" s="15" t="s">
        <v>2672</v>
      </c>
      <c r="N532" s="15" t="s">
        <v>2673</v>
      </c>
      <c r="O532" s="15"/>
    </row>
    <row r="533" spans="1:15" ht="18" customHeight="1" x14ac:dyDescent="0.3">
      <c r="A533" s="29">
        <v>532</v>
      </c>
      <c r="B533" s="15" t="s">
        <v>214</v>
      </c>
      <c r="C533" s="15" t="s">
        <v>27</v>
      </c>
      <c r="D533" s="69">
        <v>24</v>
      </c>
      <c r="E533" s="68" t="s">
        <v>2823</v>
      </c>
      <c r="F533" s="21" t="s">
        <v>410</v>
      </c>
      <c r="G533" s="15" t="s">
        <v>164</v>
      </c>
      <c r="H533" s="15" t="s">
        <v>907</v>
      </c>
      <c r="I533" s="69">
        <v>105</v>
      </c>
      <c r="J533" s="15" t="s">
        <v>2672</v>
      </c>
      <c r="K533" s="15" t="s">
        <v>903</v>
      </c>
      <c r="L533" s="15" t="s">
        <v>2673</v>
      </c>
      <c r="M533" s="15" t="s">
        <v>2672</v>
      </c>
      <c r="N533" s="15" t="s">
        <v>2673</v>
      </c>
      <c r="O533" s="15"/>
    </row>
    <row r="534" spans="1:15" ht="18" customHeight="1" x14ac:dyDescent="0.3">
      <c r="A534" s="29">
        <v>533</v>
      </c>
      <c r="B534" s="15" t="s">
        <v>214</v>
      </c>
      <c r="C534" s="15" t="s">
        <v>27</v>
      </c>
      <c r="D534" s="69">
        <v>24</v>
      </c>
      <c r="E534" s="68" t="s">
        <v>2823</v>
      </c>
      <c r="F534" s="21" t="s">
        <v>410</v>
      </c>
      <c r="G534" s="15" t="s">
        <v>164</v>
      </c>
      <c r="H534" s="15" t="s">
        <v>908</v>
      </c>
      <c r="I534" s="69">
        <v>116</v>
      </c>
      <c r="J534" s="15" t="s">
        <v>2672</v>
      </c>
      <c r="K534" s="15" t="s">
        <v>903</v>
      </c>
      <c r="L534" s="15" t="s">
        <v>2673</v>
      </c>
      <c r="M534" s="15" t="s">
        <v>2672</v>
      </c>
      <c r="N534" s="15" t="s">
        <v>2673</v>
      </c>
      <c r="O534" s="15"/>
    </row>
    <row r="535" spans="1:15" ht="18" customHeight="1" x14ac:dyDescent="0.3">
      <c r="A535" s="29">
        <v>534</v>
      </c>
      <c r="B535" s="15" t="s">
        <v>214</v>
      </c>
      <c r="C535" s="15" t="s">
        <v>27</v>
      </c>
      <c r="D535" s="69">
        <v>24</v>
      </c>
      <c r="E535" s="68" t="s">
        <v>2823</v>
      </c>
      <c r="F535" s="21" t="s">
        <v>410</v>
      </c>
      <c r="G535" s="15" t="s">
        <v>164</v>
      </c>
      <c r="H535" s="15" t="s">
        <v>909</v>
      </c>
      <c r="I535" s="69">
        <v>46</v>
      </c>
      <c r="J535" s="15" t="s">
        <v>2672</v>
      </c>
      <c r="K535" s="15" t="s">
        <v>903</v>
      </c>
      <c r="L535" s="15" t="s">
        <v>2673</v>
      </c>
      <c r="M535" s="15" t="s">
        <v>2672</v>
      </c>
      <c r="N535" s="15" t="s">
        <v>2673</v>
      </c>
      <c r="O535" s="15"/>
    </row>
    <row r="536" spans="1:15" ht="18" customHeight="1" x14ac:dyDescent="0.3">
      <c r="A536" s="29">
        <v>535</v>
      </c>
      <c r="B536" s="15" t="s">
        <v>214</v>
      </c>
      <c r="C536" s="15" t="s">
        <v>27</v>
      </c>
      <c r="D536" s="69">
        <v>24</v>
      </c>
      <c r="E536" s="68" t="s">
        <v>2823</v>
      </c>
      <c r="F536" s="21" t="s">
        <v>410</v>
      </c>
      <c r="G536" s="15" t="s">
        <v>164</v>
      </c>
      <c r="H536" s="15" t="s">
        <v>910</v>
      </c>
      <c r="I536" s="69">
        <v>126</v>
      </c>
      <c r="J536" s="15" t="s">
        <v>2672</v>
      </c>
      <c r="K536" s="15" t="s">
        <v>903</v>
      </c>
      <c r="L536" s="15" t="s">
        <v>2673</v>
      </c>
      <c r="M536" s="15" t="s">
        <v>2672</v>
      </c>
      <c r="N536" s="15" t="s">
        <v>2673</v>
      </c>
      <c r="O536" s="15"/>
    </row>
    <row r="537" spans="1:15" ht="18" customHeight="1" x14ac:dyDescent="0.3">
      <c r="A537" s="29">
        <v>536</v>
      </c>
      <c r="B537" s="15" t="s">
        <v>214</v>
      </c>
      <c r="C537" s="15" t="s">
        <v>27</v>
      </c>
      <c r="D537" s="69">
        <v>24</v>
      </c>
      <c r="E537" s="68" t="s">
        <v>2823</v>
      </c>
      <c r="F537" s="21" t="s">
        <v>410</v>
      </c>
      <c r="G537" s="15" t="s">
        <v>164</v>
      </c>
      <c r="H537" s="15" t="s">
        <v>911</v>
      </c>
      <c r="I537" s="69">
        <v>124</v>
      </c>
      <c r="J537" s="15" t="s">
        <v>2674</v>
      </c>
      <c r="K537" s="15" t="s">
        <v>903</v>
      </c>
      <c r="L537" s="15" t="s">
        <v>2673</v>
      </c>
      <c r="M537" s="15" t="s">
        <v>2672</v>
      </c>
      <c r="N537" s="15" t="s">
        <v>2673</v>
      </c>
      <c r="O537" s="15"/>
    </row>
    <row r="538" spans="1:15" ht="18" customHeight="1" x14ac:dyDescent="0.3">
      <c r="A538" s="29">
        <v>537</v>
      </c>
      <c r="B538" s="15" t="s">
        <v>214</v>
      </c>
      <c r="C538" s="15" t="s">
        <v>27</v>
      </c>
      <c r="D538" s="69">
        <v>24</v>
      </c>
      <c r="E538" s="68" t="s">
        <v>968</v>
      </c>
      <c r="F538" s="21" t="s">
        <v>408</v>
      </c>
      <c r="G538" s="15" t="s">
        <v>154</v>
      </c>
      <c r="H538" s="15" t="s">
        <v>905</v>
      </c>
      <c r="I538" s="69">
        <v>158</v>
      </c>
      <c r="J538" s="13" t="s">
        <v>902</v>
      </c>
      <c r="K538" s="15" t="s">
        <v>2672</v>
      </c>
      <c r="L538" s="15" t="s">
        <v>2673</v>
      </c>
      <c r="M538" s="15" t="s">
        <v>2672</v>
      </c>
      <c r="N538" s="15" t="s">
        <v>2673</v>
      </c>
      <c r="O538" s="15"/>
    </row>
    <row r="539" spans="1:15" ht="18" customHeight="1" x14ac:dyDescent="0.3">
      <c r="A539" s="29">
        <v>538</v>
      </c>
      <c r="B539" s="15" t="s">
        <v>214</v>
      </c>
      <c r="C539" s="15" t="s">
        <v>27</v>
      </c>
      <c r="D539" s="69">
        <v>24</v>
      </c>
      <c r="E539" s="68" t="s">
        <v>968</v>
      </c>
      <c r="F539" s="21" t="s">
        <v>408</v>
      </c>
      <c r="G539" s="15" t="s">
        <v>154</v>
      </c>
      <c r="H539" s="15" t="s">
        <v>906</v>
      </c>
      <c r="I539" s="69">
        <v>268</v>
      </c>
      <c r="J539" s="13" t="s">
        <v>2672</v>
      </c>
      <c r="K539" s="15" t="s">
        <v>2672</v>
      </c>
      <c r="L539" s="15" t="s">
        <v>2673</v>
      </c>
      <c r="M539" s="15" t="s">
        <v>2672</v>
      </c>
      <c r="N539" s="15" t="s">
        <v>2673</v>
      </c>
      <c r="O539" s="14"/>
    </row>
    <row r="540" spans="1:15" ht="18" customHeight="1" x14ac:dyDescent="0.3">
      <c r="A540" s="29">
        <v>539</v>
      </c>
      <c r="B540" s="15" t="s">
        <v>214</v>
      </c>
      <c r="C540" s="15" t="s">
        <v>27</v>
      </c>
      <c r="D540" s="69">
        <v>24</v>
      </c>
      <c r="E540" s="68" t="s">
        <v>968</v>
      </c>
      <c r="F540" s="21" t="s">
        <v>408</v>
      </c>
      <c r="G540" s="15" t="s">
        <v>154</v>
      </c>
      <c r="H540" s="15" t="s">
        <v>907</v>
      </c>
      <c r="I540" s="69">
        <v>389</v>
      </c>
      <c r="J540" s="13" t="s">
        <v>902</v>
      </c>
      <c r="K540" s="15" t="s">
        <v>903</v>
      </c>
      <c r="L540" s="15" t="s">
        <v>2673</v>
      </c>
      <c r="M540" s="15" t="s">
        <v>2672</v>
      </c>
      <c r="N540" s="15" t="s">
        <v>2673</v>
      </c>
      <c r="O540" s="15" t="s">
        <v>1174</v>
      </c>
    </row>
    <row r="541" spans="1:15" ht="18" customHeight="1" x14ac:dyDescent="0.3">
      <c r="A541" s="29">
        <v>540</v>
      </c>
      <c r="B541" s="15" t="s">
        <v>214</v>
      </c>
      <c r="C541" s="15" t="s">
        <v>27</v>
      </c>
      <c r="D541" s="69">
        <v>24</v>
      </c>
      <c r="E541" s="68" t="s">
        <v>968</v>
      </c>
      <c r="F541" s="21" t="s">
        <v>408</v>
      </c>
      <c r="G541" s="15" t="s">
        <v>154</v>
      </c>
      <c r="H541" s="15" t="s">
        <v>2682</v>
      </c>
      <c r="I541" s="69">
        <v>124</v>
      </c>
      <c r="J541" s="13" t="s">
        <v>2672</v>
      </c>
      <c r="K541" s="15" t="s">
        <v>903</v>
      </c>
      <c r="L541" s="15" t="s">
        <v>2673</v>
      </c>
      <c r="M541" s="15" t="s">
        <v>2672</v>
      </c>
      <c r="N541" s="15" t="s">
        <v>2673</v>
      </c>
      <c r="O541" s="15"/>
    </row>
    <row r="542" spans="1:15" ht="18" customHeight="1" x14ac:dyDescent="0.3">
      <c r="A542" s="29">
        <v>541</v>
      </c>
      <c r="B542" s="15" t="s">
        <v>214</v>
      </c>
      <c r="C542" s="15" t="s">
        <v>27</v>
      </c>
      <c r="D542" s="69">
        <v>24</v>
      </c>
      <c r="E542" s="68" t="s">
        <v>968</v>
      </c>
      <c r="F542" s="21" t="s">
        <v>408</v>
      </c>
      <c r="G542" s="15" t="s">
        <v>154</v>
      </c>
      <c r="H542" s="15" t="s">
        <v>909</v>
      </c>
      <c r="I542" s="69">
        <v>124</v>
      </c>
      <c r="J542" s="13" t="s">
        <v>2672</v>
      </c>
      <c r="K542" s="15" t="s">
        <v>2672</v>
      </c>
      <c r="L542" s="15" t="s">
        <v>2673</v>
      </c>
      <c r="M542" s="15" t="s">
        <v>2674</v>
      </c>
      <c r="N542" s="15" t="s">
        <v>2741</v>
      </c>
      <c r="O542" s="15"/>
    </row>
    <row r="543" spans="1:15" ht="18" customHeight="1" x14ac:dyDescent="0.3">
      <c r="A543" s="29">
        <v>542</v>
      </c>
      <c r="B543" s="15" t="s">
        <v>214</v>
      </c>
      <c r="C543" s="15" t="s">
        <v>27</v>
      </c>
      <c r="D543" s="69">
        <v>24</v>
      </c>
      <c r="E543" s="68" t="s">
        <v>968</v>
      </c>
      <c r="F543" s="21" t="s">
        <v>408</v>
      </c>
      <c r="G543" s="15" t="s">
        <v>154</v>
      </c>
      <c r="H543" s="15" t="s">
        <v>910</v>
      </c>
      <c r="I543" s="69">
        <v>306</v>
      </c>
      <c r="J543" s="13" t="s">
        <v>2672</v>
      </c>
      <c r="K543" s="15" t="s">
        <v>903</v>
      </c>
      <c r="L543" s="15" t="s">
        <v>2673</v>
      </c>
      <c r="M543" s="15" t="s">
        <v>2672</v>
      </c>
      <c r="N543" s="15" t="s">
        <v>2673</v>
      </c>
      <c r="O543" s="15"/>
    </row>
    <row r="544" spans="1:15" ht="18" customHeight="1" x14ac:dyDescent="0.3">
      <c r="A544" s="29">
        <v>543</v>
      </c>
      <c r="B544" s="15" t="s">
        <v>214</v>
      </c>
      <c r="C544" s="15" t="s">
        <v>27</v>
      </c>
      <c r="D544" s="69">
        <v>24</v>
      </c>
      <c r="E544" s="68" t="s">
        <v>968</v>
      </c>
      <c r="F544" s="21" t="s">
        <v>408</v>
      </c>
      <c r="G544" s="15" t="s">
        <v>154</v>
      </c>
      <c r="H544" s="15" t="s">
        <v>2824</v>
      </c>
      <c r="I544" s="69">
        <v>360</v>
      </c>
      <c r="J544" s="13" t="s">
        <v>2672</v>
      </c>
      <c r="K544" s="15" t="s">
        <v>903</v>
      </c>
      <c r="L544" s="15" t="s">
        <v>2673</v>
      </c>
      <c r="M544" s="15" t="s">
        <v>2672</v>
      </c>
      <c r="N544" s="15" t="s">
        <v>2673</v>
      </c>
      <c r="O544" s="15" t="s">
        <v>3439</v>
      </c>
    </row>
    <row r="545" spans="1:15" ht="18" customHeight="1" x14ac:dyDescent="0.3">
      <c r="A545" s="29">
        <v>544</v>
      </c>
      <c r="B545" s="15" t="s">
        <v>214</v>
      </c>
      <c r="C545" s="15" t="s">
        <v>27</v>
      </c>
      <c r="D545" s="69">
        <v>24</v>
      </c>
      <c r="E545" s="68" t="s">
        <v>968</v>
      </c>
      <c r="F545" s="21" t="s">
        <v>408</v>
      </c>
      <c r="G545" s="15" t="s">
        <v>154</v>
      </c>
      <c r="H545" s="15" t="s">
        <v>2776</v>
      </c>
      <c r="I545" s="69">
        <v>218</v>
      </c>
      <c r="J545" s="13" t="s">
        <v>2672</v>
      </c>
      <c r="K545" s="15" t="s">
        <v>903</v>
      </c>
      <c r="L545" s="15" t="s">
        <v>2673</v>
      </c>
      <c r="M545" s="15" t="s">
        <v>2672</v>
      </c>
      <c r="N545" s="15" t="s">
        <v>2673</v>
      </c>
      <c r="O545" s="15" t="s">
        <v>3440</v>
      </c>
    </row>
    <row r="546" spans="1:15" ht="18" customHeight="1" x14ac:dyDescent="0.3">
      <c r="A546" s="29">
        <v>545</v>
      </c>
      <c r="B546" s="15" t="s">
        <v>214</v>
      </c>
      <c r="C546" s="15" t="s">
        <v>27</v>
      </c>
      <c r="D546" s="69">
        <v>24</v>
      </c>
      <c r="E546" s="68" t="s">
        <v>968</v>
      </c>
      <c r="F546" s="21" t="s">
        <v>408</v>
      </c>
      <c r="G546" s="15" t="s">
        <v>154</v>
      </c>
      <c r="H546" s="15" t="s">
        <v>980</v>
      </c>
      <c r="I546" s="69">
        <v>96</v>
      </c>
      <c r="J546" s="13" t="s">
        <v>2672</v>
      </c>
      <c r="K546" s="15" t="s">
        <v>2672</v>
      </c>
      <c r="L546" s="15" t="s">
        <v>2673</v>
      </c>
      <c r="M546" s="15" t="s">
        <v>2674</v>
      </c>
      <c r="N546" s="15" t="s">
        <v>2741</v>
      </c>
      <c r="O546" s="15"/>
    </row>
    <row r="547" spans="1:15" ht="18" customHeight="1" x14ac:dyDescent="0.3">
      <c r="A547" s="29">
        <v>546</v>
      </c>
      <c r="B547" s="15" t="s">
        <v>214</v>
      </c>
      <c r="C547" s="15" t="s">
        <v>27</v>
      </c>
      <c r="D547" s="69">
        <v>24</v>
      </c>
      <c r="E547" s="68" t="s">
        <v>968</v>
      </c>
      <c r="F547" s="21" t="s">
        <v>408</v>
      </c>
      <c r="G547" s="15" t="s">
        <v>154</v>
      </c>
      <c r="H547" s="15" t="s">
        <v>986</v>
      </c>
      <c r="I547" s="69">
        <v>192</v>
      </c>
      <c r="J547" s="13" t="s">
        <v>2672</v>
      </c>
      <c r="K547" s="15" t="s">
        <v>2674</v>
      </c>
      <c r="L547" s="15" t="s">
        <v>2729</v>
      </c>
      <c r="M547" s="15" t="s">
        <v>2672</v>
      </c>
      <c r="N547" s="15" t="s">
        <v>2673</v>
      </c>
      <c r="O547" s="15"/>
    </row>
    <row r="548" spans="1:15" ht="18" customHeight="1" x14ac:dyDescent="0.3">
      <c r="A548" s="29">
        <v>547</v>
      </c>
      <c r="B548" s="15" t="s">
        <v>214</v>
      </c>
      <c r="C548" s="15" t="s">
        <v>27</v>
      </c>
      <c r="D548" s="69">
        <v>24</v>
      </c>
      <c r="E548" s="68" t="s">
        <v>968</v>
      </c>
      <c r="F548" s="21" t="s">
        <v>408</v>
      </c>
      <c r="G548" s="15" t="s">
        <v>154</v>
      </c>
      <c r="H548" s="15" t="s">
        <v>969</v>
      </c>
      <c r="I548" s="69">
        <v>231</v>
      </c>
      <c r="J548" s="13" t="s">
        <v>2672</v>
      </c>
      <c r="K548" s="15" t="s">
        <v>903</v>
      </c>
      <c r="L548" s="15" t="s">
        <v>2673</v>
      </c>
      <c r="M548" s="15" t="s">
        <v>2672</v>
      </c>
      <c r="N548" s="15" t="s">
        <v>2673</v>
      </c>
      <c r="O548" s="15"/>
    </row>
    <row r="549" spans="1:15" ht="18" customHeight="1" x14ac:dyDescent="0.3">
      <c r="A549" s="29">
        <v>548</v>
      </c>
      <c r="B549" s="15" t="s">
        <v>214</v>
      </c>
      <c r="C549" s="15" t="s">
        <v>27</v>
      </c>
      <c r="D549" s="69">
        <v>24</v>
      </c>
      <c r="E549" s="68" t="s">
        <v>968</v>
      </c>
      <c r="F549" s="21" t="s">
        <v>408</v>
      </c>
      <c r="G549" s="15" t="s">
        <v>154</v>
      </c>
      <c r="H549" s="15" t="s">
        <v>1266</v>
      </c>
      <c r="I549" s="69">
        <v>416</v>
      </c>
      <c r="J549" s="13" t="s">
        <v>902</v>
      </c>
      <c r="K549" s="15" t="s">
        <v>903</v>
      </c>
      <c r="L549" s="15" t="s">
        <v>2673</v>
      </c>
      <c r="M549" s="15" t="s">
        <v>2672</v>
      </c>
      <c r="N549" s="15" t="s">
        <v>2673</v>
      </c>
      <c r="O549" s="15" t="s">
        <v>1174</v>
      </c>
    </row>
    <row r="550" spans="1:15" ht="18" customHeight="1" x14ac:dyDescent="0.3">
      <c r="A550" s="29">
        <v>549</v>
      </c>
      <c r="B550" s="15" t="s">
        <v>214</v>
      </c>
      <c r="C550" s="15" t="s">
        <v>27</v>
      </c>
      <c r="D550" s="69">
        <v>24</v>
      </c>
      <c r="E550" s="68" t="s">
        <v>968</v>
      </c>
      <c r="F550" s="21" t="s">
        <v>408</v>
      </c>
      <c r="G550" s="15" t="s">
        <v>154</v>
      </c>
      <c r="H550" s="15" t="s">
        <v>970</v>
      </c>
      <c r="I550" s="69">
        <v>132</v>
      </c>
      <c r="J550" s="13" t="s">
        <v>2672</v>
      </c>
      <c r="K550" s="15" t="s">
        <v>903</v>
      </c>
      <c r="L550" s="15" t="s">
        <v>2673</v>
      </c>
      <c r="M550" s="15" t="s">
        <v>2672</v>
      </c>
      <c r="N550" s="15" t="s">
        <v>2673</v>
      </c>
      <c r="O550" s="15"/>
    </row>
    <row r="551" spans="1:15" ht="18" customHeight="1" x14ac:dyDescent="0.3">
      <c r="A551" s="29">
        <v>550</v>
      </c>
      <c r="B551" s="15" t="s">
        <v>214</v>
      </c>
      <c r="C551" s="15" t="s">
        <v>27</v>
      </c>
      <c r="D551" s="69">
        <v>24</v>
      </c>
      <c r="E551" s="68" t="s">
        <v>968</v>
      </c>
      <c r="F551" s="21" t="s">
        <v>408</v>
      </c>
      <c r="G551" s="15" t="s">
        <v>154</v>
      </c>
      <c r="H551" s="15" t="s">
        <v>971</v>
      </c>
      <c r="I551" s="69">
        <v>132</v>
      </c>
      <c r="J551" s="13" t="s">
        <v>2672</v>
      </c>
      <c r="K551" s="15" t="s">
        <v>903</v>
      </c>
      <c r="L551" s="15" t="s">
        <v>2673</v>
      </c>
      <c r="M551" s="15" t="s">
        <v>2672</v>
      </c>
      <c r="N551" s="15" t="s">
        <v>2673</v>
      </c>
      <c r="O551" s="15"/>
    </row>
    <row r="552" spans="1:15" ht="18" customHeight="1" x14ac:dyDescent="0.3">
      <c r="A552" s="29">
        <v>551</v>
      </c>
      <c r="B552" s="15" t="s">
        <v>214</v>
      </c>
      <c r="C552" s="15" t="s">
        <v>27</v>
      </c>
      <c r="D552" s="69">
        <v>24</v>
      </c>
      <c r="E552" s="68" t="s">
        <v>968</v>
      </c>
      <c r="F552" s="21" t="s">
        <v>408</v>
      </c>
      <c r="G552" s="15" t="s">
        <v>154</v>
      </c>
      <c r="H552" s="15" t="s">
        <v>972</v>
      </c>
      <c r="I552" s="69">
        <v>160</v>
      </c>
      <c r="J552" s="13" t="s">
        <v>2672</v>
      </c>
      <c r="K552" s="15" t="s">
        <v>903</v>
      </c>
      <c r="L552" s="15" t="s">
        <v>2673</v>
      </c>
      <c r="M552" s="15" t="s">
        <v>2672</v>
      </c>
      <c r="N552" s="15" t="s">
        <v>2673</v>
      </c>
      <c r="O552" s="15"/>
    </row>
    <row r="553" spans="1:15" ht="18" customHeight="1" x14ac:dyDescent="0.3">
      <c r="A553" s="29">
        <v>552</v>
      </c>
      <c r="B553" s="15" t="s">
        <v>214</v>
      </c>
      <c r="C553" s="15" t="s">
        <v>27</v>
      </c>
      <c r="D553" s="69">
        <v>24</v>
      </c>
      <c r="E553" s="68" t="s">
        <v>968</v>
      </c>
      <c r="F553" s="21" t="s">
        <v>408</v>
      </c>
      <c r="G553" s="15" t="s">
        <v>154</v>
      </c>
      <c r="H553" s="15" t="s">
        <v>1249</v>
      </c>
      <c r="I553" s="69">
        <v>220</v>
      </c>
      <c r="J553" s="13" t="s">
        <v>902</v>
      </c>
      <c r="K553" s="15" t="s">
        <v>2674</v>
      </c>
      <c r="L553" s="15" t="s">
        <v>1577</v>
      </c>
      <c r="M553" s="15" t="s">
        <v>2672</v>
      </c>
      <c r="N553" s="15" t="s">
        <v>2673</v>
      </c>
      <c r="O553" s="15"/>
    </row>
    <row r="554" spans="1:15" ht="18" customHeight="1" x14ac:dyDescent="0.3">
      <c r="A554" s="29">
        <v>553</v>
      </c>
      <c r="B554" s="15" t="s">
        <v>214</v>
      </c>
      <c r="C554" s="15" t="s">
        <v>27</v>
      </c>
      <c r="D554" s="69">
        <v>24</v>
      </c>
      <c r="E554" s="68" t="s">
        <v>968</v>
      </c>
      <c r="F554" s="21" t="s">
        <v>408</v>
      </c>
      <c r="G554" s="15" t="s">
        <v>154</v>
      </c>
      <c r="H554" s="15" t="s">
        <v>1267</v>
      </c>
      <c r="I554" s="69">
        <v>383</v>
      </c>
      <c r="J554" s="13" t="s">
        <v>902</v>
      </c>
      <c r="K554" s="15" t="s">
        <v>903</v>
      </c>
      <c r="L554" s="15" t="s">
        <v>2673</v>
      </c>
      <c r="M554" s="15" t="s">
        <v>2672</v>
      </c>
      <c r="N554" s="15" t="s">
        <v>2673</v>
      </c>
      <c r="O554" s="15" t="s">
        <v>1174</v>
      </c>
    </row>
    <row r="555" spans="1:15" ht="18" customHeight="1" x14ac:dyDescent="0.3">
      <c r="A555" s="29">
        <v>554</v>
      </c>
      <c r="B555" s="15" t="s">
        <v>214</v>
      </c>
      <c r="C555" s="15" t="s">
        <v>27</v>
      </c>
      <c r="D555" s="69">
        <v>24</v>
      </c>
      <c r="E555" s="68" t="s">
        <v>968</v>
      </c>
      <c r="F555" s="21" t="s">
        <v>408</v>
      </c>
      <c r="G555" s="15" t="s">
        <v>154</v>
      </c>
      <c r="H555" s="15" t="s">
        <v>1268</v>
      </c>
      <c r="I555" s="69">
        <v>295</v>
      </c>
      <c r="J555" s="13" t="s">
        <v>902</v>
      </c>
      <c r="K555" s="15" t="s">
        <v>2674</v>
      </c>
      <c r="L555" s="15" t="s">
        <v>2747</v>
      </c>
      <c r="M555" s="15" t="s">
        <v>2672</v>
      </c>
      <c r="N555" s="15" t="s">
        <v>2673</v>
      </c>
      <c r="O555" s="15" t="s">
        <v>2748</v>
      </c>
    </row>
    <row r="556" spans="1:15" ht="18" customHeight="1" x14ac:dyDescent="0.3">
      <c r="A556" s="29">
        <v>555</v>
      </c>
      <c r="B556" s="15" t="s">
        <v>214</v>
      </c>
      <c r="C556" s="15" t="s">
        <v>27</v>
      </c>
      <c r="D556" s="69">
        <v>24</v>
      </c>
      <c r="E556" s="68" t="s">
        <v>1258</v>
      </c>
      <c r="F556" s="21" t="s">
        <v>408</v>
      </c>
      <c r="G556" s="15" t="s">
        <v>154</v>
      </c>
      <c r="H556" s="15" t="s">
        <v>2685</v>
      </c>
      <c r="I556" s="69">
        <v>32</v>
      </c>
      <c r="J556" s="13" t="s">
        <v>902</v>
      </c>
      <c r="K556" s="15" t="s">
        <v>2674</v>
      </c>
      <c r="L556" s="15" t="s">
        <v>2692</v>
      </c>
      <c r="M556" s="15" t="s">
        <v>2672</v>
      </c>
      <c r="N556" s="15" t="s">
        <v>2673</v>
      </c>
      <c r="O556" s="15"/>
    </row>
    <row r="557" spans="1:15" ht="18" customHeight="1" x14ac:dyDescent="0.3">
      <c r="A557" s="29">
        <v>556</v>
      </c>
      <c r="B557" s="15" t="s">
        <v>214</v>
      </c>
      <c r="C557" s="15" t="s">
        <v>27</v>
      </c>
      <c r="D557" s="69">
        <v>24</v>
      </c>
      <c r="E557" s="68" t="s">
        <v>1258</v>
      </c>
      <c r="F557" s="21" t="s">
        <v>408</v>
      </c>
      <c r="G557" s="15" t="s">
        <v>154</v>
      </c>
      <c r="H557" s="15" t="s">
        <v>2678</v>
      </c>
      <c r="I557" s="69">
        <v>32</v>
      </c>
      <c r="J557" s="13" t="s">
        <v>2672</v>
      </c>
      <c r="K557" s="15" t="s">
        <v>2674</v>
      </c>
      <c r="L557" s="15" t="s">
        <v>2692</v>
      </c>
      <c r="M557" s="15" t="s">
        <v>2672</v>
      </c>
      <c r="N557" s="15" t="s">
        <v>2673</v>
      </c>
      <c r="O557" s="15"/>
    </row>
    <row r="558" spans="1:15" ht="18" customHeight="1" x14ac:dyDescent="0.3">
      <c r="A558" s="29">
        <v>557</v>
      </c>
      <c r="B558" s="15" t="s">
        <v>214</v>
      </c>
      <c r="C558" s="15" t="s">
        <v>27</v>
      </c>
      <c r="D558" s="69">
        <v>24</v>
      </c>
      <c r="E558" s="68" t="s">
        <v>1258</v>
      </c>
      <c r="F558" s="21" t="s">
        <v>408</v>
      </c>
      <c r="G558" s="15" t="s">
        <v>154</v>
      </c>
      <c r="H558" s="15" t="s">
        <v>2825</v>
      </c>
      <c r="I558" s="69">
        <v>8</v>
      </c>
      <c r="J558" s="13" t="s">
        <v>2672</v>
      </c>
      <c r="K558" s="15" t="s">
        <v>2674</v>
      </c>
      <c r="L558" s="15" t="s">
        <v>2692</v>
      </c>
      <c r="M558" s="15" t="s">
        <v>2672</v>
      </c>
      <c r="N558" s="15" t="s">
        <v>2673</v>
      </c>
      <c r="O558" s="15"/>
    </row>
    <row r="559" spans="1:15" ht="18" customHeight="1" x14ac:dyDescent="0.3">
      <c r="A559" s="29">
        <v>558</v>
      </c>
      <c r="B559" s="15" t="s">
        <v>214</v>
      </c>
      <c r="C559" s="15" t="s">
        <v>27</v>
      </c>
      <c r="D559" s="69">
        <v>24</v>
      </c>
      <c r="E559" s="68" t="s">
        <v>3263</v>
      </c>
      <c r="F559" s="24" t="s">
        <v>2826</v>
      </c>
      <c r="G559" s="15" t="s">
        <v>154</v>
      </c>
      <c r="H559" s="15" t="s">
        <v>904</v>
      </c>
      <c r="I559" s="69">
        <v>183</v>
      </c>
      <c r="J559" s="15" t="s">
        <v>2674</v>
      </c>
      <c r="K559" s="15" t="s">
        <v>903</v>
      </c>
      <c r="L559" s="15" t="s">
        <v>2673</v>
      </c>
      <c r="M559" s="15" t="s">
        <v>2672</v>
      </c>
      <c r="N559" s="15" t="s">
        <v>2673</v>
      </c>
      <c r="O559" s="15"/>
    </row>
    <row r="560" spans="1:15" ht="18" customHeight="1" x14ac:dyDescent="0.3">
      <c r="A560" s="29">
        <v>559</v>
      </c>
      <c r="B560" s="15" t="s">
        <v>214</v>
      </c>
      <c r="C560" s="15" t="s">
        <v>27</v>
      </c>
      <c r="D560" s="69">
        <v>24</v>
      </c>
      <c r="E560" s="68" t="s">
        <v>3263</v>
      </c>
      <c r="F560" s="24" t="s">
        <v>1142</v>
      </c>
      <c r="G560" s="15" t="s">
        <v>154</v>
      </c>
      <c r="H560" s="15" t="s">
        <v>905</v>
      </c>
      <c r="I560" s="69">
        <v>310</v>
      </c>
      <c r="J560" s="15" t="s">
        <v>2674</v>
      </c>
      <c r="K560" s="15" t="s">
        <v>903</v>
      </c>
      <c r="L560" s="15" t="s">
        <v>2673</v>
      </c>
      <c r="M560" s="15" t="s">
        <v>2672</v>
      </c>
      <c r="N560" s="15" t="s">
        <v>2673</v>
      </c>
      <c r="O560" s="15"/>
    </row>
    <row r="561" spans="1:15" ht="18" customHeight="1" x14ac:dyDescent="0.3">
      <c r="A561" s="29">
        <v>560</v>
      </c>
      <c r="B561" s="15" t="s">
        <v>214</v>
      </c>
      <c r="C561" s="15" t="s">
        <v>27</v>
      </c>
      <c r="D561" s="69">
        <v>24</v>
      </c>
      <c r="E561" s="68" t="s">
        <v>3263</v>
      </c>
      <c r="F561" s="24" t="s">
        <v>1142</v>
      </c>
      <c r="G561" s="15" t="s">
        <v>154</v>
      </c>
      <c r="H561" s="15" t="s">
        <v>906</v>
      </c>
      <c r="I561" s="69">
        <v>235</v>
      </c>
      <c r="J561" s="15" t="s">
        <v>2674</v>
      </c>
      <c r="K561" s="15" t="s">
        <v>903</v>
      </c>
      <c r="L561" s="15" t="s">
        <v>2673</v>
      </c>
      <c r="M561" s="15" t="s">
        <v>2672</v>
      </c>
      <c r="N561" s="15" t="s">
        <v>2673</v>
      </c>
      <c r="O561" s="15"/>
    </row>
    <row r="562" spans="1:15" ht="18" customHeight="1" x14ac:dyDescent="0.3">
      <c r="A562" s="29">
        <v>561</v>
      </c>
      <c r="B562" s="15" t="s">
        <v>214</v>
      </c>
      <c r="C562" s="15" t="s">
        <v>27</v>
      </c>
      <c r="D562" s="69">
        <v>24</v>
      </c>
      <c r="E562" s="68" t="s">
        <v>3263</v>
      </c>
      <c r="F562" s="24" t="s">
        <v>1142</v>
      </c>
      <c r="G562" s="15" t="s">
        <v>154</v>
      </c>
      <c r="H562" s="15" t="s">
        <v>908</v>
      </c>
      <c r="I562" s="69">
        <v>78</v>
      </c>
      <c r="J562" s="15" t="s">
        <v>2672</v>
      </c>
      <c r="K562" s="15" t="s">
        <v>903</v>
      </c>
      <c r="L562" s="15" t="s">
        <v>2673</v>
      </c>
      <c r="M562" s="15" t="s">
        <v>2672</v>
      </c>
      <c r="N562" s="15" t="s">
        <v>2673</v>
      </c>
      <c r="O562" s="15"/>
    </row>
    <row r="563" spans="1:15" ht="18" customHeight="1" x14ac:dyDescent="0.3">
      <c r="A563" s="29">
        <v>562</v>
      </c>
      <c r="B563" s="15" t="s">
        <v>214</v>
      </c>
      <c r="C563" s="15" t="s">
        <v>27</v>
      </c>
      <c r="D563" s="69">
        <v>24</v>
      </c>
      <c r="E563" s="68" t="s">
        <v>3263</v>
      </c>
      <c r="F563" s="24" t="s">
        <v>1142</v>
      </c>
      <c r="G563" s="15" t="s">
        <v>154</v>
      </c>
      <c r="H563" s="15" t="s">
        <v>910</v>
      </c>
      <c r="I563" s="69">
        <v>263</v>
      </c>
      <c r="J563" s="15" t="s">
        <v>2672</v>
      </c>
      <c r="K563" s="15" t="s">
        <v>903</v>
      </c>
      <c r="L563" s="15" t="s">
        <v>2673</v>
      </c>
      <c r="M563" s="15" t="s">
        <v>2672</v>
      </c>
      <c r="N563" s="15" t="s">
        <v>2673</v>
      </c>
      <c r="O563" s="15"/>
    </row>
    <row r="564" spans="1:15" ht="18" customHeight="1" x14ac:dyDescent="0.3">
      <c r="A564" s="29">
        <v>563</v>
      </c>
      <c r="B564" s="15" t="s">
        <v>214</v>
      </c>
      <c r="C564" s="15" t="s">
        <v>27</v>
      </c>
      <c r="D564" s="69">
        <v>24</v>
      </c>
      <c r="E564" s="68" t="s">
        <v>3263</v>
      </c>
      <c r="F564" s="24" t="s">
        <v>2827</v>
      </c>
      <c r="G564" s="15" t="s">
        <v>154</v>
      </c>
      <c r="H564" s="15" t="s">
        <v>901</v>
      </c>
      <c r="I564" s="69">
        <v>187</v>
      </c>
      <c r="J564" s="15" t="s">
        <v>2674</v>
      </c>
      <c r="K564" s="15" t="s">
        <v>902</v>
      </c>
      <c r="L564" s="15" t="s">
        <v>1069</v>
      </c>
      <c r="M564" s="15" t="s">
        <v>2672</v>
      </c>
      <c r="N564" s="15" t="s">
        <v>2673</v>
      </c>
      <c r="O564" s="15"/>
    </row>
    <row r="565" spans="1:15" ht="18" customHeight="1" x14ac:dyDescent="0.3">
      <c r="A565" s="29">
        <v>564</v>
      </c>
      <c r="B565" s="15" t="s">
        <v>214</v>
      </c>
      <c r="C565" s="15" t="s">
        <v>27</v>
      </c>
      <c r="D565" s="69">
        <v>24</v>
      </c>
      <c r="E565" s="68" t="s">
        <v>3263</v>
      </c>
      <c r="F565" s="24" t="s">
        <v>2827</v>
      </c>
      <c r="G565" s="15" t="s">
        <v>154</v>
      </c>
      <c r="H565" s="15" t="s">
        <v>983</v>
      </c>
      <c r="I565" s="69">
        <v>72</v>
      </c>
      <c r="J565" s="15" t="s">
        <v>2674</v>
      </c>
      <c r="K565" s="15" t="s">
        <v>902</v>
      </c>
      <c r="L565" s="15" t="s">
        <v>1797</v>
      </c>
      <c r="M565" s="15" t="s">
        <v>2672</v>
      </c>
      <c r="N565" s="15" t="s">
        <v>2673</v>
      </c>
      <c r="O565" s="15"/>
    </row>
    <row r="566" spans="1:15" ht="18" customHeight="1" x14ac:dyDescent="0.3">
      <c r="A566" s="29">
        <v>565</v>
      </c>
      <c r="B566" s="15" t="s">
        <v>214</v>
      </c>
      <c r="C566" s="15" t="s">
        <v>27</v>
      </c>
      <c r="D566" s="69">
        <v>24</v>
      </c>
      <c r="E566" s="68" t="s">
        <v>3263</v>
      </c>
      <c r="F566" s="24" t="s">
        <v>2827</v>
      </c>
      <c r="G566" s="15" t="s">
        <v>154</v>
      </c>
      <c r="H566" s="15" t="s">
        <v>1074</v>
      </c>
      <c r="I566" s="69">
        <v>73</v>
      </c>
      <c r="J566" s="15" t="s">
        <v>2672</v>
      </c>
      <c r="K566" s="15" t="s">
        <v>2674</v>
      </c>
      <c r="L566" s="15" t="s">
        <v>1075</v>
      </c>
      <c r="M566" s="15" t="s">
        <v>2672</v>
      </c>
      <c r="N566" s="15" t="s">
        <v>2673</v>
      </c>
      <c r="O566" s="15"/>
    </row>
    <row r="567" spans="1:15" ht="18" customHeight="1" x14ac:dyDescent="0.3">
      <c r="A567" s="29">
        <v>566</v>
      </c>
      <c r="B567" s="15" t="s">
        <v>214</v>
      </c>
      <c r="C567" s="15" t="s">
        <v>28</v>
      </c>
      <c r="D567" s="69">
        <v>25</v>
      </c>
      <c r="E567" s="68" t="s">
        <v>2828</v>
      </c>
      <c r="F567" s="21" t="s">
        <v>350</v>
      </c>
      <c r="G567" s="15" t="s">
        <v>164</v>
      </c>
      <c r="H567" s="15" t="s">
        <v>901</v>
      </c>
      <c r="I567" s="69">
        <v>249</v>
      </c>
      <c r="J567" s="15" t="s">
        <v>2672</v>
      </c>
      <c r="K567" s="15" t="s">
        <v>903</v>
      </c>
      <c r="L567" s="15" t="s">
        <v>2673</v>
      </c>
      <c r="M567" s="15" t="s">
        <v>2672</v>
      </c>
      <c r="N567" s="15" t="s">
        <v>2673</v>
      </c>
      <c r="O567" s="15"/>
    </row>
    <row r="568" spans="1:15" ht="18" customHeight="1" x14ac:dyDescent="0.3">
      <c r="A568" s="29">
        <v>567</v>
      </c>
      <c r="B568" s="15" t="s">
        <v>214</v>
      </c>
      <c r="C568" s="15" t="s">
        <v>28</v>
      </c>
      <c r="D568" s="69">
        <v>25</v>
      </c>
      <c r="E568" s="68" t="s">
        <v>2828</v>
      </c>
      <c r="F568" s="21" t="s">
        <v>350</v>
      </c>
      <c r="G568" s="15" t="s">
        <v>164</v>
      </c>
      <c r="H568" s="15" t="s">
        <v>904</v>
      </c>
      <c r="I568" s="69">
        <v>249</v>
      </c>
      <c r="J568" s="15" t="s">
        <v>2672</v>
      </c>
      <c r="K568" s="15" t="s">
        <v>903</v>
      </c>
      <c r="L568" s="15" t="s">
        <v>2673</v>
      </c>
      <c r="M568" s="15" t="s">
        <v>2672</v>
      </c>
      <c r="N568" s="15" t="s">
        <v>2673</v>
      </c>
      <c r="O568" s="15"/>
    </row>
    <row r="569" spans="1:15" ht="18" customHeight="1" x14ac:dyDescent="0.3">
      <c r="A569" s="29">
        <v>568</v>
      </c>
      <c r="B569" s="15" t="s">
        <v>214</v>
      </c>
      <c r="C569" s="15" t="s">
        <v>28</v>
      </c>
      <c r="D569" s="69">
        <v>25</v>
      </c>
      <c r="E569" s="68" t="s">
        <v>2828</v>
      </c>
      <c r="F569" s="21" t="s">
        <v>350</v>
      </c>
      <c r="G569" s="15" t="s">
        <v>164</v>
      </c>
      <c r="H569" s="15" t="s">
        <v>905</v>
      </c>
      <c r="I569" s="69">
        <v>249</v>
      </c>
      <c r="J569" s="15" t="s">
        <v>2672</v>
      </c>
      <c r="K569" s="15" t="s">
        <v>903</v>
      </c>
      <c r="L569" s="15" t="s">
        <v>2673</v>
      </c>
      <c r="M569" s="15" t="s">
        <v>2672</v>
      </c>
      <c r="N569" s="15" t="s">
        <v>2673</v>
      </c>
      <c r="O569" s="15"/>
    </row>
    <row r="570" spans="1:15" ht="18" customHeight="1" x14ac:dyDescent="0.3">
      <c r="A570" s="29">
        <v>569</v>
      </c>
      <c r="B570" s="15" t="s">
        <v>214</v>
      </c>
      <c r="C570" s="15" t="s">
        <v>28</v>
      </c>
      <c r="D570" s="69">
        <v>25</v>
      </c>
      <c r="E570" s="68" t="s">
        <v>2828</v>
      </c>
      <c r="F570" s="21" t="s">
        <v>350</v>
      </c>
      <c r="G570" s="15" t="s">
        <v>164</v>
      </c>
      <c r="H570" s="15" t="s">
        <v>906</v>
      </c>
      <c r="I570" s="69">
        <v>249</v>
      </c>
      <c r="J570" s="15" t="s">
        <v>2672</v>
      </c>
      <c r="K570" s="15" t="s">
        <v>903</v>
      </c>
      <c r="L570" s="15" t="s">
        <v>2673</v>
      </c>
      <c r="M570" s="15" t="s">
        <v>2672</v>
      </c>
      <c r="N570" s="15" t="s">
        <v>2673</v>
      </c>
      <c r="O570" s="15"/>
    </row>
    <row r="571" spans="1:15" ht="18" customHeight="1" x14ac:dyDescent="0.3">
      <c r="A571" s="29">
        <v>570</v>
      </c>
      <c r="B571" s="15" t="s">
        <v>214</v>
      </c>
      <c r="C571" s="15" t="s">
        <v>28</v>
      </c>
      <c r="D571" s="69">
        <v>25</v>
      </c>
      <c r="E571" s="68" t="s">
        <v>2828</v>
      </c>
      <c r="F571" s="21" t="s">
        <v>350</v>
      </c>
      <c r="G571" s="15" t="s">
        <v>164</v>
      </c>
      <c r="H571" s="15" t="s">
        <v>907</v>
      </c>
      <c r="I571" s="69">
        <v>74</v>
      </c>
      <c r="J571" s="15" t="s">
        <v>2672</v>
      </c>
      <c r="K571" s="15" t="s">
        <v>903</v>
      </c>
      <c r="L571" s="15" t="s">
        <v>2673</v>
      </c>
      <c r="M571" s="15" t="s">
        <v>2672</v>
      </c>
      <c r="N571" s="15" t="s">
        <v>2673</v>
      </c>
      <c r="O571" s="15"/>
    </row>
    <row r="572" spans="1:15" ht="18" customHeight="1" x14ac:dyDescent="0.3">
      <c r="A572" s="29">
        <v>571</v>
      </c>
      <c r="B572" s="15" t="s">
        <v>214</v>
      </c>
      <c r="C572" s="15" t="s">
        <v>28</v>
      </c>
      <c r="D572" s="69">
        <v>25</v>
      </c>
      <c r="E572" s="68" t="s">
        <v>2828</v>
      </c>
      <c r="F572" s="21" t="s">
        <v>350</v>
      </c>
      <c r="G572" s="15" t="s">
        <v>164</v>
      </c>
      <c r="H572" s="15" t="s">
        <v>908</v>
      </c>
      <c r="I572" s="69">
        <v>54</v>
      </c>
      <c r="J572" s="15" t="s">
        <v>2672</v>
      </c>
      <c r="K572" s="15" t="s">
        <v>903</v>
      </c>
      <c r="L572" s="15" t="s">
        <v>2673</v>
      </c>
      <c r="M572" s="15" t="s">
        <v>2672</v>
      </c>
      <c r="N572" s="15" t="s">
        <v>2673</v>
      </c>
      <c r="O572" s="15"/>
    </row>
    <row r="573" spans="1:15" ht="18" customHeight="1" x14ac:dyDescent="0.3">
      <c r="A573" s="29">
        <v>572</v>
      </c>
      <c r="B573" s="15" t="s">
        <v>214</v>
      </c>
      <c r="C573" s="15" t="s">
        <v>28</v>
      </c>
      <c r="D573" s="69">
        <v>25</v>
      </c>
      <c r="E573" s="68" t="s">
        <v>2828</v>
      </c>
      <c r="F573" s="21" t="s">
        <v>350</v>
      </c>
      <c r="G573" s="15" t="s">
        <v>164</v>
      </c>
      <c r="H573" s="15" t="s">
        <v>909</v>
      </c>
      <c r="I573" s="69">
        <v>74</v>
      </c>
      <c r="J573" s="15" t="s">
        <v>2672</v>
      </c>
      <c r="K573" s="15" t="s">
        <v>903</v>
      </c>
      <c r="L573" s="15" t="s">
        <v>2673</v>
      </c>
      <c r="M573" s="15" t="s">
        <v>2672</v>
      </c>
      <c r="N573" s="15" t="s">
        <v>2673</v>
      </c>
      <c r="O573" s="15"/>
    </row>
    <row r="574" spans="1:15" ht="18" customHeight="1" x14ac:dyDescent="0.3">
      <c r="A574" s="29">
        <v>573</v>
      </c>
      <c r="B574" s="15" t="s">
        <v>214</v>
      </c>
      <c r="C574" s="15" t="s">
        <v>28</v>
      </c>
      <c r="D574" s="69">
        <v>25</v>
      </c>
      <c r="E574" s="68" t="s">
        <v>2828</v>
      </c>
      <c r="F574" s="21" t="s">
        <v>350</v>
      </c>
      <c r="G574" s="15" t="s">
        <v>164</v>
      </c>
      <c r="H574" s="15" t="s">
        <v>910</v>
      </c>
      <c r="I574" s="69">
        <v>55</v>
      </c>
      <c r="J574" s="15" t="s">
        <v>2672</v>
      </c>
      <c r="K574" s="15" t="s">
        <v>903</v>
      </c>
      <c r="L574" s="15" t="s">
        <v>2673</v>
      </c>
      <c r="M574" s="15" t="s">
        <v>2672</v>
      </c>
      <c r="N574" s="15" t="s">
        <v>2673</v>
      </c>
      <c r="O574" s="15"/>
    </row>
    <row r="575" spans="1:15" ht="18" customHeight="1" x14ac:dyDescent="0.3">
      <c r="A575" s="29">
        <v>574</v>
      </c>
      <c r="B575" s="15" t="s">
        <v>214</v>
      </c>
      <c r="C575" s="15" t="s">
        <v>28</v>
      </c>
      <c r="D575" s="69">
        <v>25</v>
      </c>
      <c r="E575" s="68" t="s">
        <v>2828</v>
      </c>
      <c r="F575" s="21" t="s">
        <v>350</v>
      </c>
      <c r="G575" s="15" t="s">
        <v>164</v>
      </c>
      <c r="H575" s="15" t="s">
        <v>911</v>
      </c>
      <c r="I575" s="69">
        <v>64</v>
      </c>
      <c r="J575" s="15" t="s">
        <v>2672</v>
      </c>
      <c r="K575" s="15" t="s">
        <v>903</v>
      </c>
      <c r="L575" s="15" t="s">
        <v>2673</v>
      </c>
      <c r="M575" s="15" t="s">
        <v>2672</v>
      </c>
      <c r="N575" s="15" t="s">
        <v>2673</v>
      </c>
      <c r="O575" s="15"/>
    </row>
    <row r="576" spans="1:15" ht="18" customHeight="1" x14ac:dyDescent="0.3">
      <c r="A576" s="29">
        <v>575</v>
      </c>
      <c r="B576" s="15" t="s">
        <v>214</v>
      </c>
      <c r="C576" s="15" t="s">
        <v>28</v>
      </c>
      <c r="D576" s="69">
        <v>25</v>
      </c>
      <c r="E576" s="68" t="s">
        <v>2828</v>
      </c>
      <c r="F576" s="21" t="s">
        <v>350</v>
      </c>
      <c r="G576" s="15" t="s">
        <v>164</v>
      </c>
      <c r="H576" s="15" t="s">
        <v>927</v>
      </c>
      <c r="I576" s="69">
        <v>35</v>
      </c>
      <c r="J576" s="15" t="s">
        <v>2672</v>
      </c>
      <c r="K576" s="15" t="s">
        <v>903</v>
      </c>
      <c r="L576" s="15" t="s">
        <v>2673</v>
      </c>
      <c r="M576" s="15" t="s">
        <v>2672</v>
      </c>
      <c r="N576" s="15" t="s">
        <v>2673</v>
      </c>
      <c r="O576" s="15"/>
    </row>
    <row r="577" spans="1:15" ht="18" customHeight="1" x14ac:dyDescent="0.3">
      <c r="A577" s="29">
        <v>576</v>
      </c>
      <c r="B577" s="15" t="s">
        <v>214</v>
      </c>
      <c r="C577" s="15" t="s">
        <v>28</v>
      </c>
      <c r="D577" s="69">
        <v>25</v>
      </c>
      <c r="E577" s="68" t="s">
        <v>3264</v>
      </c>
      <c r="F577" s="16" t="s">
        <v>1134</v>
      </c>
      <c r="G577" s="15" t="s">
        <v>154</v>
      </c>
      <c r="H577" s="15" t="s">
        <v>905</v>
      </c>
      <c r="I577" s="69">
        <v>174</v>
      </c>
      <c r="J577" s="15" t="s">
        <v>2672</v>
      </c>
      <c r="K577" s="15" t="s">
        <v>903</v>
      </c>
      <c r="L577" s="15" t="s">
        <v>2673</v>
      </c>
      <c r="M577" s="15" t="s">
        <v>2672</v>
      </c>
      <c r="N577" s="15" t="s">
        <v>2673</v>
      </c>
      <c r="O577" s="15"/>
    </row>
    <row r="578" spans="1:15" ht="18" customHeight="1" x14ac:dyDescent="0.3">
      <c r="A578" s="29">
        <v>577</v>
      </c>
      <c r="B578" s="15" t="s">
        <v>214</v>
      </c>
      <c r="C578" s="15" t="s">
        <v>28</v>
      </c>
      <c r="D578" s="69">
        <v>25</v>
      </c>
      <c r="E578" s="68" t="s">
        <v>3264</v>
      </c>
      <c r="F578" s="16" t="s">
        <v>1134</v>
      </c>
      <c r="G578" s="15" t="s">
        <v>154</v>
      </c>
      <c r="H578" s="15" t="s">
        <v>906</v>
      </c>
      <c r="I578" s="69">
        <v>174</v>
      </c>
      <c r="J578" s="15" t="s">
        <v>2672</v>
      </c>
      <c r="K578" s="15" t="s">
        <v>903</v>
      </c>
      <c r="L578" s="15" t="s">
        <v>2673</v>
      </c>
      <c r="M578" s="15" t="s">
        <v>2672</v>
      </c>
      <c r="N578" s="15" t="s">
        <v>2673</v>
      </c>
      <c r="O578" s="15"/>
    </row>
    <row r="579" spans="1:15" ht="18" customHeight="1" x14ac:dyDescent="0.3">
      <c r="A579" s="29">
        <v>578</v>
      </c>
      <c r="B579" s="15" t="s">
        <v>214</v>
      </c>
      <c r="C579" s="15" t="s">
        <v>28</v>
      </c>
      <c r="D579" s="69">
        <v>25</v>
      </c>
      <c r="E579" s="68" t="s">
        <v>3264</v>
      </c>
      <c r="F579" s="16" t="s">
        <v>1134</v>
      </c>
      <c r="G579" s="15" t="s">
        <v>154</v>
      </c>
      <c r="H579" s="15" t="s">
        <v>979</v>
      </c>
      <c r="I579" s="69">
        <v>347</v>
      </c>
      <c r="J579" s="15" t="s">
        <v>2674</v>
      </c>
      <c r="K579" s="15" t="s">
        <v>902</v>
      </c>
      <c r="L579" s="15" t="s">
        <v>2715</v>
      </c>
      <c r="M579" s="15" t="s">
        <v>2672</v>
      </c>
      <c r="N579" s="15" t="s">
        <v>2673</v>
      </c>
      <c r="O579" s="15"/>
    </row>
    <row r="580" spans="1:15" ht="18" customHeight="1" x14ac:dyDescent="0.3">
      <c r="A580" s="29">
        <v>579</v>
      </c>
      <c r="B580" s="15" t="s">
        <v>214</v>
      </c>
      <c r="C580" s="15" t="s">
        <v>28</v>
      </c>
      <c r="D580" s="69">
        <v>25</v>
      </c>
      <c r="E580" s="68" t="s">
        <v>3264</v>
      </c>
      <c r="F580" s="16" t="s">
        <v>1134</v>
      </c>
      <c r="G580" s="15" t="s">
        <v>154</v>
      </c>
      <c r="H580" s="15" t="s">
        <v>1074</v>
      </c>
      <c r="I580" s="69">
        <v>213</v>
      </c>
      <c r="J580" s="15" t="s">
        <v>2674</v>
      </c>
      <c r="K580" s="15" t="s">
        <v>902</v>
      </c>
      <c r="L580" s="15" t="s">
        <v>1075</v>
      </c>
      <c r="M580" s="15" t="s">
        <v>2672</v>
      </c>
      <c r="N580" s="15" t="s">
        <v>2673</v>
      </c>
      <c r="O580" s="15"/>
    </row>
    <row r="581" spans="1:15" ht="18" customHeight="1" x14ac:dyDescent="0.3">
      <c r="A581" s="29">
        <v>580</v>
      </c>
      <c r="B581" s="15" t="s">
        <v>214</v>
      </c>
      <c r="C581" s="15" t="s">
        <v>28</v>
      </c>
      <c r="D581" s="69">
        <v>25</v>
      </c>
      <c r="E581" s="68" t="s">
        <v>3264</v>
      </c>
      <c r="F581" s="16" t="s">
        <v>346</v>
      </c>
      <c r="G581" s="15" t="s">
        <v>154</v>
      </c>
      <c r="H581" s="15" t="s">
        <v>901</v>
      </c>
      <c r="I581" s="69">
        <v>170</v>
      </c>
      <c r="J581" s="15" t="s">
        <v>2674</v>
      </c>
      <c r="K581" s="15" t="s">
        <v>903</v>
      </c>
      <c r="L581" s="15" t="s">
        <v>2673</v>
      </c>
      <c r="M581" s="15" t="s">
        <v>2672</v>
      </c>
      <c r="N581" s="15" t="s">
        <v>2673</v>
      </c>
      <c r="O581" s="15"/>
    </row>
    <row r="582" spans="1:15" ht="18" customHeight="1" x14ac:dyDescent="0.3">
      <c r="A582" s="29">
        <v>581</v>
      </c>
      <c r="B582" s="15" t="s">
        <v>214</v>
      </c>
      <c r="C582" s="15" t="s">
        <v>28</v>
      </c>
      <c r="D582" s="69">
        <v>25</v>
      </c>
      <c r="E582" s="68" t="s">
        <v>3264</v>
      </c>
      <c r="F582" s="16" t="s">
        <v>346</v>
      </c>
      <c r="G582" s="15" t="s">
        <v>154</v>
      </c>
      <c r="H582" s="15" t="s">
        <v>904</v>
      </c>
      <c r="I582" s="69">
        <v>162</v>
      </c>
      <c r="J582" s="15" t="s">
        <v>2674</v>
      </c>
      <c r="K582" s="15" t="s">
        <v>902</v>
      </c>
      <c r="L582" s="15" t="s">
        <v>1069</v>
      </c>
      <c r="M582" s="15" t="s">
        <v>2672</v>
      </c>
      <c r="N582" s="15" t="s">
        <v>2673</v>
      </c>
      <c r="O582" s="15"/>
    </row>
    <row r="583" spans="1:15" ht="18" customHeight="1" x14ac:dyDescent="0.3">
      <c r="A583" s="29">
        <v>582</v>
      </c>
      <c r="B583" s="15" t="s">
        <v>214</v>
      </c>
      <c r="C583" s="15" t="s">
        <v>28</v>
      </c>
      <c r="D583" s="69">
        <v>25</v>
      </c>
      <c r="E583" s="68" t="s">
        <v>188</v>
      </c>
      <c r="F583" s="21" t="s">
        <v>348</v>
      </c>
      <c r="G583" s="15" t="s">
        <v>164</v>
      </c>
      <c r="H583" s="15" t="s">
        <v>901</v>
      </c>
      <c r="I583" s="69">
        <v>164</v>
      </c>
      <c r="J583" s="13" t="s">
        <v>2672</v>
      </c>
      <c r="K583" s="15" t="s">
        <v>903</v>
      </c>
      <c r="L583" s="15" t="s">
        <v>2673</v>
      </c>
      <c r="M583" s="15" t="s">
        <v>2672</v>
      </c>
      <c r="N583" s="15" t="s">
        <v>2673</v>
      </c>
      <c r="O583" s="15"/>
    </row>
    <row r="584" spans="1:15" ht="18" customHeight="1" x14ac:dyDescent="0.3">
      <c r="A584" s="29">
        <v>583</v>
      </c>
      <c r="B584" s="15" t="s">
        <v>214</v>
      </c>
      <c r="C584" s="15" t="s">
        <v>28</v>
      </c>
      <c r="D584" s="69">
        <v>25</v>
      </c>
      <c r="E584" s="68" t="s">
        <v>188</v>
      </c>
      <c r="F584" s="21" t="s">
        <v>348</v>
      </c>
      <c r="G584" s="15" t="s">
        <v>164</v>
      </c>
      <c r="H584" s="15" t="s">
        <v>904</v>
      </c>
      <c r="I584" s="69">
        <v>108</v>
      </c>
      <c r="J584" s="13" t="s">
        <v>2672</v>
      </c>
      <c r="K584" s="15" t="s">
        <v>903</v>
      </c>
      <c r="L584" s="15" t="s">
        <v>2673</v>
      </c>
      <c r="M584" s="15" t="s">
        <v>2672</v>
      </c>
      <c r="N584" s="15" t="s">
        <v>2673</v>
      </c>
      <c r="O584" s="15"/>
    </row>
    <row r="585" spans="1:15" ht="18" customHeight="1" x14ac:dyDescent="0.3">
      <c r="A585" s="29">
        <v>584</v>
      </c>
      <c r="B585" s="15" t="s">
        <v>214</v>
      </c>
      <c r="C585" s="15" t="s">
        <v>28</v>
      </c>
      <c r="D585" s="69">
        <v>25</v>
      </c>
      <c r="E585" s="68" t="s">
        <v>188</v>
      </c>
      <c r="F585" s="21" t="s">
        <v>348</v>
      </c>
      <c r="G585" s="15" t="s">
        <v>164</v>
      </c>
      <c r="H585" s="15" t="s">
        <v>905</v>
      </c>
      <c r="I585" s="69">
        <v>180</v>
      </c>
      <c r="J585" s="13" t="s">
        <v>2674</v>
      </c>
      <c r="K585" s="15" t="s">
        <v>903</v>
      </c>
      <c r="L585" s="15" t="s">
        <v>2673</v>
      </c>
      <c r="M585" s="15" t="s">
        <v>2672</v>
      </c>
      <c r="N585" s="15" t="s">
        <v>2673</v>
      </c>
      <c r="O585" s="15"/>
    </row>
    <row r="586" spans="1:15" ht="18" customHeight="1" x14ac:dyDescent="0.3">
      <c r="A586" s="29">
        <v>585</v>
      </c>
      <c r="B586" s="15" t="s">
        <v>214</v>
      </c>
      <c r="C586" s="15" t="s">
        <v>28</v>
      </c>
      <c r="D586" s="69">
        <v>25</v>
      </c>
      <c r="E586" s="68" t="s">
        <v>188</v>
      </c>
      <c r="F586" s="21" t="s">
        <v>348</v>
      </c>
      <c r="G586" s="15" t="s">
        <v>164</v>
      </c>
      <c r="H586" s="15" t="s">
        <v>906</v>
      </c>
      <c r="I586" s="69">
        <v>212</v>
      </c>
      <c r="J586" s="13" t="s">
        <v>2672</v>
      </c>
      <c r="K586" s="15" t="s">
        <v>903</v>
      </c>
      <c r="L586" s="15" t="s">
        <v>2673</v>
      </c>
      <c r="M586" s="15" t="s">
        <v>2672</v>
      </c>
      <c r="N586" s="15" t="s">
        <v>2673</v>
      </c>
      <c r="O586" s="15"/>
    </row>
    <row r="587" spans="1:15" ht="18" customHeight="1" x14ac:dyDescent="0.3">
      <c r="A587" s="29">
        <v>586</v>
      </c>
      <c r="B587" s="15" t="s">
        <v>214</v>
      </c>
      <c r="C587" s="15" t="s">
        <v>28</v>
      </c>
      <c r="D587" s="69">
        <v>25</v>
      </c>
      <c r="E587" s="68" t="s">
        <v>188</v>
      </c>
      <c r="F587" s="21" t="s">
        <v>348</v>
      </c>
      <c r="G587" s="15" t="s">
        <v>164</v>
      </c>
      <c r="H587" s="15" t="s">
        <v>907</v>
      </c>
      <c r="I587" s="69">
        <v>120</v>
      </c>
      <c r="J587" s="13" t="s">
        <v>2672</v>
      </c>
      <c r="K587" s="15" t="s">
        <v>903</v>
      </c>
      <c r="L587" s="15" t="s">
        <v>2673</v>
      </c>
      <c r="M587" s="15" t="s">
        <v>2672</v>
      </c>
      <c r="N587" s="15" t="s">
        <v>2673</v>
      </c>
      <c r="O587" s="15"/>
    </row>
    <row r="588" spans="1:15" ht="18" customHeight="1" x14ac:dyDescent="0.3">
      <c r="A588" s="29">
        <v>587</v>
      </c>
      <c r="B588" s="15" t="s">
        <v>214</v>
      </c>
      <c r="C588" s="15" t="s">
        <v>28</v>
      </c>
      <c r="D588" s="69">
        <v>25</v>
      </c>
      <c r="E588" s="68" t="s">
        <v>188</v>
      </c>
      <c r="F588" s="21" t="s">
        <v>348</v>
      </c>
      <c r="G588" s="15" t="s">
        <v>164</v>
      </c>
      <c r="H588" s="15" t="s">
        <v>908</v>
      </c>
      <c r="I588" s="69">
        <v>224</v>
      </c>
      <c r="J588" s="13" t="s">
        <v>2672</v>
      </c>
      <c r="K588" s="15" t="s">
        <v>903</v>
      </c>
      <c r="L588" s="15" t="s">
        <v>2673</v>
      </c>
      <c r="M588" s="15" t="s">
        <v>2672</v>
      </c>
      <c r="N588" s="15" t="s">
        <v>2673</v>
      </c>
      <c r="O588" s="15"/>
    </row>
    <row r="589" spans="1:15" ht="18" customHeight="1" x14ac:dyDescent="0.3">
      <c r="A589" s="29">
        <v>588</v>
      </c>
      <c r="B589" s="15" t="s">
        <v>214</v>
      </c>
      <c r="C589" s="15" t="s">
        <v>28</v>
      </c>
      <c r="D589" s="69">
        <v>25</v>
      </c>
      <c r="E589" s="68" t="s">
        <v>188</v>
      </c>
      <c r="F589" s="21" t="s">
        <v>348</v>
      </c>
      <c r="G589" s="15" t="s">
        <v>164</v>
      </c>
      <c r="H589" s="15" t="s">
        <v>909</v>
      </c>
      <c r="I589" s="69">
        <v>212</v>
      </c>
      <c r="J589" s="13" t="s">
        <v>2672</v>
      </c>
      <c r="K589" s="15" t="s">
        <v>903</v>
      </c>
      <c r="L589" s="15" t="s">
        <v>2673</v>
      </c>
      <c r="M589" s="15" t="s">
        <v>2672</v>
      </c>
      <c r="N589" s="15" t="s">
        <v>2673</v>
      </c>
      <c r="O589" s="15"/>
    </row>
    <row r="590" spans="1:15" ht="18" customHeight="1" x14ac:dyDescent="0.3">
      <c r="A590" s="29">
        <v>589</v>
      </c>
      <c r="B590" s="15" t="s">
        <v>214</v>
      </c>
      <c r="C590" s="15" t="s">
        <v>28</v>
      </c>
      <c r="D590" s="69">
        <v>25</v>
      </c>
      <c r="E590" s="68" t="s">
        <v>188</v>
      </c>
      <c r="F590" s="21" t="s">
        <v>348</v>
      </c>
      <c r="G590" s="15" t="s">
        <v>164</v>
      </c>
      <c r="H590" s="15" t="s">
        <v>910</v>
      </c>
      <c r="I590" s="69">
        <v>120</v>
      </c>
      <c r="J590" s="13" t="s">
        <v>2672</v>
      </c>
      <c r="K590" s="15" t="s">
        <v>903</v>
      </c>
      <c r="L590" s="15" t="s">
        <v>2673</v>
      </c>
      <c r="M590" s="15" t="s">
        <v>2672</v>
      </c>
      <c r="N590" s="15" t="s">
        <v>2673</v>
      </c>
      <c r="O590" s="15"/>
    </row>
    <row r="591" spans="1:15" ht="18" customHeight="1" x14ac:dyDescent="0.3">
      <c r="A591" s="29">
        <v>590</v>
      </c>
      <c r="B591" s="15" t="s">
        <v>214</v>
      </c>
      <c r="C591" s="15" t="s">
        <v>28</v>
      </c>
      <c r="D591" s="69">
        <v>25</v>
      </c>
      <c r="E591" s="68" t="s">
        <v>188</v>
      </c>
      <c r="F591" s="21" t="s">
        <v>348</v>
      </c>
      <c r="G591" s="15" t="s">
        <v>164</v>
      </c>
      <c r="H591" s="15" t="s">
        <v>911</v>
      </c>
      <c r="I591" s="69">
        <v>224</v>
      </c>
      <c r="J591" s="13" t="s">
        <v>2672</v>
      </c>
      <c r="K591" s="15" t="s">
        <v>903</v>
      </c>
      <c r="L591" s="15" t="s">
        <v>2673</v>
      </c>
      <c r="M591" s="15" t="s">
        <v>2672</v>
      </c>
      <c r="N591" s="15" t="s">
        <v>2673</v>
      </c>
      <c r="O591" s="15"/>
    </row>
    <row r="592" spans="1:15" ht="18" customHeight="1" x14ac:dyDescent="0.3">
      <c r="A592" s="29">
        <v>591</v>
      </c>
      <c r="B592" s="15" t="s">
        <v>214</v>
      </c>
      <c r="C592" s="15" t="s">
        <v>28</v>
      </c>
      <c r="D592" s="69">
        <v>25</v>
      </c>
      <c r="E592" s="68" t="s">
        <v>188</v>
      </c>
      <c r="F592" s="21" t="s">
        <v>348</v>
      </c>
      <c r="G592" s="15" t="s">
        <v>164</v>
      </c>
      <c r="H592" s="15" t="s">
        <v>927</v>
      </c>
      <c r="I592" s="69">
        <v>282</v>
      </c>
      <c r="J592" s="13" t="s">
        <v>2672</v>
      </c>
      <c r="K592" s="15" t="s">
        <v>903</v>
      </c>
      <c r="L592" s="15" t="s">
        <v>2673</v>
      </c>
      <c r="M592" s="15" t="s">
        <v>2672</v>
      </c>
      <c r="N592" s="15" t="s">
        <v>2673</v>
      </c>
      <c r="O592" s="15"/>
    </row>
    <row r="593" spans="1:15" ht="18" customHeight="1" x14ac:dyDescent="0.3">
      <c r="A593" s="29">
        <v>592</v>
      </c>
      <c r="B593" s="15" t="s">
        <v>217</v>
      </c>
      <c r="C593" s="15" t="s">
        <v>5</v>
      </c>
      <c r="D593" s="69">
        <v>26</v>
      </c>
      <c r="E593" s="68" t="s">
        <v>287</v>
      </c>
      <c r="F593" s="32" t="s">
        <v>467</v>
      </c>
      <c r="G593" s="15" t="s">
        <v>164</v>
      </c>
      <c r="H593" s="15" t="s">
        <v>901</v>
      </c>
      <c r="I593" s="69">
        <v>206</v>
      </c>
      <c r="J593" s="15" t="s">
        <v>2672</v>
      </c>
      <c r="K593" s="15" t="s">
        <v>903</v>
      </c>
      <c r="L593" s="15" t="s">
        <v>2673</v>
      </c>
      <c r="M593" s="15" t="s">
        <v>2672</v>
      </c>
      <c r="N593" s="15" t="s">
        <v>2673</v>
      </c>
      <c r="O593" s="15"/>
    </row>
    <row r="594" spans="1:15" ht="18" customHeight="1" x14ac:dyDescent="0.3">
      <c r="A594" s="29">
        <v>593</v>
      </c>
      <c r="B594" s="15" t="s">
        <v>217</v>
      </c>
      <c r="C594" s="15" t="s">
        <v>5</v>
      </c>
      <c r="D594" s="69">
        <v>26</v>
      </c>
      <c r="E594" s="68" t="s">
        <v>287</v>
      </c>
      <c r="F594" s="32" t="s">
        <v>467</v>
      </c>
      <c r="G594" s="15" t="s">
        <v>164</v>
      </c>
      <c r="H594" s="15" t="s">
        <v>904</v>
      </c>
      <c r="I594" s="69">
        <v>164</v>
      </c>
      <c r="J594" s="15" t="s">
        <v>2674</v>
      </c>
      <c r="K594" s="15" t="s">
        <v>903</v>
      </c>
      <c r="L594" s="15" t="s">
        <v>2673</v>
      </c>
      <c r="M594" s="15" t="s">
        <v>2672</v>
      </c>
      <c r="N594" s="15" t="s">
        <v>2673</v>
      </c>
      <c r="O594" s="15"/>
    </row>
    <row r="595" spans="1:15" ht="18" customHeight="1" x14ac:dyDescent="0.3">
      <c r="A595" s="29">
        <v>594</v>
      </c>
      <c r="B595" s="15" t="s">
        <v>217</v>
      </c>
      <c r="C595" s="15" t="s">
        <v>5</v>
      </c>
      <c r="D595" s="69">
        <v>26</v>
      </c>
      <c r="E595" s="68" t="s">
        <v>287</v>
      </c>
      <c r="F595" s="32" t="s">
        <v>467</v>
      </c>
      <c r="G595" s="15" t="s">
        <v>164</v>
      </c>
      <c r="H595" s="15" t="s">
        <v>905</v>
      </c>
      <c r="I595" s="69">
        <v>130</v>
      </c>
      <c r="J595" s="15" t="s">
        <v>2672</v>
      </c>
      <c r="K595" s="15" t="s">
        <v>903</v>
      </c>
      <c r="L595" s="15" t="s">
        <v>2673</v>
      </c>
      <c r="M595" s="15" t="s">
        <v>2672</v>
      </c>
      <c r="N595" s="15" t="s">
        <v>2673</v>
      </c>
      <c r="O595" s="15"/>
    </row>
    <row r="596" spans="1:15" ht="18" customHeight="1" x14ac:dyDescent="0.3">
      <c r="A596" s="29">
        <v>595</v>
      </c>
      <c r="B596" s="15" t="s">
        <v>217</v>
      </c>
      <c r="C596" s="15" t="s">
        <v>5</v>
      </c>
      <c r="D596" s="69">
        <v>26</v>
      </c>
      <c r="E596" s="68" t="s">
        <v>287</v>
      </c>
      <c r="F596" s="32" t="s">
        <v>467</v>
      </c>
      <c r="G596" s="15" t="s">
        <v>164</v>
      </c>
      <c r="H596" s="15" t="s">
        <v>906</v>
      </c>
      <c r="I596" s="69">
        <v>151</v>
      </c>
      <c r="J596" s="15" t="s">
        <v>2672</v>
      </c>
      <c r="K596" s="15" t="s">
        <v>903</v>
      </c>
      <c r="L596" s="15" t="s">
        <v>2673</v>
      </c>
      <c r="M596" s="15" t="s">
        <v>2672</v>
      </c>
      <c r="N596" s="15" t="s">
        <v>2673</v>
      </c>
      <c r="O596" s="15"/>
    </row>
    <row r="597" spans="1:15" ht="18" customHeight="1" x14ac:dyDescent="0.3">
      <c r="A597" s="29">
        <v>596</v>
      </c>
      <c r="B597" s="15" t="s">
        <v>217</v>
      </c>
      <c r="C597" s="15" t="s">
        <v>5</v>
      </c>
      <c r="D597" s="69">
        <v>26</v>
      </c>
      <c r="E597" s="68" t="s">
        <v>287</v>
      </c>
      <c r="F597" s="32" t="s">
        <v>467</v>
      </c>
      <c r="G597" s="15" t="s">
        <v>164</v>
      </c>
      <c r="H597" s="15" t="s">
        <v>907</v>
      </c>
      <c r="I597" s="69">
        <v>148</v>
      </c>
      <c r="J597" s="15" t="s">
        <v>2672</v>
      </c>
      <c r="K597" s="15" t="s">
        <v>903</v>
      </c>
      <c r="L597" s="15" t="s">
        <v>2673</v>
      </c>
      <c r="M597" s="15" t="s">
        <v>2672</v>
      </c>
      <c r="N597" s="15" t="s">
        <v>2673</v>
      </c>
      <c r="O597" s="15"/>
    </row>
    <row r="598" spans="1:15" ht="18" customHeight="1" x14ac:dyDescent="0.3">
      <c r="A598" s="29">
        <v>597</v>
      </c>
      <c r="B598" s="15" t="s">
        <v>217</v>
      </c>
      <c r="C598" s="15" t="s">
        <v>5</v>
      </c>
      <c r="D598" s="69">
        <v>26</v>
      </c>
      <c r="E598" s="68" t="s">
        <v>287</v>
      </c>
      <c r="F598" s="32" t="s">
        <v>467</v>
      </c>
      <c r="G598" s="15" t="s">
        <v>164</v>
      </c>
      <c r="H598" s="15" t="s">
        <v>908</v>
      </c>
      <c r="I598" s="69">
        <v>154</v>
      </c>
      <c r="J598" s="15" t="s">
        <v>2672</v>
      </c>
      <c r="K598" s="15" t="s">
        <v>903</v>
      </c>
      <c r="L598" s="15" t="s">
        <v>2673</v>
      </c>
      <c r="M598" s="15" t="s">
        <v>2672</v>
      </c>
      <c r="N598" s="15" t="s">
        <v>2673</v>
      </c>
      <c r="O598" s="15"/>
    </row>
    <row r="599" spans="1:15" ht="18" customHeight="1" x14ac:dyDescent="0.3">
      <c r="A599" s="29">
        <v>598</v>
      </c>
      <c r="B599" s="15" t="s">
        <v>217</v>
      </c>
      <c r="C599" s="15" t="s">
        <v>5</v>
      </c>
      <c r="D599" s="69">
        <v>26</v>
      </c>
      <c r="E599" s="68" t="s">
        <v>287</v>
      </c>
      <c r="F599" s="32" t="s">
        <v>467</v>
      </c>
      <c r="G599" s="15" t="s">
        <v>164</v>
      </c>
      <c r="H599" s="15" t="s">
        <v>909</v>
      </c>
      <c r="I599" s="69">
        <v>153</v>
      </c>
      <c r="J599" s="15" t="s">
        <v>2672</v>
      </c>
      <c r="K599" s="15" t="s">
        <v>903</v>
      </c>
      <c r="L599" s="15" t="s">
        <v>2673</v>
      </c>
      <c r="M599" s="15" t="s">
        <v>2672</v>
      </c>
      <c r="N599" s="15" t="s">
        <v>2673</v>
      </c>
      <c r="O599" s="15"/>
    </row>
    <row r="600" spans="1:15" ht="18" customHeight="1" x14ac:dyDescent="0.3">
      <c r="A600" s="29">
        <v>599</v>
      </c>
      <c r="B600" s="15" t="s">
        <v>217</v>
      </c>
      <c r="C600" s="15" t="s">
        <v>5</v>
      </c>
      <c r="D600" s="69">
        <v>26</v>
      </c>
      <c r="E600" s="68" t="s">
        <v>287</v>
      </c>
      <c r="F600" s="32" t="s">
        <v>467</v>
      </c>
      <c r="G600" s="15" t="s">
        <v>164</v>
      </c>
      <c r="H600" s="15" t="s">
        <v>910</v>
      </c>
      <c r="I600" s="69">
        <v>134</v>
      </c>
      <c r="J600" s="15" t="s">
        <v>2674</v>
      </c>
      <c r="K600" s="15" t="s">
        <v>903</v>
      </c>
      <c r="L600" s="15" t="s">
        <v>2673</v>
      </c>
      <c r="M600" s="15" t="s">
        <v>2672</v>
      </c>
      <c r="N600" s="15" t="s">
        <v>2673</v>
      </c>
      <c r="O600" s="15"/>
    </row>
    <row r="601" spans="1:15" ht="18" customHeight="1" x14ac:dyDescent="0.3">
      <c r="A601" s="29">
        <v>600</v>
      </c>
      <c r="B601" s="15" t="s">
        <v>217</v>
      </c>
      <c r="C601" s="15" t="s">
        <v>5</v>
      </c>
      <c r="D601" s="69">
        <v>26</v>
      </c>
      <c r="E601" s="68" t="s">
        <v>287</v>
      </c>
      <c r="F601" s="32" t="s">
        <v>467</v>
      </c>
      <c r="G601" s="15" t="s">
        <v>164</v>
      </c>
      <c r="H601" s="15" t="s">
        <v>931</v>
      </c>
      <c r="I601" s="69">
        <v>132</v>
      </c>
      <c r="J601" s="15" t="s">
        <v>2672</v>
      </c>
      <c r="K601" s="15" t="s">
        <v>903</v>
      </c>
      <c r="L601" s="15" t="s">
        <v>2673</v>
      </c>
      <c r="M601" s="15" t="s">
        <v>2672</v>
      </c>
      <c r="N601" s="15" t="s">
        <v>2673</v>
      </c>
      <c r="O601" s="15" t="s">
        <v>2790</v>
      </c>
    </row>
    <row r="602" spans="1:15" ht="18" customHeight="1" x14ac:dyDescent="0.3">
      <c r="A602" s="29">
        <v>601</v>
      </c>
      <c r="B602" s="15" t="s">
        <v>217</v>
      </c>
      <c r="C602" s="15" t="s">
        <v>5</v>
      </c>
      <c r="D602" s="69">
        <v>26</v>
      </c>
      <c r="E602" s="68" t="s">
        <v>238</v>
      </c>
      <c r="F602" s="32" t="s">
        <v>465</v>
      </c>
      <c r="G602" s="15" t="s">
        <v>154</v>
      </c>
      <c r="H602" s="15" t="s">
        <v>901</v>
      </c>
      <c r="I602" s="69">
        <v>221</v>
      </c>
      <c r="J602" s="13" t="s">
        <v>902</v>
      </c>
      <c r="K602" s="15" t="s">
        <v>903</v>
      </c>
      <c r="L602" s="15" t="s">
        <v>2673</v>
      </c>
      <c r="M602" s="15" t="s">
        <v>2672</v>
      </c>
      <c r="N602" s="15" t="s">
        <v>2673</v>
      </c>
      <c r="O602" s="15"/>
    </row>
    <row r="603" spans="1:15" ht="18" customHeight="1" x14ac:dyDescent="0.3">
      <c r="A603" s="29">
        <v>602</v>
      </c>
      <c r="B603" s="15" t="s">
        <v>217</v>
      </c>
      <c r="C603" s="15" t="s">
        <v>5</v>
      </c>
      <c r="D603" s="69">
        <v>26</v>
      </c>
      <c r="E603" s="68" t="s">
        <v>238</v>
      </c>
      <c r="F603" s="32" t="s">
        <v>465</v>
      </c>
      <c r="G603" s="15" t="s">
        <v>154</v>
      </c>
      <c r="H603" s="15" t="s">
        <v>904</v>
      </c>
      <c r="I603" s="69">
        <v>179</v>
      </c>
      <c r="J603" s="13" t="s">
        <v>2672</v>
      </c>
      <c r="K603" s="15" t="s">
        <v>903</v>
      </c>
      <c r="L603" s="15" t="s">
        <v>2673</v>
      </c>
      <c r="M603" s="15" t="s">
        <v>2672</v>
      </c>
      <c r="N603" s="15" t="s">
        <v>2673</v>
      </c>
      <c r="O603" s="15"/>
    </row>
    <row r="604" spans="1:15" ht="18" customHeight="1" x14ac:dyDescent="0.3">
      <c r="A604" s="29">
        <v>603</v>
      </c>
      <c r="B604" s="15" t="s">
        <v>217</v>
      </c>
      <c r="C604" s="15" t="s">
        <v>5</v>
      </c>
      <c r="D604" s="69">
        <v>26</v>
      </c>
      <c r="E604" s="68" t="s">
        <v>238</v>
      </c>
      <c r="F604" s="32" t="s">
        <v>465</v>
      </c>
      <c r="G604" s="15" t="s">
        <v>154</v>
      </c>
      <c r="H604" s="15" t="s">
        <v>905</v>
      </c>
      <c r="I604" s="69">
        <v>182</v>
      </c>
      <c r="J604" s="13" t="s">
        <v>2672</v>
      </c>
      <c r="K604" s="15" t="s">
        <v>903</v>
      </c>
      <c r="L604" s="15" t="s">
        <v>2673</v>
      </c>
      <c r="M604" s="15" t="s">
        <v>2672</v>
      </c>
      <c r="N604" s="15" t="s">
        <v>2673</v>
      </c>
      <c r="O604" s="15"/>
    </row>
    <row r="605" spans="1:15" ht="18" customHeight="1" x14ac:dyDescent="0.3">
      <c r="A605" s="29">
        <v>604</v>
      </c>
      <c r="B605" s="15" t="s">
        <v>217</v>
      </c>
      <c r="C605" s="15" t="s">
        <v>5</v>
      </c>
      <c r="D605" s="69">
        <v>26</v>
      </c>
      <c r="E605" s="68" t="s">
        <v>238</v>
      </c>
      <c r="F605" s="32" t="s">
        <v>465</v>
      </c>
      <c r="G605" s="15" t="s">
        <v>154</v>
      </c>
      <c r="H605" s="15" t="s">
        <v>906</v>
      </c>
      <c r="I605" s="69">
        <v>109</v>
      </c>
      <c r="J605" s="13" t="s">
        <v>902</v>
      </c>
      <c r="K605" s="15" t="s">
        <v>903</v>
      </c>
      <c r="L605" s="15" t="s">
        <v>2673</v>
      </c>
      <c r="M605" s="15" t="s">
        <v>2672</v>
      </c>
      <c r="N605" s="15" t="s">
        <v>2673</v>
      </c>
      <c r="O605" s="15"/>
    </row>
    <row r="606" spans="1:15" ht="18" customHeight="1" x14ac:dyDescent="0.3">
      <c r="A606" s="29">
        <v>605</v>
      </c>
      <c r="B606" s="15" t="s">
        <v>217</v>
      </c>
      <c r="C606" s="15" t="s">
        <v>5</v>
      </c>
      <c r="D606" s="69">
        <v>26</v>
      </c>
      <c r="E606" s="68" t="s">
        <v>238</v>
      </c>
      <c r="F606" s="32" t="s">
        <v>465</v>
      </c>
      <c r="G606" s="15" t="s">
        <v>154</v>
      </c>
      <c r="H606" s="15" t="s">
        <v>907</v>
      </c>
      <c r="I606" s="69">
        <v>155</v>
      </c>
      <c r="J606" s="13" t="s">
        <v>2672</v>
      </c>
      <c r="K606" s="15" t="s">
        <v>903</v>
      </c>
      <c r="L606" s="15" t="s">
        <v>2673</v>
      </c>
      <c r="M606" s="15" t="s">
        <v>2672</v>
      </c>
      <c r="N606" s="15" t="s">
        <v>2673</v>
      </c>
      <c r="O606" s="15"/>
    </row>
    <row r="607" spans="1:15" ht="18" customHeight="1" x14ac:dyDescent="0.3">
      <c r="A607" s="29">
        <v>606</v>
      </c>
      <c r="B607" s="15" t="s">
        <v>217</v>
      </c>
      <c r="C607" s="15" t="s">
        <v>5</v>
      </c>
      <c r="D607" s="69">
        <v>26</v>
      </c>
      <c r="E607" s="68" t="s">
        <v>238</v>
      </c>
      <c r="F607" s="32" t="s">
        <v>465</v>
      </c>
      <c r="G607" s="15" t="s">
        <v>154</v>
      </c>
      <c r="H607" s="15" t="s">
        <v>908</v>
      </c>
      <c r="I607" s="69">
        <v>136</v>
      </c>
      <c r="J607" s="13" t="s">
        <v>2672</v>
      </c>
      <c r="K607" s="15" t="s">
        <v>903</v>
      </c>
      <c r="L607" s="15" t="s">
        <v>2673</v>
      </c>
      <c r="M607" s="15" t="s">
        <v>2672</v>
      </c>
      <c r="N607" s="15" t="s">
        <v>2673</v>
      </c>
      <c r="O607" s="15"/>
    </row>
    <row r="608" spans="1:15" ht="18" customHeight="1" x14ac:dyDescent="0.3">
      <c r="A608" s="29">
        <v>607</v>
      </c>
      <c r="B608" s="15" t="s">
        <v>217</v>
      </c>
      <c r="C608" s="15" t="s">
        <v>5</v>
      </c>
      <c r="D608" s="69">
        <v>26</v>
      </c>
      <c r="E608" s="68" t="s">
        <v>965</v>
      </c>
      <c r="F608" s="32" t="s">
        <v>1129</v>
      </c>
      <c r="G608" s="15" t="s">
        <v>154</v>
      </c>
      <c r="H608" s="15" t="s">
        <v>905</v>
      </c>
      <c r="I608" s="69">
        <v>192</v>
      </c>
      <c r="J608" s="13" t="s">
        <v>2672</v>
      </c>
      <c r="K608" s="15" t="s">
        <v>903</v>
      </c>
      <c r="L608" s="15" t="s">
        <v>2673</v>
      </c>
      <c r="M608" s="15" t="s">
        <v>2672</v>
      </c>
      <c r="N608" s="15" t="s">
        <v>2673</v>
      </c>
      <c r="O608" s="15"/>
    </row>
    <row r="609" spans="1:15" ht="18" customHeight="1" x14ac:dyDescent="0.3">
      <c r="A609" s="29">
        <v>608</v>
      </c>
      <c r="B609" s="15" t="s">
        <v>217</v>
      </c>
      <c r="C609" s="15" t="s">
        <v>5</v>
      </c>
      <c r="D609" s="69">
        <v>26</v>
      </c>
      <c r="E609" s="68" t="s">
        <v>965</v>
      </c>
      <c r="F609" s="32" t="s">
        <v>1129</v>
      </c>
      <c r="G609" s="15" t="s">
        <v>154</v>
      </c>
      <c r="H609" s="15" t="s">
        <v>906</v>
      </c>
      <c r="I609" s="69">
        <v>176</v>
      </c>
      <c r="J609" s="13" t="s">
        <v>2672</v>
      </c>
      <c r="K609" s="15" t="s">
        <v>903</v>
      </c>
      <c r="L609" s="15" t="s">
        <v>2673</v>
      </c>
      <c r="M609" s="15" t="s">
        <v>2672</v>
      </c>
      <c r="N609" s="15" t="s">
        <v>2673</v>
      </c>
      <c r="O609" s="15"/>
    </row>
    <row r="610" spans="1:15" ht="18" customHeight="1" x14ac:dyDescent="0.3">
      <c r="A610" s="29">
        <v>609</v>
      </c>
      <c r="B610" s="15" t="s">
        <v>217</v>
      </c>
      <c r="C610" s="15" t="s">
        <v>5</v>
      </c>
      <c r="D610" s="69">
        <v>26</v>
      </c>
      <c r="E610" s="68" t="s">
        <v>965</v>
      </c>
      <c r="F610" s="32" t="s">
        <v>1129</v>
      </c>
      <c r="G610" s="15" t="s">
        <v>154</v>
      </c>
      <c r="H610" s="15" t="s">
        <v>907</v>
      </c>
      <c r="I610" s="69">
        <v>144</v>
      </c>
      <c r="J610" s="13" t="s">
        <v>2672</v>
      </c>
      <c r="K610" s="15" t="s">
        <v>903</v>
      </c>
      <c r="L610" s="15" t="s">
        <v>2673</v>
      </c>
      <c r="M610" s="15" t="s">
        <v>2672</v>
      </c>
      <c r="N610" s="15" t="s">
        <v>2673</v>
      </c>
      <c r="O610" s="15"/>
    </row>
    <row r="611" spans="1:15" ht="18" customHeight="1" x14ac:dyDescent="0.3">
      <c r="A611" s="29">
        <v>610</v>
      </c>
      <c r="B611" s="15" t="s">
        <v>217</v>
      </c>
      <c r="C611" s="15" t="s">
        <v>5</v>
      </c>
      <c r="D611" s="69">
        <v>26</v>
      </c>
      <c r="E611" s="68" t="s">
        <v>965</v>
      </c>
      <c r="F611" s="32" t="s">
        <v>1129</v>
      </c>
      <c r="G611" s="15" t="s">
        <v>154</v>
      </c>
      <c r="H611" s="15" t="s">
        <v>908</v>
      </c>
      <c r="I611" s="69">
        <v>176</v>
      </c>
      <c r="J611" s="13" t="s">
        <v>2672</v>
      </c>
      <c r="K611" s="15" t="s">
        <v>903</v>
      </c>
      <c r="L611" s="15" t="s">
        <v>2673</v>
      </c>
      <c r="M611" s="15" t="s">
        <v>2672</v>
      </c>
      <c r="N611" s="15" t="s">
        <v>2673</v>
      </c>
      <c r="O611" s="15"/>
    </row>
    <row r="612" spans="1:15" ht="18" customHeight="1" x14ac:dyDescent="0.3">
      <c r="A612" s="29">
        <v>611</v>
      </c>
      <c r="B612" s="15" t="s">
        <v>217</v>
      </c>
      <c r="C612" s="15" t="s">
        <v>5</v>
      </c>
      <c r="D612" s="69">
        <v>26</v>
      </c>
      <c r="E612" s="68" t="s">
        <v>965</v>
      </c>
      <c r="F612" s="32" t="s">
        <v>1129</v>
      </c>
      <c r="G612" s="15" t="s">
        <v>154</v>
      </c>
      <c r="H612" s="15" t="s">
        <v>909</v>
      </c>
      <c r="I612" s="69">
        <v>132</v>
      </c>
      <c r="J612" s="13" t="s">
        <v>902</v>
      </c>
      <c r="K612" s="15" t="s">
        <v>902</v>
      </c>
      <c r="L612" s="15" t="s">
        <v>1577</v>
      </c>
      <c r="M612" s="15" t="s">
        <v>2672</v>
      </c>
      <c r="N612" s="15" t="s">
        <v>2673</v>
      </c>
      <c r="O612" s="15"/>
    </row>
    <row r="613" spans="1:15" ht="18" customHeight="1" x14ac:dyDescent="0.3">
      <c r="A613" s="29">
        <v>612</v>
      </c>
      <c r="B613" s="15" t="s">
        <v>217</v>
      </c>
      <c r="C613" s="15" t="s">
        <v>5</v>
      </c>
      <c r="D613" s="69">
        <v>26</v>
      </c>
      <c r="E613" s="68" t="s">
        <v>965</v>
      </c>
      <c r="F613" s="32" t="s">
        <v>1129</v>
      </c>
      <c r="G613" s="15" t="s">
        <v>154</v>
      </c>
      <c r="H613" s="15" t="s">
        <v>910</v>
      </c>
      <c r="I613" s="69">
        <v>407</v>
      </c>
      <c r="J613" s="13" t="s">
        <v>902</v>
      </c>
      <c r="K613" s="15" t="s">
        <v>2672</v>
      </c>
      <c r="L613" s="15" t="s">
        <v>2673</v>
      </c>
      <c r="M613" s="15" t="s">
        <v>2672</v>
      </c>
      <c r="N613" s="15" t="s">
        <v>2673</v>
      </c>
      <c r="O613" s="15" t="s">
        <v>1174</v>
      </c>
    </row>
    <row r="614" spans="1:15" ht="18" customHeight="1" x14ac:dyDescent="0.3">
      <c r="A614" s="29">
        <v>613</v>
      </c>
      <c r="B614" s="15" t="s">
        <v>217</v>
      </c>
      <c r="C614" s="15" t="s">
        <v>5</v>
      </c>
      <c r="D614" s="69">
        <v>26</v>
      </c>
      <c r="E614" s="68" t="s">
        <v>965</v>
      </c>
      <c r="F614" s="32" t="s">
        <v>1129</v>
      </c>
      <c r="G614" s="15" t="s">
        <v>154</v>
      </c>
      <c r="H614" s="15" t="s">
        <v>911</v>
      </c>
      <c r="I614" s="69">
        <v>408</v>
      </c>
      <c r="J614" s="13" t="s">
        <v>902</v>
      </c>
      <c r="K614" s="15" t="s">
        <v>902</v>
      </c>
      <c r="L614" s="15" t="s">
        <v>2747</v>
      </c>
      <c r="M614" s="15" t="s">
        <v>2672</v>
      </c>
      <c r="N614" s="15" t="s">
        <v>2673</v>
      </c>
      <c r="O614" s="15" t="s">
        <v>2748</v>
      </c>
    </row>
    <row r="615" spans="1:15" ht="18" customHeight="1" x14ac:dyDescent="0.3">
      <c r="A615" s="29">
        <v>614</v>
      </c>
      <c r="B615" s="15" t="s">
        <v>217</v>
      </c>
      <c r="C615" s="15" t="s">
        <v>5</v>
      </c>
      <c r="D615" s="69">
        <v>26</v>
      </c>
      <c r="E615" s="68" t="s">
        <v>965</v>
      </c>
      <c r="F615" s="32" t="s">
        <v>1129</v>
      </c>
      <c r="G615" s="15" t="s">
        <v>154</v>
      </c>
      <c r="H615" s="15" t="s">
        <v>927</v>
      </c>
      <c r="I615" s="69">
        <v>144</v>
      </c>
      <c r="J615" s="13" t="s">
        <v>2672</v>
      </c>
      <c r="K615" s="15" t="s">
        <v>2672</v>
      </c>
      <c r="L615" s="15" t="s">
        <v>2673</v>
      </c>
      <c r="M615" s="15" t="s">
        <v>2674</v>
      </c>
      <c r="N615" s="15" t="s">
        <v>2741</v>
      </c>
      <c r="O615" s="15"/>
    </row>
    <row r="616" spans="1:15" ht="18" customHeight="1" x14ac:dyDescent="0.3">
      <c r="A616" s="29">
        <v>615</v>
      </c>
      <c r="B616" s="15" t="s">
        <v>217</v>
      </c>
      <c r="C616" s="15" t="s">
        <v>5</v>
      </c>
      <c r="D616" s="69">
        <v>26</v>
      </c>
      <c r="E616" s="68" t="s">
        <v>1259</v>
      </c>
      <c r="F616" s="32" t="s">
        <v>1129</v>
      </c>
      <c r="G616" s="15" t="s">
        <v>154</v>
      </c>
      <c r="H616" s="15" t="s">
        <v>1254</v>
      </c>
      <c r="I616" s="69">
        <v>40</v>
      </c>
      <c r="J616" s="13" t="s">
        <v>902</v>
      </c>
      <c r="K616" s="15" t="s">
        <v>902</v>
      </c>
      <c r="L616" s="15" t="s">
        <v>2692</v>
      </c>
      <c r="M616" s="15" t="s">
        <v>2672</v>
      </c>
      <c r="N616" s="15" t="s">
        <v>2673</v>
      </c>
      <c r="O616" s="15"/>
    </row>
    <row r="617" spans="1:15" ht="18" customHeight="1" x14ac:dyDescent="0.3">
      <c r="A617" s="29">
        <v>616</v>
      </c>
      <c r="B617" s="15" t="s">
        <v>217</v>
      </c>
      <c r="C617" s="15" t="s">
        <v>5</v>
      </c>
      <c r="D617" s="69">
        <v>26</v>
      </c>
      <c r="E617" s="68" t="s">
        <v>965</v>
      </c>
      <c r="F617" s="32" t="s">
        <v>471</v>
      </c>
      <c r="G617" s="15" t="s">
        <v>154</v>
      </c>
      <c r="H617" s="15" t="s">
        <v>901</v>
      </c>
      <c r="I617" s="69">
        <v>330</v>
      </c>
      <c r="J617" s="13" t="s">
        <v>2672</v>
      </c>
      <c r="K617" s="15" t="s">
        <v>903</v>
      </c>
      <c r="L617" s="15" t="s">
        <v>2673</v>
      </c>
      <c r="M617" s="15" t="s">
        <v>2672</v>
      </c>
      <c r="N617" s="15" t="s">
        <v>2673</v>
      </c>
      <c r="O617" s="15"/>
    </row>
    <row r="618" spans="1:15" ht="18" customHeight="1" x14ac:dyDescent="0.3">
      <c r="A618" s="29">
        <v>617</v>
      </c>
      <c r="B618" s="15" t="s">
        <v>217</v>
      </c>
      <c r="C618" s="15" t="s">
        <v>5</v>
      </c>
      <c r="D618" s="69">
        <v>26</v>
      </c>
      <c r="E618" s="68" t="s">
        <v>965</v>
      </c>
      <c r="F618" s="32" t="s">
        <v>471</v>
      </c>
      <c r="G618" s="15" t="s">
        <v>154</v>
      </c>
      <c r="H618" s="15" t="s">
        <v>904</v>
      </c>
      <c r="I618" s="69">
        <v>260</v>
      </c>
      <c r="J618" s="13" t="s">
        <v>902</v>
      </c>
      <c r="K618" s="15" t="s">
        <v>903</v>
      </c>
      <c r="L618" s="15" t="s">
        <v>2673</v>
      </c>
      <c r="M618" s="15" t="s">
        <v>2672</v>
      </c>
      <c r="N618" s="15" t="s">
        <v>2673</v>
      </c>
      <c r="O618" s="15"/>
    </row>
    <row r="619" spans="1:15" ht="18" customHeight="1" x14ac:dyDescent="0.3">
      <c r="A619" s="29">
        <v>618</v>
      </c>
      <c r="B619" s="15" t="s">
        <v>217</v>
      </c>
      <c r="C619" s="15" t="s">
        <v>31</v>
      </c>
      <c r="D619" s="69">
        <v>30</v>
      </c>
      <c r="E619" s="68" t="s">
        <v>2829</v>
      </c>
      <c r="F619" s="32" t="s">
        <v>455</v>
      </c>
      <c r="G619" s="15" t="s">
        <v>154</v>
      </c>
      <c r="H619" s="15" t="s">
        <v>904</v>
      </c>
      <c r="I619" s="69">
        <v>157</v>
      </c>
      <c r="J619" s="13" t="s">
        <v>902</v>
      </c>
      <c r="K619" s="15" t="s">
        <v>903</v>
      </c>
      <c r="L619" s="15" t="s">
        <v>2673</v>
      </c>
      <c r="M619" s="15" t="s">
        <v>2672</v>
      </c>
      <c r="N619" s="15" t="s">
        <v>2673</v>
      </c>
      <c r="O619" s="15"/>
    </row>
    <row r="620" spans="1:15" ht="18" customHeight="1" x14ac:dyDescent="0.3">
      <c r="A620" s="29">
        <v>619</v>
      </c>
      <c r="B620" s="15" t="s">
        <v>217</v>
      </c>
      <c r="C620" s="15" t="s">
        <v>31</v>
      </c>
      <c r="D620" s="69">
        <v>30</v>
      </c>
      <c r="E620" s="68" t="s">
        <v>2829</v>
      </c>
      <c r="F620" s="32" t="s">
        <v>455</v>
      </c>
      <c r="G620" s="15" t="s">
        <v>154</v>
      </c>
      <c r="H620" s="15" t="s">
        <v>905</v>
      </c>
      <c r="I620" s="69">
        <v>157</v>
      </c>
      <c r="J620" s="13" t="s">
        <v>2672</v>
      </c>
      <c r="K620" s="15" t="s">
        <v>903</v>
      </c>
      <c r="L620" s="15" t="s">
        <v>2673</v>
      </c>
      <c r="M620" s="15" t="s">
        <v>2672</v>
      </c>
      <c r="N620" s="15" t="s">
        <v>2673</v>
      </c>
      <c r="O620" s="15"/>
    </row>
    <row r="621" spans="1:15" ht="18" customHeight="1" x14ac:dyDescent="0.3">
      <c r="A621" s="29">
        <v>620</v>
      </c>
      <c r="B621" s="15" t="s">
        <v>217</v>
      </c>
      <c r="C621" s="15" t="s">
        <v>31</v>
      </c>
      <c r="D621" s="69">
        <v>30</v>
      </c>
      <c r="E621" s="68" t="s">
        <v>2829</v>
      </c>
      <c r="F621" s="32" t="s">
        <v>455</v>
      </c>
      <c r="G621" s="15" t="s">
        <v>154</v>
      </c>
      <c r="H621" s="15" t="s">
        <v>906</v>
      </c>
      <c r="I621" s="69">
        <v>157</v>
      </c>
      <c r="J621" s="13" t="s">
        <v>2672</v>
      </c>
      <c r="K621" s="15" t="s">
        <v>903</v>
      </c>
      <c r="L621" s="15" t="s">
        <v>2673</v>
      </c>
      <c r="M621" s="15" t="s">
        <v>2672</v>
      </c>
      <c r="N621" s="15" t="s">
        <v>2673</v>
      </c>
      <c r="O621" s="15"/>
    </row>
    <row r="622" spans="1:15" ht="18" customHeight="1" x14ac:dyDescent="0.3">
      <c r="A622" s="29">
        <v>621</v>
      </c>
      <c r="B622" s="15" t="s">
        <v>217</v>
      </c>
      <c r="C622" s="15" t="s">
        <v>31</v>
      </c>
      <c r="D622" s="69">
        <v>30</v>
      </c>
      <c r="E622" s="68" t="s">
        <v>2829</v>
      </c>
      <c r="F622" s="32" t="s">
        <v>455</v>
      </c>
      <c r="G622" s="15" t="s">
        <v>154</v>
      </c>
      <c r="H622" s="15" t="s">
        <v>907</v>
      </c>
      <c r="I622" s="69">
        <v>262</v>
      </c>
      <c r="J622" s="13" t="s">
        <v>902</v>
      </c>
      <c r="K622" s="15" t="s">
        <v>903</v>
      </c>
      <c r="L622" s="15" t="s">
        <v>2673</v>
      </c>
      <c r="M622" s="15" t="s">
        <v>2672</v>
      </c>
      <c r="N622" s="15" t="s">
        <v>2673</v>
      </c>
      <c r="O622" s="15"/>
    </row>
    <row r="623" spans="1:15" ht="18" customHeight="1" x14ac:dyDescent="0.3">
      <c r="A623" s="29">
        <v>622</v>
      </c>
      <c r="B623" s="15" t="s">
        <v>217</v>
      </c>
      <c r="C623" s="15" t="s">
        <v>31</v>
      </c>
      <c r="D623" s="69">
        <v>30</v>
      </c>
      <c r="E623" s="68" t="s">
        <v>2829</v>
      </c>
      <c r="F623" s="32" t="s">
        <v>455</v>
      </c>
      <c r="G623" s="15" t="s">
        <v>154</v>
      </c>
      <c r="H623" s="15" t="s">
        <v>908</v>
      </c>
      <c r="I623" s="69">
        <v>270</v>
      </c>
      <c r="J623" s="13" t="s">
        <v>902</v>
      </c>
      <c r="K623" s="15" t="s">
        <v>903</v>
      </c>
      <c r="L623" s="15" t="s">
        <v>2673</v>
      </c>
      <c r="M623" s="15" t="s">
        <v>2672</v>
      </c>
      <c r="N623" s="15" t="s">
        <v>2673</v>
      </c>
      <c r="O623" s="15"/>
    </row>
    <row r="624" spans="1:15" ht="18" customHeight="1" x14ac:dyDescent="0.3">
      <c r="A624" s="29">
        <v>623</v>
      </c>
      <c r="B624" s="15" t="s">
        <v>217</v>
      </c>
      <c r="C624" s="15" t="s">
        <v>31</v>
      </c>
      <c r="D624" s="69">
        <v>30</v>
      </c>
      <c r="E624" s="68" t="s">
        <v>2829</v>
      </c>
      <c r="F624" s="32" t="s">
        <v>455</v>
      </c>
      <c r="G624" s="15" t="s">
        <v>154</v>
      </c>
      <c r="H624" s="15" t="s">
        <v>909</v>
      </c>
      <c r="I624" s="69">
        <v>211</v>
      </c>
      <c r="J624" s="13" t="s">
        <v>902</v>
      </c>
      <c r="K624" s="15" t="s">
        <v>903</v>
      </c>
      <c r="L624" s="15" t="s">
        <v>2673</v>
      </c>
      <c r="M624" s="15" t="s">
        <v>2672</v>
      </c>
      <c r="N624" s="15" t="s">
        <v>2673</v>
      </c>
      <c r="O624" s="15"/>
    </row>
    <row r="625" spans="1:15" ht="18" customHeight="1" x14ac:dyDescent="0.3">
      <c r="A625" s="29">
        <v>624</v>
      </c>
      <c r="B625" s="15" t="s">
        <v>217</v>
      </c>
      <c r="C625" s="15" t="s">
        <v>31</v>
      </c>
      <c r="D625" s="69">
        <v>30</v>
      </c>
      <c r="E625" s="68" t="s">
        <v>2829</v>
      </c>
      <c r="F625" s="32" t="s">
        <v>455</v>
      </c>
      <c r="G625" s="15" t="s">
        <v>154</v>
      </c>
      <c r="H625" s="15" t="s">
        <v>910</v>
      </c>
      <c r="I625" s="69">
        <v>237</v>
      </c>
      <c r="J625" s="13" t="s">
        <v>2672</v>
      </c>
      <c r="K625" s="15" t="s">
        <v>903</v>
      </c>
      <c r="L625" s="15" t="s">
        <v>2673</v>
      </c>
      <c r="M625" s="15" t="s">
        <v>2672</v>
      </c>
      <c r="N625" s="15" t="s">
        <v>2673</v>
      </c>
      <c r="O625" s="15"/>
    </row>
    <row r="626" spans="1:15" ht="18" customHeight="1" x14ac:dyDescent="0.3">
      <c r="A626" s="29">
        <v>625</v>
      </c>
      <c r="B626" s="15" t="s">
        <v>217</v>
      </c>
      <c r="C626" s="15" t="s">
        <v>31</v>
      </c>
      <c r="D626" s="69">
        <v>30</v>
      </c>
      <c r="E626" s="68" t="s">
        <v>2829</v>
      </c>
      <c r="F626" s="32" t="s">
        <v>455</v>
      </c>
      <c r="G626" s="15" t="s">
        <v>154</v>
      </c>
      <c r="H626" s="15" t="s">
        <v>911</v>
      </c>
      <c r="I626" s="69">
        <v>237</v>
      </c>
      <c r="J626" s="13" t="s">
        <v>902</v>
      </c>
      <c r="K626" s="15" t="s">
        <v>903</v>
      </c>
      <c r="L626" s="15" t="s">
        <v>2673</v>
      </c>
      <c r="M626" s="15" t="s">
        <v>2672</v>
      </c>
      <c r="N626" s="15" t="s">
        <v>2673</v>
      </c>
      <c r="O626" s="15"/>
    </row>
    <row r="627" spans="1:15" ht="18" customHeight="1" x14ac:dyDescent="0.3">
      <c r="A627" s="29">
        <v>626</v>
      </c>
      <c r="B627" s="15" t="s">
        <v>217</v>
      </c>
      <c r="C627" s="15" t="s">
        <v>31</v>
      </c>
      <c r="D627" s="69">
        <v>30</v>
      </c>
      <c r="E627" s="68" t="s">
        <v>2829</v>
      </c>
      <c r="F627" s="32" t="s">
        <v>455</v>
      </c>
      <c r="G627" s="15" t="s">
        <v>154</v>
      </c>
      <c r="H627" s="15" t="s">
        <v>927</v>
      </c>
      <c r="I627" s="69">
        <v>144</v>
      </c>
      <c r="J627" s="13" t="s">
        <v>2672</v>
      </c>
      <c r="K627" s="15" t="s">
        <v>903</v>
      </c>
      <c r="L627" s="15" t="s">
        <v>2673</v>
      </c>
      <c r="M627" s="15" t="s">
        <v>2672</v>
      </c>
      <c r="N627" s="15" t="s">
        <v>2673</v>
      </c>
      <c r="O627" s="15"/>
    </row>
    <row r="628" spans="1:15" ht="18" customHeight="1" x14ac:dyDescent="0.3">
      <c r="A628" s="29">
        <v>627</v>
      </c>
      <c r="B628" s="15" t="s">
        <v>217</v>
      </c>
      <c r="C628" s="15" t="s">
        <v>31</v>
      </c>
      <c r="D628" s="69">
        <v>30</v>
      </c>
      <c r="E628" s="68" t="s">
        <v>2829</v>
      </c>
      <c r="F628" s="32" t="s">
        <v>455</v>
      </c>
      <c r="G628" s="15" t="s">
        <v>154</v>
      </c>
      <c r="H628" s="15" t="s">
        <v>941</v>
      </c>
      <c r="I628" s="69">
        <v>144</v>
      </c>
      <c r="J628" s="13" t="s">
        <v>2672</v>
      </c>
      <c r="K628" s="15" t="s">
        <v>903</v>
      </c>
      <c r="L628" s="15" t="s">
        <v>2673</v>
      </c>
      <c r="M628" s="15" t="s">
        <v>2672</v>
      </c>
      <c r="N628" s="15" t="s">
        <v>2673</v>
      </c>
      <c r="O628" s="15"/>
    </row>
    <row r="629" spans="1:15" ht="18" customHeight="1" x14ac:dyDescent="0.3">
      <c r="A629" s="29">
        <v>628</v>
      </c>
      <c r="B629" s="15" t="s">
        <v>217</v>
      </c>
      <c r="C629" s="15" t="s">
        <v>31</v>
      </c>
      <c r="D629" s="69">
        <v>30</v>
      </c>
      <c r="E629" s="68" t="s">
        <v>2829</v>
      </c>
      <c r="F629" s="32" t="s">
        <v>1195</v>
      </c>
      <c r="G629" s="15" t="s">
        <v>154</v>
      </c>
      <c r="H629" s="15" t="s">
        <v>901</v>
      </c>
      <c r="I629" s="69">
        <v>86</v>
      </c>
      <c r="J629" s="13" t="s">
        <v>2672</v>
      </c>
      <c r="K629" s="15" t="s">
        <v>2674</v>
      </c>
      <c r="L629" s="15" t="s">
        <v>2830</v>
      </c>
      <c r="M629" s="15" t="s">
        <v>2672</v>
      </c>
      <c r="N629" s="15" t="s">
        <v>2673</v>
      </c>
      <c r="O629" s="14"/>
    </row>
    <row r="630" spans="1:15" ht="18" customHeight="1" x14ac:dyDescent="0.3">
      <c r="A630" s="29">
        <v>629</v>
      </c>
      <c r="B630" s="15" t="s">
        <v>217</v>
      </c>
      <c r="C630" s="15" t="s">
        <v>31</v>
      </c>
      <c r="D630" s="69">
        <v>30</v>
      </c>
      <c r="E630" s="68" t="s">
        <v>3265</v>
      </c>
      <c r="F630" s="39" t="s">
        <v>453</v>
      </c>
      <c r="G630" s="15" t="s">
        <v>154</v>
      </c>
      <c r="H630" s="15" t="s">
        <v>2679</v>
      </c>
      <c r="I630" s="69">
        <v>165</v>
      </c>
      <c r="J630" s="15" t="s">
        <v>2674</v>
      </c>
      <c r="K630" s="15" t="s">
        <v>903</v>
      </c>
      <c r="L630" s="15" t="s">
        <v>2673</v>
      </c>
      <c r="M630" s="15" t="s">
        <v>2672</v>
      </c>
      <c r="N630" s="15" t="s">
        <v>2673</v>
      </c>
      <c r="O630" s="15"/>
    </row>
    <row r="631" spans="1:15" ht="18" customHeight="1" x14ac:dyDescent="0.3">
      <c r="A631" s="29">
        <v>630</v>
      </c>
      <c r="B631" s="15" t="s">
        <v>217</v>
      </c>
      <c r="C631" s="15" t="s">
        <v>31</v>
      </c>
      <c r="D631" s="69">
        <v>30</v>
      </c>
      <c r="E631" s="68" t="s">
        <v>3265</v>
      </c>
      <c r="F631" s="39" t="s">
        <v>453</v>
      </c>
      <c r="G631" s="15" t="s">
        <v>154</v>
      </c>
      <c r="H631" s="15" t="s">
        <v>906</v>
      </c>
      <c r="I631" s="69">
        <v>237</v>
      </c>
      <c r="J631" s="15" t="s">
        <v>2674</v>
      </c>
      <c r="K631" s="15" t="s">
        <v>903</v>
      </c>
      <c r="L631" s="15" t="s">
        <v>2673</v>
      </c>
      <c r="M631" s="15" t="s">
        <v>2672</v>
      </c>
      <c r="N631" s="15" t="s">
        <v>2673</v>
      </c>
      <c r="O631" s="15"/>
    </row>
    <row r="632" spans="1:15" ht="18" customHeight="1" x14ac:dyDescent="0.3">
      <c r="A632" s="29">
        <v>631</v>
      </c>
      <c r="B632" s="15" t="s">
        <v>217</v>
      </c>
      <c r="C632" s="15" t="s">
        <v>31</v>
      </c>
      <c r="D632" s="69">
        <v>30</v>
      </c>
      <c r="E632" s="68" t="s">
        <v>3265</v>
      </c>
      <c r="F632" s="39" t="s">
        <v>453</v>
      </c>
      <c r="G632" s="15" t="s">
        <v>154</v>
      </c>
      <c r="H632" s="15" t="s">
        <v>908</v>
      </c>
      <c r="I632" s="69">
        <v>166</v>
      </c>
      <c r="J632" s="15" t="s">
        <v>2672</v>
      </c>
      <c r="K632" s="15" t="s">
        <v>903</v>
      </c>
      <c r="L632" s="15" t="s">
        <v>2673</v>
      </c>
      <c r="M632" s="15" t="s">
        <v>2672</v>
      </c>
      <c r="N632" s="15" t="s">
        <v>2673</v>
      </c>
      <c r="O632" s="15"/>
    </row>
    <row r="633" spans="1:15" ht="18" customHeight="1" x14ac:dyDescent="0.3">
      <c r="A633" s="29">
        <v>632</v>
      </c>
      <c r="B633" s="15" t="s">
        <v>217</v>
      </c>
      <c r="C633" s="15" t="s">
        <v>31</v>
      </c>
      <c r="D633" s="69">
        <v>30</v>
      </c>
      <c r="E633" s="68" t="s">
        <v>3265</v>
      </c>
      <c r="F633" s="39" t="s">
        <v>453</v>
      </c>
      <c r="G633" s="15" t="s">
        <v>154</v>
      </c>
      <c r="H633" s="15" t="s">
        <v>909</v>
      </c>
      <c r="I633" s="69">
        <v>166</v>
      </c>
      <c r="J633" s="15" t="s">
        <v>2672</v>
      </c>
      <c r="K633" s="15" t="s">
        <v>903</v>
      </c>
      <c r="L633" s="15" t="s">
        <v>2673</v>
      </c>
      <c r="M633" s="15" t="s">
        <v>2672</v>
      </c>
      <c r="N633" s="15" t="s">
        <v>2673</v>
      </c>
      <c r="O633" s="15"/>
    </row>
    <row r="634" spans="1:15" ht="18" customHeight="1" x14ac:dyDescent="0.3">
      <c r="A634" s="29">
        <v>633</v>
      </c>
      <c r="B634" s="15" t="s">
        <v>217</v>
      </c>
      <c r="C634" s="15" t="s">
        <v>31</v>
      </c>
      <c r="D634" s="69">
        <v>30</v>
      </c>
      <c r="E634" s="68" t="s">
        <v>3265</v>
      </c>
      <c r="F634" s="39" t="s">
        <v>453</v>
      </c>
      <c r="G634" s="15" t="s">
        <v>154</v>
      </c>
      <c r="H634" s="15" t="s">
        <v>910</v>
      </c>
      <c r="I634" s="69">
        <v>166</v>
      </c>
      <c r="J634" s="15" t="s">
        <v>2672</v>
      </c>
      <c r="K634" s="15" t="s">
        <v>903</v>
      </c>
      <c r="L634" s="15" t="s">
        <v>2673</v>
      </c>
      <c r="M634" s="15" t="s">
        <v>2672</v>
      </c>
      <c r="N634" s="15" t="s">
        <v>2673</v>
      </c>
      <c r="O634" s="15"/>
    </row>
    <row r="635" spans="1:15" ht="18" customHeight="1" x14ac:dyDescent="0.3">
      <c r="A635" s="29">
        <v>634</v>
      </c>
      <c r="B635" s="15" t="s">
        <v>217</v>
      </c>
      <c r="C635" s="15" t="s">
        <v>31</v>
      </c>
      <c r="D635" s="69">
        <v>30</v>
      </c>
      <c r="E635" s="68" t="s">
        <v>3265</v>
      </c>
      <c r="F635" s="39" t="s">
        <v>453</v>
      </c>
      <c r="G635" s="15" t="s">
        <v>154</v>
      </c>
      <c r="H635" s="15" t="s">
        <v>911</v>
      </c>
      <c r="I635" s="69">
        <v>237</v>
      </c>
      <c r="J635" s="15" t="s">
        <v>2674</v>
      </c>
      <c r="K635" s="15" t="s">
        <v>903</v>
      </c>
      <c r="L635" s="15" t="s">
        <v>2673</v>
      </c>
      <c r="M635" s="15" t="s">
        <v>2672</v>
      </c>
      <c r="N635" s="15" t="s">
        <v>2673</v>
      </c>
      <c r="O635" s="15"/>
    </row>
    <row r="636" spans="1:15" ht="18" customHeight="1" x14ac:dyDescent="0.3">
      <c r="A636" s="29">
        <v>635</v>
      </c>
      <c r="B636" s="15" t="s">
        <v>217</v>
      </c>
      <c r="C636" s="15" t="s">
        <v>31</v>
      </c>
      <c r="D636" s="69">
        <v>30</v>
      </c>
      <c r="E636" s="68" t="s">
        <v>3265</v>
      </c>
      <c r="F636" s="39" t="s">
        <v>453</v>
      </c>
      <c r="G636" s="15" t="s">
        <v>154</v>
      </c>
      <c r="H636" s="15" t="s">
        <v>980</v>
      </c>
      <c r="I636" s="69">
        <v>340</v>
      </c>
      <c r="J636" s="15" t="s">
        <v>2674</v>
      </c>
      <c r="K636" s="15" t="s">
        <v>903</v>
      </c>
      <c r="L636" s="15" t="s">
        <v>2673</v>
      </c>
      <c r="M636" s="15" t="s">
        <v>2672</v>
      </c>
      <c r="N636" s="15" t="s">
        <v>2673</v>
      </c>
      <c r="O636" s="15"/>
    </row>
    <row r="637" spans="1:15" ht="18" customHeight="1" x14ac:dyDescent="0.3">
      <c r="A637" s="29">
        <v>636</v>
      </c>
      <c r="B637" s="15" t="s">
        <v>217</v>
      </c>
      <c r="C637" s="15" t="s">
        <v>31</v>
      </c>
      <c r="D637" s="69">
        <v>30</v>
      </c>
      <c r="E637" s="68" t="s">
        <v>3265</v>
      </c>
      <c r="F637" s="39" t="s">
        <v>453</v>
      </c>
      <c r="G637" s="15" t="s">
        <v>154</v>
      </c>
      <c r="H637" s="15" t="s">
        <v>984</v>
      </c>
      <c r="I637" s="69">
        <v>94</v>
      </c>
      <c r="J637" s="15" t="s">
        <v>2672</v>
      </c>
      <c r="K637" s="15" t="s">
        <v>903</v>
      </c>
      <c r="L637" s="15" t="s">
        <v>2673</v>
      </c>
      <c r="M637" s="15" t="s">
        <v>2674</v>
      </c>
      <c r="N637" s="15" t="s">
        <v>1530</v>
      </c>
      <c r="O637" s="15"/>
    </row>
    <row r="638" spans="1:15" ht="18" customHeight="1" x14ac:dyDescent="0.3">
      <c r="A638" s="29">
        <v>637</v>
      </c>
      <c r="B638" s="15" t="s">
        <v>217</v>
      </c>
      <c r="C638" s="15" t="s">
        <v>31</v>
      </c>
      <c r="D638" s="69">
        <v>30</v>
      </c>
      <c r="E638" s="68" t="s">
        <v>3265</v>
      </c>
      <c r="F638" s="39" t="s">
        <v>453</v>
      </c>
      <c r="G638" s="15" t="s">
        <v>154</v>
      </c>
      <c r="H638" s="15" t="s">
        <v>985</v>
      </c>
      <c r="I638" s="69">
        <v>48</v>
      </c>
      <c r="J638" s="15" t="s">
        <v>2672</v>
      </c>
      <c r="K638" s="15" t="s">
        <v>903</v>
      </c>
      <c r="L638" s="15" t="s">
        <v>2673</v>
      </c>
      <c r="M638" s="15" t="s">
        <v>2674</v>
      </c>
      <c r="N638" s="15" t="s">
        <v>1530</v>
      </c>
      <c r="O638" s="15"/>
    </row>
    <row r="639" spans="1:15" ht="18" customHeight="1" x14ac:dyDescent="0.3">
      <c r="A639" s="29">
        <v>638</v>
      </c>
      <c r="B639" s="15" t="s">
        <v>217</v>
      </c>
      <c r="C639" s="15" t="s">
        <v>31</v>
      </c>
      <c r="D639" s="69">
        <v>30</v>
      </c>
      <c r="E639" s="68" t="s">
        <v>3265</v>
      </c>
      <c r="F639" s="39" t="s">
        <v>2831</v>
      </c>
      <c r="G639" s="15" t="s">
        <v>154</v>
      </c>
      <c r="H639" s="15" t="s">
        <v>904</v>
      </c>
      <c r="I639" s="69">
        <v>171</v>
      </c>
      <c r="J639" s="15" t="s">
        <v>2674</v>
      </c>
      <c r="K639" s="15" t="s">
        <v>902</v>
      </c>
      <c r="L639" s="15" t="s">
        <v>1069</v>
      </c>
      <c r="M639" s="15" t="s">
        <v>2672</v>
      </c>
      <c r="N639" s="15" t="s">
        <v>2673</v>
      </c>
      <c r="O639" s="15"/>
    </row>
    <row r="640" spans="1:15" ht="18" customHeight="1" x14ac:dyDescent="0.3">
      <c r="A640" s="29">
        <v>639</v>
      </c>
      <c r="B640" s="15" t="s">
        <v>217</v>
      </c>
      <c r="C640" s="15" t="s">
        <v>31</v>
      </c>
      <c r="D640" s="69">
        <v>30</v>
      </c>
      <c r="E640" s="68" t="s">
        <v>3265</v>
      </c>
      <c r="F640" s="39" t="s">
        <v>2831</v>
      </c>
      <c r="G640" s="15" t="s">
        <v>154</v>
      </c>
      <c r="H640" s="15" t="s">
        <v>983</v>
      </c>
      <c r="I640" s="69">
        <v>132</v>
      </c>
      <c r="J640" s="15" t="s">
        <v>2674</v>
      </c>
      <c r="K640" s="15" t="s">
        <v>902</v>
      </c>
      <c r="L640" s="15" t="s">
        <v>208</v>
      </c>
      <c r="M640" s="15" t="s">
        <v>2672</v>
      </c>
      <c r="N640" s="15" t="s">
        <v>2673</v>
      </c>
      <c r="O640" s="15"/>
    </row>
    <row r="641" spans="1:15" ht="18" customHeight="1" x14ac:dyDescent="0.3">
      <c r="A641" s="29">
        <v>640</v>
      </c>
      <c r="B641" s="15" t="s">
        <v>217</v>
      </c>
      <c r="C641" s="15" t="s">
        <v>31</v>
      </c>
      <c r="D641" s="69">
        <v>30</v>
      </c>
      <c r="E641" s="68" t="s">
        <v>3265</v>
      </c>
      <c r="F641" s="39" t="s">
        <v>2831</v>
      </c>
      <c r="G641" s="15" t="s">
        <v>154</v>
      </c>
      <c r="H641" s="15" t="s">
        <v>979</v>
      </c>
      <c r="I641" s="69">
        <v>358</v>
      </c>
      <c r="J641" s="15" t="s">
        <v>2674</v>
      </c>
      <c r="K641" s="15" t="s">
        <v>902</v>
      </c>
      <c r="L641" s="15" t="s">
        <v>207</v>
      </c>
      <c r="M641" s="15" t="s">
        <v>2672</v>
      </c>
      <c r="N641" s="15" t="s">
        <v>2673</v>
      </c>
      <c r="O641" s="15"/>
    </row>
    <row r="642" spans="1:15" ht="18" customHeight="1" x14ac:dyDescent="0.3">
      <c r="A642" s="29">
        <v>641</v>
      </c>
      <c r="B642" s="15" t="s">
        <v>217</v>
      </c>
      <c r="C642" s="15" t="s">
        <v>31</v>
      </c>
      <c r="D642" s="69">
        <v>30</v>
      </c>
      <c r="E642" s="68" t="s">
        <v>2832</v>
      </c>
      <c r="F642" s="32" t="s">
        <v>457</v>
      </c>
      <c r="G642" s="15" t="s">
        <v>154</v>
      </c>
      <c r="H642" s="15" t="s">
        <v>904</v>
      </c>
      <c r="I642" s="69">
        <v>177</v>
      </c>
      <c r="J642" s="13" t="s">
        <v>2672</v>
      </c>
      <c r="K642" s="15" t="s">
        <v>903</v>
      </c>
      <c r="L642" s="15" t="s">
        <v>2673</v>
      </c>
      <c r="M642" s="15" t="s">
        <v>2672</v>
      </c>
      <c r="N642" s="15" t="s">
        <v>2673</v>
      </c>
      <c r="O642" s="15"/>
    </row>
    <row r="643" spans="1:15" ht="18" customHeight="1" x14ac:dyDescent="0.3">
      <c r="A643" s="29">
        <v>642</v>
      </c>
      <c r="B643" s="15" t="s">
        <v>217</v>
      </c>
      <c r="C643" s="15" t="s">
        <v>31</v>
      </c>
      <c r="D643" s="69">
        <v>30</v>
      </c>
      <c r="E643" s="68" t="s">
        <v>2832</v>
      </c>
      <c r="F643" s="32" t="s">
        <v>457</v>
      </c>
      <c r="G643" s="15" t="s">
        <v>154</v>
      </c>
      <c r="H643" s="15" t="s">
        <v>905</v>
      </c>
      <c r="I643" s="69">
        <v>177</v>
      </c>
      <c r="J643" s="13" t="s">
        <v>2672</v>
      </c>
      <c r="K643" s="15" t="s">
        <v>903</v>
      </c>
      <c r="L643" s="15" t="s">
        <v>2673</v>
      </c>
      <c r="M643" s="15" t="s">
        <v>2672</v>
      </c>
      <c r="N643" s="15" t="s">
        <v>2673</v>
      </c>
      <c r="O643" s="15"/>
    </row>
    <row r="644" spans="1:15" ht="18" customHeight="1" x14ac:dyDescent="0.3">
      <c r="A644" s="29">
        <v>643</v>
      </c>
      <c r="B644" s="15" t="s">
        <v>217</v>
      </c>
      <c r="C644" s="15" t="s">
        <v>31</v>
      </c>
      <c r="D644" s="69">
        <v>30</v>
      </c>
      <c r="E644" s="68" t="s">
        <v>2832</v>
      </c>
      <c r="F644" s="32" t="s">
        <v>457</v>
      </c>
      <c r="G644" s="15" t="s">
        <v>154</v>
      </c>
      <c r="H644" s="15" t="s">
        <v>906</v>
      </c>
      <c r="I644" s="69">
        <v>268</v>
      </c>
      <c r="J644" s="13" t="s">
        <v>902</v>
      </c>
      <c r="K644" s="15" t="s">
        <v>903</v>
      </c>
      <c r="L644" s="15" t="s">
        <v>2673</v>
      </c>
      <c r="M644" s="15" t="s">
        <v>2672</v>
      </c>
      <c r="N644" s="15" t="s">
        <v>2673</v>
      </c>
      <c r="O644" s="15"/>
    </row>
    <row r="645" spans="1:15" ht="18" customHeight="1" x14ac:dyDescent="0.3">
      <c r="A645" s="29">
        <v>644</v>
      </c>
      <c r="B645" s="15" t="s">
        <v>217</v>
      </c>
      <c r="C645" s="15" t="s">
        <v>31</v>
      </c>
      <c r="D645" s="69">
        <v>30</v>
      </c>
      <c r="E645" s="68" t="s">
        <v>2832</v>
      </c>
      <c r="F645" s="32" t="s">
        <v>457</v>
      </c>
      <c r="G645" s="15" t="s">
        <v>154</v>
      </c>
      <c r="H645" s="15" t="s">
        <v>907</v>
      </c>
      <c r="I645" s="69">
        <v>268</v>
      </c>
      <c r="J645" s="13" t="s">
        <v>902</v>
      </c>
      <c r="K645" s="15" t="s">
        <v>903</v>
      </c>
      <c r="L645" s="15" t="s">
        <v>2673</v>
      </c>
      <c r="M645" s="15" t="s">
        <v>2672</v>
      </c>
      <c r="N645" s="15" t="s">
        <v>2673</v>
      </c>
      <c r="O645" s="15"/>
    </row>
    <row r="646" spans="1:15" ht="18" customHeight="1" x14ac:dyDescent="0.3">
      <c r="A646" s="29">
        <v>645</v>
      </c>
      <c r="B646" s="15" t="s">
        <v>217</v>
      </c>
      <c r="C646" s="15" t="s">
        <v>31</v>
      </c>
      <c r="D646" s="69">
        <v>30</v>
      </c>
      <c r="E646" s="68" t="s">
        <v>2832</v>
      </c>
      <c r="F646" s="32" t="s">
        <v>457</v>
      </c>
      <c r="G646" s="15" t="s">
        <v>154</v>
      </c>
      <c r="H646" s="15" t="s">
        <v>908</v>
      </c>
      <c r="I646" s="69">
        <v>180</v>
      </c>
      <c r="J646" s="13" t="s">
        <v>2672</v>
      </c>
      <c r="K646" s="15" t="s">
        <v>903</v>
      </c>
      <c r="L646" s="15" t="s">
        <v>2673</v>
      </c>
      <c r="M646" s="15" t="s">
        <v>2672</v>
      </c>
      <c r="N646" s="15" t="s">
        <v>2673</v>
      </c>
      <c r="O646" s="15"/>
    </row>
    <row r="647" spans="1:15" ht="18" customHeight="1" x14ac:dyDescent="0.3">
      <c r="A647" s="29">
        <v>646</v>
      </c>
      <c r="B647" s="15" t="s">
        <v>217</v>
      </c>
      <c r="C647" s="15" t="s">
        <v>31</v>
      </c>
      <c r="D647" s="69">
        <v>30</v>
      </c>
      <c r="E647" s="68" t="s">
        <v>2832</v>
      </c>
      <c r="F647" s="32" t="s">
        <v>457</v>
      </c>
      <c r="G647" s="15" t="s">
        <v>154</v>
      </c>
      <c r="H647" s="15" t="s">
        <v>909</v>
      </c>
      <c r="I647" s="69">
        <v>162</v>
      </c>
      <c r="J647" s="13" t="s">
        <v>2672</v>
      </c>
      <c r="K647" s="15" t="s">
        <v>903</v>
      </c>
      <c r="L647" s="15" t="s">
        <v>2673</v>
      </c>
      <c r="M647" s="15" t="s">
        <v>2672</v>
      </c>
      <c r="N647" s="15" t="s">
        <v>2673</v>
      </c>
      <c r="O647" s="15"/>
    </row>
    <row r="648" spans="1:15" ht="18" customHeight="1" x14ac:dyDescent="0.3">
      <c r="A648" s="29">
        <v>647</v>
      </c>
      <c r="B648" s="15" t="s">
        <v>217</v>
      </c>
      <c r="C648" s="15" t="s">
        <v>31</v>
      </c>
      <c r="D648" s="69">
        <v>30</v>
      </c>
      <c r="E648" s="68" t="s">
        <v>3266</v>
      </c>
      <c r="F648" s="39" t="s">
        <v>1317</v>
      </c>
      <c r="G648" s="15" t="s">
        <v>1538</v>
      </c>
      <c r="H648" s="15" t="s">
        <v>901</v>
      </c>
      <c r="I648" s="69">
        <v>208</v>
      </c>
      <c r="J648" s="15" t="s">
        <v>2672</v>
      </c>
      <c r="K648" s="15" t="s">
        <v>903</v>
      </c>
      <c r="L648" s="15" t="s">
        <v>2673</v>
      </c>
      <c r="M648" s="15" t="s">
        <v>2672</v>
      </c>
      <c r="N648" s="15" t="s">
        <v>2673</v>
      </c>
      <c r="O648" s="15"/>
    </row>
    <row r="649" spans="1:15" ht="18" customHeight="1" x14ac:dyDescent="0.3">
      <c r="A649" s="29">
        <v>648</v>
      </c>
      <c r="B649" s="15" t="s">
        <v>217</v>
      </c>
      <c r="C649" s="15" t="s">
        <v>31</v>
      </c>
      <c r="D649" s="69">
        <v>30</v>
      </c>
      <c r="E649" s="68" t="s">
        <v>3266</v>
      </c>
      <c r="F649" s="39" t="s">
        <v>1317</v>
      </c>
      <c r="G649" s="15" t="s">
        <v>154</v>
      </c>
      <c r="H649" s="15" t="s">
        <v>904</v>
      </c>
      <c r="I649" s="69">
        <v>204</v>
      </c>
      <c r="J649" s="15" t="s">
        <v>2672</v>
      </c>
      <c r="K649" s="15" t="s">
        <v>903</v>
      </c>
      <c r="L649" s="15" t="s">
        <v>2673</v>
      </c>
      <c r="M649" s="15" t="s">
        <v>2672</v>
      </c>
      <c r="N649" s="15" t="s">
        <v>2673</v>
      </c>
      <c r="O649" s="15"/>
    </row>
    <row r="650" spans="1:15" ht="18" customHeight="1" x14ac:dyDescent="0.3">
      <c r="A650" s="29">
        <v>649</v>
      </c>
      <c r="B650" s="15" t="s">
        <v>217</v>
      </c>
      <c r="C650" s="15" t="s">
        <v>31</v>
      </c>
      <c r="D650" s="69">
        <v>30</v>
      </c>
      <c r="E650" s="68" t="s">
        <v>3266</v>
      </c>
      <c r="F650" s="39" t="s">
        <v>1317</v>
      </c>
      <c r="G650" s="15" t="s">
        <v>154</v>
      </c>
      <c r="H650" s="15" t="s">
        <v>1685</v>
      </c>
      <c r="I650" s="69">
        <v>10</v>
      </c>
      <c r="J650" s="15" t="s">
        <v>2672</v>
      </c>
      <c r="K650" s="15" t="s">
        <v>2674</v>
      </c>
      <c r="L650" s="15" t="s">
        <v>1685</v>
      </c>
      <c r="M650" s="15" t="s">
        <v>2672</v>
      </c>
      <c r="N650" s="15" t="s">
        <v>2673</v>
      </c>
      <c r="O650" s="15" t="s">
        <v>2833</v>
      </c>
    </row>
    <row r="651" spans="1:15" ht="18" customHeight="1" x14ac:dyDescent="0.3">
      <c r="A651" s="29">
        <v>650</v>
      </c>
      <c r="B651" s="15" t="s">
        <v>217</v>
      </c>
      <c r="C651" s="15" t="s">
        <v>31</v>
      </c>
      <c r="D651" s="69">
        <v>30</v>
      </c>
      <c r="E651" s="68" t="s">
        <v>3266</v>
      </c>
      <c r="F651" s="39" t="s">
        <v>1317</v>
      </c>
      <c r="G651" s="15" t="s">
        <v>154</v>
      </c>
      <c r="H651" s="15" t="s">
        <v>906</v>
      </c>
      <c r="I651" s="69">
        <v>89</v>
      </c>
      <c r="J651" s="15" t="s">
        <v>2672</v>
      </c>
      <c r="K651" s="15" t="s">
        <v>903</v>
      </c>
      <c r="L651" s="15" t="s">
        <v>2673</v>
      </c>
      <c r="M651" s="15" t="s">
        <v>2672</v>
      </c>
      <c r="N651" s="15" t="s">
        <v>2673</v>
      </c>
      <c r="O651" s="15"/>
    </row>
    <row r="652" spans="1:15" ht="18" customHeight="1" x14ac:dyDescent="0.3">
      <c r="A652" s="29">
        <v>651</v>
      </c>
      <c r="B652" s="15" t="s">
        <v>217</v>
      </c>
      <c r="C652" s="15" t="s">
        <v>31</v>
      </c>
      <c r="D652" s="69">
        <v>30</v>
      </c>
      <c r="E652" s="68" t="s">
        <v>3266</v>
      </c>
      <c r="F652" s="39" t="s">
        <v>1317</v>
      </c>
      <c r="G652" s="15" t="s">
        <v>154</v>
      </c>
      <c r="H652" s="15" t="s">
        <v>907</v>
      </c>
      <c r="I652" s="69">
        <v>71</v>
      </c>
      <c r="J652" s="15" t="s">
        <v>2672</v>
      </c>
      <c r="K652" s="15" t="s">
        <v>903</v>
      </c>
      <c r="L652" s="15" t="s">
        <v>2673</v>
      </c>
      <c r="M652" s="15" t="s">
        <v>2672</v>
      </c>
      <c r="N652" s="15" t="s">
        <v>2673</v>
      </c>
      <c r="O652" s="15"/>
    </row>
    <row r="653" spans="1:15" ht="18" customHeight="1" x14ac:dyDescent="0.3">
      <c r="A653" s="29">
        <v>652</v>
      </c>
      <c r="B653" s="15" t="s">
        <v>217</v>
      </c>
      <c r="C653" s="15" t="s">
        <v>31</v>
      </c>
      <c r="D653" s="69">
        <v>30</v>
      </c>
      <c r="E653" s="68" t="s">
        <v>3266</v>
      </c>
      <c r="F653" s="39" t="s">
        <v>1317</v>
      </c>
      <c r="G653" s="15" t="s">
        <v>154</v>
      </c>
      <c r="H653" s="15" t="s">
        <v>908</v>
      </c>
      <c r="I653" s="69">
        <v>78</v>
      </c>
      <c r="J653" s="15" t="s">
        <v>2672</v>
      </c>
      <c r="K653" s="15" t="s">
        <v>903</v>
      </c>
      <c r="L653" s="15" t="s">
        <v>2673</v>
      </c>
      <c r="M653" s="15" t="s">
        <v>2672</v>
      </c>
      <c r="N653" s="15" t="s">
        <v>2673</v>
      </c>
      <c r="O653" s="15"/>
    </row>
    <row r="654" spans="1:15" ht="18" customHeight="1" x14ac:dyDescent="0.3">
      <c r="A654" s="29">
        <v>653</v>
      </c>
      <c r="B654" s="15" t="s">
        <v>217</v>
      </c>
      <c r="C654" s="15" t="s">
        <v>31</v>
      </c>
      <c r="D654" s="69">
        <v>30</v>
      </c>
      <c r="E654" s="68" t="s">
        <v>3267</v>
      </c>
      <c r="F654" s="39" t="s">
        <v>2834</v>
      </c>
      <c r="G654" s="15" t="s">
        <v>164</v>
      </c>
      <c r="H654" s="15" t="s">
        <v>901</v>
      </c>
      <c r="I654" s="69">
        <v>270</v>
      </c>
      <c r="J654" s="15" t="s">
        <v>2672</v>
      </c>
      <c r="K654" s="15" t="s">
        <v>903</v>
      </c>
      <c r="L654" s="15" t="s">
        <v>2673</v>
      </c>
      <c r="M654" s="15" t="s">
        <v>2672</v>
      </c>
      <c r="N654" s="15" t="s">
        <v>2673</v>
      </c>
      <c r="O654" s="15"/>
    </row>
    <row r="655" spans="1:15" ht="18" customHeight="1" x14ac:dyDescent="0.3">
      <c r="A655" s="29">
        <v>654</v>
      </c>
      <c r="B655" s="15" t="s">
        <v>217</v>
      </c>
      <c r="C655" s="15" t="s">
        <v>31</v>
      </c>
      <c r="D655" s="69">
        <v>30</v>
      </c>
      <c r="E655" s="68" t="s">
        <v>3267</v>
      </c>
      <c r="F655" s="39" t="s">
        <v>2834</v>
      </c>
      <c r="G655" s="15" t="s">
        <v>164</v>
      </c>
      <c r="H655" s="15" t="s">
        <v>904</v>
      </c>
      <c r="I655" s="69">
        <v>176</v>
      </c>
      <c r="J655" s="15" t="s">
        <v>2672</v>
      </c>
      <c r="K655" s="15" t="s">
        <v>903</v>
      </c>
      <c r="L655" s="15" t="s">
        <v>2673</v>
      </c>
      <c r="M655" s="15" t="s">
        <v>2672</v>
      </c>
      <c r="N655" s="15" t="s">
        <v>2673</v>
      </c>
      <c r="O655" s="15"/>
    </row>
    <row r="656" spans="1:15" ht="18" customHeight="1" x14ac:dyDescent="0.3">
      <c r="A656" s="29">
        <v>655</v>
      </c>
      <c r="B656" s="15" t="s">
        <v>217</v>
      </c>
      <c r="C656" s="15" t="s">
        <v>31</v>
      </c>
      <c r="D656" s="69">
        <v>30</v>
      </c>
      <c r="E656" s="68" t="s">
        <v>3267</v>
      </c>
      <c r="F656" s="39" t="s">
        <v>2834</v>
      </c>
      <c r="G656" s="15" t="s">
        <v>164</v>
      </c>
      <c r="H656" s="15" t="s">
        <v>905</v>
      </c>
      <c r="I656" s="69">
        <v>176</v>
      </c>
      <c r="J656" s="15" t="s">
        <v>2672</v>
      </c>
      <c r="K656" s="15" t="s">
        <v>903</v>
      </c>
      <c r="L656" s="15" t="s">
        <v>2673</v>
      </c>
      <c r="M656" s="15" t="s">
        <v>2672</v>
      </c>
      <c r="N656" s="15" t="s">
        <v>2673</v>
      </c>
      <c r="O656" s="15"/>
    </row>
    <row r="657" spans="1:15" ht="18" customHeight="1" x14ac:dyDescent="0.3">
      <c r="A657" s="29">
        <v>656</v>
      </c>
      <c r="B657" s="15" t="s">
        <v>217</v>
      </c>
      <c r="C657" s="15" t="s">
        <v>31</v>
      </c>
      <c r="D657" s="69">
        <v>30</v>
      </c>
      <c r="E657" s="68" t="s">
        <v>3267</v>
      </c>
      <c r="F657" s="39" t="s">
        <v>2834</v>
      </c>
      <c r="G657" s="15" t="s">
        <v>164</v>
      </c>
      <c r="H657" s="15" t="s">
        <v>906</v>
      </c>
      <c r="I657" s="69">
        <v>142</v>
      </c>
      <c r="J657" s="15" t="s">
        <v>2674</v>
      </c>
      <c r="K657" s="15" t="s">
        <v>903</v>
      </c>
      <c r="L657" s="15" t="s">
        <v>2673</v>
      </c>
      <c r="M657" s="15" t="s">
        <v>2672</v>
      </c>
      <c r="N657" s="15" t="s">
        <v>2673</v>
      </c>
      <c r="O657" s="15"/>
    </row>
    <row r="658" spans="1:15" ht="18" customHeight="1" x14ac:dyDescent="0.3">
      <c r="A658" s="29">
        <v>657</v>
      </c>
      <c r="B658" s="15" t="s">
        <v>217</v>
      </c>
      <c r="C658" s="15" t="s">
        <v>31</v>
      </c>
      <c r="D658" s="69">
        <v>30</v>
      </c>
      <c r="E658" s="68" t="s">
        <v>3267</v>
      </c>
      <c r="F658" s="39" t="s">
        <v>2834</v>
      </c>
      <c r="G658" s="15" t="s">
        <v>164</v>
      </c>
      <c r="H658" s="15" t="s">
        <v>907</v>
      </c>
      <c r="I658" s="69">
        <v>116</v>
      </c>
      <c r="J658" s="15" t="s">
        <v>2672</v>
      </c>
      <c r="K658" s="15" t="s">
        <v>903</v>
      </c>
      <c r="L658" s="15" t="s">
        <v>2673</v>
      </c>
      <c r="M658" s="15" t="s">
        <v>2672</v>
      </c>
      <c r="N658" s="15" t="s">
        <v>2673</v>
      </c>
      <c r="O658" s="15"/>
    </row>
    <row r="659" spans="1:15" ht="18" customHeight="1" x14ac:dyDescent="0.3">
      <c r="A659" s="29">
        <v>658</v>
      </c>
      <c r="B659" s="15" t="s">
        <v>217</v>
      </c>
      <c r="C659" s="15" t="s">
        <v>31</v>
      </c>
      <c r="D659" s="69">
        <v>30</v>
      </c>
      <c r="E659" s="68" t="s">
        <v>3267</v>
      </c>
      <c r="F659" s="39" t="s">
        <v>2834</v>
      </c>
      <c r="G659" s="15" t="s">
        <v>164</v>
      </c>
      <c r="H659" s="15" t="s">
        <v>908</v>
      </c>
      <c r="I659" s="69">
        <v>124</v>
      </c>
      <c r="J659" s="15" t="s">
        <v>2672</v>
      </c>
      <c r="K659" s="15" t="s">
        <v>903</v>
      </c>
      <c r="L659" s="15" t="s">
        <v>2673</v>
      </c>
      <c r="M659" s="15" t="s">
        <v>2672</v>
      </c>
      <c r="N659" s="15" t="s">
        <v>2673</v>
      </c>
      <c r="O659" s="15"/>
    </row>
    <row r="660" spans="1:15" ht="18" customHeight="1" x14ac:dyDescent="0.3">
      <c r="A660" s="29">
        <v>659</v>
      </c>
      <c r="B660" s="15" t="s">
        <v>217</v>
      </c>
      <c r="C660" s="15" t="s">
        <v>31</v>
      </c>
      <c r="D660" s="69">
        <v>30</v>
      </c>
      <c r="E660" s="68" t="s">
        <v>3267</v>
      </c>
      <c r="F660" s="39" t="s">
        <v>2834</v>
      </c>
      <c r="G660" s="15" t="s">
        <v>164</v>
      </c>
      <c r="H660" s="15" t="s">
        <v>909</v>
      </c>
      <c r="I660" s="69">
        <v>124</v>
      </c>
      <c r="J660" s="15" t="s">
        <v>2672</v>
      </c>
      <c r="K660" s="15" t="s">
        <v>903</v>
      </c>
      <c r="L660" s="15" t="s">
        <v>2673</v>
      </c>
      <c r="M660" s="15" t="s">
        <v>2672</v>
      </c>
      <c r="N660" s="15" t="s">
        <v>2673</v>
      </c>
      <c r="O660" s="15"/>
    </row>
    <row r="661" spans="1:15" ht="18" customHeight="1" x14ac:dyDescent="0.3">
      <c r="A661" s="29">
        <v>660</v>
      </c>
      <c r="B661" s="15" t="s">
        <v>217</v>
      </c>
      <c r="C661" s="15" t="s">
        <v>31</v>
      </c>
      <c r="D661" s="69">
        <v>30</v>
      </c>
      <c r="E661" s="68" t="s">
        <v>3267</v>
      </c>
      <c r="F661" s="39" t="s">
        <v>2834</v>
      </c>
      <c r="G661" s="15" t="s">
        <v>164</v>
      </c>
      <c r="H661" s="15" t="s">
        <v>910</v>
      </c>
      <c r="I661" s="69">
        <v>116</v>
      </c>
      <c r="J661" s="15" t="s">
        <v>2672</v>
      </c>
      <c r="K661" s="15" t="s">
        <v>903</v>
      </c>
      <c r="L661" s="15" t="s">
        <v>2673</v>
      </c>
      <c r="M661" s="15" t="s">
        <v>2672</v>
      </c>
      <c r="N661" s="15" t="s">
        <v>2673</v>
      </c>
      <c r="O661" s="15"/>
    </row>
    <row r="662" spans="1:15" ht="18" customHeight="1" x14ac:dyDescent="0.3">
      <c r="A662" s="29">
        <v>661</v>
      </c>
      <c r="B662" s="15" t="s">
        <v>217</v>
      </c>
      <c r="C662" s="15" t="s">
        <v>32</v>
      </c>
      <c r="D662" s="69">
        <v>31</v>
      </c>
      <c r="E662" s="68" t="s">
        <v>240</v>
      </c>
      <c r="F662" s="41" t="s">
        <v>1125</v>
      </c>
      <c r="G662" s="15" t="s">
        <v>154</v>
      </c>
      <c r="H662" s="15" t="s">
        <v>905</v>
      </c>
      <c r="I662" s="69">
        <v>186</v>
      </c>
      <c r="J662" s="13" t="s">
        <v>2672</v>
      </c>
      <c r="K662" s="15" t="s">
        <v>903</v>
      </c>
      <c r="L662" s="15" t="s">
        <v>2673</v>
      </c>
      <c r="M662" s="15" t="s">
        <v>2672</v>
      </c>
      <c r="N662" s="15" t="s">
        <v>2673</v>
      </c>
      <c r="O662" s="15"/>
    </row>
    <row r="663" spans="1:15" ht="18" customHeight="1" x14ac:dyDescent="0.3">
      <c r="A663" s="29">
        <v>662</v>
      </c>
      <c r="B663" s="15" t="s">
        <v>217</v>
      </c>
      <c r="C663" s="15" t="s">
        <v>32</v>
      </c>
      <c r="D663" s="69">
        <v>31</v>
      </c>
      <c r="E663" s="68" t="s">
        <v>240</v>
      </c>
      <c r="F663" s="41" t="s">
        <v>1125</v>
      </c>
      <c r="G663" s="15" t="s">
        <v>154</v>
      </c>
      <c r="H663" s="15" t="s">
        <v>906</v>
      </c>
      <c r="I663" s="69">
        <v>305</v>
      </c>
      <c r="J663" s="13" t="s">
        <v>902</v>
      </c>
      <c r="K663" s="15" t="s">
        <v>903</v>
      </c>
      <c r="L663" s="15" t="s">
        <v>2673</v>
      </c>
      <c r="M663" s="15" t="s">
        <v>2672</v>
      </c>
      <c r="N663" s="15" t="s">
        <v>2673</v>
      </c>
      <c r="O663" s="15"/>
    </row>
    <row r="664" spans="1:15" ht="18" customHeight="1" x14ac:dyDescent="0.3">
      <c r="A664" s="29">
        <v>663</v>
      </c>
      <c r="B664" s="15" t="s">
        <v>217</v>
      </c>
      <c r="C664" s="15" t="s">
        <v>32</v>
      </c>
      <c r="D664" s="69">
        <v>31</v>
      </c>
      <c r="E664" s="68" t="s">
        <v>240</v>
      </c>
      <c r="F664" s="41" t="s">
        <v>1125</v>
      </c>
      <c r="G664" s="15" t="s">
        <v>154</v>
      </c>
      <c r="H664" s="15" t="s">
        <v>907</v>
      </c>
      <c r="I664" s="69">
        <v>178</v>
      </c>
      <c r="J664" s="13" t="s">
        <v>902</v>
      </c>
      <c r="K664" s="15" t="s">
        <v>903</v>
      </c>
      <c r="L664" s="15" t="s">
        <v>2673</v>
      </c>
      <c r="M664" s="15" t="s">
        <v>2672</v>
      </c>
      <c r="N664" s="15" t="s">
        <v>2673</v>
      </c>
      <c r="O664" s="15"/>
    </row>
    <row r="665" spans="1:15" ht="18" customHeight="1" x14ac:dyDescent="0.3">
      <c r="A665" s="29">
        <v>664</v>
      </c>
      <c r="B665" s="15" t="s">
        <v>217</v>
      </c>
      <c r="C665" s="15" t="s">
        <v>32</v>
      </c>
      <c r="D665" s="69">
        <v>31</v>
      </c>
      <c r="E665" s="68" t="s">
        <v>240</v>
      </c>
      <c r="F665" s="41" t="s">
        <v>1125</v>
      </c>
      <c r="G665" s="15" t="s">
        <v>154</v>
      </c>
      <c r="H665" s="15" t="s">
        <v>908</v>
      </c>
      <c r="I665" s="69">
        <v>206</v>
      </c>
      <c r="J665" s="13" t="s">
        <v>2672</v>
      </c>
      <c r="K665" s="15" t="s">
        <v>903</v>
      </c>
      <c r="L665" s="15" t="s">
        <v>2673</v>
      </c>
      <c r="M665" s="15" t="s">
        <v>2672</v>
      </c>
      <c r="N665" s="15" t="s">
        <v>2673</v>
      </c>
      <c r="O665" s="15"/>
    </row>
    <row r="666" spans="1:15" ht="18" customHeight="1" x14ac:dyDescent="0.3">
      <c r="A666" s="29">
        <v>665</v>
      </c>
      <c r="B666" s="15" t="s">
        <v>217</v>
      </c>
      <c r="C666" s="15" t="s">
        <v>32</v>
      </c>
      <c r="D666" s="69">
        <v>31</v>
      </c>
      <c r="E666" s="68" t="s">
        <v>240</v>
      </c>
      <c r="F666" s="41" t="s">
        <v>1125</v>
      </c>
      <c r="G666" s="15" t="s">
        <v>154</v>
      </c>
      <c r="H666" s="15" t="s">
        <v>909</v>
      </c>
      <c r="I666" s="69">
        <v>224</v>
      </c>
      <c r="J666" s="13" t="s">
        <v>902</v>
      </c>
      <c r="K666" s="15" t="s">
        <v>903</v>
      </c>
      <c r="L666" s="15" t="s">
        <v>2673</v>
      </c>
      <c r="M666" s="15" t="s">
        <v>2672</v>
      </c>
      <c r="N666" s="15" t="s">
        <v>2673</v>
      </c>
      <c r="O666" s="15"/>
    </row>
    <row r="667" spans="1:15" ht="18" customHeight="1" x14ac:dyDescent="0.3">
      <c r="A667" s="29">
        <v>666</v>
      </c>
      <c r="B667" s="15" t="s">
        <v>217</v>
      </c>
      <c r="C667" s="15" t="s">
        <v>32</v>
      </c>
      <c r="D667" s="69">
        <v>31</v>
      </c>
      <c r="E667" s="68" t="s">
        <v>240</v>
      </c>
      <c r="F667" s="41" t="s">
        <v>1125</v>
      </c>
      <c r="G667" s="15" t="s">
        <v>154</v>
      </c>
      <c r="H667" s="15" t="s">
        <v>910</v>
      </c>
      <c r="I667" s="69">
        <v>113</v>
      </c>
      <c r="J667" s="13" t="s">
        <v>2672</v>
      </c>
      <c r="K667" s="15" t="s">
        <v>903</v>
      </c>
      <c r="L667" s="15" t="s">
        <v>2673</v>
      </c>
      <c r="M667" s="15" t="s">
        <v>2672</v>
      </c>
      <c r="N667" s="15" t="s">
        <v>2673</v>
      </c>
      <c r="O667" s="15"/>
    </row>
    <row r="668" spans="1:15" ht="18" customHeight="1" x14ac:dyDescent="0.3">
      <c r="A668" s="29">
        <v>667</v>
      </c>
      <c r="B668" s="15" t="s">
        <v>217</v>
      </c>
      <c r="C668" s="15" t="s">
        <v>32</v>
      </c>
      <c r="D668" s="69">
        <v>31</v>
      </c>
      <c r="E668" s="68" t="s">
        <v>240</v>
      </c>
      <c r="F668" s="41" t="s">
        <v>1125</v>
      </c>
      <c r="G668" s="15" t="s">
        <v>154</v>
      </c>
      <c r="H668" s="15" t="s">
        <v>911</v>
      </c>
      <c r="I668" s="69">
        <v>113</v>
      </c>
      <c r="J668" s="13" t="s">
        <v>2672</v>
      </c>
      <c r="K668" s="15" t="s">
        <v>903</v>
      </c>
      <c r="L668" s="15" t="s">
        <v>2673</v>
      </c>
      <c r="M668" s="15" t="s">
        <v>2672</v>
      </c>
      <c r="N668" s="15" t="s">
        <v>2673</v>
      </c>
      <c r="O668" s="15"/>
    </row>
    <row r="669" spans="1:15" ht="18" customHeight="1" x14ac:dyDescent="0.3">
      <c r="A669" s="29">
        <v>668</v>
      </c>
      <c r="B669" s="15" t="s">
        <v>217</v>
      </c>
      <c r="C669" s="15" t="s">
        <v>32</v>
      </c>
      <c r="D669" s="69">
        <v>31</v>
      </c>
      <c r="E669" s="68" t="s">
        <v>240</v>
      </c>
      <c r="F669" s="41" t="s">
        <v>452</v>
      </c>
      <c r="G669" s="15" t="s">
        <v>154</v>
      </c>
      <c r="H669" s="15" t="s">
        <v>2685</v>
      </c>
      <c r="I669" s="69">
        <v>70</v>
      </c>
      <c r="J669" s="13" t="s">
        <v>902</v>
      </c>
      <c r="K669" s="15" t="s">
        <v>903</v>
      </c>
      <c r="L669" s="15" t="s">
        <v>2673</v>
      </c>
      <c r="M669" s="15" t="s">
        <v>2672</v>
      </c>
      <c r="N669" s="15" t="s">
        <v>2673</v>
      </c>
      <c r="O669" s="15"/>
    </row>
    <row r="670" spans="1:15" ht="18" customHeight="1" x14ac:dyDescent="0.3">
      <c r="A670" s="29">
        <v>669</v>
      </c>
      <c r="B670" s="15" t="s">
        <v>217</v>
      </c>
      <c r="C670" s="15" t="s">
        <v>32</v>
      </c>
      <c r="D670" s="69">
        <v>31</v>
      </c>
      <c r="E670" s="68" t="s">
        <v>240</v>
      </c>
      <c r="F670" s="41" t="s">
        <v>452</v>
      </c>
      <c r="G670" s="15" t="s">
        <v>154</v>
      </c>
      <c r="H670" s="15" t="s">
        <v>904</v>
      </c>
      <c r="I670" s="69">
        <v>186</v>
      </c>
      <c r="J670" s="13" t="s">
        <v>2672</v>
      </c>
      <c r="K670" s="15" t="s">
        <v>903</v>
      </c>
      <c r="L670" s="15" t="s">
        <v>2673</v>
      </c>
      <c r="M670" s="15" t="s">
        <v>2672</v>
      </c>
      <c r="N670" s="15" t="s">
        <v>2673</v>
      </c>
      <c r="O670" s="15"/>
    </row>
    <row r="671" spans="1:15" ht="18" customHeight="1" x14ac:dyDescent="0.3">
      <c r="A671" s="29">
        <v>670</v>
      </c>
      <c r="B671" s="15" t="s">
        <v>217</v>
      </c>
      <c r="C671" s="15" t="s">
        <v>32</v>
      </c>
      <c r="D671" s="69">
        <v>31</v>
      </c>
      <c r="E671" s="68" t="s">
        <v>3268</v>
      </c>
      <c r="F671" s="42" t="s">
        <v>451</v>
      </c>
      <c r="G671" s="15" t="s">
        <v>154</v>
      </c>
      <c r="H671" s="15" t="s">
        <v>901</v>
      </c>
      <c r="I671" s="69">
        <v>170</v>
      </c>
      <c r="J671" s="15" t="s">
        <v>2674</v>
      </c>
      <c r="K671" s="15" t="s">
        <v>903</v>
      </c>
      <c r="L671" s="15" t="s">
        <v>2673</v>
      </c>
      <c r="M671" s="15" t="s">
        <v>2672</v>
      </c>
      <c r="N671" s="15" t="s">
        <v>2673</v>
      </c>
      <c r="O671" s="15"/>
    </row>
    <row r="672" spans="1:15" ht="18" customHeight="1" x14ac:dyDescent="0.3">
      <c r="A672" s="29">
        <v>671</v>
      </c>
      <c r="B672" s="15" t="s">
        <v>217</v>
      </c>
      <c r="C672" s="15" t="s">
        <v>32</v>
      </c>
      <c r="D672" s="69">
        <v>31</v>
      </c>
      <c r="E672" s="68" t="s">
        <v>3268</v>
      </c>
      <c r="F672" s="42" t="s">
        <v>451</v>
      </c>
      <c r="G672" s="15" t="s">
        <v>154</v>
      </c>
      <c r="H672" s="15" t="s">
        <v>904</v>
      </c>
      <c r="I672" s="69">
        <v>99</v>
      </c>
      <c r="J672" s="15" t="s">
        <v>2674</v>
      </c>
      <c r="K672" s="15" t="s">
        <v>903</v>
      </c>
      <c r="L672" s="15" t="s">
        <v>2673</v>
      </c>
      <c r="M672" s="15" t="s">
        <v>2672</v>
      </c>
      <c r="N672" s="15" t="s">
        <v>2673</v>
      </c>
      <c r="O672" s="15"/>
    </row>
    <row r="673" spans="1:15" ht="18" customHeight="1" x14ac:dyDescent="0.3">
      <c r="A673" s="29">
        <v>672</v>
      </c>
      <c r="B673" s="15" t="s">
        <v>217</v>
      </c>
      <c r="C673" s="15" t="s">
        <v>32</v>
      </c>
      <c r="D673" s="69">
        <v>31</v>
      </c>
      <c r="E673" s="68" t="s">
        <v>3268</v>
      </c>
      <c r="F673" s="42" t="s">
        <v>451</v>
      </c>
      <c r="G673" s="15" t="s">
        <v>154</v>
      </c>
      <c r="H673" s="15" t="s">
        <v>905</v>
      </c>
      <c r="I673" s="69">
        <v>97</v>
      </c>
      <c r="J673" s="15" t="s">
        <v>2674</v>
      </c>
      <c r="K673" s="15" t="s">
        <v>903</v>
      </c>
      <c r="L673" s="15" t="s">
        <v>2673</v>
      </c>
      <c r="M673" s="15" t="s">
        <v>2672</v>
      </c>
      <c r="N673" s="15" t="s">
        <v>2673</v>
      </c>
      <c r="O673" s="15"/>
    </row>
    <row r="674" spans="1:15" ht="18" customHeight="1" x14ac:dyDescent="0.3">
      <c r="A674" s="29">
        <v>673</v>
      </c>
      <c r="B674" s="15" t="s">
        <v>217</v>
      </c>
      <c r="C674" s="15" t="s">
        <v>32</v>
      </c>
      <c r="D674" s="69">
        <v>31</v>
      </c>
      <c r="E674" s="68" t="s">
        <v>3268</v>
      </c>
      <c r="F674" s="42" t="s">
        <v>451</v>
      </c>
      <c r="G674" s="15" t="s">
        <v>154</v>
      </c>
      <c r="H674" s="15" t="s">
        <v>906</v>
      </c>
      <c r="I674" s="69">
        <v>100</v>
      </c>
      <c r="J674" s="15" t="s">
        <v>2672</v>
      </c>
      <c r="K674" s="15" t="s">
        <v>903</v>
      </c>
      <c r="L674" s="15" t="s">
        <v>2673</v>
      </c>
      <c r="M674" s="15" t="s">
        <v>2672</v>
      </c>
      <c r="N674" s="15" t="s">
        <v>2673</v>
      </c>
      <c r="O674" s="15"/>
    </row>
    <row r="675" spans="1:15" ht="18" customHeight="1" x14ac:dyDescent="0.3">
      <c r="A675" s="29">
        <v>674</v>
      </c>
      <c r="B675" s="15" t="s">
        <v>217</v>
      </c>
      <c r="C675" s="15" t="s">
        <v>32</v>
      </c>
      <c r="D675" s="69">
        <v>31</v>
      </c>
      <c r="E675" s="68" t="s">
        <v>3268</v>
      </c>
      <c r="F675" s="42" t="s">
        <v>451</v>
      </c>
      <c r="G675" s="15" t="s">
        <v>154</v>
      </c>
      <c r="H675" s="15" t="s">
        <v>907</v>
      </c>
      <c r="I675" s="69">
        <v>170</v>
      </c>
      <c r="J675" s="15" t="s">
        <v>2672</v>
      </c>
      <c r="K675" s="15" t="s">
        <v>903</v>
      </c>
      <c r="L675" s="15" t="s">
        <v>2673</v>
      </c>
      <c r="M675" s="15" t="s">
        <v>2672</v>
      </c>
      <c r="N675" s="15" t="s">
        <v>2673</v>
      </c>
      <c r="O675" s="15"/>
    </row>
    <row r="676" spans="1:15" ht="18" customHeight="1" x14ac:dyDescent="0.3">
      <c r="A676" s="29">
        <v>675</v>
      </c>
      <c r="B676" s="15" t="s">
        <v>217</v>
      </c>
      <c r="C676" s="15" t="s">
        <v>32</v>
      </c>
      <c r="D676" s="69">
        <v>31</v>
      </c>
      <c r="E676" s="68" t="s">
        <v>3268</v>
      </c>
      <c r="F676" s="42" t="s">
        <v>451</v>
      </c>
      <c r="G676" s="15" t="s">
        <v>154</v>
      </c>
      <c r="H676" s="15" t="s">
        <v>909</v>
      </c>
      <c r="I676" s="69">
        <v>255</v>
      </c>
      <c r="J676" s="15" t="s">
        <v>2672</v>
      </c>
      <c r="K676" s="15" t="s">
        <v>903</v>
      </c>
      <c r="L676" s="15" t="s">
        <v>2673</v>
      </c>
      <c r="M676" s="15" t="s">
        <v>2672</v>
      </c>
      <c r="N676" s="15" t="s">
        <v>2673</v>
      </c>
      <c r="O676" s="15"/>
    </row>
    <row r="677" spans="1:15" ht="18" customHeight="1" x14ac:dyDescent="0.3">
      <c r="A677" s="29">
        <v>676</v>
      </c>
      <c r="B677" s="15" t="s">
        <v>217</v>
      </c>
      <c r="C677" s="15" t="s">
        <v>32</v>
      </c>
      <c r="D677" s="69">
        <v>31</v>
      </c>
      <c r="E677" s="68" t="s">
        <v>3268</v>
      </c>
      <c r="F677" s="42" t="s">
        <v>451</v>
      </c>
      <c r="G677" s="15" t="s">
        <v>154</v>
      </c>
      <c r="H677" s="15" t="s">
        <v>910</v>
      </c>
      <c r="I677" s="69">
        <v>224</v>
      </c>
      <c r="J677" s="15" t="s">
        <v>2672</v>
      </c>
      <c r="K677" s="15" t="s">
        <v>903</v>
      </c>
      <c r="L677" s="15" t="s">
        <v>2673</v>
      </c>
      <c r="M677" s="15" t="s">
        <v>2672</v>
      </c>
      <c r="N677" s="15" t="s">
        <v>2673</v>
      </c>
      <c r="O677" s="15"/>
    </row>
    <row r="678" spans="1:15" ht="18" customHeight="1" x14ac:dyDescent="0.3">
      <c r="A678" s="29">
        <v>677</v>
      </c>
      <c r="B678" s="15" t="s">
        <v>217</v>
      </c>
      <c r="C678" s="15" t="s">
        <v>32</v>
      </c>
      <c r="D678" s="69">
        <v>31</v>
      </c>
      <c r="E678" s="68" t="s">
        <v>3268</v>
      </c>
      <c r="F678" s="42" t="s">
        <v>451</v>
      </c>
      <c r="G678" s="15" t="s">
        <v>154</v>
      </c>
      <c r="H678" s="15" t="s">
        <v>911</v>
      </c>
      <c r="I678" s="69">
        <v>100</v>
      </c>
      <c r="J678" s="15" t="s">
        <v>2672</v>
      </c>
      <c r="K678" s="15" t="s">
        <v>903</v>
      </c>
      <c r="L678" s="15" t="s">
        <v>2673</v>
      </c>
      <c r="M678" s="15" t="s">
        <v>2672</v>
      </c>
      <c r="N678" s="15" t="s">
        <v>2673</v>
      </c>
      <c r="O678" s="15"/>
    </row>
    <row r="679" spans="1:15" ht="18" customHeight="1" x14ac:dyDescent="0.3">
      <c r="A679" s="29">
        <v>678</v>
      </c>
      <c r="B679" s="15" t="s">
        <v>217</v>
      </c>
      <c r="C679" s="15" t="s">
        <v>32</v>
      </c>
      <c r="D679" s="69">
        <v>31</v>
      </c>
      <c r="E679" s="68" t="s">
        <v>3268</v>
      </c>
      <c r="F679" s="42" t="s">
        <v>2835</v>
      </c>
      <c r="G679" s="15" t="s">
        <v>154</v>
      </c>
      <c r="H679" s="15" t="s">
        <v>908</v>
      </c>
      <c r="I679" s="69">
        <v>170</v>
      </c>
      <c r="J679" s="15" t="s">
        <v>2672</v>
      </c>
      <c r="K679" s="15" t="s">
        <v>902</v>
      </c>
      <c r="L679" s="15" t="s">
        <v>1069</v>
      </c>
      <c r="M679" s="15" t="s">
        <v>2672</v>
      </c>
      <c r="N679" s="15" t="s">
        <v>2673</v>
      </c>
      <c r="O679" s="15"/>
    </row>
    <row r="680" spans="1:15" ht="18" customHeight="1" x14ac:dyDescent="0.3">
      <c r="A680" s="29">
        <v>679</v>
      </c>
      <c r="B680" s="15" t="s">
        <v>217</v>
      </c>
      <c r="C680" s="15" t="s">
        <v>33</v>
      </c>
      <c r="D680" s="69">
        <v>32</v>
      </c>
      <c r="E680" s="68" t="s">
        <v>3269</v>
      </c>
      <c r="F680" s="39" t="s">
        <v>450</v>
      </c>
      <c r="G680" s="15" t="s">
        <v>154</v>
      </c>
      <c r="H680" s="15" t="s">
        <v>901</v>
      </c>
      <c r="I680" s="69">
        <v>107</v>
      </c>
      <c r="J680" s="15" t="s">
        <v>2672</v>
      </c>
      <c r="K680" s="15" t="s">
        <v>903</v>
      </c>
      <c r="L680" s="15" t="s">
        <v>2673</v>
      </c>
      <c r="M680" s="15" t="s">
        <v>2672</v>
      </c>
      <c r="N680" s="15" t="s">
        <v>2673</v>
      </c>
      <c r="O680" s="15"/>
    </row>
    <row r="681" spans="1:15" ht="18" customHeight="1" x14ac:dyDescent="0.3">
      <c r="A681" s="29">
        <v>680</v>
      </c>
      <c r="B681" s="15" t="s">
        <v>217</v>
      </c>
      <c r="C681" s="15" t="s">
        <v>33</v>
      </c>
      <c r="D681" s="69">
        <v>32</v>
      </c>
      <c r="E681" s="68" t="s">
        <v>3269</v>
      </c>
      <c r="F681" s="39" t="s">
        <v>450</v>
      </c>
      <c r="G681" s="15" t="s">
        <v>154</v>
      </c>
      <c r="H681" s="15" t="s">
        <v>904</v>
      </c>
      <c r="I681" s="69">
        <v>122</v>
      </c>
      <c r="J681" s="15" t="s">
        <v>2672</v>
      </c>
      <c r="K681" s="15" t="s">
        <v>903</v>
      </c>
      <c r="L681" s="15" t="s">
        <v>2673</v>
      </c>
      <c r="M681" s="15" t="s">
        <v>2672</v>
      </c>
      <c r="N681" s="15" t="s">
        <v>2673</v>
      </c>
      <c r="O681" s="15"/>
    </row>
    <row r="682" spans="1:15" ht="18" customHeight="1" x14ac:dyDescent="0.3">
      <c r="A682" s="29">
        <v>681</v>
      </c>
      <c r="B682" s="15" t="s">
        <v>217</v>
      </c>
      <c r="C682" s="15" t="s">
        <v>33</v>
      </c>
      <c r="D682" s="69">
        <v>32</v>
      </c>
      <c r="E682" s="68" t="s">
        <v>3269</v>
      </c>
      <c r="F682" s="39" t="s">
        <v>450</v>
      </c>
      <c r="G682" s="15" t="s">
        <v>154</v>
      </c>
      <c r="H682" s="15" t="s">
        <v>905</v>
      </c>
      <c r="I682" s="69">
        <v>135</v>
      </c>
      <c r="J682" s="15" t="s">
        <v>2674</v>
      </c>
      <c r="K682" s="15" t="s">
        <v>903</v>
      </c>
      <c r="L682" s="15" t="s">
        <v>2673</v>
      </c>
      <c r="M682" s="15" t="s">
        <v>2672</v>
      </c>
      <c r="N682" s="15" t="s">
        <v>2673</v>
      </c>
      <c r="O682" s="15"/>
    </row>
    <row r="683" spans="1:15" ht="18" customHeight="1" x14ac:dyDescent="0.3">
      <c r="A683" s="29">
        <v>682</v>
      </c>
      <c r="B683" s="15" t="s">
        <v>217</v>
      </c>
      <c r="C683" s="15" t="s">
        <v>33</v>
      </c>
      <c r="D683" s="69">
        <v>32</v>
      </c>
      <c r="E683" s="68" t="s">
        <v>3269</v>
      </c>
      <c r="F683" s="39" t="s">
        <v>450</v>
      </c>
      <c r="G683" s="15" t="s">
        <v>154</v>
      </c>
      <c r="H683" s="15" t="s">
        <v>906</v>
      </c>
      <c r="I683" s="69">
        <v>136</v>
      </c>
      <c r="J683" s="15" t="s">
        <v>2674</v>
      </c>
      <c r="K683" s="15" t="s">
        <v>903</v>
      </c>
      <c r="L683" s="15" t="s">
        <v>2673</v>
      </c>
      <c r="M683" s="15" t="s">
        <v>2672</v>
      </c>
      <c r="N683" s="15" t="s">
        <v>2673</v>
      </c>
      <c r="O683" s="15"/>
    </row>
    <row r="684" spans="1:15" ht="18" customHeight="1" x14ac:dyDescent="0.3">
      <c r="A684" s="29">
        <v>683</v>
      </c>
      <c r="B684" s="15" t="s">
        <v>217</v>
      </c>
      <c r="C684" s="15" t="s">
        <v>33</v>
      </c>
      <c r="D684" s="69">
        <v>32</v>
      </c>
      <c r="E684" s="68" t="s">
        <v>3269</v>
      </c>
      <c r="F684" s="39" t="s">
        <v>450</v>
      </c>
      <c r="G684" s="15" t="s">
        <v>154</v>
      </c>
      <c r="H684" s="15" t="s">
        <v>907</v>
      </c>
      <c r="I684" s="69">
        <v>279</v>
      </c>
      <c r="J684" s="15" t="s">
        <v>2674</v>
      </c>
      <c r="K684" s="15" t="s">
        <v>903</v>
      </c>
      <c r="L684" s="15" t="s">
        <v>2673</v>
      </c>
      <c r="M684" s="15" t="s">
        <v>2672</v>
      </c>
      <c r="N684" s="15" t="s">
        <v>2673</v>
      </c>
      <c r="O684" s="15"/>
    </row>
    <row r="685" spans="1:15" ht="18" customHeight="1" x14ac:dyDescent="0.3">
      <c r="A685" s="29">
        <v>684</v>
      </c>
      <c r="B685" s="15" t="s">
        <v>217</v>
      </c>
      <c r="C685" s="15" t="s">
        <v>33</v>
      </c>
      <c r="D685" s="69">
        <v>32</v>
      </c>
      <c r="E685" s="68" t="s">
        <v>3269</v>
      </c>
      <c r="F685" s="39" t="s">
        <v>450</v>
      </c>
      <c r="G685" s="15" t="s">
        <v>154</v>
      </c>
      <c r="H685" s="15" t="s">
        <v>908</v>
      </c>
      <c r="I685" s="69">
        <v>122</v>
      </c>
      <c r="J685" s="15" t="s">
        <v>2672</v>
      </c>
      <c r="K685" s="15" t="s">
        <v>903</v>
      </c>
      <c r="L685" s="15" t="s">
        <v>2673</v>
      </c>
      <c r="M685" s="15" t="s">
        <v>2672</v>
      </c>
      <c r="N685" s="15" t="s">
        <v>2673</v>
      </c>
      <c r="O685" s="15"/>
    </row>
    <row r="686" spans="1:15" ht="18" customHeight="1" x14ac:dyDescent="0.3">
      <c r="A686" s="29">
        <v>685</v>
      </c>
      <c r="B686" s="15" t="s">
        <v>217</v>
      </c>
      <c r="C686" s="15" t="s">
        <v>33</v>
      </c>
      <c r="D686" s="69">
        <v>32</v>
      </c>
      <c r="E686" s="68" t="s">
        <v>3269</v>
      </c>
      <c r="F686" s="39" t="s">
        <v>450</v>
      </c>
      <c r="G686" s="15" t="s">
        <v>154</v>
      </c>
      <c r="H686" s="15" t="s">
        <v>909</v>
      </c>
      <c r="I686" s="69">
        <v>134</v>
      </c>
      <c r="J686" s="15" t="s">
        <v>2672</v>
      </c>
      <c r="K686" s="15" t="s">
        <v>903</v>
      </c>
      <c r="L686" s="15" t="s">
        <v>2673</v>
      </c>
      <c r="M686" s="15" t="s">
        <v>2672</v>
      </c>
      <c r="N686" s="15" t="s">
        <v>2673</v>
      </c>
      <c r="O686" s="15"/>
    </row>
    <row r="687" spans="1:15" ht="18" customHeight="1" x14ac:dyDescent="0.3">
      <c r="A687" s="29">
        <v>686</v>
      </c>
      <c r="B687" s="15" t="s">
        <v>217</v>
      </c>
      <c r="C687" s="15" t="s">
        <v>33</v>
      </c>
      <c r="D687" s="69">
        <v>32</v>
      </c>
      <c r="E687" s="68" t="s">
        <v>3269</v>
      </c>
      <c r="F687" s="39" t="s">
        <v>450</v>
      </c>
      <c r="G687" s="15" t="s">
        <v>154</v>
      </c>
      <c r="H687" s="15" t="s">
        <v>910</v>
      </c>
      <c r="I687" s="69">
        <v>136</v>
      </c>
      <c r="J687" s="15" t="s">
        <v>2674</v>
      </c>
      <c r="K687" s="15" t="s">
        <v>903</v>
      </c>
      <c r="L687" s="15" t="s">
        <v>2673</v>
      </c>
      <c r="M687" s="15" t="s">
        <v>2672</v>
      </c>
      <c r="N687" s="15" t="s">
        <v>2673</v>
      </c>
      <c r="O687" s="15"/>
    </row>
    <row r="688" spans="1:15" ht="18" customHeight="1" x14ac:dyDescent="0.3">
      <c r="A688" s="29">
        <v>687</v>
      </c>
      <c r="B688" s="15" t="s">
        <v>217</v>
      </c>
      <c r="C688" s="15" t="s">
        <v>34</v>
      </c>
      <c r="D688" s="69">
        <v>33</v>
      </c>
      <c r="E688" s="68" t="s">
        <v>929</v>
      </c>
      <c r="F688" s="32" t="s">
        <v>462</v>
      </c>
      <c r="G688" s="15" t="s">
        <v>164</v>
      </c>
      <c r="H688" s="15" t="s">
        <v>2685</v>
      </c>
      <c r="I688" s="69">
        <v>127</v>
      </c>
      <c r="J688" s="15" t="s">
        <v>2672</v>
      </c>
      <c r="K688" s="15" t="s">
        <v>903</v>
      </c>
      <c r="L688" s="15" t="s">
        <v>2673</v>
      </c>
      <c r="M688" s="15" t="s">
        <v>2672</v>
      </c>
      <c r="N688" s="15" t="s">
        <v>2673</v>
      </c>
      <c r="O688" s="15"/>
    </row>
    <row r="689" spans="1:15" ht="18" customHeight="1" x14ac:dyDescent="0.3">
      <c r="A689" s="29">
        <v>688</v>
      </c>
      <c r="B689" s="15" t="s">
        <v>217</v>
      </c>
      <c r="C689" s="15" t="s">
        <v>34</v>
      </c>
      <c r="D689" s="69">
        <v>33</v>
      </c>
      <c r="E689" s="68" t="s">
        <v>929</v>
      </c>
      <c r="F689" s="32" t="s">
        <v>462</v>
      </c>
      <c r="G689" s="15" t="s">
        <v>164</v>
      </c>
      <c r="H689" s="15" t="s">
        <v>2678</v>
      </c>
      <c r="I689" s="69">
        <v>41</v>
      </c>
      <c r="J689" s="15" t="s">
        <v>2672</v>
      </c>
      <c r="K689" s="15" t="s">
        <v>903</v>
      </c>
      <c r="L689" s="15" t="s">
        <v>2673</v>
      </c>
      <c r="M689" s="15" t="s">
        <v>2672</v>
      </c>
      <c r="N689" s="15" t="s">
        <v>2673</v>
      </c>
      <c r="O689" s="15"/>
    </row>
    <row r="690" spans="1:15" ht="18" customHeight="1" x14ac:dyDescent="0.3">
      <c r="A690" s="29">
        <v>689</v>
      </c>
      <c r="B690" s="15" t="s">
        <v>217</v>
      </c>
      <c r="C690" s="15" t="s">
        <v>34</v>
      </c>
      <c r="D690" s="69">
        <v>33</v>
      </c>
      <c r="E690" s="68" t="s">
        <v>929</v>
      </c>
      <c r="F690" s="32" t="s">
        <v>462</v>
      </c>
      <c r="G690" s="15" t="s">
        <v>164</v>
      </c>
      <c r="H690" s="15" t="s">
        <v>2679</v>
      </c>
      <c r="I690" s="69">
        <v>64</v>
      </c>
      <c r="J690" s="15" t="s">
        <v>2672</v>
      </c>
      <c r="K690" s="15" t="s">
        <v>903</v>
      </c>
      <c r="L690" s="15" t="s">
        <v>2673</v>
      </c>
      <c r="M690" s="15" t="s">
        <v>2672</v>
      </c>
      <c r="N690" s="15" t="s">
        <v>2673</v>
      </c>
      <c r="O690" s="15"/>
    </row>
    <row r="691" spans="1:15" ht="18" customHeight="1" x14ac:dyDescent="0.3">
      <c r="A691" s="29">
        <v>690</v>
      </c>
      <c r="B691" s="15" t="s">
        <v>217</v>
      </c>
      <c r="C691" s="15" t="s">
        <v>34</v>
      </c>
      <c r="D691" s="69">
        <v>33</v>
      </c>
      <c r="E691" s="68" t="s">
        <v>929</v>
      </c>
      <c r="F691" s="32" t="s">
        <v>462</v>
      </c>
      <c r="G691" s="15" t="s">
        <v>164</v>
      </c>
      <c r="H691" s="15" t="s">
        <v>2680</v>
      </c>
      <c r="I691" s="69">
        <v>68</v>
      </c>
      <c r="J691" s="15" t="s">
        <v>2672</v>
      </c>
      <c r="K691" s="15" t="s">
        <v>903</v>
      </c>
      <c r="L691" s="15" t="s">
        <v>2673</v>
      </c>
      <c r="M691" s="15" t="s">
        <v>2672</v>
      </c>
      <c r="N691" s="15" t="s">
        <v>2673</v>
      </c>
      <c r="O691" s="15"/>
    </row>
    <row r="692" spans="1:15" ht="18" customHeight="1" x14ac:dyDescent="0.3">
      <c r="A692" s="29">
        <v>691</v>
      </c>
      <c r="B692" s="15" t="s">
        <v>217</v>
      </c>
      <c r="C692" s="15" t="s">
        <v>34</v>
      </c>
      <c r="D692" s="69">
        <v>33</v>
      </c>
      <c r="E692" s="68" t="s">
        <v>929</v>
      </c>
      <c r="F692" s="32" t="s">
        <v>462</v>
      </c>
      <c r="G692" s="15" t="s">
        <v>164</v>
      </c>
      <c r="H692" s="15" t="s">
        <v>2690</v>
      </c>
      <c r="I692" s="69">
        <v>127</v>
      </c>
      <c r="J692" s="15" t="s">
        <v>2672</v>
      </c>
      <c r="K692" s="15" t="s">
        <v>903</v>
      </c>
      <c r="L692" s="15" t="s">
        <v>2673</v>
      </c>
      <c r="M692" s="15" t="s">
        <v>2672</v>
      </c>
      <c r="N692" s="15" t="s">
        <v>2673</v>
      </c>
      <c r="O692" s="15"/>
    </row>
    <row r="693" spans="1:15" ht="18" customHeight="1" x14ac:dyDescent="0.3">
      <c r="A693" s="29">
        <v>692</v>
      </c>
      <c r="B693" s="15" t="s">
        <v>217</v>
      </c>
      <c r="C693" s="15" t="s">
        <v>34</v>
      </c>
      <c r="D693" s="69">
        <v>33</v>
      </c>
      <c r="E693" s="68" t="s">
        <v>929</v>
      </c>
      <c r="F693" s="32" t="s">
        <v>462</v>
      </c>
      <c r="G693" s="15" t="s">
        <v>164</v>
      </c>
      <c r="H693" s="15" t="s">
        <v>2682</v>
      </c>
      <c r="I693" s="69">
        <v>57</v>
      </c>
      <c r="J693" s="15" t="s">
        <v>2672</v>
      </c>
      <c r="K693" s="15" t="s">
        <v>903</v>
      </c>
      <c r="L693" s="15" t="s">
        <v>2673</v>
      </c>
      <c r="M693" s="15" t="s">
        <v>2672</v>
      </c>
      <c r="N693" s="15" t="s">
        <v>2673</v>
      </c>
      <c r="O693" s="15"/>
    </row>
    <row r="694" spans="1:15" ht="18" customHeight="1" x14ac:dyDescent="0.3">
      <c r="A694" s="29">
        <v>693</v>
      </c>
      <c r="B694" s="15" t="s">
        <v>217</v>
      </c>
      <c r="C694" s="15" t="s">
        <v>34</v>
      </c>
      <c r="D694" s="69">
        <v>33</v>
      </c>
      <c r="E694" s="68" t="s">
        <v>929</v>
      </c>
      <c r="F694" s="32" t="s">
        <v>462</v>
      </c>
      <c r="G694" s="15" t="s">
        <v>164</v>
      </c>
      <c r="H694" s="15" t="s">
        <v>2732</v>
      </c>
      <c r="I694" s="69">
        <v>81</v>
      </c>
      <c r="J694" s="15" t="s">
        <v>2672</v>
      </c>
      <c r="K694" s="15" t="s">
        <v>903</v>
      </c>
      <c r="L694" s="15" t="s">
        <v>2673</v>
      </c>
      <c r="M694" s="15" t="s">
        <v>2672</v>
      </c>
      <c r="N694" s="15" t="s">
        <v>2673</v>
      </c>
      <c r="O694" s="15"/>
    </row>
    <row r="695" spans="1:15" ht="18" customHeight="1" x14ac:dyDescent="0.3">
      <c r="A695" s="29">
        <v>694</v>
      </c>
      <c r="B695" s="15" t="s">
        <v>217</v>
      </c>
      <c r="C695" s="15" t="s">
        <v>34</v>
      </c>
      <c r="D695" s="69">
        <v>33</v>
      </c>
      <c r="E695" s="68" t="s">
        <v>929</v>
      </c>
      <c r="F695" s="32" t="s">
        <v>462</v>
      </c>
      <c r="G695" s="15" t="s">
        <v>164</v>
      </c>
      <c r="H695" s="15" t="s">
        <v>2683</v>
      </c>
      <c r="I695" s="69">
        <v>65</v>
      </c>
      <c r="J695" s="15" t="s">
        <v>2674</v>
      </c>
      <c r="K695" s="15" t="s">
        <v>903</v>
      </c>
      <c r="L695" s="15" t="s">
        <v>2673</v>
      </c>
      <c r="M695" s="15" t="s">
        <v>2672</v>
      </c>
      <c r="N695" s="15" t="s">
        <v>2673</v>
      </c>
      <c r="O695" s="15"/>
    </row>
    <row r="696" spans="1:15" ht="18" customHeight="1" x14ac:dyDescent="0.3">
      <c r="A696" s="29">
        <v>695</v>
      </c>
      <c r="B696" s="15" t="s">
        <v>217</v>
      </c>
      <c r="C696" s="15" t="s">
        <v>34</v>
      </c>
      <c r="D696" s="69">
        <v>33</v>
      </c>
      <c r="E696" s="68" t="s">
        <v>929</v>
      </c>
      <c r="F696" s="32" t="s">
        <v>462</v>
      </c>
      <c r="G696" s="15" t="s">
        <v>164</v>
      </c>
      <c r="H696" s="15" t="s">
        <v>2815</v>
      </c>
      <c r="I696" s="69">
        <v>60</v>
      </c>
      <c r="J696" s="15" t="s">
        <v>2672</v>
      </c>
      <c r="K696" s="15" t="s">
        <v>902</v>
      </c>
      <c r="L696" s="15" t="s">
        <v>1703</v>
      </c>
      <c r="M696" s="15" t="s">
        <v>2672</v>
      </c>
      <c r="N696" s="15" t="s">
        <v>2673</v>
      </c>
      <c r="O696" s="15"/>
    </row>
    <row r="697" spans="1:15" ht="18" customHeight="1" x14ac:dyDescent="0.3">
      <c r="A697" s="29">
        <v>696</v>
      </c>
      <c r="B697" s="15" t="s">
        <v>217</v>
      </c>
      <c r="C697" s="15" t="s">
        <v>34</v>
      </c>
      <c r="D697" s="69">
        <v>33</v>
      </c>
      <c r="E697" s="68" t="s">
        <v>3270</v>
      </c>
      <c r="F697" s="39" t="s">
        <v>1126</v>
      </c>
      <c r="G697" s="15" t="s">
        <v>154</v>
      </c>
      <c r="H697" s="15" t="s">
        <v>905</v>
      </c>
      <c r="I697" s="69">
        <v>95</v>
      </c>
      <c r="J697" s="15" t="s">
        <v>2672</v>
      </c>
      <c r="K697" s="15" t="s">
        <v>903</v>
      </c>
      <c r="L697" s="15" t="s">
        <v>2673</v>
      </c>
      <c r="M697" s="15" t="s">
        <v>2672</v>
      </c>
      <c r="N697" s="15" t="s">
        <v>2673</v>
      </c>
      <c r="O697" s="15"/>
    </row>
    <row r="698" spans="1:15" ht="18" customHeight="1" x14ac:dyDescent="0.3">
      <c r="A698" s="29">
        <v>697</v>
      </c>
      <c r="B698" s="15" t="s">
        <v>217</v>
      </c>
      <c r="C698" s="15" t="s">
        <v>34</v>
      </c>
      <c r="D698" s="69">
        <v>33</v>
      </c>
      <c r="E698" s="68" t="s">
        <v>3270</v>
      </c>
      <c r="F698" s="39" t="s">
        <v>1126</v>
      </c>
      <c r="G698" s="15" t="s">
        <v>154</v>
      </c>
      <c r="H698" s="15" t="s">
        <v>906</v>
      </c>
      <c r="I698" s="69">
        <v>93</v>
      </c>
      <c r="J698" s="15" t="s">
        <v>2672</v>
      </c>
      <c r="K698" s="15" t="s">
        <v>903</v>
      </c>
      <c r="L698" s="15" t="s">
        <v>2673</v>
      </c>
      <c r="M698" s="15" t="s">
        <v>2672</v>
      </c>
      <c r="N698" s="15" t="s">
        <v>2673</v>
      </c>
      <c r="O698" s="15"/>
    </row>
    <row r="699" spans="1:15" ht="18" customHeight="1" x14ac:dyDescent="0.3">
      <c r="A699" s="29">
        <v>698</v>
      </c>
      <c r="B699" s="15" t="s">
        <v>217</v>
      </c>
      <c r="C699" s="15" t="s">
        <v>34</v>
      </c>
      <c r="D699" s="69">
        <v>33</v>
      </c>
      <c r="E699" s="68" t="s">
        <v>3270</v>
      </c>
      <c r="F699" s="39" t="s">
        <v>1126</v>
      </c>
      <c r="G699" s="15" t="s">
        <v>154</v>
      </c>
      <c r="H699" s="15" t="s">
        <v>907</v>
      </c>
      <c r="I699" s="69">
        <v>109</v>
      </c>
      <c r="J699" s="15" t="s">
        <v>2672</v>
      </c>
      <c r="K699" s="15" t="s">
        <v>903</v>
      </c>
      <c r="L699" s="15" t="s">
        <v>2673</v>
      </c>
      <c r="M699" s="15" t="s">
        <v>2672</v>
      </c>
      <c r="N699" s="15" t="s">
        <v>2673</v>
      </c>
      <c r="O699" s="15"/>
    </row>
    <row r="700" spans="1:15" ht="18" customHeight="1" x14ac:dyDescent="0.3">
      <c r="A700" s="29">
        <v>699</v>
      </c>
      <c r="B700" s="15" t="s">
        <v>217</v>
      </c>
      <c r="C700" s="15" t="s">
        <v>34</v>
      </c>
      <c r="D700" s="69">
        <v>33</v>
      </c>
      <c r="E700" s="68" t="s">
        <v>3270</v>
      </c>
      <c r="F700" s="39" t="s">
        <v>1126</v>
      </c>
      <c r="G700" s="15" t="s">
        <v>154</v>
      </c>
      <c r="H700" s="15" t="s">
        <v>908</v>
      </c>
      <c r="I700" s="69">
        <v>92</v>
      </c>
      <c r="J700" s="15" t="s">
        <v>2672</v>
      </c>
      <c r="K700" s="15" t="s">
        <v>903</v>
      </c>
      <c r="L700" s="15" t="s">
        <v>2673</v>
      </c>
      <c r="M700" s="15" t="s">
        <v>2672</v>
      </c>
      <c r="N700" s="15" t="s">
        <v>2673</v>
      </c>
      <c r="O700" s="15"/>
    </row>
    <row r="701" spans="1:15" ht="18" customHeight="1" x14ac:dyDescent="0.3">
      <c r="A701" s="29">
        <v>700</v>
      </c>
      <c r="B701" s="15" t="s">
        <v>217</v>
      </c>
      <c r="C701" s="15" t="s">
        <v>34</v>
      </c>
      <c r="D701" s="69">
        <v>33</v>
      </c>
      <c r="E701" s="68" t="s">
        <v>3270</v>
      </c>
      <c r="F701" s="39" t="s">
        <v>1126</v>
      </c>
      <c r="G701" s="15" t="s">
        <v>154</v>
      </c>
      <c r="H701" s="15" t="s">
        <v>909</v>
      </c>
      <c r="I701" s="69">
        <v>97</v>
      </c>
      <c r="J701" s="15" t="s">
        <v>2672</v>
      </c>
      <c r="K701" s="15" t="s">
        <v>903</v>
      </c>
      <c r="L701" s="15" t="s">
        <v>2673</v>
      </c>
      <c r="M701" s="15" t="s">
        <v>2672</v>
      </c>
      <c r="N701" s="15" t="s">
        <v>2673</v>
      </c>
      <c r="O701" s="15"/>
    </row>
    <row r="702" spans="1:15" ht="18" customHeight="1" x14ac:dyDescent="0.3">
      <c r="A702" s="29">
        <v>701</v>
      </c>
      <c r="B702" s="15" t="s">
        <v>217</v>
      </c>
      <c r="C702" s="15" t="s">
        <v>34</v>
      </c>
      <c r="D702" s="69">
        <v>33</v>
      </c>
      <c r="E702" s="68" t="s">
        <v>3270</v>
      </c>
      <c r="F702" s="39" t="s">
        <v>459</v>
      </c>
      <c r="G702" s="15" t="s">
        <v>154</v>
      </c>
      <c r="H702" s="15" t="s">
        <v>901</v>
      </c>
      <c r="I702" s="69">
        <v>153</v>
      </c>
      <c r="J702" s="15" t="s">
        <v>2674</v>
      </c>
      <c r="K702" s="15" t="s">
        <v>903</v>
      </c>
      <c r="L702" s="15" t="s">
        <v>2673</v>
      </c>
      <c r="M702" s="15" t="s">
        <v>2672</v>
      </c>
      <c r="N702" s="15" t="s">
        <v>2673</v>
      </c>
      <c r="O702" s="15"/>
    </row>
    <row r="703" spans="1:15" ht="18" customHeight="1" x14ac:dyDescent="0.3">
      <c r="A703" s="29">
        <v>702</v>
      </c>
      <c r="B703" s="15" t="s">
        <v>217</v>
      </c>
      <c r="C703" s="15" t="s">
        <v>34</v>
      </c>
      <c r="D703" s="69">
        <v>33</v>
      </c>
      <c r="E703" s="68" t="s">
        <v>3270</v>
      </c>
      <c r="F703" s="39" t="s">
        <v>459</v>
      </c>
      <c r="G703" s="15" t="s">
        <v>154</v>
      </c>
      <c r="H703" s="15" t="s">
        <v>904</v>
      </c>
      <c r="I703" s="69">
        <v>117</v>
      </c>
      <c r="J703" s="15" t="s">
        <v>2674</v>
      </c>
      <c r="K703" s="15" t="s">
        <v>903</v>
      </c>
      <c r="L703" s="15" t="s">
        <v>2673</v>
      </c>
      <c r="M703" s="15" t="s">
        <v>2672</v>
      </c>
      <c r="N703" s="15" t="s">
        <v>2673</v>
      </c>
      <c r="O703" s="15"/>
    </row>
    <row r="704" spans="1:15" ht="18" customHeight="1" x14ac:dyDescent="0.3">
      <c r="A704" s="29">
        <v>703</v>
      </c>
      <c r="B704" s="15" t="s">
        <v>217</v>
      </c>
      <c r="C704" s="15" t="s">
        <v>35</v>
      </c>
      <c r="D704" s="69">
        <v>34</v>
      </c>
      <c r="E704" s="68" t="s">
        <v>3271</v>
      </c>
      <c r="F704" s="39" t="s">
        <v>472</v>
      </c>
      <c r="G704" s="15" t="s">
        <v>154</v>
      </c>
      <c r="H704" s="15" t="s">
        <v>905</v>
      </c>
      <c r="I704" s="69">
        <v>254</v>
      </c>
      <c r="J704" s="15" t="s">
        <v>2674</v>
      </c>
      <c r="K704" s="15" t="s">
        <v>903</v>
      </c>
      <c r="L704" s="15" t="s">
        <v>2673</v>
      </c>
      <c r="M704" s="15" t="s">
        <v>2672</v>
      </c>
      <c r="N704" s="15" t="s">
        <v>2673</v>
      </c>
      <c r="O704" s="15"/>
    </row>
    <row r="705" spans="1:15" ht="18" customHeight="1" x14ac:dyDescent="0.3">
      <c r="A705" s="29">
        <v>704</v>
      </c>
      <c r="B705" s="15" t="s">
        <v>217</v>
      </c>
      <c r="C705" s="15" t="s">
        <v>35</v>
      </c>
      <c r="D705" s="69">
        <v>34</v>
      </c>
      <c r="E705" s="68" t="s">
        <v>3271</v>
      </c>
      <c r="F705" s="39" t="s">
        <v>472</v>
      </c>
      <c r="G705" s="15" t="s">
        <v>154</v>
      </c>
      <c r="H705" s="15" t="s">
        <v>906</v>
      </c>
      <c r="I705" s="69">
        <v>303</v>
      </c>
      <c r="J705" s="15" t="s">
        <v>2674</v>
      </c>
      <c r="K705" s="15" t="s">
        <v>903</v>
      </c>
      <c r="L705" s="15" t="s">
        <v>2673</v>
      </c>
      <c r="M705" s="15" t="s">
        <v>2672</v>
      </c>
      <c r="N705" s="15" t="s">
        <v>2673</v>
      </c>
      <c r="O705" s="15"/>
    </row>
    <row r="706" spans="1:15" ht="18" customHeight="1" x14ac:dyDescent="0.3">
      <c r="A706" s="29">
        <v>705</v>
      </c>
      <c r="B706" s="15" t="s">
        <v>217</v>
      </c>
      <c r="C706" s="15" t="s">
        <v>35</v>
      </c>
      <c r="D706" s="69">
        <v>34</v>
      </c>
      <c r="E706" s="68" t="s">
        <v>3271</v>
      </c>
      <c r="F706" s="39" t="s">
        <v>472</v>
      </c>
      <c r="G706" s="15" t="s">
        <v>154</v>
      </c>
      <c r="H706" s="15" t="s">
        <v>907</v>
      </c>
      <c r="I706" s="69">
        <v>270</v>
      </c>
      <c r="J706" s="15" t="s">
        <v>2672</v>
      </c>
      <c r="K706" s="15" t="s">
        <v>903</v>
      </c>
      <c r="L706" s="15" t="s">
        <v>2673</v>
      </c>
      <c r="M706" s="15" t="s">
        <v>2672</v>
      </c>
      <c r="N706" s="15" t="s">
        <v>2673</v>
      </c>
      <c r="O706" s="15"/>
    </row>
    <row r="707" spans="1:15" ht="18" customHeight="1" x14ac:dyDescent="0.3">
      <c r="A707" s="29">
        <v>706</v>
      </c>
      <c r="B707" s="15" t="s">
        <v>217</v>
      </c>
      <c r="C707" s="15" t="s">
        <v>35</v>
      </c>
      <c r="D707" s="69">
        <v>34</v>
      </c>
      <c r="E707" s="68" t="s">
        <v>3271</v>
      </c>
      <c r="F707" s="39" t="s">
        <v>472</v>
      </c>
      <c r="G707" s="15" t="s">
        <v>154</v>
      </c>
      <c r="H707" s="15" t="s">
        <v>908</v>
      </c>
      <c r="I707" s="69">
        <v>326</v>
      </c>
      <c r="J707" s="15" t="s">
        <v>2674</v>
      </c>
      <c r="K707" s="15" t="s">
        <v>903</v>
      </c>
      <c r="L707" s="15" t="s">
        <v>2673</v>
      </c>
      <c r="M707" s="15" t="s">
        <v>2672</v>
      </c>
      <c r="N707" s="15" t="s">
        <v>2673</v>
      </c>
      <c r="O707" s="15"/>
    </row>
    <row r="708" spans="1:15" ht="18" customHeight="1" x14ac:dyDescent="0.3">
      <c r="A708" s="29">
        <v>707</v>
      </c>
      <c r="B708" s="15" t="s">
        <v>217</v>
      </c>
      <c r="C708" s="15" t="s">
        <v>35</v>
      </c>
      <c r="D708" s="69">
        <v>34</v>
      </c>
      <c r="E708" s="68" t="s">
        <v>3271</v>
      </c>
      <c r="F708" s="39" t="s">
        <v>472</v>
      </c>
      <c r="G708" s="15" t="s">
        <v>154</v>
      </c>
      <c r="H708" s="15" t="s">
        <v>2732</v>
      </c>
      <c r="I708" s="69">
        <v>172</v>
      </c>
      <c r="J708" s="15" t="s">
        <v>2672</v>
      </c>
      <c r="K708" s="15" t="s">
        <v>903</v>
      </c>
      <c r="L708" s="15" t="s">
        <v>2673</v>
      </c>
      <c r="M708" s="15" t="s">
        <v>2672</v>
      </c>
      <c r="N708" s="15" t="s">
        <v>2673</v>
      </c>
      <c r="O708" s="15"/>
    </row>
    <row r="709" spans="1:15" ht="18" customHeight="1" x14ac:dyDescent="0.3">
      <c r="A709" s="29">
        <v>708</v>
      </c>
      <c r="B709" s="15" t="s">
        <v>217</v>
      </c>
      <c r="C709" s="15" t="s">
        <v>35</v>
      </c>
      <c r="D709" s="69">
        <v>34</v>
      </c>
      <c r="E709" s="68" t="s">
        <v>3271</v>
      </c>
      <c r="F709" s="39" t="s">
        <v>2836</v>
      </c>
      <c r="G709" s="15" t="s">
        <v>154</v>
      </c>
      <c r="H709" s="15" t="s">
        <v>904</v>
      </c>
      <c r="I709" s="69">
        <v>228</v>
      </c>
      <c r="J709" s="15" t="s">
        <v>2672</v>
      </c>
      <c r="K709" s="15" t="s">
        <v>902</v>
      </c>
      <c r="L709" s="15" t="s">
        <v>1069</v>
      </c>
      <c r="M709" s="15" t="s">
        <v>2672</v>
      </c>
      <c r="N709" s="15" t="s">
        <v>2673</v>
      </c>
      <c r="O709" s="15"/>
    </row>
    <row r="710" spans="1:15" ht="18" customHeight="1" x14ac:dyDescent="0.3">
      <c r="A710" s="29">
        <v>709</v>
      </c>
      <c r="B710" s="15" t="s">
        <v>217</v>
      </c>
      <c r="C710" s="15" t="s">
        <v>35</v>
      </c>
      <c r="D710" s="69">
        <v>34</v>
      </c>
      <c r="E710" s="68" t="s">
        <v>3271</v>
      </c>
      <c r="F710" s="39" t="s">
        <v>2836</v>
      </c>
      <c r="G710" s="15" t="s">
        <v>154</v>
      </c>
      <c r="H710" s="15" t="s">
        <v>983</v>
      </c>
      <c r="I710" s="69">
        <v>128</v>
      </c>
      <c r="J710" s="15" t="s">
        <v>2674</v>
      </c>
      <c r="K710" s="15" t="s">
        <v>902</v>
      </c>
      <c r="L710" s="15" t="s">
        <v>1797</v>
      </c>
      <c r="M710" s="15" t="s">
        <v>2672</v>
      </c>
      <c r="N710" s="15" t="s">
        <v>2673</v>
      </c>
      <c r="O710" s="15"/>
    </row>
    <row r="711" spans="1:15" ht="18" customHeight="1" x14ac:dyDescent="0.3">
      <c r="A711" s="29">
        <v>710</v>
      </c>
      <c r="B711" s="15" t="s">
        <v>217</v>
      </c>
      <c r="C711" s="15" t="s">
        <v>35</v>
      </c>
      <c r="D711" s="69">
        <v>34</v>
      </c>
      <c r="E711" s="68" t="s">
        <v>3271</v>
      </c>
      <c r="F711" s="39" t="s">
        <v>2836</v>
      </c>
      <c r="G711" s="15" t="s">
        <v>154</v>
      </c>
      <c r="H711" s="15" t="s">
        <v>2837</v>
      </c>
      <c r="I711" s="69">
        <v>381</v>
      </c>
      <c r="J711" s="15" t="s">
        <v>2672</v>
      </c>
      <c r="K711" s="15" t="s">
        <v>902</v>
      </c>
      <c r="L711" s="15" t="s">
        <v>1241</v>
      </c>
      <c r="M711" s="15" t="s">
        <v>2672</v>
      </c>
      <c r="N711" s="15" t="s">
        <v>2673</v>
      </c>
      <c r="O711" s="15"/>
    </row>
    <row r="712" spans="1:15" ht="18" customHeight="1" x14ac:dyDescent="0.3">
      <c r="A712" s="29">
        <v>711</v>
      </c>
      <c r="B712" s="15" t="s">
        <v>217</v>
      </c>
      <c r="C712" s="15" t="s">
        <v>35</v>
      </c>
      <c r="D712" s="69">
        <v>34</v>
      </c>
      <c r="E712" s="68" t="s">
        <v>3272</v>
      </c>
      <c r="F712" s="39" t="s">
        <v>2836</v>
      </c>
      <c r="G712" s="15" t="s">
        <v>154</v>
      </c>
      <c r="H712" s="15" t="s">
        <v>1043</v>
      </c>
      <c r="I712" s="69">
        <v>60</v>
      </c>
      <c r="J712" s="15" t="s">
        <v>2674</v>
      </c>
      <c r="K712" s="15" t="s">
        <v>902</v>
      </c>
      <c r="L712" s="15" t="s">
        <v>1043</v>
      </c>
      <c r="M712" s="15" t="s">
        <v>2672</v>
      </c>
      <c r="N712" s="15" t="s">
        <v>2673</v>
      </c>
      <c r="O712" s="15"/>
    </row>
    <row r="713" spans="1:15" ht="18" customHeight="1" x14ac:dyDescent="0.3">
      <c r="A713" s="29">
        <v>712</v>
      </c>
      <c r="B713" s="15" t="s">
        <v>217</v>
      </c>
      <c r="C713" s="15" t="s">
        <v>35</v>
      </c>
      <c r="D713" s="69">
        <v>34</v>
      </c>
      <c r="E713" s="68" t="s">
        <v>3273</v>
      </c>
      <c r="F713" s="39" t="s">
        <v>2836</v>
      </c>
      <c r="G713" s="15" t="s">
        <v>154</v>
      </c>
      <c r="H713" s="15" t="s">
        <v>2716</v>
      </c>
      <c r="I713" s="69">
        <v>30</v>
      </c>
      <c r="J713" s="15" t="s">
        <v>2674</v>
      </c>
      <c r="K713" s="15" t="s">
        <v>902</v>
      </c>
      <c r="L713" s="15" t="s">
        <v>2717</v>
      </c>
      <c r="M713" s="15" t="s">
        <v>2672</v>
      </c>
      <c r="N713" s="15" t="s">
        <v>2673</v>
      </c>
      <c r="O713" s="15"/>
    </row>
    <row r="714" spans="1:15" ht="18" customHeight="1" x14ac:dyDescent="0.3">
      <c r="A714" s="29">
        <v>713</v>
      </c>
      <c r="B714" s="15" t="s">
        <v>217</v>
      </c>
      <c r="C714" s="15" t="s">
        <v>35</v>
      </c>
      <c r="D714" s="69">
        <v>34</v>
      </c>
      <c r="E714" s="68" t="s">
        <v>253</v>
      </c>
      <c r="F714" s="32" t="s">
        <v>474</v>
      </c>
      <c r="G714" s="15" t="s">
        <v>154</v>
      </c>
      <c r="H714" s="15" t="s">
        <v>904</v>
      </c>
      <c r="I714" s="69">
        <v>155</v>
      </c>
      <c r="J714" s="13" t="s">
        <v>902</v>
      </c>
      <c r="K714" s="15" t="s">
        <v>903</v>
      </c>
      <c r="L714" s="15" t="s">
        <v>2673</v>
      </c>
      <c r="M714" s="15" t="s">
        <v>2672</v>
      </c>
      <c r="N714" s="15" t="s">
        <v>2673</v>
      </c>
      <c r="O714" s="15"/>
    </row>
    <row r="715" spans="1:15" ht="18" customHeight="1" x14ac:dyDescent="0.3">
      <c r="A715" s="29">
        <v>714</v>
      </c>
      <c r="B715" s="15" t="s">
        <v>217</v>
      </c>
      <c r="C715" s="15" t="s">
        <v>35</v>
      </c>
      <c r="D715" s="69">
        <v>34</v>
      </c>
      <c r="E715" s="68" t="s">
        <v>253</v>
      </c>
      <c r="F715" s="32" t="s">
        <v>474</v>
      </c>
      <c r="G715" s="15" t="s">
        <v>154</v>
      </c>
      <c r="H715" s="15" t="s">
        <v>906</v>
      </c>
      <c r="I715" s="69">
        <v>319</v>
      </c>
      <c r="J715" s="13" t="s">
        <v>902</v>
      </c>
      <c r="K715" s="15" t="s">
        <v>903</v>
      </c>
      <c r="L715" s="15" t="s">
        <v>2673</v>
      </c>
      <c r="M715" s="15" t="s">
        <v>2672</v>
      </c>
      <c r="N715" s="15" t="s">
        <v>2673</v>
      </c>
      <c r="O715" s="15"/>
    </row>
    <row r="716" spans="1:15" ht="18" customHeight="1" x14ac:dyDescent="0.3">
      <c r="A716" s="29">
        <v>715</v>
      </c>
      <c r="B716" s="15" t="s">
        <v>217</v>
      </c>
      <c r="C716" s="15" t="s">
        <v>35</v>
      </c>
      <c r="D716" s="69">
        <v>34</v>
      </c>
      <c r="E716" s="68" t="s">
        <v>253</v>
      </c>
      <c r="F716" s="32" t="s">
        <v>474</v>
      </c>
      <c r="G716" s="15" t="s">
        <v>154</v>
      </c>
      <c r="H716" s="15" t="s">
        <v>907</v>
      </c>
      <c r="I716" s="69">
        <v>233</v>
      </c>
      <c r="J716" s="13" t="s">
        <v>902</v>
      </c>
      <c r="K716" s="15" t="s">
        <v>903</v>
      </c>
      <c r="L716" s="15" t="s">
        <v>2673</v>
      </c>
      <c r="M716" s="15" t="s">
        <v>2672</v>
      </c>
      <c r="N716" s="15" t="s">
        <v>2673</v>
      </c>
      <c r="O716" s="15"/>
    </row>
    <row r="717" spans="1:15" ht="18" customHeight="1" x14ac:dyDescent="0.3">
      <c r="A717" s="29">
        <v>716</v>
      </c>
      <c r="B717" s="15" t="s">
        <v>217</v>
      </c>
      <c r="C717" s="15" t="s">
        <v>35</v>
      </c>
      <c r="D717" s="69">
        <v>34</v>
      </c>
      <c r="E717" s="68" t="s">
        <v>253</v>
      </c>
      <c r="F717" s="32" t="s">
        <v>474</v>
      </c>
      <c r="G717" s="15" t="s">
        <v>154</v>
      </c>
      <c r="H717" s="15" t="s">
        <v>908</v>
      </c>
      <c r="I717" s="69">
        <v>335</v>
      </c>
      <c r="J717" s="13" t="s">
        <v>902</v>
      </c>
      <c r="K717" s="15" t="s">
        <v>903</v>
      </c>
      <c r="L717" s="15" t="s">
        <v>2673</v>
      </c>
      <c r="M717" s="15" t="s">
        <v>2672</v>
      </c>
      <c r="N717" s="15" t="s">
        <v>2673</v>
      </c>
      <c r="O717" s="15"/>
    </row>
    <row r="718" spans="1:15" ht="18" customHeight="1" x14ac:dyDescent="0.3">
      <c r="A718" s="29">
        <v>717</v>
      </c>
      <c r="B718" s="15" t="s">
        <v>217</v>
      </c>
      <c r="C718" s="15" t="s">
        <v>35</v>
      </c>
      <c r="D718" s="69">
        <v>34</v>
      </c>
      <c r="E718" s="68" t="s">
        <v>253</v>
      </c>
      <c r="F718" s="32" t="s">
        <v>474</v>
      </c>
      <c r="G718" s="15" t="s">
        <v>154</v>
      </c>
      <c r="H718" s="15" t="s">
        <v>909</v>
      </c>
      <c r="I718" s="69">
        <v>116</v>
      </c>
      <c r="J718" s="13" t="s">
        <v>2672</v>
      </c>
      <c r="K718" s="15" t="s">
        <v>903</v>
      </c>
      <c r="L718" s="15" t="s">
        <v>2673</v>
      </c>
      <c r="M718" s="15" t="s">
        <v>2672</v>
      </c>
      <c r="N718" s="15" t="s">
        <v>2673</v>
      </c>
      <c r="O718" s="15"/>
    </row>
    <row r="719" spans="1:15" ht="18" customHeight="1" x14ac:dyDescent="0.3">
      <c r="A719" s="29">
        <v>718</v>
      </c>
      <c r="B719" s="15" t="s">
        <v>217</v>
      </c>
      <c r="C719" s="15" t="s">
        <v>35</v>
      </c>
      <c r="D719" s="69">
        <v>34</v>
      </c>
      <c r="E719" s="68" t="s">
        <v>253</v>
      </c>
      <c r="F719" s="32" t="s">
        <v>474</v>
      </c>
      <c r="G719" s="15" t="s">
        <v>154</v>
      </c>
      <c r="H719" s="15" t="s">
        <v>910</v>
      </c>
      <c r="I719" s="69">
        <v>93</v>
      </c>
      <c r="J719" s="13" t="s">
        <v>2672</v>
      </c>
      <c r="K719" s="15" t="s">
        <v>2672</v>
      </c>
      <c r="L719" s="15" t="s">
        <v>2673</v>
      </c>
      <c r="M719" s="15" t="s">
        <v>2674</v>
      </c>
      <c r="N719" s="15" t="s">
        <v>2741</v>
      </c>
      <c r="O719" s="15"/>
    </row>
    <row r="720" spans="1:15" ht="18" customHeight="1" x14ac:dyDescent="0.3">
      <c r="A720" s="29">
        <v>719</v>
      </c>
      <c r="B720" s="15" t="s">
        <v>217</v>
      </c>
      <c r="C720" s="15" t="s">
        <v>35</v>
      </c>
      <c r="D720" s="69">
        <v>34</v>
      </c>
      <c r="E720" s="68" t="s">
        <v>253</v>
      </c>
      <c r="F720" s="32" t="s">
        <v>474</v>
      </c>
      <c r="G720" s="15" t="s">
        <v>154</v>
      </c>
      <c r="H720" s="15" t="s">
        <v>911</v>
      </c>
      <c r="I720" s="69">
        <v>144</v>
      </c>
      <c r="J720" s="13" t="s">
        <v>902</v>
      </c>
      <c r="K720" s="15" t="s">
        <v>903</v>
      </c>
      <c r="L720" s="15" t="s">
        <v>2673</v>
      </c>
      <c r="M720" s="15" t="s">
        <v>2672</v>
      </c>
      <c r="N720" s="15" t="s">
        <v>2673</v>
      </c>
      <c r="O720" s="15"/>
    </row>
    <row r="721" spans="1:15" ht="18" customHeight="1" x14ac:dyDescent="0.3">
      <c r="A721" s="29">
        <v>720</v>
      </c>
      <c r="B721" s="15" t="s">
        <v>217</v>
      </c>
      <c r="C721" s="15" t="s">
        <v>35</v>
      </c>
      <c r="D721" s="69">
        <v>34</v>
      </c>
      <c r="E721" s="68" t="s">
        <v>253</v>
      </c>
      <c r="F721" s="32" t="s">
        <v>474</v>
      </c>
      <c r="G721" s="15" t="s">
        <v>154</v>
      </c>
      <c r="H721" s="15" t="s">
        <v>927</v>
      </c>
      <c r="I721" s="69">
        <v>107</v>
      </c>
      <c r="J721" s="13" t="s">
        <v>2672</v>
      </c>
      <c r="K721" s="15" t="s">
        <v>903</v>
      </c>
      <c r="L721" s="15" t="s">
        <v>2673</v>
      </c>
      <c r="M721" s="15" t="s">
        <v>2672</v>
      </c>
      <c r="N721" s="15" t="s">
        <v>2673</v>
      </c>
      <c r="O721" s="15"/>
    </row>
    <row r="722" spans="1:15" ht="18" customHeight="1" x14ac:dyDescent="0.3">
      <c r="A722" s="29">
        <v>721</v>
      </c>
      <c r="B722" s="15" t="s">
        <v>217</v>
      </c>
      <c r="C722" s="15" t="s">
        <v>35</v>
      </c>
      <c r="D722" s="69">
        <v>34</v>
      </c>
      <c r="E722" s="68" t="s">
        <v>253</v>
      </c>
      <c r="F722" s="32" t="s">
        <v>1198</v>
      </c>
      <c r="G722" s="15" t="s">
        <v>154</v>
      </c>
      <c r="H722" s="15" t="s">
        <v>905</v>
      </c>
      <c r="I722" s="69">
        <v>210</v>
      </c>
      <c r="J722" s="13" t="s">
        <v>2672</v>
      </c>
      <c r="K722" s="15" t="s">
        <v>2674</v>
      </c>
      <c r="L722" s="15" t="s">
        <v>2729</v>
      </c>
      <c r="M722" s="15" t="s">
        <v>2672</v>
      </c>
      <c r="N722" s="15" t="s">
        <v>2673</v>
      </c>
      <c r="O722" s="15"/>
    </row>
    <row r="723" spans="1:15" ht="18" customHeight="1" x14ac:dyDescent="0.3">
      <c r="A723" s="29">
        <v>722</v>
      </c>
      <c r="B723" s="15" t="s">
        <v>217</v>
      </c>
      <c r="C723" s="15" t="s">
        <v>35</v>
      </c>
      <c r="D723" s="69">
        <v>34</v>
      </c>
      <c r="E723" s="68" t="s">
        <v>1260</v>
      </c>
      <c r="F723" s="32" t="s">
        <v>1198</v>
      </c>
      <c r="G723" s="15" t="s">
        <v>154</v>
      </c>
      <c r="H723" s="15" t="s">
        <v>1254</v>
      </c>
      <c r="I723" s="69">
        <v>30</v>
      </c>
      <c r="J723" s="13" t="s">
        <v>902</v>
      </c>
      <c r="K723" s="15" t="s">
        <v>2674</v>
      </c>
      <c r="L723" s="15" t="s">
        <v>2692</v>
      </c>
      <c r="M723" s="15" t="s">
        <v>2672</v>
      </c>
      <c r="N723" s="15" t="s">
        <v>2673</v>
      </c>
      <c r="O723" s="15"/>
    </row>
    <row r="724" spans="1:15" ht="18" customHeight="1" x14ac:dyDescent="0.3">
      <c r="A724" s="29">
        <v>723</v>
      </c>
      <c r="B724" s="15" t="s">
        <v>217</v>
      </c>
      <c r="C724" s="15" t="s">
        <v>35</v>
      </c>
      <c r="D724" s="69">
        <v>34</v>
      </c>
      <c r="E724" s="68" t="s">
        <v>1017</v>
      </c>
      <c r="F724" s="32" t="s">
        <v>1694</v>
      </c>
      <c r="G724" s="15" t="s">
        <v>2673</v>
      </c>
      <c r="H724" s="15" t="s">
        <v>1019</v>
      </c>
      <c r="I724" s="69">
        <v>212</v>
      </c>
      <c r="J724" s="15" t="s">
        <v>2672</v>
      </c>
      <c r="K724" s="15" t="s">
        <v>903</v>
      </c>
      <c r="L724" s="15" t="s">
        <v>2673</v>
      </c>
      <c r="M724" s="15" t="s">
        <v>2674</v>
      </c>
      <c r="N724" s="15" t="s">
        <v>2838</v>
      </c>
      <c r="O724" s="15"/>
    </row>
    <row r="725" spans="1:15" ht="18" customHeight="1" x14ac:dyDescent="0.3">
      <c r="A725" s="29">
        <v>724</v>
      </c>
      <c r="B725" s="15" t="s">
        <v>217</v>
      </c>
      <c r="C725" s="15" t="s">
        <v>35</v>
      </c>
      <c r="D725" s="69">
        <v>34</v>
      </c>
      <c r="E725" s="68" t="s">
        <v>1017</v>
      </c>
      <c r="F725" s="32" t="s">
        <v>1694</v>
      </c>
      <c r="G725" s="15" t="s">
        <v>2673</v>
      </c>
      <c r="H725" s="15" t="s">
        <v>1018</v>
      </c>
      <c r="I725" s="69">
        <v>212</v>
      </c>
      <c r="J725" s="15" t="s">
        <v>2672</v>
      </c>
      <c r="K725" s="15" t="s">
        <v>903</v>
      </c>
      <c r="L725" s="15" t="s">
        <v>2673</v>
      </c>
      <c r="M725" s="15" t="s">
        <v>2674</v>
      </c>
      <c r="N725" s="15" t="s">
        <v>2839</v>
      </c>
      <c r="O725" s="15"/>
    </row>
    <row r="726" spans="1:15" ht="18" customHeight="1" x14ac:dyDescent="0.3">
      <c r="A726" s="29">
        <v>725</v>
      </c>
      <c r="B726" s="15" t="s">
        <v>217</v>
      </c>
      <c r="C726" s="15" t="s">
        <v>35</v>
      </c>
      <c r="D726" s="69">
        <v>34</v>
      </c>
      <c r="E726" s="68" t="s">
        <v>1017</v>
      </c>
      <c r="F726" s="32" t="s">
        <v>1131</v>
      </c>
      <c r="G726" s="15" t="s">
        <v>2673</v>
      </c>
      <c r="H726" s="15" t="s">
        <v>1021</v>
      </c>
      <c r="I726" s="69">
        <v>36</v>
      </c>
      <c r="J726" s="15" t="s">
        <v>2672</v>
      </c>
      <c r="K726" s="15" t="s">
        <v>903</v>
      </c>
      <c r="L726" s="15" t="s">
        <v>2673</v>
      </c>
      <c r="M726" s="15" t="s">
        <v>2674</v>
      </c>
      <c r="N726" s="15" t="s">
        <v>2840</v>
      </c>
      <c r="O726" s="15"/>
    </row>
    <row r="727" spans="1:15" ht="18" customHeight="1" x14ac:dyDescent="0.3">
      <c r="A727" s="29">
        <v>726</v>
      </c>
      <c r="B727" s="15" t="s">
        <v>217</v>
      </c>
      <c r="C727" s="15" t="s">
        <v>35</v>
      </c>
      <c r="D727" s="69">
        <v>34</v>
      </c>
      <c r="E727" s="68" t="s">
        <v>1017</v>
      </c>
      <c r="F727" s="32" t="s">
        <v>1131</v>
      </c>
      <c r="G727" s="15" t="s">
        <v>2673</v>
      </c>
      <c r="H727" s="15" t="s">
        <v>1020</v>
      </c>
      <c r="I727" s="69">
        <v>413</v>
      </c>
      <c r="J727" s="15" t="s">
        <v>2674</v>
      </c>
      <c r="K727" s="15" t="s">
        <v>903</v>
      </c>
      <c r="L727" s="15" t="s">
        <v>2673</v>
      </c>
      <c r="M727" s="15" t="s">
        <v>2672</v>
      </c>
      <c r="N727" s="15" t="s">
        <v>2673</v>
      </c>
      <c r="O727" s="15"/>
    </row>
    <row r="728" spans="1:15" ht="18" customHeight="1" x14ac:dyDescent="0.3">
      <c r="A728" s="29">
        <v>727</v>
      </c>
      <c r="B728" s="15" t="s">
        <v>217</v>
      </c>
      <c r="C728" s="15" t="s">
        <v>35</v>
      </c>
      <c r="D728" s="69">
        <v>34</v>
      </c>
      <c r="E728" s="68" t="s">
        <v>3274</v>
      </c>
      <c r="F728" s="39" t="s">
        <v>473</v>
      </c>
      <c r="G728" s="15" t="s">
        <v>164</v>
      </c>
      <c r="H728" s="15" t="s">
        <v>901</v>
      </c>
      <c r="I728" s="69">
        <v>91</v>
      </c>
      <c r="J728" s="15" t="s">
        <v>2674</v>
      </c>
      <c r="K728" s="15" t="s">
        <v>903</v>
      </c>
      <c r="L728" s="15" t="s">
        <v>2673</v>
      </c>
      <c r="M728" s="15" t="s">
        <v>2672</v>
      </c>
      <c r="N728" s="15" t="s">
        <v>2673</v>
      </c>
      <c r="O728" s="15"/>
    </row>
    <row r="729" spans="1:15" ht="18" customHeight="1" x14ac:dyDescent="0.3">
      <c r="A729" s="29">
        <v>728</v>
      </c>
      <c r="B729" s="15" t="s">
        <v>217</v>
      </c>
      <c r="C729" s="15" t="s">
        <v>35</v>
      </c>
      <c r="D729" s="69">
        <v>34</v>
      </c>
      <c r="E729" s="68" t="s">
        <v>3274</v>
      </c>
      <c r="F729" s="39" t="s">
        <v>473</v>
      </c>
      <c r="G729" s="15" t="s">
        <v>164</v>
      </c>
      <c r="H729" s="15" t="s">
        <v>904</v>
      </c>
      <c r="I729" s="69">
        <v>48</v>
      </c>
      <c r="J729" s="15" t="s">
        <v>2674</v>
      </c>
      <c r="K729" s="15" t="s">
        <v>903</v>
      </c>
      <c r="L729" s="15" t="s">
        <v>2673</v>
      </c>
      <c r="M729" s="15" t="s">
        <v>2672</v>
      </c>
      <c r="N729" s="15" t="s">
        <v>2673</v>
      </c>
      <c r="O729" s="15"/>
    </row>
    <row r="730" spans="1:15" ht="18" customHeight="1" x14ac:dyDescent="0.3">
      <c r="A730" s="29">
        <v>729</v>
      </c>
      <c r="B730" s="15" t="s">
        <v>217</v>
      </c>
      <c r="C730" s="15" t="s">
        <v>35</v>
      </c>
      <c r="D730" s="69">
        <v>34</v>
      </c>
      <c r="E730" s="68" t="s">
        <v>3274</v>
      </c>
      <c r="F730" s="39" t="s">
        <v>473</v>
      </c>
      <c r="G730" s="15" t="s">
        <v>164</v>
      </c>
      <c r="H730" s="15" t="s">
        <v>905</v>
      </c>
      <c r="I730" s="69">
        <v>78</v>
      </c>
      <c r="J730" s="15" t="s">
        <v>2672</v>
      </c>
      <c r="K730" s="15" t="s">
        <v>903</v>
      </c>
      <c r="L730" s="15" t="s">
        <v>2673</v>
      </c>
      <c r="M730" s="15" t="s">
        <v>2672</v>
      </c>
      <c r="N730" s="15" t="s">
        <v>2673</v>
      </c>
      <c r="O730" s="15"/>
    </row>
    <row r="731" spans="1:15" ht="18" customHeight="1" x14ac:dyDescent="0.3">
      <c r="A731" s="29">
        <v>730</v>
      </c>
      <c r="B731" s="15" t="s">
        <v>217</v>
      </c>
      <c r="C731" s="15" t="s">
        <v>35</v>
      </c>
      <c r="D731" s="69">
        <v>34</v>
      </c>
      <c r="E731" s="68" t="s">
        <v>3274</v>
      </c>
      <c r="F731" s="39" t="s">
        <v>473</v>
      </c>
      <c r="G731" s="15" t="s">
        <v>164</v>
      </c>
      <c r="H731" s="15" t="s">
        <v>906</v>
      </c>
      <c r="I731" s="69">
        <v>66</v>
      </c>
      <c r="J731" s="15" t="s">
        <v>2672</v>
      </c>
      <c r="K731" s="15" t="s">
        <v>903</v>
      </c>
      <c r="L731" s="15" t="s">
        <v>2673</v>
      </c>
      <c r="M731" s="15" t="s">
        <v>2672</v>
      </c>
      <c r="N731" s="15" t="s">
        <v>2673</v>
      </c>
      <c r="O731" s="15"/>
    </row>
    <row r="732" spans="1:15" ht="18" customHeight="1" x14ac:dyDescent="0.3">
      <c r="A732" s="29">
        <v>731</v>
      </c>
      <c r="B732" s="15" t="s">
        <v>217</v>
      </c>
      <c r="C732" s="15" t="s">
        <v>35</v>
      </c>
      <c r="D732" s="69">
        <v>34</v>
      </c>
      <c r="E732" s="68" t="s">
        <v>3274</v>
      </c>
      <c r="F732" s="39" t="s">
        <v>473</v>
      </c>
      <c r="G732" s="15" t="s">
        <v>164</v>
      </c>
      <c r="H732" s="15" t="s">
        <v>907</v>
      </c>
      <c r="I732" s="69">
        <v>80</v>
      </c>
      <c r="J732" s="15" t="s">
        <v>2672</v>
      </c>
      <c r="K732" s="15" t="s">
        <v>903</v>
      </c>
      <c r="L732" s="15" t="s">
        <v>2673</v>
      </c>
      <c r="M732" s="15" t="s">
        <v>2672</v>
      </c>
      <c r="N732" s="15" t="s">
        <v>2673</v>
      </c>
      <c r="O732" s="15"/>
    </row>
    <row r="733" spans="1:15" ht="18" customHeight="1" x14ac:dyDescent="0.3">
      <c r="A733" s="29">
        <v>732</v>
      </c>
      <c r="B733" s="15" t="s">
        <v>217</v>
      </c>
      <c r="C733" s="15" t="s">
        <v>35</v>
      </c>
      <c r="D733" s="69">
        <v>34</v>
      </c>
      <c r="E733" s="68" t="s">
        <v>3274</v>
      </c>
      <c r="F733" s="39" t="s">
        <v>473</v>
      </c>
      <c r="G733" s="15" t="s">
        <v>164</v>
      </c>
      <c r="H733" s="15" t="s">
        <v>908</v>
      </c>
      <c r="I733" s="69">
        <v>74</v>
      </c>
      <c r="J733" s="15" t="s">
        <v>2674</v>
      </c>
      <c r="K733" s="15" t="s">
        <v>903</v>
      </c>
      <c r="L733" s="15" t="s">
        <v>2673</v>
      </c>
      <c r="M733" s="15" t="s">
        <v>2672</v>
      </c>
      <c r="N733" s="15" t="s">
        <v>2673</v>
      </c>
      <c r="O733" s="15"/>
    </row>
    <row r="734" spans="1:15" ht="18" customHeight="1" x14ac:dyDescent="0.3">
      <c r="A734" s="29">
        <v>733</v>
      </c>
      <c r="B734" s="15" t="s">
        <v>217</v>
      </c>
      <c r="C734" s="15" t="s">
        <v>35</v>
      </c>
      <c r="D734" s="69">
        <v>34</v>
      </c>
      <c r="E734" s="68" t="s">
        <v>2841</v>
      </c>
      <c r="F734" s="21" t="s">
        <v>1130</v>
      </c>
      <c r="G734" s="15" t="s">
        <v>164</v>
      </c>
      <c r="H734" s="15" t="s">
        <v>905</v>
      </c>
      <c r="I734" s="69">
        <v>78</v>
      </c>
      <c r="J734" s="13" t="s">
        <v>2672</v>
      </c>
      <c r="K734" s="15" t="s">
        <v>903</v>
      </c>
      <c r="L734" s="15" t="s">
        <v>2673</v>
      </c>
      <c r="M734" s="15" t="s">
        <v>2672</v>
      </c>
      <c r="N734" s="15" t="s">
        <v>2673</v>
      </c>
      <c r="O734" s="15"/>
    </row>
    <row r="735" spans="1:15" ht="18" customHeight="1" x14ac:dyDescent="0.3">
      <c r="A735" s="29">
        <v>734</v>
      </c>
      <c r="B735" s="15" t="s">
        <v>217</v>
      </c>
      <c r="C735" s="15" t="s">
        <v>35</v>
      </c>
      <c r="D735" s="69">
        <v>34</v>
      </c>
      <c r="E735" s="68" t="s">
        <v>2841</v>
      </c>
      <c r="F735" s="21" t="s">
        <v>1130</v>
      </c>
      <c r="G735" s="15" t="s">
        <v>164</v>
      </c>
      <c r="H735" s="15" t="s">
        <v>906</v>
      </c>
      <c r="I735" s="69">
        <v>78</v>
      </c>
      <c r="J735" s="13" t="s">
        <v>2674</v>
      </c>
      <c r="K735" s="15" t="s">
        <v>903</v>
      </c>
      <c r="L735" s="15" t="s">
        <v>2673</v>
      </c>
      <c r="M735" s="15" t="s">
        <v>2672</v>
      </c>
      <c r="N735" s="15" t="s">
        <v>2673</v>
      </c>
      <c r="O735" s="15"/>
    </row>
    <row r="736" spans="1:15" ht="18" customHeight="1" x14ac:dyDescent="0.3">
      <c r="A736" s="29">
        <v>735</v>
      </c>
      <c r="B736" s="15" t="s">
        <v>217</v>
      </c>
      <c r="C736" s="15" t="s">
        <v>35</v>
      </c>
      <c r="D736" s="69">
        <v>34</v>
      </c>
      <c r="E736" s="68" t="s">
        <v>2841</v>
      </c>
      <c r="F736" s="21" t="s">
        <v>1130</v>
      </c>
      <c r="G736" s="15" t="s">
        <v>164</v>
      </c>
      <c r="H736" s="15" t="s">
        <v>907</v>
      </c>
      <c r="I736" s="69">
        <v>68</v>
      </c>
      <c r="J736" s="13" t="s">
        <v>2672</v>
      </c>
      <c r="K736" s="15" t="s">
        <v>903</v>
      </c>
      <c r="L736" s="15" t="s">
        <v>2673</v>
      </c>
      <c r="M736" s="15" t="s">
        <v>2672</v>
      </c>
      <c r="N736" s="15" t="s">
        <v>2673</v>
      </c>
      <c r="O736" s="15"/>
    </row>
    <row r="737" spans="1:15" ht="18" customHeight="1" x14ac:dyDescent="0.3">
      <c r="A737" s="29">
        <v>736</v>
      </c>
      <c r="B737" s="15" t="s">
        <v>217</v>
      </c>
      <c r="C737" s="15" t="s">
        <v>35</v>
      </c>
      <c r="D737" s="69">
        <v>34</v>
      </c>
      <c r="E737" s="68" t="s">
        <v>2841</v>
      </c>
      <c r="F737" s="21" t="s">
        <v>1130</v>
      </c>
      <c r="G737" s="15" t="s">
        <v>164</v>
      </c>
      <c r="H737" s="15" t="s">
        <v>908</v>
      </c>
      <c r="I737" s="69">
        <v>80</v>
      </c>
      <c r="J737" s="13" t="s">
        <v>2672</v>
      </c>
      <c r="K737" s="15" t="s">
        <v>903</v>
      </c>
      <c r="L737" s="15" t="s">
        <v>2673</v>
      </c>
      <c r="M737" s="15" t="s">
        <v>2672</v>
      </c>
      <c r="N737" s="15" t="s">
        <v>2673</v>
      </c>
      <c r="O737" s="15"/>
    </row>
    <row r="738" spans="1:15" ht="18" customHeight="1" x14ac:dyDescent="0.3">
      <c r="A738" s="29">
        <v>737</v>
      </c>
      <c r="B738" s="15" t="s">
        <v>217</v>
      </c>
      <c r="C738" s="15" t="s">
        <v>35</v>
      </c>
      <c r="D738" s="69">
        <v>34</v>
      </c>
      <c r="E738" s="68" t="s">
        <v>2841</v>
      </c>
      <c r="F738" s="21" t="s">
        <v>1130</v>
      </c>
      <c r="G738" s="15" t="s">
        <v>164</v>
      </c>
      <c r="H738" s="15" t="s">
        <v>909</v>
      </c>
      <c r="I738" s="69">
        <v>85</v>
      </c>
      <c r="J738" s="13" t="s">
        <v>2672</v>
      </c>
      <c r="K738" s="15" t="s">
        <v>903</v>
      </c>
      <c r="L738" s="15" t="s">
        <v>2673</v>
      </c>
      <c r="M738" s="15" t="s">
        <v>2672</v>
      </c>
      <c r="N738" s="15" t="s">
        <v>2673</v>
      </c>
      <c r="O738" s="15"/>
    </row>
    <row r="739" spans="1:15" ht="18" customHeight="1" x14ac:dyDescent="0.3">
      <c r="A739" s="29">
        <v>738</v>
      </c>
      <c r="B739" s="15" t="s">
        <v>217</v>
      </c>
      <c r="C739" s="15" t="s">
        <v>35</v>
      </c>
      <c r="D739" s="69">
        <v>34</v>
      </c>
      <c r="E739" s="68" t="s">
        <v>2841</v>
      </c>
      <c r="F739" s="21" t="s">
        <v>1130</v>
      </c>
      <c r="G739" s="15" t="s">
        <v>164</v>
      </c>
      <c r="H739" s="15" t="s">
        <v>910</v>
      </c>
      <c r="I739" s="69">
        <v>78</v>
      </c>
      <c r="J739" s="13" t="s">
        <v>2672</v>
      </c>
      <c r="K739" s="15" t="s">
        <v>903</v>
      </c>
      <c r="L739" s="15" t="s">
        <v>2673</v>
      </c>
      <c r="M739" s="15" t="s">
        <v>2672</v>
      </c>
      <c r="N739" s="15" t="s">
        <v>2673</v>
      </c>
      <c r="O739" s="15"/>
    </row>
    <row r="740" spans="1:15" ht="18" customHeight="1" x14ac:dyDescent="0.3">
      <c r="A740" s="29">
        <v>739</v>
      </c>
      <c r="B740" s="15" t="s">
        <v>217</v>
      </c>
      <c r="C740" s="15" t="s">
        <v>35</v>
      </c>
      <c r="D740" s="69">
        <v>34</v>
      </c>
      <c r="E740" s="68" t="s">
        <v>2841</v>
      </c>
      <c r="F740" s="21" t="s">
        <v>1130</v>
      </c>
      <c r="G740" s="15" t="s">
        <v>164</v>
      </c>
      <c r="H740" s="15" t="s">
        <v>911</v>
      </c>
      <c r="I740" s="69">
        <v>102</v>
      </c>
      <c r="J740" s="13" t="s">
        <v>2674</v>
      </c>
      <c r="K740" s="15" t="s">
        <v>903</v>
      </c>
      <c r="L740" s="15" t="s">
        <v>2673</v>
      </c>
      <c r="M740" s="15" t="s">
        <v>2672</v>
      </c>
      <c r="N740" s="15" t="s">
        <v>2673</v>
      </c>
      <c r="O740" s="15"/>
    </row>
    <row r="741" spans="1:15" ht="18" customHeight="1" x14ac:dyDescent="0.3">
      <c r="A741" s="29">
        <v>740</v>
      </c>
      <c r="B741" s="15" t="s">
        <v>217</v>
      </c>
      <c r="C741" s="15" t="s">
        <v>35</v>
      </c>
      <c r="D741" s="69">
        <v>34</v>
      </c>
      <c r="E741" s="68" t="s">
        <v>2841</v>
      </c>
      <c r="F741" s="21" t="s">
        <v>1130</v>
      </c>
      <c r="G741" s="15" t="s">
        <v>164</v>
      </c>
      <c r="H741" s="15" t="s">
        <v>927</v>
      </c>
      <c r="I741" s="69">
        <v>102</v>
      </c>
      <c r="J741" s="13" t="s">
        <v>2672</v>
      </c>
      <c r="K741" s="15" t="s">
        <v>903</v>
      </c>
      <c r="L741" s="15" t="s">
        <v>2673</v>
      </c>
      <c r="M741" s="15" t="s">
        <v>2672</v>
      </c>
      <c r="N741" s="15" t="s">
        <v>2673</v>
      </c>
      <c r="O741" s="15"/>
    </row>
    <row r="742" spans="1:15" ht="18" customHeight="1" x14ac:dyDescent="0.3">
      <c r="A742" s="29">
        <v>741</v>
      </c>
      <c r="B742" s="15" t="s">
        <v>217</v>
      </c>
      <c r="C742" s="15" t="s">
        <v>35</v>
      </c>
      <c r="D742" s="69">
        <v>34</v>
      </c>
      <c r="E742" s="68" t="s">
        <v>2841</v>
      </c>
      <c r="F742" s="21" t="s">
        <v>475</v>
      </c>
      <c r="G742" s="15" t="s">
        <v>164</v>
      </c>
      <c r="H742" s="15" t="s">
        <v>901</v>
      </c>
      <c r="I742" s="69">
        <v>78</v>
      </c>
      <c r="J742" s="13" t="s">
        <v>2672</v>
      </c>
      <c r="K742" s="15" t="s">
        <v>903</v>
      </c>
      <c r="L742" s="15" t="s">
        <v>2673</v>
      </c>
      <c r="M742" s="15" t="s">
        <v>2672</v>
      </c>
      <c r="N742" s="15" t="s">
        <v>2673</v>
      </c>
      <c r="O742" s="15"/>
    </row>
    <row r="743" spans="1:15" ht="18" customHeight="1" x14ac:dyDescent="0.3">
      <c r="A743" s="29">
        <v>742</v>
      </c>
      <c r="B743" s="15" t="s">
        <v>217</v>
      </c>
      <c r="C743" s="15" t="s">
        <v>35</v>
      </c>
      <c r="D743" s="69">
        <v>34</v>
      </c>
      <c r="E743" s="68" t="s">
        <v>2841</v>
      </c>
      <c r="F743" s="21" t="s">
        <v>475</v>
      </c>
      <c r="G743" s="15" t="s">
        <v>164</v>
      </c>
      <c r="H743" s="15" t="s">
        <v>904</v>
      </c>
      <c r="I743" s="69">
        <v>78</v>
      </c>
      <c r="J743" s="13" t="s">
        <v>2674</v>
      </c>
      <c r="K743" s="15" t="s">
        <v>903</v>
      </c>
      <c r="L743" s="15" t="s">
        <v>2673</v>
      </c>
      <c r="M743" s="15" t="s">
        <v>2672</v>
      </c>
      <c r="N743" s="15" t="s">
        <v>2673</v>
      </c>
      <c r="O743" s="15"/>
    </row>
    <row r="744" spans="1:15" ht="18" customHeight="1" x14ac:dyDescent="0.3">
      <c r="A744" s="29">
        <v>743</v>
      </c>
      <c r="B744" s="15" t="s">
        <v>217</v>
      </c>
      <c r="C744" s="15" t="s">
        <v>35</v>
      </c>
      <c r="D744" s="69">
        <v>34</v>
      </c>
      <c r="E744" s="68" t="s">
        <v>315</v>
      </c>
      <c r="F744" s="32" t="s">
        <v>2842</v>
      </c>
      <c r="G744" s="15" t="s">
        <v>154</v>
      </c>
      <c r="H744" s="15" t="s">
        <v>905</v>
      </c>
      <c r="I744" s="69">
        <v>106</v>
      </c>
      <c r="J744" s="15" t="s">
        <v>2674</v>
      </c>
      <c r="K744" s="15" t="s">
        <v>903</v>
      </c>
      <c r="L744" s="15" t="s">
        <v>2673</v>
      </c>
      <c r="M744" s="15" t="s">
        <v>2672</v>
      </c>
      <c r="N744" s="15" t="s">
        <v>2673</v>
      </c>
      <c r="O744" s="15"/>
    </row>
    <row r="745" spans="1:15" ht="18" customHeight="1" x14ac:dyDescent="0.3">
      <c r="A745" s="29">
        <v>744</v>
      </c>
      <c r="B745" s="15" t="s">
        <v>217</v>
      </c>
      <c r="C745" s="15" t="s">
        <v>35</v>
      </c>
      <c r="D745" s="69">
        <v>34</v>
      </c>
      <c r="E745" s="68" t="s">
        <v>315</v>
      </c>
      <c r="F745" s="32" t="s">
        <v>1199</v>
      </c>
      <c r="G745" s="15" t="s">
        <v>154</v>
      </c>
      <c r="H745" s="15" t="s">
        <v>901</v>
      </c>
      <c r="I745" s="69">
        <v>229</v>
      </c>
      <c r="J745" s="15" t="s">
        <v>2674</v>
      </c>
      <c r="K745" s="15" t="s">
        <v>2674</v>
      </c>
      <c r="L745" s="15" t="s">
        <v>1703</v>
      </c>
      <c r="M745" s="15" t="s">
        <v>2672</v>
      </c>
      <c r="N745" s="15" t="s">
        <v>2673</v>
      </c>
      <c r="O745" s="15"/>
    </row>
    <row r="746" spans="1:15" ht="18" customHeight="1" x14ac:dyDescent="0.3">
      <c r="A746" s="29">
        <v>745</v>
      </c>
      <c r="B746" s="15" t="s">
        <v>217</v>
      </c>
      <c r="C746" s="15" t="s">
        <v>35</v>
      </c>
      <c r="D746" s="69">
        <v>34</v>
      </c>
      <c r="E746" s="68" t="s">
        <v>315</v>
      </c>
      <c r="F746" s="32" t="s">
        <v>1199</v>
      </c>
      <c r="G746" s="15" t="s">
        <v>154</v>
      </c>
      <c r="H746" s="15" t="s">
        <v>906</v>
      </c>
      <c r="I746" s="69">
        <v>104</v>
      </c>
      <c r="J746" s="15" t="s">
        <v>2672</v>
      </c>
      <c r="K746" s="15" t="s">
        <v>2674</v>
      </c>
      <c r="L746" s="15" t="s">
        <v>1703</v>
      </c>
      <c r="M746" s="15" t="s">
        <v>2672</v>
      </c>
      <c r="N746" s="15" t="s">
        <v>2673</v>
      </c>
      <c r="O746" s="15"/>
    </row>
    <row r="747" spans="1:15" ht="18" customHeight="1" x14ac:dyDescent="0.3">
      <c r="A747" s="29">
        <v>746</v>
      </c>
      <c r="B747" s="15" t="s">
        <v>217</v>
      </c>
      <c r="C747" s="15" t="s">
        <v>35</v>
      </c>
      <c r="D747" s="69">
        <v>34</v>
      </c>
      <c r="E747" s="68" t="s">
        <v>315</v>
      </c>
      <c r="F747" s="32" t="s">
        <v>1199</v>
      </c>
      <c r="G747" s="15" t="s">
        <v>154</v>
      </c>
      <c r="H747" s="15" t="s">
        <v>907</v>
      </c>
      <c r="I747" s="69">
        <v>162</v>
      </c>
      <c r="J747" s="15" t="s">
        <v>2672</v>
      </c>
      <c r="K747" s="15" t="s">
        <v>2674</v>
      </c>
      <c r="L747" s="15" t="s">
        <v>1703</v>
      </c>
      <c r="M747" s="15" t="s">
        <v>2672</v>
      </c>
      <c r="N747" s="15" t="s">
        <v>2673</v>
      </c>
      <c r="O747" s="15"/>
    </row>
    <row r="748" spans="1:15" ht="18" customHeight="1" x14ac:dyDescent="0.3">
      <c r="A748" s="29">
        <v>747</v>
      </c>
      <c r="B748" s="15" t="s">
        <v>217</v>
      </c>
      <c r="C748" s="15" t="s">
        <v>35</v>
      </c>
      <c r="D748" s="69">
        <v>34</v>
      </c>
      <c r="E748" s="68" t="s">
        <v>315</v>
      </c>
      <c r="F748" s="32" t="s">
        <v>1199</v>
      </c>
      <c r="G748" s="15" t="s">
        <v>154</v>
      </c>
      <c r="H748" s="15" t="s">
        <v>908</v>
      </c>
      <c r="I748" s="69">
        <v>162</v>
      </c>
      <c r="J748" s="15" t="s">
        <v>2672</v>
      </c>
      <c r="K748" s="15" t="s">
        <v>2674</v>
      </c>
      <c r="L748" s="15" t="s">
        <v>1703</v>
      </c>
      <c r="M748" s="15" t="s">
        <v>2672</v>
      </c>
      <c r="N748" s="15" t="s">
        <v>2673</v>
      </c>
      <c r="O748" s="15"/>
    </row>
    <row r="749" spans="1:15" ht="18" customHeight="1" x14ac:dyDescent="0.3">
      <c r="A749" s="29">
        <v>748</v>
      </c>
      <c r="B749" s="15" t="s">
        <v>217</v>
      </c>
      <c r="C749" s="15" t="s">
        <v>35</v>
      </c>
      <c r="D749" s="69">
        <v>34</v>
      </c>
      <c r="E749" s="68" t="s">
        <v>315</v>
      </c>
      <c r="F749" s="32" t="s">
        <v>1199</v>
      </c>
      <c r="G749" s="15" t="s">
        <v>154</v>
      </c>
      <c r="H749" s="15" t="s">
        <v>909</v>
      </c>
      <c r="I749" s="69">
        <v>118</v>
      </c>
      <c r="J749" s="15" t="s">
        <v>2672</v>
      </c>
      <c r="K749" s="15" t="s">
        <v>2674</v>
      </c>
      <c r="L749" s="15" t="s">
        <v>1703</v>
      </c>
      <c r="M749" s="15" t="s">
        <v>2672</v>
      </c>
      <c r="N749" s="15" t="s">
        <v>2673</v>
      </c>
      <c r="O749" s="15"/>
    </row>
    <row r="750" spans="1:15" ht="18" customHeight="1" x14ac:dyDescent="0.3">
      <c r="A750" s="29">
        <v>749</v>
      </c>
      <c r="B750" s="15" t="s">
        <v>217</v>
      </c>
      <c r="C750" s="15" t="s">
        <v>35</v>
      </c>
      <c r="D750" s="69">
        <v>34</v>
      </c>
      <c r="E750" s="68" t="s">
        <v>315</v>
      </c>
      <c r="F750" s="32" t="s">
        <v>1199</v>
      </c>
      <c r="G750" s="15" t="s">
        <v>154</v>
      </c>
      <c r="H750" s="15" t="s">
        <v>1072</v>
      </c>
      <c r="I750" s="69">
        <v>126</v>
      </c>
      <c r="J750" s="15" t="s">
        <v>2672</v>
      </c>
      <c r="K750" s="15" t="s">
        <v>902</v>
      </c>
      <c r="L750" s="15" t="s">
        <v>2843</v>
      </c>
      <c r="M750" s="15" t="s">
        <v>2672</v>
      </c>
      <c r="N750" s="15" t="s">
        <v>2673</v>
      </c>
      <c r="O750" s="15"/>
    </row>
    <row r="751" spans="1:15" ht="18" customHeight="1" x14ac:dyDescent="0.3">
      <c r="A751" s="29">
        <v>750</v>
      </c>
      <c r="B751" s="15" t="s">
        <v>217</v>
      </c>
      <c r="C751" s="15" t="s">
        <v>36</v>
      </c>
      <c r="D751" s="69">
        <v>35</v>
      </c>
      <c r="E751" s="68" t="s">
        <v>3275</v>
      </c>
      <c r="F751" s="39" t="s">
        <v>2844</v>
      </c>
      <c r="G751" s="15" t="s">
        <v>164</v>
      </c>
      <c r="H751" s="15" t="s">
        <v>901</v>
      </c>
      <c r="I751" s="69">
        <v>156</v>
      </c>
      <c r="J751" s="15" t="s">
        <v>2674</v>
      </c>
      <c r="K751" s="15" t="s">
        <v>903</v>
      </c>
      <c r="L751" s="15" t="s">
        <v>2673</v>
      </c>
      <c r="M751" s="15" t="s">
        <v>2672</v>
      </c>
      <c r="N751" s="15" t="s">
        <v>2673</v>
      </c>
      <c r="O751" s="15"/>
    </row>
    <row r="752" spans="1:15" ht="18" customHeight="1" x14ac:dyDescent="0.3">
      <c r="A752" s="29">
        <v>751</v>
      </c>
      <c r="B752" s="15" t="s">
        <v>217</v>
      </c>
      <c r="C752" s="15" t="s">
        <v>36</v>
      </c>
      <c r="D752" s="69">
        <v>35</v>
      </c>
      <c r="E752" s="68" t="s">
        <v>3275</v>
      </c>
      <c r="F752" s="39" t="s">
        <v>2844</v>
      </c>
      <c r="G752" s="15" t="s">
        <v>164</v>
      </c>
      <c r="H752" s="15" t="s">
        <v>904</v>
      </c>
      <c r="I752" s="69">
        <v>156</v>
      </c>
      <c r="J752" s="15" t="s">
        <v>2672</v>
      </c>
      <c r="K752" s="15" t="s">
        <v>903</v>
      </c>
      <c r="L752" s="15" t="s">
        <v>2673</v>
      </c>
      <c r="M752" s="15" t="s">
        <v>2672</v>
      </c>
      <c r="N752" s="15" t="s">
        <v>2673</v>
      </c>
      <c r="O752" s="15"/>
    </row>
    <row r="753" spans="1:15" ht="18" customHeight="1" x14ac:dyDescent="0.3">
      <c r="A753" s="29">
        <v>752</v>
      </c>
      <c r="B753" s="15" t="s">
        <v>217</v>
      </c>
      <c r="C753" s="15" t="s">
        <v>36</v>
      </c>
      <c r="D753" s="69">
        <v>35</v>
      </c>
      <c r="E753" s="68" t="s">
        <v>3275</v>
      </c>
      <c r="F753" s="39" t="s">
        <v>1128</v>
      </c>
      <c r="G753" s="15" t="s">
        <v>164</v>
      </c>
      <c r="H753" s="15" t="s">
        <v>905</v>
      </c>
      <c r="I753" s="69">
        <v>156</v>
      </c>
      <c r="J753" s="15" t="s">
        <v>2672</v>
      </c>
      <c r="K753" s="15" t="s">
        <v>903</v>
      </c>
      <c r="L753" s="15" t="s">
        <v>2673</v>
      </c>
      <c r="M753" s="15" t="s">
        <v>2672</v>
      </c>
      <c r="N753" s="15" t="s">
        <v>2673</v>
      </c>
      <c r="O753" s="15"/>
    </row>
    <row r="754" spans="1:15" ht="18" customHeight="1" x14ac:dyDescent="0.3">
      <c r="A754" s="29">
        <v>753</v>
      </c>
      <c r="B754" s="15" t="s">
        <v>217</v>
      </c>
      <c r="C754" s="15" t="s">
        <v>36</v>
      </c>
      <c r="D754" s="69">
        <v>35</v>
      </c>
      <c r="E754" s="68" t="s">
        <v>3275</v>
      </c>
      <c r="F754" s="39" t="s">
        <v>1128</v>
      </c>
      <c r="G754" s="15" t="s">
        <v>164</v>
      </c>
      <c r="H754" s="15" t="s">
        <v>906</v>
      </c>
      <c r="I754" s="69">
        <v>156</v>
      </c>
      <c r="J754" s="15" t="s">
        <v>2672</v>
      </c>
      <c r="K754" s="15" t="s">
        <v>903</v>
      </c>
      <c r="L754" s="15" t="s">
        <v>2673</v>
      </c>
      <c r="M754" s="15" t="s">
        <v>2672</v>
      </c>
      <c r="N754" s="15" t="s">
        <v>2673</v>
      </c>
      <c r="O754" s="15"/>
    </row>
    <row r="755" spans="1:15" ht="18" customHeight="1" x14ac:dyDescent="0.3">
      <c r="A755" s="29">
        <v>754</v>
      </c>
      <c r="B755" s="15" t="s">
        <v>217</v>
      </c>
      <c r="C755" s="15" t="s">
        <v>36</v>
      </c>
      <c r="D755" s="69">
        <v>35</v>
      </c>
      <c r="E755" s="68" t="s">
        <v>3275</v>
      </c>
      <c r="F755" s="39" t="s">
        <v>1128</v>
      </c>
      <c r="G755" s="15" t="s">
        <v>164</v>
      </c>
      <c r="H755" s="15" t="s">
        <v>907</v>
      </c>
      <c r="I755" s="69">
        <v>108</v>
      </c>
      <c r="J755" s="15" t="s">
        <v>2672</v>
      </c>
      <c r="K755" s="15" t="s">
        <v>903</v>
      </c>
      <c r="L755" s="15" t="s">
        <v>2673</v>
      </c>
      <c r="M755" s="15" t="s">
        <v>2672</v>
      </c>
      <c r="N755" s="15" t="s">
        <v>2673</v>
      </c>
      <c r="O755" s="15"/>
    </row>
    <row r="756" spans="1:15" ht="18" customHeight="1" x14ac:dyDescent="0.3">
      <c r="A756" s="29">
        <v>755</v>
      </c>
      <c r="B756" s="15" t="s">
        <v>217</v>
      </c>
      <c r="C756" s="15" t="s">
        <v>36</v>
      </c>
      <c r="D756" s="69">
        <v>35</v>
      </c>
      <c r="E756" s="68" t="s">
        <v>3275</v>
      </c>
      <c r="F756" s="39" t="s">
        <v>1128</v>
      </c>
      <c r="G756" s="15" t="s">
        <v>164</v>
      </c>
      <c r="H756" s="15" t="s">
        <v>908</v>
      </c>
      <c r="I756" s="69">
        <v>108</v>
      </c>
      <c r="J756" s="15" t="s">
        <v>2672</v>
      </c>
      <c r="K756" s="15" t="s">
        <v>903</v>
      </c>
      <c r="L756" s="15" t="s">
        <v>2673</v>
      </c>
      <c r="M756" s="15" t="s">
        <v>2672</v>
      </c>
      <c r="N756" s="15" t="s">
        <v>2673</v>
      </c>
      <c r="O756" s="15"/>
    </row>
    <row r="757" spans="1:15" ht="18" customHeight="1" x14ac:dyDescent="0.3">
      <c r="A757" s="29">
        <v>756</v>
      </c>
      <c r="B757" s="15" t="s">
        <v>217</v>
      </c>
      <c r="C757" s="15" t="s">
        <v>36</v>
      </c>
      <c r="D757" s="69">
        <v>35</v>
      </c>
      <c r="E757" s="68" t="s">
        <v>3275</v>
      </c>
      <c r="F757" s="39" t="s">
        <v>1128</v>
      </c>
      <c r="G757" s="15" t="s">
        <v>164</v>
      </c>
      <c r="H757" s="15" t="s">
        <v>2745</v>
      </c>
      <c r="I757" s="69">
        <v>48</v>
      </c>
      <c r="J757" s="15" t="s">
        <v>2672</v>
      </c>
      <c r="K757" s="15" t="s">
        <v>903</v>
      </c>
      <c r="L757" s="15" t="s">
        <v>2673</v>
      </c>
      <c r="M757" s="15" t="s">
        <v>2672</v>
      </c>
      <c r="N757" s="15" t="s">
        <v>2673</v>
      </c>
      <c r="O757" s="15"/>
    </row>
    <row r="758" spans="1:15" ht="18" customHeight="1" x14ac:dyDescent="0.3">
      <c r="A758" s="29">
        <v>757</v>
      </c>
      <c r="B758" s="15" t="s">
        <v>217</v>
      </c>
      <c r="C758" s="15" t="s">
        <v>37</v>
      </c>
      <c r="D758" s="69">
        <v>36</v>
      </c>
      <c r="E758" s="68" t="s">
        <v>288</v>
      </c>
      <c r="F758" s="24" t="s">
        <v>441</v>
      </c>
      <c r="G758" s="15" t="s">
        <v>154</v>
      </c>
      <c r="H758" s="15" t="s">
        <v>901</v>
      </c>
      <c r="I758" s="69">
        <v>167</v>
      </c>
      <c r="J758" s="15" t="s">
        <v>2674</v>
      </c>
      <c r="K758" s="15" t="s">
        <v>903</v>
      </c>
      <c r="L758" s="15" t="s">
        <v>2673</v>
      </c>
      <c r="M758" s="15" t="s">
        <v>2672</v>
      </c>
      <c r="N758" s="15" t="s">
        <v>2673</v>
      </c>
      <c r="O758" s="15"/>
    </row>
    <row r="759" spans="1:15" ht="18" customHeight="1" x14ac:dyDescent="0.3">
      <c r="A759" s="29">
        <v>758</v>
      </c>
      <c r="B759" s="15" t="s">
        <v>217</v>
      </c>
      <c r="C759" s="15" t="s">
        <v>37</v>
      </c>
      <c r="D759" s="69">
        <v>36</v>
      </c>
      <c r="E759" s="68" t="s">
        <v>288</v>
      </c>
      <c r="F759" s="24" t="s">
        <v>441</v>
      </c>
      <c r="G759" s="15" t="s">
        <v>154</v>
      </c>
      <c r="H759" s="15" t="s">
        <v>904</v>
      </c>
      <c r="I759" s="69">
        <v>105</v>
      </c>
      <c r="J759" s="15" t="s">
        <v>2672</v>
      </c>
      <c r="K759" s="15" t="s">
        <v>903</v>
      </c>
      <c r="L759" s="15" t="s">
        <v>2673</v>
      </c>
      <c r="M759" s="15" t="s">
        <v>2672</v>
      </c>
      <c r="N759" s="15" t="s">
        <v>2673</v>
      </c>
      <c r="O759" s="15"/>
    </row>
    <row r="760" spans="1:15" ht="18" customHeight="1" x14ac:dyDescent="0.3">
      <c r="A760" s="29">
        <v>759</v>
      </c>
      <c r="B760" s="15" t="s">
        <v>217</v>
      </c>
      <c r="C760" s="15" t="s">
        <v>37</v>
      </c>
      <c r="D760" s="69">
        <v>36</v>
      </c>
      <c r="E760" s="68" t="s">
        <v>288</v>
      </c>
      <c r="F760" s="24" t="s">
        <v>441</v>
      </c>
      <c r="G760" s="15" t="s">
        <v>154</v>
      </c>
      <c r="H760" s="15" t="s">
        <v>906</v>
      </c>
      <c r="I760" s="69">
        <v>99</v>
      </c>
      <c r="J760" s="15" t="s">
        <v>2672</v>
      </c>
      <c r="K760" s="15" t="s">
        <v>903</v>
      </c>
      <c r="L760" s="15" t="s">
        <v>2673</v>
      </c>
      <c r="M760" s="15" t="s">
        <v>2672</v>
      </c>
      <c r="N760" s="15" t="s">
        <v>2673</v>
      </c>
      <c r="O760" s="15"/>
    </row>
    <row r="761" spans="1:15" ht="18" customHeight="1" x14ac:dyDescent="0.3">
      <c r="A761" s="29">
        <v>760</v>
      </c>
      <c r="B761" s="15" t="s">
        <v>217</v>
      </c>
      <c r="C761" s="15" t="s">
        <v>37</v>
      </c>
      <c r="D761" s="69">
        <v>36</v>
      </c>
      <c r="E761" s="68" t="s">
        <v>288</v>
      </c>
      <c r="F761" s="24" t="s">
        <v>441</v>
      </c>
      <c r="G761" s="15" t="s">
        <v>154</v>
      </c>
      <c r="H761" s="15" t="s">
        <v>907</v>
      </c>
      <c r="I761" s="69">
        <v>167</v>
      </c>
      <c r="J761" s="15" t="s">
        <v>2672</v>
      </c>
      <c r="K761" s="15" t="s">
        <v>903</v>
      </c>
      <c r="L761" s="15" t="s">
        <v>2673</v>
      </c>
      <c r="M761" s="15" t="s">
        <v>2672</v>
      </c>
      <c r="N761" s="15" t="s">
        <v>2673</v>
      </c>
      <c r="O761" s="15"/>
    </row>
    <row r="762" spans="1:15" ht="18" customHeight="1" x14ac:dyDescent="0.3">
      <c r="A762" s="29">
        <v>761</v>
      </c>
      <c r="B762" s="15" t="s">
        <v>217</v>
      </c>
      <c r="C762" s="15" t="s">
        <v>37</v>
      </c>
      <c r="D762" s="69">
        <v>36</v>
      </c>
      <c r="E762" s="68" t="s">
        <v>288</v>
      </c>
      <c r="F762" s="24" t="s">
        <v>441</v>
      </c>
      <c r="G762" s="15" t="s">
        <v>154</v>
      </c>
      <c r="H762" s="15" t="s">
        <v>908</v>
      </c>
      <c r="I762" s="69">
        <v>155</v>
      </c>
      <c r="J762" s="15" t="s">
        <v>2672</v>
      </c>
      <c r="K762" s="15" t="s">
        <v>903</v>
      </c>
      <c r="L762" s="15" t="s">
        <v>2673</v>
      </c>
      <c r="M762" s="15" t="s">
        <v>2672</v>
      </c>
      <c r="N762" s="15" t="s">
        <v>2673</v>
      </c>
      <c r="O762" s="15"/>
    </row>
    <row r="763" spans="1:15" ht="18" customHeight="1" x14ac:dyDescent="0.3">
      <c r="A763" s="29">
        <v>762</v>
      </c>
      <c r="B763" s="15" t="s">
        <v>217</v>
      </c>
      <c r="C763" s="15" t="s">
        <v>37</v>
      </c>
      <c r="D763" s="69">
        <v>36</v>
      </c>
      <c r="E763" s="68" t="s">
        <v>288</v>
      </c>
      <c r="F763" s="24" t="s">
        <v>441</v>
      </c>
      <c r="G763" s="15" t="s">
        <v>154</v>
      </c>
      <c r="H763" s="15" t="s">
        <v>909</v>
      </c>
      <c r="I763" s="69">
        <v>273</v>
      </c>
      <c r="J763" s="15" t="s">
        <v>2672</v>
      </c>
      <c r="K763" s="15" t="s">
        <v>903</v>
      </c>
      <c r="L763" s="15" t="s">
        <v>2673</v>
      </c>
      <c r="M763" s="15" t="s">
        <v>2672</v>
      </c>
      <c r="N763" s="15" t="s">
        <v>2673</v>
      </c>
      <c r="O763" s="15"/>
    </row>
    <row r="764" spans="1:15" ht="18" customHeight="1" x14ac:dyDescent="0.3">
      <c r="A764" s="29">
        <v>763</v>
      </c>
      <c r="B764" s="15" t="s">
        <v>217</v>
      </c>
      <c r="C764" s="15" t="s">
        <v>37</v>
      </c>
      <c r="D764" s="69">
        <v>36</v>
      </c>
      <c r="E764" s="68" t="s">
        <v>288</v>
      </c>
      <c r="F764" s="24" t="s">
        <v>2845</v>
      </c>
      <c r="G764" s="15" t="s">
        <v>154</v>
      </c>
      <c r="H764" s="15" t="s">
        <v>905</v>
      </c>
      <c r="I764" s="69">
        <v>99</v>
      </c>
      <c r="J764" s="15" t="s">
        <v>2672</v>
      </c>
      <c r="K764" s="15" t="s">
        <v>2674</v>
      </c>
      <c r="L764" s="15" t="s">
        <v>1703</v>
      </c>
      <c r="M764" s="15" t="s">
        <v>2672</v>
      </c>
      <c r="N764" s="15" t="s">
        <v>2673</v>
      </c>
      <c r="O764" s="15"/>
    </row>
    <row r="765" spans="1:15" ht="18" customHeight="1" x14ac:dyDescent="0.3">
      <c r="A765" s="29">
        <v>764</v>
      </c>
      <c r="B765" s="15" t="s">
        <v>217</v>
      </c>
      <c r="C765" s="15" t="s">
        <v>37</v>
      </c>
      <c r="D765" s="69">
        <v>36</v>
      </c>
      <c r="E765" s="68" t="s">
        <v>963</v>
      </c>
      <c r="F765" s="42" t="s">
        <v>439</v>
      </c>
      <c r="G765" s="15" t="s">
        <v>154</v>
      </c>
      <c r="H765" s="15" t="s">
        <v>901</v>
      </c>
      <c r="I765" s="69">
        <v>66</v>
      </c>
      <c r="J765" s="13" t="s">
        <v>2672</v>
      </c>
      <c r="K765" s="15" t="s">
        <v>903</v>
      </c>
      <c r="L765" s="15" t="s">
        <v>2673</v>
      </c>
      <c r="M765" s="15" t="s">
        <v>2672</v>
      </c>
      <c r="N765" s="15" t="s">
        <v>2673</v>
      </c>
      <c r="O765" s="15"/>
    </row>
    <row r="766" spans="1:15" ht="18" customHeight="1" x14ac:dyDescent="0.3">
      <c r="A766" s="29">
        <v>765</v>
      </c>
      <c r="B766" s="15" t="s">
        <v>217</v>
      </c>
      <c r="C766" s="15" t="s">
        <v>37</v>
      </c>
      <c r="D766" s="69">
        <v>36</v>
      </c>
      <c r="E766" s="68" t="s">
        <v>963</v>
      </c>
      <c r="F766" s="42" t="s">
        <v>439</v>
      </c>
      <c r="G766" s="15" t="s">
        <v>154</v>
      </c>
      <c r="H766" s="15" t="s">
        <v>904</v>
      </c>
      <c r="I766" s="69">
        <v>66</v>
      </c>
      <c r="J766" s="13" t="s">
        <v>2672</v>
      </c>
      <c r="K766" s="15" t="s">
        <v>2672</v>
      </c>
      <c r="L766" s="15" t="s">
        <v>2673</v>
      </c>
      <c r="M766" s="15" t="s">
        <v>2674</v>
      </c>
      <c r="N766" s="15" t="s">
        <v>2741</v>
      </c>
      <c r="O766" s="15"/>
    </row>
    <row r="767" spans="1:15" ht="18" customHeight="1" x14ac:dyDescent="0.3">
      <c r="A767" s="29">
        <v>766</v>
      </c>
      <c r="B767" s="15" t="s">
        <v>217</v>
      </c>
      <c r="C767" s="15" t="s">
        <v>37</v>
      </c>
      <c r="D767" s="69">
        <v>36</v>
      </c>
      <c r="E767" s="68" t="s">
        <v>963</v>
      </c>
      <c r="F767" s="42" t="s">
        <v>439</v>
      </c>
      <c r="G767" s="15" t="s">
        <v>154</v>
      </c>
      <c r="H767" s="15" t="s">
        <v>905</v>
      </c>
      <c r="I767" s="69">
        <v>111</v>
      </c>
      <c r="J767" s="13" t="s">
        <v>902</v>
      </c>
      <c r="K767" s="15" t="s">
        <v>903</v>
      </c>
      <c r="L767" s="15" t="s">
        <v>2673</v>
      </c>
      <c r="M767" s="15" t="s">
        <v>2672</v>
      </c>
      <c r="N767" s="15" t="s">
        <v>2673</v>
      </c>
      <c r="O767" s="15"/>
    </row>
    <row r="768" spans="1:15" ht="18" customHeight="1" x14ac:dyDescent="0.3">
      <c r="A768" s="29">
        <v>767</v>
      </c>
      <c r="B768" s="15" t="s">
        <v>217</v>
      </c>
      <c r="C768" s="15" t="s">
        <v>37</v>
      </c>
      <c r="D768" s="69">
        <v>36</v>
      </c>
      <c r="E768" s="68" t="s">
        <v>963</v>
      </c>
      <c r="F768" s="42" t="s">
        <v>439</v>
      </c>
      <c r="G768" s="15" t="s">
        <v>154</v>
      </c>
      <c r="H768" s="15" t="s">
        <v>906</v>
      </c>
      <c r="I768" s="69">
        <v>102</v>
      </c>
      <c r="J768" s="13" t="s">
        <v>2672</v>
      </c>
      <c r="K768" s="15" t="s">
        <v>903</v>
      </c>
      <c r="L768" s="15" t="s">
        <v>2673</v>
      </c>
      <c r="M768" s="15" t="s">
        <v>2672</v>
      </c>
      <c r="N768" s="15" t="s">
        <v>2673</v>
      </c>
      <c r="O768" s="15"/>
    </row>
    <row r="769" spans="1:15" ht="18" customHeight="1" x14ac:dyDescent="0.3">
      <c r="A769" s="29">
        <v>768</v>
      </c>
      <c r="B769" s="15" t="s">
        <v>217</v>
      </c>
      <c r="C769" s="15" t="s">
        <v>37</v>
      </c>
      <c r="D769" s="69">
        <v>36</v>
      </c>
      <c r="E769" s="68" t="s">
        <v>963</v>
      </c>
      <c r="F769" s="42" t="s">
        <v>439</v>
      </c>
      <c r="G769" s="15" t="s">
        <v>154</v>
      </c>
      <c r="H769" s="15" t="s">
        <v>907</v>
      </c>
      <c r="I769" s="69">
        <v>244</v>
      </c>
      <c r="J769" s="13" t="s">
        <v>2672</v>
      </c>
      <c r="K769" s="15" t="s">
        <v>903</v>
      </c>
      <c r="L769" s="15" t="s">
        <v>2673</v>
      </c>
      <c r="M769" s="15" t="s">
        <v>2672</v>
      </c>
      <c r="N769" s="15" t="s">
        <v>2673</v>
      </c>
      <c r="O769" s="15"/>
    </row>
    <row r="770" spans="1:15" ht="18" customHeight="1" x14ac:dyDescent="0.3">
      <c r="A770" s="29">
        <v>769</v>
      </c>
      <c r="B770" s="15" t="s">
        <v>217</v>
      </c>
      <c r="C770" s="15" t="s">
        <v>37</v>
      </c>
      <c r="D770" s="69">
        <v>36</v>
      </c>
      <c r="E770" s="68" t="s">
        <v>963</v>
      </c>
      <c r="F770" s="42" t="s">
        <v>439</v>
      </c>
      <c r="G770" s="15" t="s">
        <v>154</v>
      </c>
      <c r="H770" s="15" t="s">
        <v>908</v>
      </c>
      <c r="I770" s="69">
        <v>316</v>
      </c>
      <c r="J770" s="13" t="s">
        <v>902</v>
      </c>
      <c r="K770" s="15" t="s">
        <v>903</v>
      </c>
      <c r="L770" s="15" t="s">
        <v>2673</v>
      </c>
      <c r="M770" s="15" t="s">
        <v>2672</v>
      </c>
      <c r="N770" s="15" t="s">
        <v>2673</v>
      </c>
      <c r="O770" s="15"/>
    </row>
    <row r="771" spans="1:15" ht="18" customHeight="1" x14ac:dyDescent="0.3">
      <c r="A771" s="29">
        <v>770</v>
      </c>
      <c r="B771" s="15" t="s">
        <v>217</v>
      </c>
      <c r="C771" s="15" t="s">
        <v>37</v>
      </c>
      <c r="D771" s="69">
        <v>36</v>
      </c>
      <c r="E771" s="68" t="s">
        <v>963</v>
      </c>
      <c r="F771" s="42" t="s">
        <v>439</v>
      </c>
      <c r="G771" s="15" t="s">
        <v>154</v>
      </c>
      <c r="H771" s="15" t="s">
        <v>909</v>
      </c>
      <c r="I771" s="69">
        <v>144</v>
      </c>
      <c r="J771" s="13" t="s">
        <v>2672</v>
      </c>
      <c r="K771" s="15" t="s">
        <v>903</v>
      </c>
      <c r="L771" s="15" t="s">
        <v>2673</v>
      </c>
      <c r="M771" s="15" t="s">
        <v>2672</v>
      </c>
      <c r="N771" s="15" t="s">
        <v>2673</v>
      </c>
      <c r="O771" s="15"/>
    </row>
    <row r="772" spans="1:15" ht="18" customHeight="1" x14ac:dyDescent="0.3">
      <c r="A772" s="29">
        <v>771</v>
      </c>
      <c r="B772" s="15" t="s">
        <v>1681</v>
      </c>
      <c r="C772" s="15" t="s">
        <v>1706</v>
      </c>
      <c r="D772" s="69">
        <v>37</v>
      </c>
      <c r="E772" s="68" t="s">
        <v>1707</v>
      </c>
      <c r="F772" s="51" t="s">
        <v>1708</v>
      </c>
      <c r="G772" s="29" t="s">
        <v>1553</v>
      </c>
      <c r="H772" s="15" t="s">
        <v>2685</v>
      </c>
      <c r="I772" s="69">
        <v>168</v>
      </c>
      <c r="J772" s="13" t="s">
        <v>2674</v>
      </c>
      <c r="K772" s="15" t="s">
        <v>903</v>
      </c>
      <c r="L772" s="15" t="s">
        <v>2673</v>
      </c>
      <c r="M772" s="15" t="s">
        <v>2672</v>
      </c>
      <c r="N772" s="15" t="s">
        <v>2673</v>
      </c>
      <c r="O772" s="15"/>
    </row>
    <row r="773" spans="1:15" ht="18" customHeight="1" x14ac:dyDescent="0.3">
      <c r="A773" s="29">
        <v>772</v>
      </c>
      <c r="B773" s="15" t="s">
        <v>1681</v>
      </c>
      <c r="C773" s="15" t="s">
        <v>1706</v>
      </c>
      <c r="D773" s="69">
        <v>37</v>
      </c>
      <c r="E773" s="68" t="s">
        <v>1707</v>
      </c>
      <c r="F773" s="51" t="s">
        <v>1708</v>
      </c>
      <c r="G773" s="29" t="s">
        <v>1553</v>
      </c>
      <c r="H773" s="15" t="s">
        <v>2678</v>
      </c>
      <c r="I773" s="69">
        <v>167</v>
      </c>
      <c r="J773" s="13" t="s">
        <v>2672</v>
      </c>
      <c r="K773" s="15" t="s">
        <v>903</v>
      </c>
      <c r="L773" s="15" t="s">
        <v>2673</v>
      </c>
      <c r="M773" s="15" t="s">
        <v>2672</v>
      </c>
      <c r="N773" s="15" t="s">
        <v>2673</v>
      </c>
      <c r="O773" s="15"/>
    </row>
    <row r="774" spans="1:15" ht="18" customHeight="1" x14ac:dyDescent="0.3">
      <c r="A774" s="29">
        <v>773</v>
      </c>
      <c r="B774" s="15" t="s">
        <v>1681</v>
      </c>
      <c r="C774" s="15" t="s">
        <v>1706</v>
      </c>
      <c r="D774" s="69">
        <v>37</v>
      </c>
      <c r="E774" s="68" t="s">
        <v>1707</v>
      </c>
      <c r="F774" s="51" t="s">
        <v>1708</v>
      </c>
      <c r="G774" s="29" t="s">
        <v>1553</v>
      </c>
      <c r="H774" s="15" t="s">
        <v>2679</v>
      </c>
      <c r="I774" s="69">
        <v>106</v>
      </c>
      <c r="J774" s="13" t="s">
        <v>2672</v>
      </c>
      <c r="K774" s="15" t="s">
        <v>903</v>
      </c>
      <c r="L774" s="15" t="s">
        <v>2673</v>
      </c>
      <c r="M774" s="15" t="s">
        <v>2672</v>
      </c>
      <c r="N774" s="15" t="s">
        <v>2673</v>
      </c>
      <c r="O774" s="15"/>
    </row>
    <row r="775" spans="1:15" ht="18" customHeight="1" x14ac:dyDescent="0.3">
      <c r="A775" s="29">
        <v>774</v>
      </c>
      <c r="B775" s="15" t="s">
        <v>1681</v>
      </c>
      <c r="C775" s="15" t="s">
        <v>1706</v>
      </c>
      <c r="D775" s="69">
        <v>37</v>
      </c>
      <c r="E775" s="68" t="s">
        <v>1707</v>
      </c>
      <c r="F775" s="51" t="s">
        <v>1708</v>
      </c>
      <c r="G775" s="29" t="s">
        <v>1553</v>
      </c>
      <c r="H775" s="15" t="s">
        <v>2680</v>
      </c>
      <c r="I775" s="69">
        <v>152</v>
      </c>
      <c r="J775" s="13" t="s">
        <v>2672</v>
      </c>
      <c r="K775" s="15" t="s">
        <v>903</v>
      </c>
      <c r="L775" s="15" t="s">
        <v>2673</v>
      </c>
      <c r="M775" s="15" t="s">
        <v>2672</v>
      </c>
      <c r="N775" s="15" t="s">
        <v>2673</v>
      </c>
      <c r="O775" s="15"/>
    </row>
    <row r="776" spans="1:15" ht="18" customHeight="1" x14ac:dyDescent="0.3">
      <c r="A776" s="29">
        <v>775</v>
      </c>
      <c r="B776" s="15" t="s">
        <v>1681</v>
      </c>
      <c r="C776" s="15" t="s">
        <v>1706</v>
      </c>
      <c r="D776" s="69">
        <v>37</v>
      </c>
      <c r="E776" s="68" t="s">
        <v>1707</v>
      </c>
      <c r="F776" s="51" t="s">
        <v>1708</v>
      </c>
      <c r="G776" s="29" t="s">
        <v>1553</v>
      </c>
      <c r="H776" s="15" t="s">
        <v>2690</v>
      </c>
      <c r="I776" s="69">
        <v>113</v>
      </c>
      <c r="J776" s="13" t="s">
        <v>2672</v>
      </c>
      <c r="K776" s="15" t="s">
        <v>903</v>
      </c>
      <c r="L776" s="15" t="s">
        <v>2673</v>
      </c>
      <c r="M776" s="15" t="s">
        <v>2672</v>
      </c>
      <c r="N776" s="15" t="s">
        <v>2673</v>
      </c>
      <c r="O776" s="15"/>
    </row>
    <row r="777" spans="1:15" ht="18" customHeight="1" x14ac:dyDescent="0.3">
      <c r="A777" s="29">
        <v>776</v>
      </c>
      <c r="B777" s="15" t="s">
        <v>1681</v>
      </c>
      <c r="C777" s="15" t="s">
        <v>1706</v>
      </c>
      <c r="D777" s="69">
        <v>37</v>
      </c>
      <c r="E777" s="68" t="s">
        <v>1707</v>
      </c>
      <c r="F777" s="51" t="s">
        <v>1708</v>
      </c>
      <c r="G777" s="29" t="s">
        <v>1553</v>
      </c>
      <c r="H777" s="15" t="s">
        <v>2682</v>
      </c>
      <c r="I777" s="69">
        <v>35</v>
      </c>
      <c r="J777" s="13" t="s">
        <v>2672</v>
      </c>
      <c r="K777" s="15" t="s">
        <v>903</v>
      </c>
      <c r="L777" s="15" t="s">
        <v>2673</v>
      </c>
      <c r="M777" s="15" t="s">
        <v>2672</v>
      </c>
      <c r="N777" s="15" t="s">
        <v>2673</v>
      </c>
      <c r="O777" s="15"/>
    </row>
    <row r="778" spans="1:15" ht="18" customHeight="1" x14ac:dyDescent="0.3">
      <c r="A778" s="29">
        <v>777</v>
      </c>
      <c r="B778" s="15" t="s">
        <v>1681</v>
      </c>
      <c r="C778" s="15" t="s">
        <v>1706</v>
      </c>
      <c r="D778" s="69">
        <v>37</v>
      </c>
      <c r="E778" s="68" t="s">
        <v>1707</v>
      </c>
      <c r="F778" s="51" t="s">
        <v>1708</v>
      </c>
      <c r="G778" s="29" t="s">
        <v>1553</v>
      </c>
      <c r="H778" s="15" t="s">
        <v>2732</v>
      </c>
      <c r="I778" s="69">
        <v>69</v>
      </c>
      <c r="J778" s="13" t="s">
        <v>2672</v>
      </c>
      <c r="K778" s="15" t="s">
        <v>903</v>
      </c>
      <c r="L778" s="15" t="s">
        <v>2673</v>
      </c>
      <c r="M778" s="15" t="s">
        <v>2672</v>
      </c>
      <c r="N778" s="15" t="s">
        <v>2673</v>
      </c>
      <c r="O778" s="15"/>
    </row>
    <row r="779" spans="1:15" ht="18" customHeight="1" x14ac:dyDescent="0.3">
      <c r="A779" s="29">
        <v>778</v>
      </c>
      <c r="B779" s="15" t="s">
        <v>217</v>
      </c>
      <c r="C779" s="15" t="s">
        <v>1706</v>
      </c>
      <c r="D779" s="69">
        <v>37</v>
      </c>
      <c r="E779" s="68" t="s">
        <v>3276</v>
      </c>
      <c r="F779" s="24" t="s">
        <v>1710</v>
      </c>
      <c r="G779" s="15" t="s">
        <v>164</v>
      </c>
      <c r="H779" s="15" t="s">
        <v>2685</v>
      </c>
      <c r="I779" s="69">
        <v>72</v>
      </c>
      <c r="J779" s="15" t="s">
        <v>2672</v>
      </c>
      <c r="K779" s="15" t="s">
        <v>903</v>
      </c>
      <c r="L779" s="15" t="s">
        <v>2673</v>
      </c>
      <c r="M779" s="15" t="s">
        <v>2672</v>
      </c>
      <c r="N779" s="15" t="s">
        <v>2673</v>
      </c>
      <c r="O779" s="15"/>
    </row>
    <row r="780" spans="1:15" ht="18" customHeight="1" x14ac:dyDescent="0.3">
      <c r="A780" s="29">
        <v>779</v>
      </c>
      <c r="B780" s="15" t="s">
        <v>217</v>
      </c>
      <c r="C780" s="15" t="s">
        <v>1706</v>
      </c>
      <c r="D780" s="69">
        <v>37</v>
      </c>
      <c r="E780" s="68" t="s">
        <v>3276</v>
      </c>
      <c r="F780" s="24" t="s">
        <v>1710</v>
      </c>
      <c r="G780" s="15" t="s">
        <v>164</v>
      </c>
      <c r="H780" s="15" t="s">
        <v>2678</v>
      </c>
      <c r="I780" s="69">
        <v>55</v>
      </c>
      <c r="J780" s="15" t="s">
        <v>2672</v>
      </c>
      <c r="K780" s="15" t="s">
        <v>903</v>
      </c>
      <c r="L780" s="15" t="s">
        <v>2673</v>
      </c>
      <c r="M780" s="15" t="s">
        <v>2672</v>
      </c>
      <c r="N780" s="15" t="s">
        <v>2673</v>
      </c>
      <c r="O780" s="15"/>
    </row>
    <row r="781" spans="1:15" ht="18" customHeight="1" x14ac:dyDescent="0.3">
      <c r="A781" s="29">
        <v>780</v>
      </c>
      <c r="B781" s="15" t="s">
        <v>217</v>
      </c>
      <c r="C781" s="15" t="s">
        <v>1706</v>
      </c>
      <c r="D781" s="69">
        <v>37</v>
      </c>
      <c r="E781" s="68" t="s">
        <v>3276</v>
      </c>
      <c r="F781" s="24" t="s">
        <v>1710</v>
      </c>
      <c r="G781" s="15" t="s">
        <v>164</v>
      </c>
      <c r="H781" s="15" t="s">
        <v>2679</v>
      </c>
      <c r="I781" s="69">
        <v>85</v>
      </c>
      <c r="J781" s="15" t="s">
        <v>2672</v>
      </c>
      <c r="K781" s="15" t="s">
        <v>903</v>
      </c>
      <c r="L781" s="15" t="s">
        <v>2673</v>
      </c>
      <c r="M781" s="15" t="s">
        <v>2672</v>
      </c>
      <c r="N781" s="15" t="s">
        <v>2673</v>
      </c>
      <c r="O781" s="15"/>
    </row>
    <row r="782" spans="1:15" ht="18" customHeight="1" x14ac:dyDescent="0.3">
      <c r="A782" s="29">
        <v>781</v>
      </c>
      <c r="B782" s="15" t="s">
        <v>217</v>
      </c>
      <c r="C782" s="15" t="s">
        <v>1706</v>
      </c>
      <c r="D782" s="69">
        <v>37</v>
      </c>
      <c r="E782" s="68" t="s">
        <v>3276</v>
      </c>
      <c r="F782" s="24" t="s">
        <v>1710</v>
      </c>
      <c r="G782" s="15" t="s">
        <v>164</v>
      </c>
      <c r="H782" s="15" t="s">
        <v>2680</v>
      </c>
      <c r="I782" s="69">
        <v>85</v>
      </c>
      <c r="J782" s="15" t="s">
        <v>2672</v>
      </c>
      <c r="K782" s="15" t="s">
        <v>903</v>
      </c>
      <c r="L782" s="15" t="s">
        <v>2673</v>
      </c>
      <c r="M782" s="15" t="s">
        <v>2672</v>
      </c>
      <c r="N782" s="15" t="s">
        <v>2673</v>
      </c>
      <c r="O782" s="15"/>
    </row>
    <row r="783" spans="1:15" ht="18" customHeight="1" x14ac:dyDescent="0.3">
      <c r="A783" s="29">
        <v>782</v>
      </c>
      <c r="B783" s="15" t="s">
        <v>217</v>
      </c>
      <c r="C783" s="15" t="s">
        <v>1706</v>
      </c>
      <c r="D783" s="69">
        <v>37</v>
      </c>
      <c r="E783" s="68" t="s">
        <v>3276</v>
      </c>
      <c r="F783" s="24" t="s">
        <v>1710</v>
      </c>
      <c r="G783" s="15" t="s">
        <v>164</v>
      </c>
      <c r="H783" s="15" t="s">
        <v>2690</v>
      </c>
      <c r="I783" s="69">
        <v>72</v>
      </c>
      <c r="J783" s="15" t="s">
        <v>2672</v>
      </c>
      <c r="K783" s="15" t="s">
        <v>903</v>
      </c>
      <c r="L783" s="15" t="s">
        <v>2673</v>
      </c>
      <c r="M783" s="15" t="s">
        <v>2672</v>
      </c>
      <c r="N783" s="15" t="s">
        <v>2673</v>
      </c>
      <c r="O783" s="15"/>
    </row>
    <row r="784" spans="1:15" ht="18" customHeight="1" x14ac:dyDescent="0.3">
      <c r="A784" s="29">
        <v>783</v>
      </c>
      <c r="B784" s="15" t="s">
        <v>217</v>
      </c>
      <c r="C784" s="15" t="s">
        <v>1706</v>
      </c>
      <c r="D784" s="69">
        <v>37</v>
      </c>
      <c r="E784" s="68" t="s">
        <v>3276</v>
      </c>
      <c r="F784" s="24" t="s">
        <v>1710</v>
      </c>
      <c r="G784" s="15" t="s">
        <v>164</v>
      </c>
      <c r="H784" s="15" t="s">
        <v>2682</v>
      </c>
      <c r="I784" s="69">
        <v>62</v>
      </c>
      <c r="J784" s="15" t="s">
        <v>2672</v>
      </c>
      <c r="K784" s="15" t="s">
        <v>903</v>
      </c>
      <c r="L784" s="15" t="s">
        <v>2673</v>
      </c>
      <c r="M784" s="15" t="s">
        <v>2672</v>
      </c>
      <c r="N784" s="15" t="s">
        <v>2673</v>
      </c>
      <c r="O784" s="15"/>
    </row>
    <row r="785" spans="1:15" ht="18" customHeight="1" x14ac:dyDescent="0.3">
      <c r="A785" s="29">
        <v>784</v>
      </c>
      <c r="B785" s="15" t="s">
        <v>217</v>
      </c>
      <c r="C785" s="15" t="s">
        <v>38</v>
      </c>
      <c r="D785" s="69">
        <v>38</v>
      </c>
      <c r="E785" s="68" t="s">
        <v>3277</v>
      </c>
      <c r="F785" s="39" t="s">
        <v>464</v>
      </c>
      <c r="G785" s="15" t="s">
        <v>154</v>
      </c>
      <c r="H785" s="15" t="s">
        <v>901</v>
      </c>
      <c r="I785" s="69">
        <v>250</v>
      </c>
      <c r="J785" s="15" t="s">
        <v>2672</v>
      </c>
      <c r="K785" s="15" t="s">
        <v>903</v>
      </c>
      <c r="L785" s="15" t="s">
        <v>2673</v>
      </c>
      <c r="M785" s="15" t="s">
        <v>2672</v>
      </c>
      <c r="N785" s="15" t="s">
        <v>2673</v>
      </c>
      <c r="O785" s="15"/>
    </row>
    <row r="786" spans="1:15" ht="18" customHeight="1" x14ac:dyDescent="0.3">
      <c r="A786" s="29">
        <v>785</v>
      </c>
      <c r="B786" s="15" t="s">
        <v>217</v>
      </c>
      <c r="C786" s="15" t="s">
        <v>38</v>
      </c>
      <c r="D786" s="69">
        <v>38</v>
      </c>
      <c r="E786" s="68" t="s">
        <v>3277</v>
      </c>
      <c r="F786" s="39" t="s">
        <v>464</v>
      </c>
      <c r="G786" s="15" t="s">
        <v>154</v>
      </c>
      <c r="H786" s="15" t="s">
        <v>904</v>
      </c>
      <c r="I786" s="69">
        <v>174</v>
      </c>
      <c r="J786" s="15" t="s">
        <v>2674</v>
      </c>
      <c r="K786" s="15" t="s">
        <v>903</v>
      </c>
      <c r="L786" s="15" t="s">
        <v>2673</v>
      </c>
      <c r="M786" s="15" t="s">
        <v>2672</v>
      </c>
      <c r="N786" s="15" t="s">
        <v>2673</v>
      </c>
      <c r="O786" s="15"/>
    </row>
    <row r="787" spans="1:15" ht="18" customHeight="1" x14ac:dyDescent="0.3">
      <c r="A787" s="29">
        <v>786</v>
      </c>
      <c r="B787" s="15" t="s">
        <v>217</v>
      </c>
      <c r="C787" s="15" t="s">
        <v>38</v>
      </c>
      <c r="D787" s="69">
        <v>38</v>
      </c>
      <c r="E787" s="68" t="s">
        <v>3277</v>
      </c>
      <c r="F787" s="39" t="s">
        <v>464</v>
      </c>
      <c r="G787" s="15" t="s">
        <v>154</v>
      </c>
      <c r="H787" s="15" t="s">
        <v>905</v>
      </c>
      <c r="I787" s="69">
        <v>140</v>
      </c>
      <c r="J787" s="15" t="s">
        <v>2674</v>
      </c>
      <c r="K787" s="15" t="s">
        <v>903</v>
      </c>
      <c r="L787" s="15" t="s">
        <v>2673</v>
      </c>
      <c r="M787" s="15" t="s">
        <v>2672</v>
      </c>
      <c r="N787" s="15" t="s">
        <v>2673</v>
      </c>
      <c r="O787" s="15"/>
    </row>
    <row r="788" spans="1:15" ht="18" customHeight="1" x14ac:dyDescent="0.3">
      <c r="A788" s="29">
        <v>787</v>
      </c>
      <c r="B788" s="15" t="s">
        <v>217</v>
      </c>
      <c r="C788" s="15" t="s">
        <v>38</v>
      </c>
      <c r="D788" s="69">
        <v>38</v>
      </c>
      <c r="E788" s="68" t="s">
        <v>3277</v>
      </c>
      <c r="F788" s="39" t="s">
        <v>464</v>
      </c>
      <c r="G788" s="15" t="s">
        <v>154</v>
      </c>
      <c r="H788" s="15" t="s">
        <v>906</v>
      </c>
      <c r="I788" s="69">
        <v>186</v>
      </c>
      <c r="J788" s="15" t="s">
        <v>2672</v>
      </c>
      <c r="K788" s="15" t="s">
        <v>903</v>
      </c>
      <c r="L788" s="15" t="s">
        <v>2673</v>
      </c>
      <c r="M788" s="15" t="s">
        <v>2672</v>
      </c>
      <c r="N788" s="15" t="s">
        <v>2673</v>
      </c>
      <c r="O788" s="15"/>
    </row>
    <row r="789" spans="1:15" ht="18" customHeight="1" x14ac:dyDescent="0.3">
      <c r="A789" s="29">
        <v>788</v>
      </c>
      <c r="B789" s="15" t="s">
        <v>217</v>
      </c>
      <c r="C789" s="15" t="s">
        <v>38</v>
      </c>
      <c r="D789" s="69">
        <v>38</v>
      </c>
      <c r="E789" s="68" t="s">
        <v>3277</v>
      </c>
      <c r="F789" s="39" t="s">
        <v>464</v>
      </c>
      <c r="G789" s="15" t="s">
        <v>154</v>
      </c>
      <c r="H789" s="15" t="s">
        <v>907</v>
      </c>
      <c r="I789" s="69">
        <v>201</v>
      </c>
      <c r="J789" s="15" t="s">
        <v>2672</v>
      </c>
      <c r="K789" s="15" t="s">
        <v>903</v>
      </c>
      <c r="L789" s="15" t="s">
        <v>2673</v>
      </c>
      <c r="M789" s="15" t="s">
        <v>2672</v>
      </c>
      <c r="N789" s="15" t="s">
        <v>2673</v>
      </c>
      <c r="O789" s="15"/>
    </row>
    <row r="790" spans="1:15" ht="18" customHeight="1" x14ac:dyDescent="0.3">
      <c r="A790" s="29">
        <v>789</v>
      </c>
      <c r="B790" s="15" t="s">
        <v>217</v>
      </c>
      <c r="C790" s="15" t="s">
        <v>38</v>
      </c>
      <c r="D790" s="69">
        <v>38</v>
      </c>
      <c r="E790" s="68" t="s">
        <v>3277</v>
      </c>
      <c r="F790" s="39" t="s">
        <v>464</v>
      </c>
      <c r="G790" s="15" t="s">
        <v>154</v>
      </c>
      <c r="H790" s="15" t="s">
        <v>908</v>
      </c>
      <c r="I790" s="69">
        <v>130</v>
      </c>
      <c r="J790" s="15" t="s">
        <v>2674</v>
      </c>
      <c r="K790" s="15" t="s">
        <v>2674</v>
      </c>
      <c r="L790" s="15" t="s">
        <v>2773</v>
      </c>
      <c r="M790" s="15" t="s">
        <v>2672</v>
      </c>
      <c r="N790" s="15" t="s">
        <v>2673</v>
      </c>
      <c r="O790" s="15"/>
    </row>
    <row r="791" spans="1:15" ht="18" customHeight="1" x14ac:dyDescent="0.3">
      <c r="A791" s="29">
        <v>790</v>
      </c>
      <c r="B791" s="15" t="s">
        <v>217</v>
      </c>
      <c r="C791" s="15" t="s">
        <v>38</v>
      </c>
      <c r="D791" s="69">
        <v>38</v>
      </c>
      <c r="E791" s="68" t="s">
        <v>3277</v>
      </c>
      <c r="F791" s="39" t="s">
        <v>464</v>
      </c>
      <c r="G791" s="15" t="s">
        <v>154</v>
      </c>
      <c r="H791" s="15" t="s">
        <v>909</v>
      </c>
      <c r="I791" s="69">
        <v>218</v>
      </c>
      <c r="J791" s="15" t="s">
        <v>2672</v>
      </c>
      <c r="K791" s="15" t="s">
        <v>903</v>
      </c>
      <c r="L791" s="15" t="s">
        <v>2673</v>
      </c>
      <c r="M791" s="15" t="s">
        <v>2672</v>
      </c>
      <c r="N791" s="15" t="s">
        <v>2673</v>
      </c>
      <c r="O791" s="15"/>
    </row>
    <row r="792" spans="1:15" ht="18" customHeight="1" x14ac:dyDescent="0.3">
      <c r="A792" s="29">
        <v>791</v>
      </c>
      <c r="B792" s="15" t="s">
        <v>217</v>
      </c>
      <c r="C792" s="15" t="s">
        <v>38</v>
      </c>
      <c r="D792" s="69">
        <v>38</v>
      </c>
      <c r="E792" s="68" t="s">
        <v>3277</v>
      </c>
      <c r="F792" s="39" t="s">
        <v>464</v>
      </c>
      <c r="G792" s="15" t="s">
        <v>154</v>
      </c>
      <c r="H792" s="15" t="s">
        <v>910</v>
      </c>
      <c r="I792" s="69">
        <v>84</v>
      </c>
      <c r="J792" s="15" t="s">
        <v>2674</v>
      </c>
      <c r="K792" s="15" t="s">
        <v>2674</v>
      </c>
      <c r="L792" s="15" t="s">
        <v>1797</v>
      </c>
      <c r="M792" s="15" t="s">
        <v>2672</v>
      </c>
      <c r="N792" s="15" t="s">
        <v>2673</v>
      </c>
      <c r="O792" s="15"/>
    </row>
    <row r="793" spans="1:15" ht="18" customHeight="1" x14ac:dyDescent="0.3">
      <c r="A793" s="29">
        <v>792</v>
      </c>
      <c r="B793" s="15" t="s">
        <v>217</v>
      </c>
      <c r="C793" s="15" t="s">
        <v>39</v>
      </c>
      <c r="D793" s="69">
        <v>40</v>
      </c>
      <c r="E793" s="68" t="s">
        <v>1714</v>
      </c>
      <c r="F793" s="32" t="s">
        <v>1715</v>
      </c>
      <c r="G793" s="15" t="s">
        <v>154</v>
      </c>
      <c r="H793" s="15" t="s">
        <v>3189</v>
      </c>
      <c r="I793" s="13">
        <v>250</v>
      </c>
      <c r="J793" s="15" t="s">
        <v>2674</v>
      </c>
      <c r="K793" s="15" t="s">
        <v>2674</v>
      </c>
      <c r="L793" s="15" t="s">
        <v>1703</v>
      </c>
      <c r="M793" s="15" t="s">
        <v>2672</v>
      </c>
      <c r="N793" s="15" t="s">
        <v>2673</v>
      </c>
      <c r="O793" s="15"/>
    </row>
    <row r="794" spans="1:15" ht="18" customHeight="1" x14ac:dyDescent="0.3">
      <c r="A794" s="29">
        <v>793</v>
      </c>
      <c r="B794" s="15" t="s">
        <v>217</v>
      </c>
      <c r="C794" s="15" t="s">
        <v>39</v>
      </c>
      <c r="D794" s="69">
        <v>40</v>
      </c>
      <c r="E794" s="68" t="s">
        <v>1714</v>
      </c>
      <c r="F794" s="32" t="s">
        <v>1715</v>
      </c>
      <c r="G794" s="15" t="s">
        <v>154</v>
      </c>
      <c r="H794" s="15" t="s">
        <v>3200</v>
      </c>
      <c r="I794" s="13">
        <v>250</v>
      </c>
      <c r="J794" s="15" t="s">
        <v>2674</v>
      </c>
      <c r="K794" s="15" t="s">
        <v>2674</v>
      </c>
      <c r="L794" s="15" t="s">
        <v>1703</v>
      </c>
      <c r="M794" s="15" t="s">
        <v>2672</v>
      </c>
      <c r="N794" s="15" t="s">
        <v>2673</v>
      </c>
      <c r="O794" s="15"/>
    </row>
    <row r="795" spans="1:15" ht="18" customHeight="1" x14ac:dyDescent="0.3">
      <c r="A795" s="29">
        <v>794</v>
      </c>
      <c r="B795" s="15" t="s">
        <v>217</v>
      </c>
      <c r="C795" s="15" t="s">
        <v>39</v>
      </c>
      <c r="D795" s="69">
        <v>40</v>
      </c>
      <c r="E795" s="68" t="s">
        <v>1714</v>
      </c>
      <c r="F795" s="32" t="s">
        <v>1127</v>
      </c>
      <c r="G795" s="15" t="s">
        <v>154</v>
      </c>
      <c r="H795" s="15" t="s">
        <v>3201</v>
      </c>
      <c r="I795" s="13">
        <v>143</v>
      </c>
      <c r="J795" s="15" t="s">
        <v>2674</v>
      </c>
      <c r="K795" s="15" t="s">
        <v>2674</v>
      </c>
      <c r="L795" s="15" t="s">
        <v>1703</v>
      </c>
      <c r="M795" s="15" t="s">
        <v>2672</v>
      </c>
      <c r="N795" s="15" t="s">
        <v>2673</v>
      </c>
      <c r="O795" s="15"/>
    </row>
    <row r="796" spans="1:15" ht="18" customHeight="1" x14ac:dyDescent="0.3">
      <c r="A796" s="29">
        <v>795</v>
      </c>
      <c r="B796" s="15" t="s">
        <v>217</v>
      </c>
      <c r="C796" s="15" t="s">
        <v>39</v>
      </c>
      <c r="D796" s="69">
        <v>40</v>
      </c>
      <c r="E796" s="68" t="s">
        <v>1714</v>
      </c>
      <c r="F796" s="32" t="s">
        <v>1127</v>
      </c>
      <c r="G796" s="15" t="s">
        <v>154</v>
      </c>
      <c r="H796" s="15" t="s">
        <v>3202</v>
      </c>
      <c r="I796" s="13">
        <v>148</v>
      </c>
      <c r="J796" s="15" t="s">
        <v>2672</v>
      </c>
      <c r="K796" s="15" t="s">
        <v>2674</v>
      </c>
      <c r="L796" s="15" t="s">
        <v>1703</v>
      </c>
      <c r="M796" s="15" t="s">
        <v>2672</v>
      </c>
      <c r="N796" s="15" t="s">
        <v>2673</v>
      </c>
      <c r="O796" s="15"/>
    </row>
    <row r="797" spans="1:15" ht="18" customHeight="1" x14ac:dyDescent="0.3">
      <c r="A797" s="29">
        <v>796</v>
      </c>
      <c r="B797" s="15" t="s">
        <v>217</v>
      </c>
      <c r="C797" s="15" t="s">
        <v>39</v>
      </c>
      <c r="D797" s="69">
        <v>40</v>
      </c>
      <c r="E797" s="68" t="s">
        <v>1714</v>
      </c>
      <c r="F797" s="32" t="s">
        <v>1127</v>
      </c>
      <c r="G797" s="15" t="s">
        <v>154</v>
      </c>
      <c r="H797" s="15" t="s">
        <v>3203</v>
      </c>
      <c r="I797" s="13">
        <v>143</v>
      </c>
      <c r="J797" s="15" t="s">
        <v>2672</v>
      </c>
      <c r="K797" s="15" t="s">
        <v>2674</v>
      </c>
      <c r="L797" s="15" t="s">
        <v>1703</v>
      </c>
      <c r="M797" s="15" t="s">
        <v>2672</v>
      </c>
      <c r="N797" s="15" t="s">
        <v>2673</v>
      </c>
      <c r="O797" s="15"/>
    </row>
    <row r="798" spans="1:15" ht="18" customHeight="1" x14ac:dyDescent="0.3">
      <c r="A798" s="29">
        <v>797</v>
      </c>
      <c r="B798" s="15" t="s">
        <v>217</v>
      </c>
      <c r="C798" s="15" t="s">
        <v>39</v>
      </c>
      <c r="D798" s="69">
        <v>40</v>
      </c>
      <c r="E798" s="68" t="s">
        <v>1714</v>
      </c>
      <c r="F798" s="32" t="s">
        <v>1127</v>
      </c>
      <c r="G798" s="15" t="s">
        <v>154</v>
      </c>
      <c r="H798" s="15" t="s">
        <v>3204</v>
      </c>
      <c r="I798" s="13">
        <v>191</v>
      </c>
      <c r="J798" s="15" t="s">
        <v>2674</v>
      </c>
      <c r="K798" s="15" t="s">
        <v>2674</v>
      </c>
      <c r="L798" s="15" t="s">
        <v>1703</v>
      </c>
      <c r="M798" s="15" t="s">
        <v>2672</v>
      </c>
      <c r="N798" s="15" t="s">
        <v>2673</v>
      </c>
      <c r="O798" s="15"/>
    </row>
    <row r="799" spans="1:15" ht="18" customHeight="1" x14ac:dyDescent="0.3">
      <c r="A799" s="29">
        <v>798</v>
      </c>
      <c r="B799" s="15" t="s">
        <v>217</v>
      </c>
      <c r="C799" s="15" t="s">
        <v>39</v>
      </c>
      <c r="D799" s="69">
        <v>40</v>
      </c>
      <c r="E799" s="68" t="s">
        <v>1714</v>
      </c>
      <c r="F799" s="32" t="s">
        <v>1127</v>
      </c>
      <c r="G799" s="15" t="s">
        <v>154</v>
      </c>
      <c r="H799" s="15" t="s">
        <v>3205</v>
      </c>
      <c r="I799" s="13">
        <v>194</v>
      </c>
      <c r="J799" s="15" t="s">
        <v>2674</v>
      </c>
      <c r="K799" s="15" t="s">
        <v>2674</v>
      </c>
      <c r="L799" s="15" t="s">
        <v>1703</v>
      </c>
      <c r="M799" s="15" t="s">
        <v>2672</v>
      </c>
      <c r="N799" s="15" t="s">
        <v>2673</v>
      </c>
      <c r="O799" s="15"/>
    </row>
    <row r="800" spans="1:15" ht="18" customHeight="1" x14ac:dyDescent="0.3">
      <c r="A800" s="29">
        <v>799</v>
      </c>
      <c r="B800" s="15" t="s">
        <v>217</v>
      </c>
      <c r="C800" s="15" t="s">
        <v>40</v>
      </c>
      <c r="D800" s="69">
        <v>41</v>
      </c>
      <c r="E800" s="68" t="s">
        <v>964</v>
      </c>
      <c r="F800" s="21" t="s">
        <v>449</v>
      </c>
      <c r="G800" s="15" t="s">
        <v>154</v>
      </c>
      <c r="H800" s="15" t="s">
        <v>901</v>
      </c>
      <c r="I800" s="69">
        <v>322</v>
      </c>
      <c r="J800" s="13" t="s">
        <v>902</v>
      </c>
      <c r="K800" s="15" t="s">
        <v>903</v>
      </c>
      <c r="L800" s="15" t="s">
        <v>2673</v>
      </c>
      <c r="M800" s="15" t="s">
        <v>2672</v>
      </c>
      <c r="N800" s="15" t="s">
        <v>2673</v>
      </c>
      <c r="O800" s="15"/>
    </row>
    <row r="801" spans="1:15" ht="18" customHeight="1" x14ac:dyDescent="0.3">
      <c r="A801" s="29">
        <v>800</v>
      </c>
      <c r="B801" s="15" t="s">
        <v>217</v>
      </c>
      <c r="C801" s="15" t="s">
        <v>40</v>
      </c>
      <c r="D801" s="69">
        <v>41</v>
      </c>
      <c r="E801" s="68" t="s">
        <v>964</v>
      </c>
      <c r="F801" s="21" t="s">
        <v>449</v>
      </c>
      <c r="G801" s="15" t="s">
        <v>154</v>
      </c>
      <c r="H801" s="15" t="s">
        <v>904</v>
      </c>
      <c r="I801" s="69">
        <v>118</v>
      </c>
      <c r="J801" s="13" t="s">
        <v>902</v>
      </c>
      <c r="K801" s="15" t="s">
        <v>903</v>
      </c>
      <c r="L801" s="15" t="s">
        <v>2673</v>
      </c>
      <c r="M801" s="15" t="s">
        <v>2672</v>
      </c>
      <c r="N801" s="15" t="s">
        <v>2673</v>
      </c>
      <c r="O801" s="15"/>
    </row>
    <row r="802" spans="1:15" ht="18" customHeight="1" x14ac:dyDescent="0.3">
      <c r="A802" s="29">
        <v>801</v>
      </c>
      <c r="B802" s="15" t="s">
        <v>217</v>
      </c>
      <c r="C802" s="15" t="s">
        <v>40</v>
      </c>
      <c r="D802" s="69">
        <v>41</v>
      </c>
      <c r="E802" s="68" t="s">
        <v>964</v>
      </c>
      <c r="F802" s="21" t="s">
        <v>449</v>
      </c>
      <c r="G802" s="15" t="s">
        <v>154</v>
      </c>
      <c r="H802" s="15" t="s">
        <v>905</v>
      </c>
      <c r="I802" s="69">
        <v>190</v>
      </c>
      <c r="J802" s="13" t="s">
        <v>2672</v>
      </c>
      <c r="K802" s="15" t="s">
        <v>903</v>
      </c>
      <c r="L802" s="15" t="s">
        <v>2673</v>
      </c>
      <c r="M802" s="15" t="s">
        <v>2672</v>
      </c>
      <c r="N802" s="15" t="s">
        <v>2673</v>
      </c>
      <c r="O802" s="15"/>
    </row>
    <row r="803" spans="1:15" ht="18" customHeight="1" x14ac:dyDescent="0.3">
      <c r="A803" s="29">
        <v>802</v>
      </c>
      <c r="B803" s="15" t="s">
        <v>217</v>
      </c>
      <c r="C803" s="15" t="s">
        <v>40</v>
      </c>
      <c r="D803" s="69">
        <v>41</v>
      </c>
      <c r="E803" s="68" t="s">
        <v>964</v>
      </c>
      <c r="F803" s="21" t="s">
        <v>449</v>
      </c>
      <c r="G803" s="15" t="s">
        <v>154</v>
      </c>
      <c r="H803" s="15" t="s">
        <v>906</v>
      </c>
      <c r="I803" s="69">
        <v>192</v>
      </c>
      <c r="J803" s="13" t="s">
        <v>2672</v>
      </c>
      <c r="K803" s="15" t="s">
        <v>903</v>
      </c>
      <c r="L803" s="15" t="s">
        <v>2673</v>
      </c>
      <c r="M803" s="15" t="s">
        <v>2672</v>
      </c>
      <c r="N803" s="15" t="s">
        <v>2673</v>
      </c>
      <c r="O803" s="15"/>
    </row>
    <row r="804" spans="1:15" ht="18" customHeight="1" x14ac:dyDescent="0.3">
      <c r="A804" s="29">
        <v>803</v>
      </c>
      <c r="B804" s="15" t="s">
        <v>217</v>
      </c>
      <c r="C804" s="15" t="s">
        <v>40</v>
      </c>
      <c r="D804" s="69">
        <v>41</v>
      </c>
      <c r="E804" s="68" t="s">
        <v>964</v>
      </c>
      <c r="F804" s="21" t="s">
        <v>449</v>
      </c>
      <c r="G804" s="15" t="s">
        <v>154</v>
      </c>
      <c r="H804" s="15" t="s">
        <v>907</v>
      </c>
      <c r="I804" s="69">
        <v>96</v>
      </c>
      <c r="J804" s="13" t="s">
        <v>2672</v>
      </c>
      <c r="K804" s="15" t="s">
        <v>903</v>
      </c>
      <c r="L804" s="15" t="s">
        <v>2673</v>
      </c>
      <c r="M804" s="15" t="s">
        <v>2672</v>
      </c>
      <c r="N804" s="15" t="s">
        <v>2673</v>
      </c>
      <c r="O804" s="15"/>
    </row>
    <row r="805" spans="1:15" ht="18" customHeight="1" x14ac:dyDescent="0.3">
      <c r="A805" s="29">
        <v>804</v>
      </c>
      <c r="B805" s="15" t="s">
        <v>217</v>
      </c>
      <c r="C805" s="15" t="s">
        <v>40</v>
      </c>
      <c r="D805" s="69">
        <v>41</v>
      </c>
      <c r="E805" s="68" t="s">
        <v>964</v>
      </c>
      <c r="F805" s="21" t="s">
        <v>449</v>
      </c>
      <c r="G805" s="15" t="s">
        <v>154</v>
      </c>
      <c r="H805" s="15" t="s">
        <v>908</v>
      </c>
      <c r="I805" s="69">
        <v>96</v>
      </c>
      <c r="J805" s="13" t="s">
        <v>2672</v>
      </c>
      <c r="K805" s="15" t="s">
        <v>903</v>
      </c>
      <c r="L805" s="15" t="s">
        <v>2673</v>
      </c>
      <c r="M805" s="15" t="s">
        <v>2672</v>
      </c>
      <c r="N805" s="15" t="s">
        <v>2673</v>
      </c>
      <c r="O805" s="15"/>
    </row>
    <row r="806" spans="1:15" ht="18" customHeight="1" x14ac:dyDescent="0.3">
      <c r="A806" s="29">
        <v>805</v>
      </c>
      <c r="B806" s="15" t="s">
        <v>217</v>
      </c>
      <c r="C806" s="15" t="s">
        <v>40</v>
      </c>
      <c r="D806" s="69">
        <v>41</v>
      </c>
      <c r="E806" s="68" t="s">
        <v>306</v>
      </c>
      <c r="F806" s="32" t="s">
        <v>445</v>
      </c>
      <c r="G806" s="15" t="s">
        <v>164</v>
      </c>
      <c r="H806" s="15" t="s">
        <v>901</v>
      </c>
      <c r="I806" s="69">
        <v>95</v>
      </c>
      <c r="J806" s="15" t="s">
        <v>2674</v>
      </c>
      <c r="K806" s="15" t="s">
        <v>903</v>
      </c>
      <c r="L806" s="15" t="s">
        <v>2673</v>
      </c>
      <c r="M806" s="15" t="s">
        <v>2672</v>
      </c>
      <c r="N806" s="15" t="s">
        <v>2673</v>
      </c>
      <c r="O806" s="15"/>
    </row>
    <row r="807" spans="1:15" ht="18" customHeight="1" x14ac:dyDescent="0.3">
      <c r="A807" s="29">
        <v>806</v>
      </c>
      <c r="B807" s="15" t="s">
        <v>217</v>
      </c>
      <c r="C807" s="15" t="s">
        <v>40</v>
      </c>
      <c r="D807" s="69">
        <v>41</v>
      </c>
      <c r="E807" s="68" t="s">
        <v>306</v>
      </c>
      <c r="F807" s="32" t="s">
        <v>445</v>
      </c>
      <c r="G807" s="15" t="s">
        <v>164</v>
      </c>
      <c r="H807" s="15" t="s">
        <v>904</v>
      </c>
      <c r="I807" s="69">
        <v>104</v>
      </c>
      <c r="J807" s="15" t="s">
        <v>2672</v>
      </c>
      <c r="K807" s="15" t="s">
        <v>903</v>
      </c>
      <c r="L807" s="15" t="s">
        <v>2673</v>
      </c>
      <c r="M807" s="15" t="s">
        <v>2672</v>
      </c>
      <c r="N807" s="15" t="s">
        <v>2673</v>
      </c>
      <c r="O807" s="15"/>
    </row>
    <row r="808" spans="1:15" ht="18" customHeight="1" x14ac:dyDescent="0.3">
      <c r="A808" s="29">
        <v>807</v>
      </c>
      <c r="B808" s="15" t="s">
        <v>217</v>
      </c>
      <c r="C808" s="15" t="s">
        <v>40</v>
      </c>
      <c r="D808" s="69">
        <v>41</v>
      </c>
      <c r="E808" s="68" t="s">
        <v>306</v>
      </c>
      <c r="F808" s="32" t="s">
        <v>445</v>
      </c>
      <c r="G808" s="15" t="s">
        <v>164</v>
      </c>
      <c r="H808" s="15" t="s">
        <v>905</v>
      </c>
      <c r="I808" s="69">
        <v>99</v>
      </c>
      <c r="J808" s="15" t="s">
        <v>2672</v>
      </c>
      <c r="K808" s="15" t="s">
        <v>903</v>
      </c>
      <c r="L808" s="15" t="s">
        <v>2673</v>
      </c>
      <c r="M808" s="15" t="s">
        <v>2672</v>
      </c>
      <c r="N808" s="15" t="s">
        <v>2673</v>
      </c>
      <c r="O808" s="15"/>
    </row>
    <row r="809" spans="1:15" ht="18" customHeight="1" x14ac:dyDescent="0.3">
      <c r="A809" s="29">
        <v>808</v>
      </c>
      <c r="B809" s="15" t="s">
        <v>217</v>
      </c>
      <c r="C809" s="15" t="s">
        <v>40</v>
      </c>
      <c r="D809" s="69">
        <v>41</v>
      </c>
      <c r="E809" s="68" t="s">
        <v>306</v>
      </c>
      <c r="F809" s="32" t="s">
        <v>445</v>
      </c>
      <c r="G809" s="15" t="s">
        <v>164</v>
      </c>
      <c r="H809" s="15" t="s">
        <v>906</v>
      </c>
      <c r="I809" s="69">
        <v>95</v>
      </c>
      <c r="J809" s="15" t="s">
        <v>2672</v>
      </c>
      <c r="K809" s="15" t="s">
        <v>903</v>
      </c>
      <c r="L809" s="15" t="s">
        <v>2673</v>
      </c>
      <c r="M809" s="15" t="s">
        <v>2672</v>
      </c>
      <c r="N809" s="15" t="s">
        <v>2673</v>
      </c>
      <c r="O809" s="15"/>
    </row>
    <row r="810" spans="1:15" ht="18" customHeight="1" x14ac:dyDescent="0.3">
      <c r="A810" s="29">
        <v>809</v>
      </c>
      <c r="B810" s="15" t="s">
        <v>217</v>
      </c>
      <c r="C810" s="15" t="s">
        <v>40</v>
      </c>
      <c r="D810" s="69">
        <v>41</v>
      </c>
      <c r="E810" s="68" t="s">
        <v>306</v>
      </c>
      <c r="F810" s="32" t="s">
        <v>445</v>
      </c>
      <c r="G810" s="15" t="s">
        <v>164</v>
      </c>
      <c r="H810" s="15" t="s">
        <v>907</v>
      </c>
      <c r="I810" s="69">
        <v>84</v>
      </c>
      <c r="J810" s="15" t="s">
        <v>2672</v>
      </c>
      <c r="K810" s="15" t="s">
        <v>903</v>
      </c>
      <c r="L810" s="15" t="s">
        <v>2673</v>
      </c>
      <c r="M810" s="15" t="s">
        <v>2672</v>
      </c>
      <c r="N810" s="15" t="s">
        <v>2673</v>
      </c>
      <c r="O810" s="15"/>
    </row>
    <row r="811" spans="1:15" ht="18" customHeight="1" x14ac:dyDescent="0.3">
      <c r="A811" s="29">
        <v>810</v>
      </c>
      <c r="B811" s="15" t="s">
        <v>217</v>
      </c>
      <c r="C811" s="15" t="s">
        <v>40</v>
      </c>
      <c r="D811" s="69">
        <v>41</v>
      </c>
      <c r="E811" s="68" t="s">
        <v>306</v>
      </c>
      <c r="F811" s="32" t="s">
        <v>445</v>
      </c>
      <c r="G811" s="15" t="s">
        <v>164</v>
      </c>
      <c r="H811" s="15" t="s">
        <v>908</v>
      </c>
      <c r="I811" s="69">
        <v>101</v>
      </c>
      <c r="J811" s="15" t="s">
        <v>2672</v>
      </c>
      <c r="K811" s="15" t="s">
        <v>903</v>
      </c>
      <c r="L811" s="15" t="s">
        <v>2673</v>
      </c>
      <c r="M811" s="15" t="s">
        <v>2672</v>
      </c>
      <c r="N811" s="15" t="s">
        <v>2673</v>
      </c>
      <c r="O811" s="15"/>
    </row>
    <row r="812" spans="1:15" ht="18" customHeight="1" x14ac:dyDescent="0.3">
      <c r="A812" s="29">
        <v>811</v>
      </c>
      <c r="B812" s="15" t="s">
        <v>217</v>
      </c>
      <c r="C812" s="15" t="s">
        <v>40</v>
      </c>
      <c r="D812" s="69">
        <v>41</v>
      </c>
      <c r="E812" s="68" t="s">
        <v>3278</v>
      </c>
      <c r="F812" s="24" t="s">
        <v>443</v>
      </c>
      <c r="G812" s="15" t="s">
        <v>164</v>
      </c>
      <c r="H812" s="15" t="s">
        <v>901</v>
      </c>
      <c r="I812" s="69">
        <v>93</v>
      </c>
      <c r="J812" s="15" t="s">
        <v>2672</v>
      </c>
      <c r="K812" s="15" t="s">
        <v>903</v>
      </c>
      <c r="L812" s="15" t="s">
        <v>2673</v>
      </c>
      <c r="M812" s="15" t="s">
        <v>2672</v>
      </c>
      <c r="N812" s="15" t="s">
        <v>2673</v>
      </c>
      <c r="O812" s="15"/>
    </row>
    <row r="813" spans="1:15" ht="18" customHeight="1" x14ac:dyDescent="0.3">
      <c r="A813" s="29">
        <v>812</v>
      </c>
      <c r="B813" s="15" t="s">
        <v>217</v>
      </c>
      <c r="C813" s="15" t="s">
        <v>40</v>
      </c>
      <c r="D813" s="69">
        <v>41</v>
      </c>
      <c r="E813" s="68" t="s">
        <v>3278</v>
      </c>
      <c r="F813" s="24" t="s">
        <v>443</v>
      </c>
      <c r="G813" s="15" t="s">
        <v>164</v>
      </c>
      <c r="H813" s="15" t="s">
        <v>904</v>
      </c>
      <c r="I813" s="69">
        <v>87</v>
      </c>
      <c r="J813" s="15" t="s">
        <v>2674</v>
      </c>
      <c r="K813" s="15" t="s">
        <v>903</v>
      </c>
      <c r="L813" s="15" t="s">
        <v>2673</v>
      </c>
      <c r="M813" s="15" t="s">
        <v>2672</v>
      </c>
      <c r="N813" s="15" t="s">
        <v>2673</v>
      </c>
      <c r="O813" s="15"/>
    </row>
    <row r="814" spans="1:15" ht="18" customHeight="1" x14ac:dyDescent="0.3">
      <c r="A814" s="29">
        <v>813</v>
      </c>
      <c r="B814" s="15" t="s">
        <v>217</v>
      </c>
      <c r="C814" s="15" t="s">
        <v>40</v>
      </c>
      <c r="D814" s="69">
        <v>41</v>
      </c>
      <c r="E814" s="68" t="s">
        <v>3278</v>
      </c>
      <c r="F814" s="24" t="s">
        <v>443</v>
      </c>
      <c r="G814" s="15" t="s">
        <v>164</v>
      </c>
      <c r="H814" s="15" t="s">
        <v>905</v>
      </c>
      <c r="I814" s="69">
        <v>99</v>
      </c>
      <c r="J814" s="15" t="s">
        <v>2672</v>
      </c>
      <c r="K814" s="15" t="s">
        <v>903</v>
      </c>
      <c r="L814" s="15" t="s">
        <v>2673</v>
      </c>
      <c r="M814" s="15" t="s">
        <v>2672</v>
      </c>
      <c r="N814" s="15" t="s">
        <v>2673</v>
      </c>
      <c r="O814" s="15"/>
    </row>
    <row r="815" spans="1:15" ht="18" customHeight="1" x14ac:dyDescent="0.3">
      <c r="A815" s="29">
        <v>814</v>
      </c>
      <c r="B815" s="15" t="s">
        <v>217</v>
      </c>
      <c r="C815" s="15" t="s">
        <v>40</v>
      </c>
      <c r="D815" s="69">
        <v>41</v>
      </c>
      <c r="E815" s="68" t="s">
        <v>3278</v>
      </c>
      <c r="F815" s="24" t="s">
        <v>443</v>
      </c>
      <c r="G815" s="15" t="s">
        <v>164</v>
      </c>
      <c r="H815" s="15" t="s">
        <v>906</v>
      </c>
      <c r="I815" s="69">
        <v>80</v>
      </c>
      <c r="J815" s="15" t="s">
        <v>2672</v>
      </c>
      <c r="K815" s="15" t="s">
        <v>903</v>
      </c>
      <c r="L815" s="15" t="s">
        <v>2673</v>
      </c>
      <c r="M815" s="15" t="s">
        <v>2672</v>
      </c>
      <c r="N815" s="15" t="s">
        <v>2673</v>
      </c>
      <c r="O815" s="15"/>
    </row>
    <row r="816" spans="1:15" ht="18" customHeight="1" x14ac:dyDescent="0.3">
      <c r="A816" s="29">
        <v>815</v>
      </c>
      <c r="B816" s="15" t="s">
        <v>217</v>
      </c>
      <c r="C816" s="15" t="s">
        <v>40</v>
      </c>
      <c r="D816" s="69">
        <v>41</v>
      </c>
      <c r="E816" s="68" t="s">
        <v>3278</v>
      </c>
      <c r="F816" s="24" t="s">
        <v>443</v>
      </c>
      <c r="G816" s="15" t="s">
        <v>164</v>
      </c>
      <c r="H816" s="15" t="s">
        <v>907</v>
      </c>
      <c r="I816" s="69">
        <v>57</v>
      </c>
      <c r="J816" s="15" t="s">
        <v>2672</v>
      </c>
      <c r="K816" s="15" t="s">
        <v>903</v>
      </c>
      <c r="L816" s="15" t="s">
        <v>2673</v>
      </c>
      <c r="M816" s="15" t="s">
        <v>2672</v>
      </c>
      <c r="N816" s="15" t="s">
        <v>2673</v>
      </c>
      <c r="O816" s="15"/>
    </row>
    <row r="817" spans="1:15" ht="18" customHeight="1" x14ac:dyDescent="0.3">
      <c r="A817" s="29">
        <v>816</v>
      </c>
      <c r="B817" s="15" t="s">
        <v>217</v>
      </c>
      <c r="C817" s="15" t="s">
        <v>40</v>
      </c>
      <c r="D817" s="69">
        <v>41</v>
      </c>
      <c r="E817" s="68" t="s">
        <v>3278</v>
      </c>
      <c r="F817" s="24" t="s">
        <v>443</v>
      </c>
      <c r="G817" s="15" t="s">
        <v>164</v>
      </c>
      <c r="H817" s="15" t="s">
        <v>908</v>
      </c>
      <c r="I817" s="69">
        <v>43</v>
      </c>
      <c r="J817" s="15" t="s">
        <v>2672</v>
      </c>
      <c r="K817" s="15" t="s">
        <v>903</v>
      </c>
      <c r="L817" s="15" t="s">
        <v>2673</v>
      </c>
      <c r="M817" s="15" t="s">
        <v>2672</v>
      </c>
      <c r="N817" s="15" t="s">
        <v>2673</v>
      </c>
      <c r="O817" s="15"/>
    </row>
    <row r="818" spans="1:15" ht="18" customHeight="1" x14ac:dyDescent="0.3">
      <c r="A818" s="29">
        <v>817</v>
      </c>
      <c r="B818" s="15" t="s">
        <v>217</v>
      </c>
      <c r="C818" s="15" t="s">
        <v>40</v>
      </c>
      <c r="D818" s="69">
        <v>41</v>
      </c>
      <c r="E818" s="68" t="s">
        <v>3278</v>
      </c>
      <c r="F818" s="24" t="s">
        <v>443</v>
      </c>
      <c r="G818" s="15" t="s">
        <v>164</v>
      </c>
      <c r="H818" s="15" t="s">
        <v>909</v>
      </c>
      <c r="I818" s="69">
        <v>79</v>
      </c>
      <c r="J818" s="15" t="s">
        <v>2672</v>
      </c>
      <c r="K818" s="15" t="s">
        <v>903</v>
      </c>
      <c r="L818" s="15" t="s">
        <v>2673</v>
      </c>
      <c r="M818" s="15" t="s">
        <v>2672</v>
      </c>
      <c r="N818" s="15" t="s">
        <v>2673</v>
      </c>
      <c r="O818" s="15"/>
    </row>
    <row r="819" spans="1:15" ht="18" customHeight="1" x14ac:dyDescent="0.3">
      <c r="A819" s="29">
        <v>818</v>
      </c>
      <c r="B819" s="15" t="s">
        <v>217</v>
      </c>
      <c r="C819" s="15" t="s">
        <v>40</v>
      </c>
      <c r="D819" s="69">
        <v>41</v>
      </c>
      <c r="E819" s="68" t="s">
        <v>3278</v>
      </c>
      <c r="F819" s="24" t="s">
        <v>443</v>
      </c>
      <c r="G819" s="15" t="s">
        <v>164</v>
      </c>
      <c r="H819" s="15" t="s">
        <v>910</v>
      </c>
      <c r="I819" s="69">
        <v>77</v>
      </c>
      <c r="J819" s="15" t="s">
        <v>2672</v>
      </c>
      <c r="K819" s="15" t="s">
        <v>903</v>
      </c>
      <c r="L819" s="15" t="s">
        <v>2673</v>
      </c>
      <c r="M819" s="15" t="s">
        <v>2672</v>
      </c>
      <c r="N819" s="15" t="s">
        <v>2673</v>
      </c>
      <c r="O819" s="15"/>
    </row>
    <row r="820" spans="1:15" ht="18" customHeight="1" x14ac:dyDescent="0.3">
      <c r="A820" s="29">
        <v>819</v>
      </c>
      <c r="B820" s="15" t="s">
        <v>217</v>
      </c>
      <c r="C820" s="15" t="s">
        <v>40</v>
      </c>
      <c r="D820" s="69">
        <v>41</v>
      </c>
      <c r="E820" s="68" t="s">
        <v>3278</v>
      </c>
      <c r="F820" s="24" t="s">
        <v>443</v>
      </c>
      <c r="G820" s="15" t="s">
        <v>164</v>
      </c>
      <c r="H820" s="15" t="s">
        <v>911</v>
      </c>
      <c r="I820" s="69">
        <v>39</v>
      </c>
      <c r="J820" s="15" t="s">
        <v>2672</v>
      </c>
      <c r="K820" s="15" t="s">
        <v>903</v>
      </c>
      <c r="L820" s="15" t="s">
        <v>2673</v>
      </c>
      <c r="M820" s="15" t="s">
        <v>2672</v>
      </c>
      <c r="N820" s="15" t="s">
        <v>2673</v>
      </c>
      <c r="O820" s="15"/>
    </row>
    <row r="821" spans="1:15" ht="18" customHeight="1" x14ac:dyDescent="0.3">
      <c r="A821" s="29">
        <v>820</v>
      </c>
      <c r="B821" s="15" t="s">
        <v>218</v>
      </c>
      <c r="C821" s="15" t="s">
        <v>5</v>
      </c>
      <c r="D821" s="69">
        <v>42</v>
      </c>
      <c r="E821" s="68" t="s">
        <v>1015</v>
      </c>
      <c r="F821" s="21" t="s">
        <v>1722</v>
      </c>
      <c r="G821" s="15" t="s">
        <v>2673</v>
      </c>
      <c r="H821" s="15" t="s">
        <v>1016</v>
      </c>
      <c r="I821" s="69">
        <v>55</v>
      </c>
      <c r="J821" s="15" t="s">
        <v>2672</v>
      </c>
      <c r="K821" s="15" t="s">
        <v>903</v>
      </c>
      <c r="L821" s="15" t="s">
        <v>2673</v>
      </c>
      <c r="M821" s="15" t="s">
        <v>2674</v>
      </c>
      <c r="N821" s="15" t="s">
        <v>2846</v>
      </c>
      <c r="O821" s="15"/>
    </row>
    <row r="822" spans="1:15" ht="18" customHeight="1" x14ac:dyDescent="0.3">
      <c r="A822" s="29">
        <v>821</v>
      </c>
      <c r="B822" s="15" t="s">
        <v>218</v>
      </c>
      <c r="C822" s="15" t="s">
        <v>5</v>
      </c>
      <c r="D822" s="69">
        <v>42</v>
      </c>
      <c r="E822" s="68" t="s">
        <v>2847</v>
      </c>
      <c r="F822" s="21" t="s">
        <v>504</v>
      </c>
      <c r="G822" s="15" t="s">
        <v>164</v>
      </c>
      <c r="H822" s="15" t="s">
        <v>901</v>
      </c>
      <c r="I822" s="69">
        <v>62</v>
      </c>
      <c r="J822" s="13" t="s">
        <v>2672</v>
      </c>
      <c r="K822" s="15" t="s">
        <v>903</v>
      </c>
      <c r="L822" s="15" t="s">
        <v>2673</v>
      </c>
      <c r="M822" s="15" t="s">
        <v>2672</v>
      </c>
      <c r="N822" s="15" t="s">
        <v>2673</v>
      </c>
      <c r="O822" s="15"/>
    </row>
    <row r="823" spans="1:15" ht="18" customHeight="1" x14ac:dyDescent="0.3">
      <c r="A823" s="29">
        <v>822</v>
      </c>
      <c r="B823" s="15" t="s">
        <v>218</v>
      </c>
      <c r="C823" s="15" t="s">
        <v>5</v>
      </c>
      <c r="D823" s="69">
        <v>42</v>
      </c>
      <c r="E823" s="68" t="s">
        <v>2847</v>
      </c>
      <c r="F823" s="21" t="s">
        <v>504</v>
      </c>
      <c r="G823" s="15" t="s">
        <v>164</v>
      </c>
      <c r="H823" s="15" t="s">
        <v>904</v>
      </c>
      <c r="I823" s="69">
        <v>59</v>
      </c>
      <c r="J823" s="13" t="s">
        <v>2672</v>
      </c>
      <c r="K823" s="15" t="s">
        <v>903</v>
      </c>
      <c r="L823" s="15" t="s">
        <v>2673</v>
      </c>
      <c r="M823" s="15" t="s">
        <v>2672</v>
      </c>
      <c r="N823" s="15" t="s">
        <v>2673</v>
      </c>
      <c r="O823" s="15"/>
    </row>
    <row r="824" spans="1:15" ht="18" customHeight="1" x14ac:dyDescent="0.3">
      <c r="A824" s="29">
        <v>823</v>
      </c>
      <c r="B824" s="15" t="s">
        <v>218</v>
      </c>
      <c r="C824" s="15" t="s">
        <v>5</v>
      </c>
      <c r="D824" s="69">
        <v>42</v>
      </c>
      <c r="E824" s="68" t="s">
        <v>2847</v>
      </c>
      <c r="F824" s="21" t="s">
        <v>504</v>
      </c>
      <c r="G824" s="15" t="s">
        <v>164</v>
      </c>
      <c r="H824" s="15" t="s">
        <v>905</v>
      </c>
      <c r="I824" s="69">
        <v>93</v>
      </c>
      <c r="J824" s="13" t="s">
        <v>2672</v>
      </c>
      <c r="K824" s="15" t="s">
        <v>903</v>
      </c>
      <c r="L824" s="15" t="s">
        <v>2673</v>
      </c>
      <c r="M824" s="15" t="s">
        <v>2672</v>
      </c>
      <c r="N824" s="15" t="s">
        <v>2673</v>
      </c>
      <c r="O824" s="15"/>
    </row>
    <row r="825" spans="1:15" ht="18" customHeight="1" x14ac:dyDescent="0.3">
      <c r="A825" s="29">
        <v>824</v>
      </c>
      <c r="B825" s="15" t="s">
        <v>218</v>
      </c>
      <c r="C825" s="15" t="s">
        <v>5</v>
      </c>
      <c r="D825" s="69">
        <v>42</v>
      </c>
      <c r="E825" s="68" t="s">
        <v>2847</v>
      </c>
      <c r="F825" s="21" t="s">
        <v>504</v>
      </c>
      <c r="G825" s="15" t="s">
        <v>164</v>
      </c>
      <c r="H825" s="15" t="s">
        <v>906</v>
      </c>
      <c r="I825" s="69">
        <v>70</v>
      </c>
      <c r="J825" s="13" t="s">
        <v>2672</v>
      </c>
      <c r="K825" s="15" t="s">
        <v>903</v>
      </c>
      <c r="L825" s="15" t="s">
        <v>2673</v>
      </c>
      <c r="M825" s="15" t="s">
        <v>2672</v>
      </c>
      <c r="N825" s="15" t="s">
        <v>2673</v>
      </c>
      <c r="O825" s="15"/>
    </row>
    <row r="826" spans="1:15" ht="18" customHeight="1" x14ac:dyDescent="0.3">
      <c r="A826" s="29">
        <v>825</v>
      </c>
      <c r="B826" s="15" t="s">
        <v>218</v>
      </c>
      <c r="C826" s="15" t="s">
        <v>5</v>
      </c>
      <c r="D826" s="69">
        <v>42</v>
      </c>
      <c r="E826" s="68" t="s">
        <v>2847</v>
      </c>
      <c r="F826" s="21" t="s">
        <v>504</v>
      </c>
      <c r="G826" s="15" t="s">
        <v>164</v>
      </c>
      <c r="H826" s="15" t="s">
        <v>907</v>
      </c>
      <c r="I826" s="69">
        <v>86</v>
      </c>
      <c r="J826" s="13" t="s">
        <v>2672</v>
      </c>
      <c r="K826" s="15" t="s">
        <v>903</v>
      </c>
      <c r="L826" s="15" t="s">
        <v>2673</v>
      </c>
      <c r="M826" s="15" t="s">
        <v>2672</v>
      </c>
      <c r="N826" s="15" t="s">
        <v>2673</v>
      </c>
      <c r="O826" s="15"/>
    </row>
    <row r="827" spans="1:15" ht="18" customHeight="1" x14ac:dyDescent="0.3">
      <c r="A827" s="29">
        <v>826</v>
      </c>
      <c r="B827" s="15" t="s">
        <v>218</v>
      </c>
      <c r="C827" s="15" t="s">
        <v>5</v>
      </c>
      <c r="D827" s="69">
        <v>42</v>
      </c>
      <c r="E827" s="68" t="s">
        <v>2847</v>
      </c>
      <c r="F827" s="21" t="s">
        <v>504</v>
      </c>
      <c r="G827" s="15" t="s">
        <v>164</v>
      </c>
      <c r="H827" s="15" t="s">
        <v>908</v>
      </c>
      <c r="I827" s="69">
        <v>78</v>
      </c>
      <c r="J827" s="13" t="s">
        <v>2672</v>
      </c>
      <c r="K827" s="15" t="s">
        <v>903</v>
      </c>
      <c r="L827" s="15" t="s">
        <v>2673</v>
      </c>
      <c r="M827" s="15" t="s">
        <v>2672</v>
      </c>
      <c r="N827" s="15" t="s">
        <v>2673</v>
      </c>
      <c r="O827" s="15"/>
    </row>
    <row r="828" spans="1:15" ht="18" customHeight="1" x14ac:dyDescent="0.3">
      <c r="A828" s="29">
        <v>827</v>
      </c>
      <c r="B828" s="15" t="s">
        <v>218</v>
      </c>
      <c r="C828" s="15" t="s">
        <v>5</v>
      </c>
      <c r="D828" s="69">
        <v>42</v>
      </c>
      <c r="E828" s="68" t="s">
        <v>2847</v>
      </c>
      <c r="F828" s="21" t="s">
        <v>504</v>
      </c>
      <c r="G828" s="15" t="s">
        <v>164</v>
      </c>
      <c r="H828" s="15" t="s">
        <v>909</v>
      </c>
      <c r="I828" s="69">
        <v>94</v>
      </c>
      <c r="J828" s="13" t="s">
        <v>2672</v>
      </c>
      <c r="K828" s="15" t="s">
        <v>903</v>
      </c>
      <c r="L828" s="15" t="s">
        <v>2673</v>
      </c>
      <c r="M828" s="15" t="s">
        <v>2672</v>
      </c>
      <c r="N828" s="15" t="s">
        <v>2673</v>
      </c>
      <c r="O828" s="15"/>
    </row>
    <row r="829" spans="1:15" ht="18" customHeight="1" x14ac:dyDescent="0.3">
      <c r="A829" s="29">
        <v>828</v>
      </c>
      <c r="B829" s="15" t="s">
        <v>218</v>
      </c>
      <c r="C829" s="15" t="s">
        <v>5</v>
      </c>
      <c r="D829" s="69">
        <v>42</v>
      </c>
      <c r="E829" s="68" t="s">
        <v>2847</v>
      </c>
      <c r="F829" s="21" t="s">
        <v>504</v>
      </c>
      <c r="G829" s="15" t="s">
        <v>164</v>
      </c>
      <c r="H829" s="15" t="s">
        <v>910</v>
      </c>
      <c r="I829" s="69">
        <v>66</v>
      </c>
      <c r="J829" s="13" t="s">
        <v>2672</v>
      </c>
      <c r="K829" s="15" t="s">
        <v>903</v>
      </c>
      <c r="L829" s="15" t="s">
        <v>2673</v>
      </c>
      <c r="M829" s="15" t="s">
        <v>2672</v>
      </c>
      <c r="N829" s="15" t="s">
        <v>2673</v>
      </c>
      <c r="O829" s="15"/>
    </row>
    <row r="830" spans="1:15" ht="18" customHeight="1" x14ac:dyDescent="0.3">
      <c r="A830" s="29">
        <v>829</v>
      </c>
      <c r="B830" s="15" t="s">
        <v>218</v>
      </c>
      <c r="C830" s="15" t="s">
        <v>5</v>
      </c>
      <c r="D830" s="69">
        <v>42</v>
      </c>
      <c r="E830" s="68" t="s">
        <v>2847</v>
      </c>
      <c r="F830" s="21" t="s">
        <v>504</v>
      </c>
      <c r="G830" s="15" t="s">
        <v>164</v>
      </c>
      <c r="H830" s="15" t="s">
        <v>911</v>
      </c>
      <c r="I830" s="69">
        <v>55</v>
      </c>
      <c r="J830" s="13" t="s">
        <v>2672</v>
      </c>
      <c r="K830" s="15" t="s">
        <v>903</v>
      </c>
      <c r="L830" s="15" t="s">
        <v>2673</v>
      </c>
      <c r="M830" s="15" t="s">
        <v>2672</v>
      </c>
      <c r="N830" s="15" t="s">
        <v>2673</v>
      </c>
      <c r="O830" s="15"/>
    </row>
    <row r="831" spans="1:15" ht="18" customHeight="1" x14ac:dyDescent="0.3">
      <c r="A831" s="29">
        <v>830</v>
      </c>
      <c r="B831" s="15" t="s">
        <v>218</v>
      </c>
      <c r="C831" s="15" t="s">
        <v>5</v>
      </c>
      <c r="D831" s="69">
        <v>42</v>
      </c>
      <c r="E831" s="68" t="s">
        <v>3279</v>
      </c>
      <c r="F831" s="24" t="s">
        <v>502</v>
      </c>
      <c r="G831" s="15" t="s">
        <v>154</v>
      </c>
      <c r="H831" s="15" t="s">
        <v>901</v>
      </c>
      <c r="I831" s="69">
        <v>108</v>
      </c>
      <c r="J831" s="15" t="s">
        <v>2674</v>
      </c>
      <c r="K831" s="15" t="s">
        <v>903</v>
      </c>
      <c r="L831" s="15" t="s">
        <v>2673</v>
      </c>
      <c r="M831" s="15" t="s">
        <v>2672</v>
      </c>
      <c r="N831" s="15" t="s">
        <v>2673</v>
      </c>
      <c r="O831" s="15"/>
    </row>
    <row r="832" spans="1:15" ht="18" customHeight="1" x14ac:dyDescent="0.3">
      <c r="A832" s="29">
        <v>831</v>
      </c>
      <c r="B832" s="15" t="s">
        <v>218</v>
      </c>
      <c r="C832" s="15" t="s">
        <v>5</v>
      </c>
      <c r="D832" s="69">
        <v>42</v>
      </c>
      <c r="E832" s="68" t="s">
        <v>3279</v>
      </c>
      <c r="F832" s="24" t="s">
        <v>502</v>
      </c>
      <c r="G832" s="15" t="s">
        <v>154</v>
      </c>
      <c r="H832" s="15" t="s">
        <v>904</v>
      </c>
      <c r="I832" s="69">
        <v>97</v>
      </c>
      <c r="J832" s="15" t="s">
        <v>2672</v>
      </c>
      <c r="K832" s="15" t="s">
        <v>903</v>
      </c>
      <c r="L832" s="15" t="s">
        <v>2673</v>
      </c>
      <c r="M832" s="15" t="s">
        <v>2672</v>
      </c>
      <c r="N832" s="15" t="s">
        <v>2673</v>
      </c>
      <c r="O832" s="15"/>
    </row>
    <row r="833" spans="1:15" ht="18" customHeight="1" x14ac:dyDescent="0.3">
      <c r="A833" s="29">
        <v>832</v>
      </c>
      <c r="B833" s="15" t="s">
        <v>218</v>
      </c>
      <c r="C833" s="15" t="s">
        <v>5</v>
      </c>
      <c r="D833" s="69">
        <v>42</v>
      </c>
      <c r="E833" s="68" t="s">
        <v>3279</v>
      </c>
      <c r="F833" s="24" t="s">
        <v>502</v>
      </c>
      <c r="G833" s="15" t="s">
        <v>154</v>
      </c>
      <c r="H833" s="15" t="s">
        <v>905</v>
      </c>
      <c r="I833" s="69">
        <v>136</v>
      </c>
      <c r="J833" s="15" t="s">
        <v>2674</v>
      </c>
      <c r="K833" s="15" t="s">
        <v>903</v>
      </c>
      <c r="L833" s="15" t="s">
        <v>2673</v>
      </c>
      <c r="M833" s="15" t="s">
        <v>2672</v>
      </c>
      <c r="N833" s="15" t="s">
        <v>2673</v>
      </c>
      <c r="O833" s="15"/>
    </row>
    <row r="834" spans="1:15" ht="18" customHeight="1" x14ac:dyDescent="0.3">
      <c r="A834" s="29">
        <v>833</v>
      </c>
      <c r="B834" s="15" t="s">
        <v>218</v>
      </c>
      <c r="C834" s="15" t="s">
        <v>5</v>
      </c>
      <c r="D834" s="69">
        <v>42</v>
      </c>
      <c r="E834" s="68" t="s">
        <v>3279</v>
      </c>
      <c r="F834" s="24" t="s">
        <v>502</v>
      </c>
      <c r="G834" s="15" t="s">
        <v>154</v>
      </c>
      <c r="H834" s="15" t="s">
        <v>906</v>
      </c>
      <c r="I834" s="69">
        <v>115</v>
      </c>
      <c r="J834" s="15" t="s">
        <v>2672</v>
      </c>
      <c r="K834" s="15" t="s">
        <v>903</v>
      </c>
      <c r="L834" s="15" t="s">
        <v>2673</v>
      </c>
      <c r="M834" s="15" t="s">
        <v>2672</v>
      </c>
      <c r="N834" s="15" t="s">
        <v>2673</v>
      </c>
      <c r="O834" s="15"/>
    </row>
    <row r="835" spans="1:15" ht="18" customHeight="1" x14ac:dyDescent="0.3">
      <c r="A835" s="29">
        <v>834</v>
      </c>
      <c r="B835" s="15" t="s">
        <v>218</v>
      </c>
      <c r="C835" s="15" t="s">
        <v>5</v>
      </c>
      <c r="D835" s="69">
        <v>42</v>
      </c>
      <c r="E835" s="68" t="s">
        <v>3279</v>
      </c>
      <c r="F835" s="24" t="s">
        <v>502</v>
      </c>
      <c r="G835" s="15" t="s">
        <v>154</v>
      </c>
      <c r="H835" s="15" t="s">
        <v>907</v>
      </c>
      <c r="I835" s="69">
        <v>127</v>
      </c>
      <c r="J835" s="15" t="s">
        <v>2672</v>
      </c>
      <c r="K835" s="15" t="s">
        <v>903</v>
      </c>
      <c r="L835" s="15" t="s">
        <v>2673</v>
      </c>
      <c r="M835" s="15" t="s">
        <v>2672</v>
      </c>
      <c r="N835" s="15" t="s">
        <v>2673</v>
      </c>
      <c r="O835" s="15"/>
    </row>
    <row r="836" spans="1:15" ht="18" customHeight="1" x14ac:dyDescent="0.3">
      <c r="A836" s="29">
        <v>835</v>
      </c>
      <c r="B836" s="15" t="s">
        <v>218</v>
      </c>
      <c r="C836" s="15" t="s">
        <v>5</v>
      </c>
      <c r="D836" s="69">
        <v>42</v>
      </c>
      <c r="E836" s="68" t="s">
        <v>3279</v>
      </c>
      <c r="F836" s="24" t="s">
        <v>502</v>
      </c>
      <c r="G836" s="15" t="s">
        <v>154</v>
      </c>
      <c r="H836" s="15" t="s">
        <v>908</v>
      </c>
      <c r="I836" s="69">
        <v>127</v>
      </c>
      <c r="J836" s="15" t="s">
        <v>2674</v>
      </c>
      <c r="K836" s="15" t="s">
        <v>903</v>
      </c>
      <c r="L836" s="15" t="s">
        <v>2673</v>
      </c>
      <c r="M836" s="15" t="s">
        <v>2672</v>
      </c>
      <c r="N836" s="15" t="s">
        <v>2673</v>
      </c>
      <c r="O836" s="15"/>
    </row>
    <row r="837" spans="1:15" ht="18" customHeight="1" x14ac:dyDescent="0.3">
      <c r="A837" s="29">
        <v>836</v>
      </c>
      <c r="B837" s="15" t="s">
        <v>218</v>
      </c>
      <c r="C837" s="15" t="s">
        <v>5</v>
      </c>
      <c r="D837" s="69">
        <v>42</v>
      </c>
      <c r="E837" s="68" t="s">
        <v>241</v>
      </c>
      <c r="F837" s="21" t="s">
        <v>503</v>
      </c>
      <c r="G837" s="15" t="s">
        <v>154</v>
      </c>
      <c r="H837" s="15" t="s">
        <v>904</v>
      </c>
      <c r="I837" s="69">
        <v>149</v>
      </c>
      <c r="J837" s="13" t="s">
        <v>2672</v>
      </c>
      <c r="K837" s="15" t="s">
        <v>903</v>
      </c>
      <c r="L837" s="15" t="s">
        <v>2673</v>
      </c>
      <c r="M837" s="15" t="s">
        <v>2672</v>
      </c>
      <c r="N837" s="15" t="s">
        <v>2673</v>
      </c>
      <c r="O837" s="15"/>
    </row>
    <row r="838" spans="1:15" ht="18" customHeight="1" x14ac:dyDescent="0.3">
      <c r="A838" s="29">
        <v>837</v>
      </c>
      <c r="B838" s="15" t="s">
        <v>218</v>
      </c>
      <c r="C838" s="15" t="s">
        <v>5</v>
      </c>
      <c r="D838" s="69">
        <v>42</v>
      </c>
      <c r="E838" s="68" t="s">
        <v>241</v>
      </c>
      <c r="F838" s="21" t="s">
        <v>503</v>
      </c>
      <c r="G838" s="15" t="s">
        <v>154</v>
      </c>
      <c r="H838" s="15" t="s">
        <v>905</v>
      </c>
      <c r="I838" s="69">
        <v>203</v>
      </c>
      <c r="J838" s="13" t="s">
        <v>2672</v>
      </c>
      <c r="K838" s="15" t="s">
        <v>903</v>
      </c>
      <c r="L838" s="15" t="s">
        <v>2673</v>
      </c>
      <c r="M838" s="15" t="s">
        <v>2672</v>
      </c>
      <c r="N838" s="15" t="s">
        <v>2673</v>
      </c>
      <c r="O838" s="15"/>
    </row>
    <row r="839" spans="1:15" ht="18" customHeight="1" x14ac:dyDescent="0.3">
      <c r="A839" s="29">
        <v>838</v>
      </c>
      <c r="B839" s="15" t="s">
        <v>218</v>
      </c>
      <c r="C839" s="15" t="s">
        <v>5</v>
      </c>
      <c r="D839" s="69">
        <v>42</v>
      </c>
      <c r="E839" s="68" t="s">
        <v>241</v>
      </c>
      <c r="F839" s="21" t="s">
        <v>503</v>
      </c>
      <c r="G839" s="15" t="s">
        <v>154</v>
      </c>
      <c r="H839" s="15" t="s">
        <v>906</v>
      </c>
      <c r="I839" s="69">
        <v>160</v>
      </c>
      <c r="J839" s="13" t="s">
        <v>902</v>
      </c>
      <c r="K839" s="15" t="s">
        <v>903</v>
      </c>
      <c r="L839" s="15" t="s">
        <v>2673</v>
      </c>
      <c r="M839" s="15" t="s">
        <v>2672</v>
      </c>
      <c r="N839" s="15" t="s">
        <v>2673</v>
      </c>
      <c r="O839" s="15"/>
    </row>
    <row r="840" spans="1:15" ht="18" customHeight="1" x14ac:dyDescent="0.3">
      <c r="A840" s="29">
        <v>839</v>
      </c>
      <c r="B840" s="15" t="s">
        <v>218</v>
      </c>
      <c r="C840" s="15" t="s">
        <v>5</v>
      </c>
      <c r="D840" s="69">
        <v>42</v>
      </c>
      <c r="E840" s="68" t="s">
        <v>241</v>
      </c>
      <c r="F840" s="21" t="s">
        <v>503</v>
      </c>
      <c r="G840" s="15" t="s">
        <v>154</v>
      </c>
      <c r="H840" s="15" t="s">
        <v>907</v>
      </c>
      <c r="I840" s="69">
        <v>149</v>
      </c>
      <c r="J840" s="13" t="s">
        <v>2672</v>
      </c>
      <c r="K840" s="15" t="s">
        <v>903</v>
      </c>
      <c r="L840" s="15" t="s">
        <v>2673</v>
      </c>
      <c r="M840" s="15" t="s">
        <v>2672</v>
      </c>
      <c r="N840" s="15" t="s">
        <v>2673</v>
      </c>
      <c r="O840" s="15"/>
    </row>
    <row r="841" spans="1:15" ht="18" customHeight="1" x14ac:dyDescent="0.3">
      <c r="A841" s="29">
        <v>840</v>
      </c>
      <c r="B841" s="15" t="s">
        <v>218</v>
      </c>
      <c r="C841" s="15" t="s">
        <v>5</v>
      </c>
      <c r="D841" s="69">
        <v>42</v>
      </c>
      <c r="E841" s="68" t="s">
        <v>241</v>
      </c>
      <c r="F841" s="21" t="s">
        <v>503</v>
      </c>
      <c r="G841" s="15" t="s">
        <v>154</v>
      </c>
      <c r="H841" s="15" t="s">
        <v>908</v>
      </c>
      <c r="I841" s="69">
        <v>203</v>
      </c>
      <c r="J841" s="13" t="s">
        <v>902</v>
      </c>
      <c r="K841" s="15" t="s">
        <v>903</v>
      </c>
      <c r="L841" s="15" t="s">
        <v>2673</v>
      </c>
      <c r="M841" s="15" t="s">
        <v>2672</v>
      </c>
      <c r="N841" s="15" t="s">
        <v>2673</v>
      </c>
      <c r="O841" s="15"/>
    </row>
    <row r="842" spans="1:15" ht="18" customHeight="1" x14ac:dyDescent="0.3">
      <c r="A842" s="29">
        <v>841</v>
      </c>
      <c r="B842" s="15" t="s">
        <v>218</v>
      </c>
      <c r="C842" s="15" t="s">
        <v>5</v>
      </c>
      <c r="D842" s="69">
        <v>42</v>
      </c>
      <c r="E842" s="68" t="s">
        <v>241</v>
      </c>
      <c r="F842" s="21" t="s">
        <v>503</v>
      </c>
      <c r="G842" s="15" t="s">
        <v>154</v>
      </c>
      <c r="H842" s="15" t="s">
        <v>909</v>
      </c>
      <c r="I842" s="69">
        <v>160</v>
      </c>
      <c r="J842" s="13" t="s">
        <v>902</v>
      </c>
      <c r="K842" s="15" t="s">
        <v>903</v>
      </c>
      <c r="L842" s="15" t="s">
        <v>2673</v>
      </c>
      <c r="M842" s="15" t="s">
        <v>2672</v>
      </c>
      <c r="N842" s="15" t="s">
        <v>2673</v>
      </c>
      <c r="O842" s="15"/>
    </row>
    <row r="843" spans="1:15" ht="18" customHeight="1" x14ac:dyDescent="0.3">
      <c r="A843" s="29">
        <v>842</v>
      </c>
      <c r="B843" s="15" t="s">
        <v>218</v>
      </c>
      <c r="C843" s="15" t="s">
        <v>5</v>
      </c>
      <c r="D843" s="69">
        <v>42</v>
      </c>
      <c r="E843" s="68" t="s">
        <v>241</v>
      </c>
      <c r="F843" s="21" t="s">
        <v>503</v>
      </c>
      <c r="G843" s="15" t="s">
        <v>154</v>
      </c>
      <c r="H843" s="15" t="s">
        <v>910</v>
      </c>
      <c r="I843" s="69">
        <v>149</v>
      </c>
      <c r="J843" s="13" t="s">
        <v>2672</v>
      </c>
      <c r="K843" s="15" t="s">
        <v>903</v>
      </c>
      <c r="L843" s="15" t="s">
        <v>2673</v>
      </c>
      <c r="M843" s="15" t="s">
        <v>2672</v>
      </c>
      <c r="N843" s="15" t="s">
        <v>2673</v>
      </c>
      <c r="O843" s="15"/>
    </row>
    <row r="844" spans="1:15" ht="18" customHeight="1" x14ac:dyDescent="0.3">
      <c r="A844" s="29">
        <v>843</v>
      </c>
      <c r="B844" s="15" t="s">
        <v>218</v>
      </c>
      <c r="C844" s="15" t="s">
        <v>5</v>
      </c>
      <c r="D844" s="69">
        <v>42</v>
      </c>
      <c r="E844" s="68" t="s">
        <v>241</v>
      </c>
      <c r="F844" s="21" t="s">
        <v>503</v>
      </c>
      <c r="G844" s="15" t="s">
        <v>154</v>
      </c>
      <c r="H844" s="15" t="s">
        <v>911</v>
      </c>
      <c r="I844" s="69">
        <v>203</v>
      </c>
      <c r="J844" s="13" t="s">
        <v>902</v>
      </c>
      <c r="K844" s="15" t="s">
        <v>903</v>
      </c>
      <c r="L844" s="15" t="s">
        <v>2673</v>
      </c>
      <c r="M844" s="15" t="s">
        <v>2672</v>
      </c>
      <c r="N844" s="15" t="s">
        <v>2673</v>
      </c>
      <c r="O844" s="15"/>
    </row>
    <row r="845" spans="1:15" ht="18" customHeight="1" x14ac:dyDescent="0.3">
      <c r="A845" s="29">
        <v>844</v>
      </c>
      <c r="B845" s="15" t="s">
        <v>218</v>
      </c>
      <c r="C845" s="15" t="s">
        <v>5</v>
      </c>
      <c r="D845" s="69">
        <v>42</v>
      </c>
      <c r="E845" s="68" t="s">
        <v>1261</v>
      </c>
      <c r="F845" s="21" t="s">
        <v>503</v>
      </c>
      <c r="G845" s="15" t="s">
        <v>154</v>
      </c>
      <c r="H845" s="15" t="s">
        <v>1254</v>
      </c>
      <c r="I845" s="69">
        <v>36</v>
      </c>
      <c r="J845" s="13" t="s">
        <v>902</v>
      </c>
      <c r="K845" s="15" t="s">
        <v>2674</v>
      </c>
      <c r="L845" s="15" t="s">
        <v>2692</v>
      </c>
      <c r="M845" s="15" t="s">
        <v>2672</v>
      </c>
      <c r="N845" s="15" t="s">
        <v>2673</v>
      </c>
      <c r="O845" s="15"/>
    </row>
    <row r="846" spans="1:15" ht="18" customHeight="1" x14ac:dyDescent="0.3">
      <c r="A846" s="29">
        <v>845</v>
      </c>
      <c r="B846" s="15" t="s">
        <v>218</v>
      </c>
      <c r="C846" s="15" t="s">
        <v>5</v>
      </c>
      <c r="D846" s="69">
        <v>42</v>
      </c>
      <c r="E846" s="68" t="s">
        <v>3280</v>
      </c>
      <c r="F846" s="24" t="s">
        <v>1118</v>
      </c>
      <c r="G846" s="15" t="s">
        <v>154</v>
      </c>
      <c r="H846" s="15" t="s">
        <v>905</v>
      </c>
      <c r="I846" s="69">
        <v>100</v>
      </c>
      <c r="J846" s="15" t="s">
        <v>2674</v>
      </c>
      <c r="K846" s="15" t="s">
        <v>903</v>
      </c>
      <c r="L846" s="15" t="s">
        <v>2673</v>
      </c>
      <c r="M846" s="15" t="s">
        <v>2672</v>
      </c>
      <c r="N846" s="15" t="s">
        <v>2673</v>
      </c>
      <c r="O846" s="15"/>
    </row>
    <row r="847" spans="1:15" ht="18" customHeight="1" x14ac:dyDescent="0.3">
      <c r="A847" s="29">
        <v>846</v>
      </c>
      <c r="B847" s="15" t="s">
        <v>218</v>
      </c>
      <c r="C847" s="15" t="s">
        <v>5</v>
      </c>
      <c r="D847" s="69">
        <v>42</v>
      </c>
      <c r="E847" s="68" t="s">
        <v>3280</v>
      </c>
      <c r="F847" s="24" t="s">
        <v>1118</v>
      </c>
      <c r="G847" s="15" t="s">
        <v>154</v>
      </c>
      <c r="H847" s="15" t="s">
        <v>906</v>
      </c>
      <c r="I847" s="69">
        <v>100</v>
      </c>
      <c r="J847" s="15" t="s">
        <v>2672</v>
      </c>
      <c r="K847" s="15" t="s">
        <v>903</v>
      </c>
      <c r="L847" s="15" t="s">
        <v>2673</v>
      </c>
      <c r="M847" s="15" t="s">
        <v>2672</v>
      </c>
      <c r="N847" s="15" t="s">
        <v>2673</v>
      </c>
      <c r="O847" s="15"/>
    </row>
    <row r="848" spans="1:15" ht="18" customHeight="1" x14ac:dyDescent="0.3">
      <c r="A848" s="29">
        <v>847</v>
      </c>
      <c r="B848" s="15" t="s">
        <v>218</v>
      </c>
      <c r="C848" s="15" t="s">
        <v>5</v>
      </c>
      <c r="D848" s="69">
        <v>42</v>
      </c>
      <c r="E848" s="68" t="s">
        <v>3280</v>
      </c>
      <c r="F848" s="24" t="s">
        <v>2848</v>
      </c>
      <c r="G848" s="15" t="s">
        <v>154</v>
      </c>
      <c r="H848" s="15" t="s">
        <v>2726</v>
      </c>
      <c r="I848" s="69">
        <v>66</v>
      </c>
      <c r="J848" s="15" t="s">
        <v>2674</v>
      </c>
      <c r="K848" s="15" t="s">
        <v>2674</v>
      </c>
      <c r="L848" s="15" t="s">
        <v>2727</v>
      </c>
      <c r="M848" s="15" t="s">
        <v>2672</v>
      </c>
      <c r="N848" s="15" t="s">
        <v>2673</v>
      </c>
      <c r="O848" s="15"/>
    </row>
    <row r="849" spans="1:15" ht="18" customHeight="1" x14ac:dyDescent="0.3">
      <c r="A849" s="29">
        <v>848</v>
      </c>
      <c r="B849" s="15" t="s">
        <v>218</v>
      </c>
      <c r="C849" s="15" t="s">
        <v>5</v>
      </c>
      <c r="D849" s="69">
        <v>42</v>
      </c>
      <c r="E849" s="68" t="s">
        <v>3280</v>
      </c>
      <c r="F849" s="24" t="s">
        <v>501</v>
      </c>
      <c r="G849" s="15" t="s">
        <v>154</v>
      </c>
      <c r="H849" s="15" t="s">
        <v>901</v>
      </c>
      <c r="I849" s="69">
        <v>248</v>
      </c>
      <c r="J849" s="15" t="s">
        <v>2672</v>
      </c>
      <c r="K849" s="15" t="s">
        <v>903</v>
      </c>
      <c r="L849" s="15" t="s">
        <v>2673</v>
      </c>
      <c r="M849" s="15" t="s">
        <v>2672</v>
      </c>
      <c r="N849" s="15" t="s">
        <v>2673</v>
      </c>
      <c r="O849" s="15"/>
    </row>
    <row r="850" spans="1:15" ht="18" customHeight="1" x14ac:dyDescent="0.3">
      <c r="A850" s="29">
        <v>849</v>
      </c>
      <c r="B850" s="15" t="s">
        <v>218</v>
      </c>
      <c r="C850" s="15" t="s">
        <v>5</v>
      </c>
      <c r="D850" s="69">
        <v>42</v>
      </c>
      <c r="E850" s="68" t="s">
        <v>3280</v>
      </c>
      <c r="F850" s="24" t="s">
        <v>501</v>
      </c>
      <c r="G850" s="15" t="s">
        <v>154</v>
      </c>
      <c r="H850" s="15" t="s">
        <v>904</v>
      </c>
      <c r="I850" s="69">
        <v>195</v>
      </c>
      <c r="J850" s="15" t="s">
        <v>2672</v>
      </c>
      <c r="K850" s="15" t="s">
        <v>903</v>
      </c>
      <c r="L850" s="15" t="s">
        <v>2673</v>
      </c>
      <c r="M850" s="15" t="s">
        <v>2672</v>
      </c>
      <c r="N850" s="15" t="s">
        <v>2673</v>
      </c>
      <c r="O850" s="15"/>
    </row>
    <row r="851" spans="1:15" ht="18" customHeight="1" x14ac:dyDescent="0.3">
      <c r="A851" s="29">
        <v>850</v>
      </c>
      <c r="B851" s="15" t="s">
        <v>218</v>
      </c>
      <c r="C851" s="15" t="s">
        <v>5</v>
      </c>
      <c r="D851" s="69">
        <v>42</v>
      </c>
      <c r="E851" s="68" t="s">
        <v>3281</v>
      </c>
      <c r="F851" s="24" t="s">
        <v>1318</v>
      </c>
      <c r="G851" s="15" t="s">
        <v>154</v>
      </c>
      <c r="H851" s="15" t="s">
        <v>901</v>
      </c>
      <c r="I851" s="69">
        <v>113</v>
      </c>
      <c r="J851" s="15" t="s">
        <v>903</v>
      </c>
      <c r="K851" s="15" t="s">
        <v>903</v>
      </c>
      <c r="L851" s="15" t="s">
        <v>2673</v>
      </c>
      <c r="M851" s="15" t="s">
        <v>2674</v>
      </c>
      <c r="N851" s="15" t="s">
        <v>424</v>
      </c>
      <c r="O851" s="15"/>
    </row>
    <row r="852" spans="1:15" ht="18" customHeight="1" x14ac:dyDescent="0.3">
      <c r="A852" s="29">
        <v>851</v>
      </c>
      <c r="B852" s="15" t="s">
        <v>218</v>
      </c>
      <c r="C852" s="15" t="s">
        <v>5</v>
      </c>
      <c r="D852" s="69">
        <v>42</v>
      </c>
      <c r="E852" s="68" t="s">
        <v>3281</v>
      </c>
      <c r="F852" s="24" t="s">
        <v>1318</v>
      </c>
      <c r="G852" s="15" t="s">
        <v>154</v>
      </c>
      <c r="H852" s="15" t="s">
        <v>904</v>
      </c>
      <c r="I852" s="69">
        <v>113</v>
      </c>
      <c r="J852" s="15" t="s">
        <v>903</v>
      </c>
      <c r="K852" s="15" t="s">
        <v>903</v>
      </c>
      <c r="L852" s="15" t="s">
        <v>2673</v>
      </c>
      <c r="M852" s="15" t="s">
        <v>2672</v>
      </c>
      <c r="N852" s="15" t="s">
        <v>2673</v>
      </c>
      <c r="O852" s="15"/>
    </row>
    <row r="853" spans="1:15" ht="18" customHeight="1" x14ac:dyDescent="0.3">
      <c r="A853" s="29">
        <v>852</v>
      </c>
      <c r="B853" s="15" t="s">
        <v>218</v>
      </c>
      <c r="C853" s="15" t="s">
        <v>5</v>
      </c>
      <c r="D853" s="69">
        <v>42</v>
      </c>
      <c r="E853" s="68" t="s">
        <v>3281</v>
      </c>
      <c r="F853" s="24" t="s">
        <v>1318</v>
      </c>
      <c r="G853" s="15" t="s">
        <v>154</v>
      </c>
      <c r="H853" s="15" t="s">
        <v>905</v>
      </c>
      <c r="I853" s="69">
        <v>227</v>
      </c>
      <c r="J853" s="15" t="s">
        <v>903</v>
      </c>
      <c r="K853" s="15" t="s">
        <v>903</v>
      </c>
      <c r="L853" s="15" t="s">
        <v>2673</v>
      </c>
      <c r="M853" s="15" t="s">
        <v>2672</v>
      </c>
      <c r="N853" s="15" t="s">
        <v>2673</v>
      </c>
      <c r="O853" s="15"/>
    </row>
    <row r="854" spans="1:15" ht="18" customHeight="1" x14ac:dyDescent="0.3">
      <c r="A854" s="29">
        <v>853</v>
      </c>
      <c r="B854" s="15" t="s">
        <v>218</v>
      </c>
      <c r="C854" s="15" t="s">
        <v>5</v>
      </c>
      <c r="D854" s="69">
        <v>42</v>
      </c>
      <c r="E854" s="68" t="s">
        <v>3281</v>
      </c>
      <c r="F854" s="24" t="s">
        <v>1318</v>
      </c>
      <c r="G854" s="15" t="s">
        <v>154</v>
      </c>
      <c r="H854" s="15" t="s">
        <v>906</v>
      </c>
      <c r="I854" s="69">
        <v>93</v>
      </c>
      <c r="J854" s="15" t="s">
        <v>903</v>
      </c>
      <c r="K854" s="15" t="s">
        <v>903</v>
      </c>
      <c r="L854" s="15" t="s">
        <v>2673</v>
      </c>
      <c r="M854" s="15" t="s">
        <v>2672</v>
      </c>
      <c r="N854" s="15" t="s">
        <v>2673</v>
      </c>
      <c r="O854" s="15"/>
    </row>
    <row r="855" spans="1:15" ht="18" customHeight="1" x14ac:dyDescent="0.3">
      <c r="A855" s="29">
        <v>854</v>
      </c>
      <c r="B855" s="15" t="s">
        <v>218</v>
      </c>
      <c r="C855" s="15" t="s">
        <v>5</v>
      </c>
      <c r="D855" s="69">
        <v>42</v>
      </c>
      <c r="E855" s="68" t="s">
        <v>3281</v>
      </c>
      <c r="F855" s="24" t="s">
        <v>1318</v>
      </c>
      <c r="G855" s="15" t="s">
        <v>154</v>
      </c>
      <c r="H855" s="15" t="s">
        <v>907</v>
      </c>
      <c r="I855" s="69">
        <v>109</v>
      </c>
      <c r="J855" s="15" t="s">
        <v>903</v>
      </c>
      <c r="K855" s="15" t="s">
        <v>903</v>
      </c>
      <c r="L855" s="15" t="s">
        <v>2673</v>
      </c>
      <c r="M855" s="15" t="s">
        <v>2672</v>
      </c>
      <c r="N855" s="15" t="s">
        <v>2673</v>
      </c>
      <c r="O855" s="15"/>
    </row>
    <row r="856" spans="1:15" ht="18" customHeight="1" x14ac:dyDescent="0.3">
      <c r="A856" s="29">
        <v>855</v>
      </c>
      <c r="B856" s="15" t="s">
        <v>218</v>
      </c>
      <c r="C856" s="15" t="s">
        <v>5</v>
      </c>
      <c r="D856" s="69">
        <v>42</v>
      </c>
      <c r="E856" s="68" t="s">
        <v>3281</v>
      </c>
      <c r="F856" s="24" t="s">
        <v>1318</v>
      </c>
      <c r="G856" s="15" t="s">
        <v>154</v>
      </c>
      <c r="H856" s="15" t="s">
        <v>908</v>
      </c>
      <c r="I856" s="69">
        <v>137</v>
      </c>
      <c r="J856" s="15" t="s">
        <v>903</v>
      </c>
      <c r="K856" s="15" t="s">
        <v>903</v>
      </c>
      <c r="L856" s="15" t="s">
        <v>2673</v>
      </c>
      <c r="M856" s="15" t="s">
        <v>2672</v>
      </c>
      <c r="N856" s="15" t="s">
        <v>2673</v>
      </c>
      <c r="O856" s="15"/>
    </row>
    <row r="857" spans="1:15" ht="18" customHeight="1" x14ac:dyDescent="0.3">
      <c r="A857" s="29">
        <v>856</v>
      </c>
      <c r="B857" s="15" t="s">
        <v>218</v>
      </c>
      <c r="C857" s="15" t="s">
        <v>5</v>
      </c>
      <c r="D857" s="69">
        <v>42</v>
      </c>
      <c r="E857" s="68" t="s">
        <v>3281</v>
      </c>
      <c r="F857" s="24" t="s">
        <v>1318</v>
      </c>
      <c r="G857" s="15" t="s">
        <v>154</v>
      </c>
      <c r="H857" s="15" t="s">
        <v>2732</v>
      </c>
      <c r="I857" s="69">
        <v>379</v>
      </c>
      <c r="J857" s="15" t="s">
        <v>903</v>
      </c>
      <c r="K857" s="15" t="s">
        <v>903</v>
      </c>
      <c r="L857" s="15" t="s">
        <v>2673</v>
      </c>
      <c r="M857" s="15" t="s">
        <v>2672</v>
      </c>
      <c r="N857" s="15" t="s">
        <v>2673</v>
      </c>
      <c r="O857" s="15"/>
    </row>
    <row r="858" spans="1:15" ht="18" customHeight="1" x14ac:dyDescent="0.3">
      <c r="A858" s="29">
        <v>857</v>
      </c>
      <c r="B858" s="15" t="s">
        <v>218</v>
      </c>
      <c r="C858" s="15" t="s">
        <v>30</v>
      </c>
      <c r="D858" s="69">
        <v>43</v>
      </c>
      <c r="E858" s="68" t="s">
        <v>282</v>
      </c>
      <c r="F858" s="32" t="s">
        <v>486</v>
      </c>
      <c r="G858" s="15" t="s">
        <v>154</v>
      </c>
      <c r="H858" s="15" t="s">
        <v>904</v>
      </c>
      <c r="I858" s="69">
        <v>156</v>
      </c>
      <c r="J858" s="15" t="s">
        <v>2674</v>
      </c>
      <c r="K858" s="15" t="s">
        <v>903</v>
      </c>
      <c r="L858" s="15" t="s">
        <v>2673</v>
      </c>
      <c r="M858" s="15" t="s">
        <v>2672</v>
      </c>
      <c r="N858" s="15" t="s">
        <v>2673</v>
      </c>
      <c r="O858" s="15"/>
    </row>
    <row r="859" spans="1:15" ht="18" customHeight="1" x14ac:dyDescent="0.3">
      <c r="A859" s="29">
        <v>858</v>
      </c>
      <c r="B859" s="15" t="s">
        <v>218</v>
      </c>
      <c r="C859" s="15" t="s">
        <v>30</v>
      </c>
      <c r="D859" s="69">
        <v>43</v>
      </c>
      <c r="E859" s="68" t="s">
        <v>282</v>
      </c>
      <c r="F859" s="32" t="s">
        <v>486</v>
      </c>
      <c r="G859" s="15" t="s">
        <v>154</v>
      </c>
      <c r="H859" s="15" t="s">
        <v>905</v>
      </c>
      <c r="I859" s="69">
        <v>118</v>
      </c>
      <c r="J859" s="15" t="s">
        <v>2672</v>
      </c>
      <c r="K859" s="15" t="s">
        <v>903</v>
      </c>
      <c r="L859" s="15" t="s">
        <v>2673</v>
      </c>
      <c r="M859" s="15" t="s">
        <v>2672</v>
      </c>
      <c r="N859" s="15" t="s">
        <v>2673</v>
      </c>
      <c r="O859" s="15"/>
    </row>
    <row r="860" spans="1:15" ht="18" customHeight="1" x14ac:dyDescent="0.3">
      <c r="A860" s="29">
        <v>859</v>
      </c>
      <c r="B860" s="15" t="s">
        <v>218</v>
      </c>
      <c r="C860" s="15" t="s">
        <v>30</v>
      </c>
      <c r="D860" s="69">
        <v>43</v>
      </c>
      <c r="E860" s="68" t="s">
        <v>282</v>
      </c>
      <c r="F860" s="32" t="s">
        <v>486</v>
      </c>
      <c r="G860" s="15" t="s">
        <v>154</v>
      </c>
      <c r="H860" s="15" t="s">
        <v>906</v>
      </c>
      <c r="I860" s="69">
        <v>116</v>
      </c>
      <c r="J860" s="15" t="s">
        <v>2672</v>
      </c>
      <c r="K860" s="15" t="s">
        <v>903</v>
      </c>
      <c r="L860" s="15" t="s">
        <v>2673</v>
      </c>
      <c r="M860" s="15" t="s">
        <v>2672</v>
      </c>
      <c r="N860" s="15" t="s">
        <v>2673</v>
      </c>
      <c r="O860" s="15"/>
    </row>
    <row r="861" spans="1:15" ht="18" customHeight="1" x14ac:dyDescent="0.3">
      <c r="A861" s="29">
        <v>860</v>
      </c>
      <c r="B861" s="15" t="s">
        <v>218</v>
      </c>
      <c r="C861" s="15" t="s">
        <v>30</v>
      </c>
      <c r="D861" s="69">
        <v>43</v>
      </c>
      <c r="E861" s="68" t="s">
        <v>282</v>
      </c>
      <c r="F861" s="32" t="s">
        <v>486</v>
      </c>
      <c r="G861" s="15" t="s">
        <v>154</v>
      </c>
      <c r="H861" s="15" t="s">
        <v>907</v>
      </c>
      <c r="I861" s="69">
        <v>118</v>
      </c>
      <c r="J861" s="15" t="s">
        <v>2672</v>
      </c>
      <c r="K861" s="15" t="s">
        <v>903</v>
      </c>
      <c r="L861" s="15" t="s">
        <v>2673</v>
      </c>
      <c r="M861" s="15" t="s">
        <v>2672</v>
      </c>
      <c r="N861" s="15" t="s">
        <v>2673</v>
      </c>
      <c r="O861" s="15"/>
    </row>
    <row r="862" spans="1:15" ht="18" customHeight="1" x14ac:dyDescent="0.3">
      <c r="A862" s="29">
        <v>861</v>
      </c>
      <c r="B862" s="15" t="s">
        <v>218</v>
      </c>
      <c r="C862" s="15" t="s">
        <v>30</v>
      </c>
      <c r="D862" s="69">
        <v>43</v>
      </c>
      <c r="E862" s="68" t="s">
        <v>282</v>
      </c>
      <c r="F862" s="32" t="s">
        <v>486</v>
      </c>
      <c r="G862" s="15" t="s">
        <v>154</v>
      </c>
      <c r="H862" s="15" t="s">
        <v>908</v>
      </c>
      <c r="I862" s="69">
        <v>180</v>
      </c>
      <c r="J862" s="15" t="s">
        <v>2672</v>
      </c>
      <c r="K862" s="15" t="s">
        <v>903</v>
      </c>
      <c r="L862" s="15" t="s">
        <v>2673</v>
      </c>
      <c r="M862" s="15" t="s">
        <v>2672</v>
      </c>
      <c r="N862" s="15" t="s">
        <v>2673</v>
      </c>
      <c r="O862" s="15"/>
    </row>
    <row r="863" spans="1:15" ht="18" customHeight="1" x14ac:dyDescent="0.3">
      <c r="A863" s="29">
        <v>862</v>
      </c>
      <c r="B863" s="15" t="s">
        <v>218</v>
      </c>
      <c r="C863" s="15" t="s">
        <v>30</v>
      </c>
      <c r="D863" s="69">
        <v>43</v>
      </c>
      <c r="E863" s="68" t="s">
        <v>282</v>
      </c>
      <c r="F863" s="32" t="s">
        <v>486</v>
      </c>
      <c r="G863" s="15" t="s">
        <v>154</v>
      </c>
      <c r="H863" s="15" t="s">
        <v>3191</v>
      </c>
      <c r="I863" s="69">
        <v>213</v>
      </c>
      <c r="J863" s="15" t="s">
        <v>2674</v>
      </c>
      <c r="K863" s="15" t="s">
        <v>902</v>
      </c>
      <c r="L863" s="15" t="s">
        <v>2066</v>
      </c>
      <c r="M863" s="15" t="s">
        <v>2672</v>
      </c>
      <c r="N863" s="15" t="s">
        <v>2673</v>
      </c>
      <c r="O863" s="15" t="s">
        <v>2849</v>
      </c>
    </row>
    <row r="864" spans="1:15" ht="18" customHeight="1" x14ac:dyDescent="0.3">
      <c r="A864" s="29">
        <v>863</v>
      </c>
      <c r="B864" s="15" t="s">
        <v>218</v>
      </c>
      <c r="C864" s="15" t="s">
        <v>30</v>
      </c>
      <c r="D864" s="69">
        <v>43</v>
      </c>
      <c r="E864" s="68" t="s">
        <v>961</v>
      </c>
      <c r="F864" s="14" t="s">
        <v>483</v>
      </c>
      <c r="G864" s="15" t="s">
        <v>154</v>
      </c>
      <c r="H864" s="15" t="s">
        <v>904</v>
      </c>
      <c r="I864" s="69">
        <v>184</v>
      </c>
      <c r="J864" s="13" t="s">
        <v>902</v>
      </c>
      <c r="K864" s="15" t="s">
        <v>903</v>
      </c>
      <c r="L864" s="15" t="s">
        <v>2673</v>
      </c>
      <c r="M864" s="15" t="s">
        <v>2672</v>
      </c>
      <c r="N864" s="15" t="s">
        <v>2673</v>
      </c>
      <c r="O864" s="15"/>
    </row>
    <row r="865" spans="1:15" ht="18" customHeight="1" x14ac:dyDescent="0.3">
      <c r="A865" s="29">
        <v>864</v>
      </c>
      <c r="B865" s="15" t="s">
        <v>218</v>
      </c>
      <c r="C865" s="15" t="s">
        <v>30</v>
      </c>
      <c r="D865" s="69">
        <v>43</v>
      </c>
      <c r="E865" s="68" t="s">
        <v>961</v>
      </c>
      <c r="F865" s="14" t="s">
        <v>483</v>
      </c>
      <c r="G865" s="15" t="s">
        <v>154</v>
      </c>
      <c r="H865" s="15" t="s">
        <v>905</v>
      </c>
      <c r="I865" s="69">
        <v>166</v>
      </c>
      <c r="J865" s="13" t="s">
        <v>2672</v>
      </c>
      <c r="K865" s="15" t="s">
        <v>903</v>
      </c>
      <c r="L865" s="15" t="s">
        <v>2673</v>
      </c>
      <c r="M865" s="15" t="s">
        <v>2672</v>
      </c>
      <c r="N865" s="15" t="s">
        <v>2673</v>
      </c>
      <c r="O865" s="15"/>
    </row>
    <row r="866" spans="1:15" ht="18" customHeight="1" x14ac:dyDescent="0.3">
      <c r="A866" s="29">
        <v>865</v>
      </c>
      <c r="B866" s="15" t="s">
        <v>218</v>
      </c>
      <c r="C866" s="15" t="s">
        <v>30</v>
      </c>
      <c r="D866" s="69">
        <v>43</v>
      </c>
      <c r="E866" s="68" t="s">
        <v>961</v>
      </c>
      <c r="F866" s="14" t="s">
        <v>483</v>
      </c>
      <c r="G866" s="15" t="s">
        <v>154</v>
      </c>
      <c r="H866" s="15" t="s">
        <v>906</v>
      </c>
      <c r="I866" s="69">
        <v>166</v>
      </c>
      <c r="J866" s="13" t="s">
        <v>2672</v>
      </c>
      <c r="K866" s="15" t="s">
        <v>903</v>
      </c>
      <c r="L866" s="15" t="s">
        <v>2673</v>
      </c>
      <c r="M866" s="15" t="s">
        <v>2672</v>
      </c>
      <c r="N866" s="15" t="s">
        <v>2673</v>
      </c>
      <c r="O866" s="15"/>
    </row>
    <row r="867" spans="1:15" ht="18" customHeight="1" x14ac:dyDescent="0.3">
      <c r="A867" s="29">
        <v>866</v>
      </c>
      <c r="B867" s="15" t="s">
        <v>218</v>
      </c>
      <c r="C867" s="15" t="s">
        <v>30</v>
      </c>
      <c r="D867" s="69">
        <v>43</v>
      </c>
      <c r="E867" s="68" t="s">
        <v>961</v>
      </c>
      <c r="F867" s="14" t="s">
        <v>483</v>
      </c>
      <c r="G867" s="15" t="s">
        <v>154</v>
      </c>
      <c r="H867" s="15" t="s">
        <v>908</v>
      </c>
      <c r="I867" s="69">
        <v>416</v>
      </c>
      <c r="J867" s="13" t="s">
        <v>902</v>
      </c>
      <c r="K867" s="15" t="s">
        <v>903</v>
      </c>
      <c r="L867" s="15" t="s">
        <v>2673</v>
      </c>
      <c r="M867" s="15" t="s">
        <v>2672</v>
      </c>
      <c r="N867" s="15" t="s">
        <v>2673</v>
      </c>
      <c r="O867" s="15"/>
    </row>
    <row r="868" spans="1:15" ht="18" customHeight="1" x14ac:dyDescent="0.3">
      <c r="A868" s="29">
        <v>867</v>
      </c>
      <c r="B868" s="15" t="s">
        <v>218</v>
      </c>
      <c r="C868" s="15" t="s">
        <v>30</v>
      </c>
      <c r="D868" s="69">
        <v>43</v>
      </c>
      <c r="E868" s="68" t="s">
        <v>961</v>
      </c>
      <c r="F868" s="14" t="s">
        <v>1200</v>
      </c>
      <c r="G868" s="15" t="s">
        <v>154</v>
      </c>
      <c r="H868" s="15" t="s">
        <v>901</v>
      </c>
      <c r="I868" s="69">
        <v>176</v>
      </c>
      <c r="J868" s="13" t="s">
        <v>902</v>
      </c>
      <c r="K868" s="15" t="s">
        <v>903</v>
      </c>
      <c r="L868" s="15" t="s">
        <v>336</v>
      </c>
      <c r="M868" s="15" t="s">
        <v>2672</v>
      </c>
      <c r="N868" s="15" t="s">
        <v>2673</v>
      </c>
      <c r="O868" s="15"/>
    </row>
    <row r="869" spans="1:15" ht="18" customHeight="1" x14ac:dyDescent="0.3">
      <c r="A869" s="29">
        <v>868</v>
      </c>
      <c r="B869" s="15" t="s">
        <v>218</v>
      </c>
      <c r="C869" s="15" t="s">
        <v>30</v>
      </c>
      <c r="D869" s="69">
        <v>43</v>
      </c>
      <c r="E869" s="68" t="s">
        <v>961</v>
      </c>
      <c r="F869" s="14" t="s">
        <v>1200</v>
      </c>
      <c r="G869" s="15" t="s">
        <v>154</v>
      </c>
      <c r="H869" s="15" t="s">
        <v>907</v>
      </c>
      <c r="I869" s="69">
        <v>286</v>
      </c>
      <c r="J869" s="13" t="s">
        <v>2672</v>
      </c>
      <c r="K869" s="15" t="s">
        <v>903</v>
      </c>
      <c r="L869" s="15" t="s">
        <v>336</v>
      </c>
      <c r="M869" s="15" t="s">
        <v>2672</v>
      </c>
      <c r="N869" s="15" t="s">
        <v>2673</v>
      </c>
      <c r="O869" s="15"/>
    </row>
    <row r="870" spans="1:15" ht="18" customHeight="1" x14ac:dyDescent="0.3">
      <c r="A870" s="29">
        <v>869</v>
      </c>
      <c r="B870" s="15" t="s">
        <v>218</v>
      </c>
      <c r="C870" s="15" t="s">
        <v>30</v>
      </c>
      <c r="D870" s="69">
        <v>43</v>
      </c>
      <c r="E870" s="68" t="s">
        <v>1733</v>
      </c>
      <c r="F870" s="39" t="s">
        <v>482</v>
      </c>
      <c r="G870" s="15" t="s">
        <v>164</v>
      </c>
      <c r="H870" s="15" t="s">
        <v>901</v>
      </c>
      <c r="I870" s="69">
        <v>84</v>
      </c>
      <c r="J870" s="15" t="s">
        <v>2674</v>
      </c>
      <c r="K870" s="15" t="s">
        <v>2674</v>
      </c>
      <c r="L870" s="15" t="s">
        <v>2850</v>
      </c>
      <c r="M870" s="15" t="s">
        <v>2672</v>
      </c>
      <c r="N870" s="15" t="s">
        <v>2673</v>
      </c>
      <c r="O870" s="15"/>
    </row>
    <row r="871" spans="1:15" ht="18" customHeight="1" x14ac:dyDescent="0.3">
      <c r="A871" s="29">
        <v>870</v>
      </c>
      <c r="B871" s="15" t="s">
        <v>218</v>
      </c>
      <c r="C871" s="15" t="s">
        <v>30</v>
      </c>
      <c r="D871" s="69">
        <v>43</v>
      </c>
      <c r="E871" s="68" t="s">
        <v>1733</v>
      </c>
      <c r="F871" s="39" t="s">
        <v>482</v>
      </c>
      <c r="G871" s="15" t="s">
        <v>164</v>
      </c>
      <c r="H871" s="15" t="s">
        <v>904</v>
      </c>
      <c r="I871" s="69">
        <v>126</v>
      </c>
      <c r="J871" s="15" t="s">
        <v>2674</v>
      </c>
      <c r="K871" s="15" t="s">
        <v>2674</v>
      </c>
      <c r="L871" s="15" t="s">
        <v>2850</v>
      </c>
      <c r="M871" s="15" t="s">
        <v>2672</v>
      </c>
      <c r="N871" s="15" t="s">
        <v>2673</v>
      </c>
      <c r="O871" s="15"/>
    </row>
    <row r="872" spans="1:15" ht="18" customHeight="1" x14ac:dyDescent="0.3">
      <c r="A872" s="29">
        <v>871</v>
      </c>
      <c r="B872" s="15" t="s">
        <v>218</v>
      </c>
      <c r="C872" s="15" t="s">
        <v>30</v>
      </c>
      <c r="D872" s="69">
        <v>43</v>
      </c>
      <c r="E872" s="68" t="s">
        <v>1733</v>
      </c>
      <c r="F872" s="39" t="s">
        <v>482</v>
      </c>
      <c r="G872" s="15" t="s">
        <v>164</v>
      </c>
      <c r="H872" s="15" t="s">
        <v>905</v>
      </c>
      <c r="I872" s="69">
        <v>60</v>
      </c>
      <c r="J872" s="15" t="s">
        <v>2672</v>
      </c>
      <c r="K872" s="15" t="s">
        <v>2674</v>
      </c>
      <c r="L872" s="15" t="s">
        <v>2850</v>
      </c>
      <c r="M872" s="15" t="s">
        <v>2672</v>
      </c>
      <c r="N872" s="15" t="s">
        <v>2673</v>
      </c>
      <c r="O872" s="15"/>
    </row>
    <row r="873" spans="1:15" ht="18" customHeight="1" x14ac:dyDescent="0.3">
      <c r="A873" s="29">
        <v>872</v>
      </c>
      <c r="B873" s="15" t="s">
        <v>218</v>
      </c>
      <c r="C873" s="15" t="s">
        <v>30</v>
      </c>
      <c r="D873" s="69">
        <v>43</v>
      </c>
      <c r="E873" s="68" t="s">
        <v>1733</v>
      </c>
      <c r="F873" s="39" t="s">
        <v>482</v>
      </c>
      <c r="G873" s="15" t="s">
        <v>164</v>
      </c>
      <c r="H873" s="15" t="s">
        <v>906</v>
      </c>
      <c r="I873" s="69">
        <v>62</v>
      </c>
      <c r="J873" s="15" t="s">
        <v>2674</v>
      </c>
      <c r="K873" s="15" t="s">
        <v>2674</v>
      </c>
      <c r="L873" s="15" t="s">
        <v>2850</v>
      </c>
      <c r="M873" s="15" t="s">
        <v>2672</v>
      </c>
      <c r="N873" s="15" t="s">
        <v>2673</v>
      </c>
      <c r="O873" s="15"/>
    </row>
    <row r="874" spans="1:15" ht="18" customHeight="1" x14ac:dyDescent="0.3">
      <c r="A874" s="29">
        <v>873</v>
      </c>
      <c r="B874" s="15" t="s">
        <v>218</v>
      </c>
      <c r="C874" s="15" t="s">
        <v>30</v>
      </c>
      <c r="D874" s="69">
        <v>43</v>
      </c>
      <c r="E874" s="68" t="s">
        <v>1733</v>
      </c>
      <c r="F874" s="39" t="s">
        <v>482</v>
      </c>
      <c r="G874" s="15" t="s">
        <v>164</v>
      </c>
      <c r="H874" s="15" t="s">
        <v>907</v>
      </c>
      <c r="I874" s="69">
        <v>62</v>
      </c>
      <c r="J874" s="15" t="s">
        <v>2672</v>
      </c>
      <c r="K874" s="15" t="s">
        <v>2674</v>
      </c>
      <c r="L874" s="15" t="s">
        <v>2850</v>
      </c>
      <c r="M874" s="15" t="s">
        <v>2672</v>
      </c>
      <c r="N874" s="15" t="s">
        <v>2673</v>
      </c>
      <c r="O874" s="15"/>
    </row>
    <row r="875" spans="1:15" ht="18" customHeight="1" x14ac:dyDescent="0.3">
      <c r="A875" s="29">
        <v>874</v>
      </c>
      <c r="B875" s="15" t="s">
        <v>218</v>
      </c>
      <c r="C875" s="15" t="s">
        <v>30</v>
      </c>
      <c r="D875" s="69">
        <v>43</v>
      </c>
      <c r="E875" s="68" t="s">
        <v>1733</v>
      </c>
      <c r="F875" s="39" t="s">
        <v>482</v>
      </c>
      <c r="G875" s="15" t="s">
        <v>164</v>
      </c>
      <c r="H875" s="15" t="s">
        <v>908</v>
      </c>
      <c r="I875" s="69">
        <v>61</v>
      </c>
      <c r="J875" s="15" t="s">
        <v>2672</v>
      </c>
      <c r="K875" s="15" t="s">
        <v>2674</v>
      </c>
      <c r="L875" s="15" t="s">
        <v>2850</v>
      </c>
      <c r="M875" s="15" t="s">
        <v>2672</v>
      </c>
      <c r="N875" s="15" t="s">
        <v>2673</v>
      </c>
      <c r="O875" s="15"/>
    </row>
    <row r="876" spans="1:15" ht="18" customHeight="1" x14ac:dyDescent="0.3">
      <c r="A876" s="29">
        <v>875</v>
      </c>
      <c r="B876" s="15" t="s">
        <v>218</v>
      </c>
      <c r="C876" s="15" t="s">
        <v>30</v>
      </c>
      <c r="D876" s="69">
        <v>43</v>
      </c>
      <c r="E876" s="68" t="s">
        <v>1733</v>
      </c>
      <c r="F876" s="39" t="s">
        <v>482</v>
      </c>
      <c r="G876" s="15" t="s">
        <v>164</v>
      </c>
      <c r="H876" s="15" t="s">
        <v>909</v>
      </c>
      <c r="I876" s="69">
        <v>61</v>
      </c>
      <c r="J876" s="15" t="s">
        <v>2672</v>
      </c>
      <c r="K876" s="15" t="s">
        <v>2674</v>
      </c>
      <c r="L876" s="15" t="s">
        <v>2850</v>
      </c>
      <c r="M876" s="15" t="s">
        <v>2672</v>
      </c>
      <c r="N876" s="15" t="s">
        <v>2673</v>
      </c>
      <c r="O876" s="15"/>
    </row>
    <row r="877" spans="1:15" ht="18" customHeight="1" x14ac:dyDescent="0.3">
      <c r="A877" s="29">
        <v>876</v>
      </c>
      <c r="B877" s="15" t="s">
        <v>218</v>
      </c>
      <c r="C877" s="15" t="s">
        <v>30</v>
      </c>
      <c r="D877" s="69">
        <v>43</v>
      </c>
      <c r="E877" s="68" t="s">
        <v>283</v>
      </c>
      <c r="F877" s="39" t="s">
        <v>482</v>
      </c>
      <c r="G877" s="15" t="s">
        <v>1538</v>
      </c>
      <c r="H877" s="15" t="s">
        <v>2851</v>
      </c>
      <c r="I877" s="69">
        <v>85</v>
      </c>
      <c r="J877" s="15" t="s">
        <v>2672</v>
      </c>
      <c r="K877" s="15" t="s">
        <v>2674</v>
      </c>
      <c r="L877" s="15" t="s">
        <v>1703</v>
      </c>
      <c r="M877" s="15" t="s">
        <v>2672</v>
      </c>
      <c r="N877" s="15" t="s">
        <v>2673</v>
      </c>
      <c r="O877" s="15"/>
    </row>
    <row r="878" spans="1:15" ht="18" customHeight="1" x14ac:dyDescent="0.3">
      <c r="A878" s="29">
        <v>877</v>
      </c>
      <c r="B878" s="15" t="s">
        <v>218</v>
      </c>
      <c r="C878" s="15" t="s">
        <v>30</v>
      </c>
      <c r="D878" s="69">
        <v>43</v>
      </c>
      <c r="E878" s="68" t="s">
        <v>283</v>
      </c>
      <c r="F878" s="39" t="s">
        <v>482</v>
      </c>
      <c r="G878" s="15" t="s">
        <v>1538</v>
      </c>
      <c r="H878" s="15" t="s">
        <v>2767</v>
      </c>
      <c r="I878" s="69">
        <v>39</v>
      </c>
      <c r="J878" s="15" t="s">
        <v>2672</v>
      </c>
      <c r="K878" s="15" t="s">
        <v>2674</v>
      </c>
      <c r="L878" s="15" t="s">
        <v>1703</v>
      </c>
      <c r="M878" s="15" t="s">
        <v>2672</v>
      </c>
      <c r="N878" s="15" t="s">
        <v>2673</v>
      </c>
      <c r="O878" s="15"/>
    </row>
    <row r="879" spans="1:15" ht="18" customHeight="1" x14ac:dyDescent="0.3">
      <c r="A879" s="29">
        <v>878</v>
      </c>
      <c r="B879" s="15" t="s">
        <v>218</v>
      </c>
      <c r="C879" s="15" t="s">
        <v>30</v>
      </c>
      <c r="D879" s="69">
        <v>43</v>
      </c>
      <c r="E879" s="68" t="s">
        <v>283</v>
      </c>
      <c r="F879" s="39" t="s">
        <v>482</v>
      </c>
      <c r="G879" s="15" t="s">
        <v>1538</v>
      </c>
      <c r="H879" s="15" t="s">
        <v>1301</v>
      </c>
      <c r="I879" s="69">
        <v>79</v>
      </c>
      <c r="J879" s="15" t="s">
        <v>2674</v>
      </c>
      <c r="K879" s="15" t="s">
        <v>2674</v>
      </c>
      <c r="L879" s="15" t="s">
        <v>1703</v>
      </c>
      <c r="M879" s="15" t="s">
        <v>2672</v>
      </c>
      <c r="N879" s="15" t="s">
        <v>2673</v>
      </c>
      <c r="O879" s="15"/>
    </row>
    <row r="880" spans="1:15" ht="18" customHeight="1" x14ac:dyDescent="0.3">
      <c r="A880" s="29">
        <v>879</v>
      </c>
      <c r="B880" s="15" t="s">
        <v>218</v>
      </c>
      <c r="C880" s="15" t="s">
        <v>30</v>
      </c>
      <c r="D880" s="69">
        <v>43</v>
      </c>
      <c r="E880" s="68" t="s">
        <v>283</v>
      </c>
      <c r="F880" s="39" t="s">
        <v>482</v>
      </c>
      <c r="G880" s="15" t="s">
        <v>1538</v>
      </c>
      <c r="H880" s="15" t="s">
        <v>1302</v>
      </c>
      <c r="I880" s="69">
        <v>151</v>
      </c>
      <c r="J880" s="15" t="s">
        <v>2672</v>
      </c>
      <c r="K880" s="15" t="s">
        <v>2674</v>
      </c>
      <c r="L880" s="15" t="s">
        <v>1703</v>
      </c>
      <c r="M880" s="15" t="s">
        <v>2672</v>
      </c>
      <c r="N880" s="15" t="s">
        <v>2673</v>
      </c>
      <c r="O880" s="15"/>
    </row>
    <row r="881" spans="1:15" ht="18" customHeight="1" x14ac:dyDescent="0.3">
      <c r="A881" s="29">
        <v>880</v>
      </c>
      <c r="B881" s="15" t="s">
        <v>218</v>
      </c>
      <c r="C881" s="15" t="s">
        <v>30</v>
      </c>
      <c r="D881" s="69">
        <v>43</v>
      </c>
      <c r="E881" s="68" t="s">
        <v>283</v>
      </c>
      <c r="F881" s="39" t="s">
        <v>482</v>
      </c>
      <c r="G881" s="15" t="s">
        <v>1538</v>
      </c>
      <c r="H881" s="15" t="s">
        <v>1303</v>
      </c>
      <c r="I881" s="69">
        <v>102</v>
      </c>
      <c r="J881" s="15" t="s">
        <v>2672</v>
      </c>
      <c r="K881" s="15" t="s">
        <v>2674</v>
      </c>
      <c r="L881" s="15" t="s">
        <v>1703</v>
      </c>
      <c r="M881" s="15" t="s">
        <v>2672</v>
      </c>
      <c r="N881" s="15" t="s">
        <v>2673</v>
      </c>
      <c r="O881" s="15"/>
    </row>
    <row r="882" spans="1:15" ht="18" customHeight="1" x14ac:dyDescent="0.3">
      <c r="A882" s="29">
        <v>881</v>
      </c>
      <c r="B882" s="15" t="s">
        <v>218</v>
      </c>
      <c r="C882" s="15" t="s">
        <v>30</v>
      </c>
      <c r="D882" s="69">
        <v>43</v>
      </c>
      <c r="E882" s="68" t="s">
        <v>283</v>
      </c>
      <c r="F882" s="39" t="s">
        <v>482</v>
      </c>
      <c r="G882" s="15" t="s">
        <v>1538</v>
      </c>
      <c r="H882" s="15" t="s">
        <v>1304</v>
      </c>
      <c r="I882" s="69">
        <v>87</v>
      </c>
      <c r="J882" s="15" t="s">
        <v>2672</v>
      </c>
      <c r="K882" s="15" t="s">
        <v>2674</v>
      </c>
      <c r="L882" s="15" t="s">
        <v>1703</v>
      </c>
      <c r="M882" s="15" t="s">
        <v>2672</v>
      </c>
      <c r="N882" s="15" t="s">
        <v>2673</v>
      </c>
      <c r="O882" s="15"/>
    </row>
    <row r="883" spans="1:15" ht="18" customHeight="1" x14ac:dyDescent="0.3">
      <c r="A883" s="29">
        <v>882</v>
      </c>
      <c r="B883" s="15" t="s">
        <v>218</v>
      </c>
      <c r="C883" s="15" t="s">
        <v>30</v>
      </c>
      <c r="D883" s="69">
        <v>43</v>
      </c>
      <c r="E883" s="68" t="s">
        <v>283</v>
      </c>
      <c r="F883" s="39" t="s">
        <v>482</v>
      </c>
      <c r="G883" s="15" t="s">
        <v>1538</v>
      </c>
      <c r="H883" s="15" t="s">
        <v>1305</v>
      </c>
      <c r="I883" s="69">
        <v>87</v>
      </c>
      <c r="J883" s="15" t="s">
        <v>2672</v>
      </c>
      <c r="K883" s="15" t="s">
        <v>2674</v>
      </c>
      <c r="L883" s="15" t="s">
        <v>1703</v>
      </c>
      <c r="M883" s="15" t="s">
        <v>2672</v>
      </c>
      <c r="N883" s="15" t="s">
        <v>2673</v>
      </c>
      <c r="O883" s="15"/>
    </row>
    <row r="884" spans="1:15" ht="18" customHeight="1" x14ac:dyDescent="0.3">
      <c r="A884" s="29">
        <v>883</v>
      </c>
      <c r="B884" s="15" t="s">
        <v>218</v>
      </c>
      <c r="C884" s="15" t="s">
        <v>29</v>
      </c>
      <c r="D884" s="69">
        <v>44</v>
      </c>
      <c r="E884" s="68" t="s">
        <v>237</v>
      </c>
      <c r="F884" s="21" t="s">
        <v>1117</v>
      </c>
      <c r="G884" s="15" t="s">
        <v>154</v>
      </c>
      <c r="H884" s="15" t="s">
        <v>905</v>
      </c>
      <c r="I884" s="69">
        <v>149</v>
      </c>
      <c r="J884" s="13" t="s">
        <v>902</v>
      </c>
      <c r="K884" s="15" t="s">
        <v>903</v>
      </c>
      <c r="L884" s="15" t="s">
        <v>2673</v>
      </c>
      <c r="M884" s="15" t="s">
        <v>2672</v>
      </c>
      <c r="N884" s="15" t="s">
        <v>2673</v>
      </c>
      <c r="O884" s="15"/>
    </row>
    <row r="885" spans="1:15" ht="18" customHeight="1" x14ac:dyDescent="0.3">
      <c r="A885" s="29">
        <v>884</v>
      </c>
      <c r="B885" s="15" t="s">
        <v>218</v>
      </c>
      <c r="C885" s="15" t="s">
        <v>29</v>
      </c>
      <c r="D885" s="69">
        <v>44</v>
      </c>
      <c r="E885" s="68" t="s">
        <v>237</v>
      </c>
      <c r="F885" s="21" t="s">
        <v>1117</v>
      </c>
      <c r="G885" s="15" t="s">
        <v>154</v>
      </c>
      <c r="H885" s="15" t="s">
        <v>906</v>
      </c>
      <c r="I885" s="69">
        <v>179</v>
      </c>
      <c r="J885" s="13" t="s">
        <v>2672</v>
      </c>
      <c r="K885" s="15" t="s">
        <v>903</v>
      </c>
      <c r="L885" s="15" t="s">
        <v>2673</v>
      </c>
      <c r="M885" s="15" t="s">
        <v>2672</v>
      </c>
      <c r="N885" s="15" t="s">
        <v>2673</v>
      </c>
      <c r="O885" s="15"/>
    </row>
    <row r="886" spans="1:15" ht="18" customHeight="1" x14ac:dyDescent="0.3">
      <c r="A886" s="29">
        <v>885</v>
      </c>
      <c r="B886" s="15" t="s">
        <v>218</v>
      </c>
      <c r="C886" s="15" t="s">
        <v>29</v>
      </c>
      <c r="D886" s="69">
        <v>44</v>
      </c>
      <c r="E886" s="68" t="s">
        <v>237</v>
      </c>
      <c r="F886" s="21" t="s">
        <v>1117</v>
      </c>
      <c r="G886" s="15" t="s">
        <v>154</v>
      </c>
      <c r="H886" s="15" t="s">
        <v>907</v>
      </c>
      <c r="I886" s="69">
        <v>183</v>
      </c>
      <c r="J886" s="13" t="s">
        <v>2672</v>
      </c>
      <c r="K886" s="15" t="s">
        <v>903</v>
      </c>
      <c r="L886" s="15" t="s">
        <v>2673</v>
      </c>
      <c r="M886" s="15" t="s">
        <v>2672</v>
      </c>
      <c r="N886" s="15" t="s">
        <v>2673</v>
      </c>
      <c r="O886" s="15"/>
    </row>
    <row r="887" spans="1:15" ht="18" customHeight="1" x14ac:dyDescent="0.3">
      <c r="A887" s="29">
        <v>886</v>
      </c>
      <c r="B887" s="15" t="s">
        <v>218</v>
      </c>
      <c r="C887" s="15" t="s">
        <v>29</v>
      </c>
      <c r="D887" s="69">
        <v>44</v>
      </c>
      <c r="E887" s="68" t="s">
        <v>237</v>
      </c>
      <c r="F887" s="21" t="s">
        <v>1117</v>
      </c>
      <c r="G887" s="15" t="s">
        <v>154</v>
      </c>
      <c r="H887" s="15" t="s">
        <v>908</v>
      </c>
      <c r="I887" s="69">
        <v>194</v>
      </c>
      <c r="J887" s="13" t="s">
        <v>2672</v>
      </c>
      <c r="K887" s="15" t="s">
        <v>903</v>
      </c>
      <c r="L887" s="15" t="s">
        <v>2673</v>
      </c>
      <c r="M887" s="15" t="s">
        <v>2672</v>
      </c>
      <c r="N887" s="15" t="s">
        <v>2673</v>
      </c>
      <c r="O887" s="15"/>
    </row>
    <row r="888" spans="1:15" ht="18" customHeight="1" x14ac:dyDescent="0.3">
      <c r="A888" s="29">
        <v>887</v>
      </c>
      <c r="B888" s="15" t="s">
        <v>218</v>
      </c>
      <c r="C888" s="15" t="s">
        <v>29</v>
      </c>
      <c r="D888" s="69">
        <v>44</v>
      </c>
      <c r="E888" s="68" t="s">
        <v>237</v>
      </c>
      <c r="F888" s="21" t="s">
        <v>1117</v>
      </c>
      <c r="G888" s="15" t="s">
        <v>154</v>
      </c>
      <c r="H888" s="15" t="s">
        <v>909</v>
      </c>
      <c r="I888" s="69">
        <v>262</v>
      </c>
      <c r="J888" s="13" t="s">
        <v>902</v>
      </c>
      <c r="K888" s="15" t="s">
        <v>903</v>
      </c>
      <c r="L888" s="15" t="s">
        <v>2673</v>
      </c>
      <c r="M888" s="15" t="s">
        <v>2672</v>
      </c>
      <c r="N888" s="15" t="s">
        <v>2673</v>
      </c>
      <c r="O888" s="15"/>
    </row>
    <row r="889" spans="1:15" ht="18" customHeight="1" x14ac:dyDescent="0.3">
      <c r="A889" s="29">
        <v>888</v>
      </c>
      <c r="B889" s="15" t="s">
        <v>218</v>
      </c>
      <c r="C889" s="15" t="s">
        <v>29</v>
      </c>
      <c r="D889" s="69">
        <v>44</v>
      </c>
      <c r="E889" s="68" t="s">
        <v>237</v>
      </c>
      <c r="F889" s="21" t="s">
        <v>495</v>
      </c>
      <c r="G889" s="15" t="s">
        <v>154</v>
      </c>
      <c r="H889" s="15" t="s">
        <v>901</v>
      </c>
      <c r="I889" s="69">
        <v>184</v>
      </c>
      <c r="J889" s="13" t="s">
        <v>2672</v>
      </c>
      <c r="K889" s="15" t="s">
        <v>903</v>
      </c>
      <c r="L889" s="15" t="s">
        <v>2673</v>
      </c>
      <c r="M889" s="15" t="s">
        <v>2672</v>
      </c>
      <c r="N889" s="15" t="s">
        <v>2673</v>
      </c>
      <c r="O889" s="15"/>
    </row>
    <row r="890" spans="1:15" ht="18" customHeight="1" x14ac:dyDescent="0.3">
      <c r="A890" s="29">
        <v>889</v>
      </c>
      <c r="B890" s="15" t="s">
        <v>218</v>
      </c>
      <c r="C890" s="15" t="s">
        <v>29</v>
      </c>
      <c r="D890" s="69">
        <v>44</v>
      </c>
      <c r="E890" s="68" t="s">
        <v>237</v>
      </c>
      <c r="F890" s="21" t="s">
        <v>495</v>
      </c>
      <c r="G890" s="15" t="s">
        <v>154</v>
      </c>
      <c r="H890" s="15" t="s">
        <v>904</v>
      </c>
      <c r="I890" s="69">
        <v>149</v>
      </c>
      <c r="J890" s="13" t="s">
        <v>2672</v>
      </c>
      <c r="K890" s="15" t="s">
        <v>903</v>
      </c>
      <c r="L890" s="15" t="s">
        <v>2673</v>
      </c>
      <c r="M890" s="15" t="s">
        <v>2672</v>
      </c>
      <c r="N890" s="15" t="s">
        <v>2673</v>
      </c>
      <c r="O890" s="15"/>
    </row>
    <row r="891" spans="1:15" ht="18" customHeight="1" x14ac:dyDescent="0.3">
      <c r="A891" s="29">
        <v>890</v>
      </c>
      <c r="B891" s="15" t="s">
        <v>218</v>
      </c>
      <c r="C891" s="15" t="s">
        <v>34</v>
      </c>
      <c r="D891" s="69">
        <v>46</v>
      </c>
      <c r="E891" s="68" t="s">
        <v>289</v>
      </c>
      <c r="F891" s="16" t="s">
        <v>494</v>
      </c>
      <c r="G891" s="15" t="s">
        <v>164</v>
      </c>
      <c r="H891" s="15" t="s">
        <v>901</v>
      </c>
      <c r="I891" s="69">
        <v>119</v>
      </c>
      <c r="J891" s="15" t="s">
        <v>2672</v>
      </c>
      <c r="K891" s="15" t="s">
        <v>903</v>
      </c>
      <c r="L891" s="15" t="s">
        <v>2673</v>
      </c>
      <c r="M891" s="15" t="s">
        <v>2672</v>
      </c>
      <c r="N891" s="15" t="s">
        <v>2673</v>
      </c>
      <c r="O891" s="15"/>
    </row>
    <row r="892" spans="1:15" ht="18" customHeight="1" x14ac:dyDescent="0.3">
      <c r="A892" s="29">
        <v>891</v>
      </c>
      <c r="B892" s="15" t="s">
        <v>218</v>
      </c>
      <c r="C892" s="15" t="s">
        <v>34</v>
      </c>
      <c r="D892" s="69">
        <v>46</v>
      </c>
      <c r="E892" s="68" t="s">
        <v>289</v>
      </c>
      <c r="F892" s="16" t="s">
        <v>494</v>
      </c>
      <c r="G892" s="15" t="s">
        <v>164</v>
      </c>
      <c r="H892" s="15" t="s">
        <v>904</v>
      </c>
      <c r="I892" s="69">
        <v>112</v>
      </c>
      <c r="J892" s="15" t="s">
        <v>2672</v>
      </c>
      <c r="K892" s="15" t="s">
        <v>903</v>
      </c>
      <c r="L892" s="15" t="s">
        <v>2673</v>
      </c>
      <c r="M892" s="15" t="s">
        <v>2672</v>
      </c>
      <c r="N892" s="15" t="s">
        <v>2673</v>
      </c>
      <c r="O892" s="15"/>
    </row>
    <row r="893" spans="1:15" ht="18" customHeight="1" x14ac:dyDescent="0.3">
      <c r="A893" s="29">
        <v>892</v>
      </c>
      <c r="B893" s="15" t="s">
        <v>218</v>
      </c>
      <c r="C893" s="15" t="s">
        <v>34</v>
      </c>
      <c r="D893" s="69">
        <v>46</v>
      </c>
      <c r="E893" s="68" t="s">
        <v>289</v>
      </c>
      <c r="F893" s="16" t="s">
        <v>494</v>
      </c>
      <c r="G893" s="15" t="s">
        <v>164</v>
      </c>
      <c r="H893" s="15" t="s">
        <v>905</v>
      </c>
      <c r="I893" s="69">
        <v>137</v>
      </c>
      <c r="J893" s="15" t="s">
        <v>2674</v>
      </c>
      <c r="K893" s="15" t="s">
        <v>903</v>
      </c>
      <c r="L893" s="15" t="s">
        <v>2673</v>
      </c>
      <c r="M893" s="15" t="s">
        <v>2672</v>
      </c>
      <c r="N893" s="15" t="s">
        <v>2673</v>
      </c>
      <c r="O893" s="15"/>
    </row>
    <row r="894" spans="1:15" ht="18" customHeight="1" x14ac:dyDescent="0.3">
      <c r="A894" s="29">
        <v>893</v>
      </c>
      <c r="B894" s="15" t="s">
        <v>218</v>
      </c>
      <c r="C894" s="15" t="s">
        <v>34</v>
      </c>
      <c r="D894" s="69">
        <v>46</v>
      </c>
      <c r="E894" s="68" t="s">
        <v>289</v>
      </c>
      <c r="F894" s="16" t="s">
        <v>494</v>
      </c>
      <c r="G894" s="15" t="s">
        <v>164</v>
      </c>
      <c r="H894" s="15" t="s">
        <v>906</v>
      </c>
      <c r="I894" s="69">
        <v>151</v>
      </c>
      <c r="J894" s="15" t="s">
        <v>2674</v>
      </c>
      <c r="K894" s="15" t="s">
        <v>903</v>
      </c>
      <c r="L894" s="15" t="s">
        <v>2673</v>
      </c>
      <c r="M894" s="15" t="s">
        <v>2672</v>
      </c>
      <c r="N894" s="15" t="s">
        <v>2673</v>
      </c>
      <c r="O894" s="15"/>
    </row>
    <row r="895" spans="1:15" ht="18" customHeight="1" x14ac:dyDescent="0.3">
      <c r="A895" s="29">
        <v>894</v>
      </c>
      <c r="B895" s="15" t="s">
        <v>218</v>
      </c>
      <c r="C895" s="15" t="s">
        <v>34</v>
      </c>
      <c r="D895" s="69">
        <v>46</v>
      </c>
      <c r="E895" s="68" t="s">
        <v>289</v>
      </c>
      <c r="F895" s="16" t="s">
        <v>494</v>
      </c>
      <c r="G895" s="15" t="s">
        <v>164</v>
      </c>
      <c r="H895" s="15" t="s">
        <v>907</v>
      </c>
      <c r="I895" s="69">
        <v>145</v>
      </c>
      <c r="J895" s="15" t="s">
        <v>2672</v>
      </c>
      <c r="K895" s="15" t="s">
        <v>903</v>
      </c>
      <c r="L895" s="15" t="s">
        <v>2673</v>
      </c>
      <c r="M895" s="15" t="s">
        <v>2672</v>
      </c>
      <c r="N895" s="15" t="s">
        <v>2673</v>
      </c>
      <c r="O895" s="15"/>
    </row>
    <row r="896" spans="1:15" ht="18" customHeight="1" x14ac:dyDescent="0.3">
      <c r="A896" s="29">
        <v>895</v>
      </c>
      <c r="B896" s="15" t="s">
        <v>218</v>
      </c>
      <c r="C896" s="15" t="s">
        <v>34</v>
      </c>
      <c r="D896" s="69">
        <v>46</v>
      </c>
      <c r="E896" s="68" t="s">
        <v>289</v>
      </c>
      <c r="F896" s="16" t="s">
        <v>494</v>
      </c>
      <c r="G896" s="15" t="s">
        <v>164</v>
      </c>
      <c r="H896" s="15" t="s">
        <v>908</v>
      </c>
      <c r="I896" s="69">
        <v>162</v>
      </c>
      <c r="J896" s="15" t="s">
        <v>2672</v>
      </c>
      <c r="K896" s="15" t="s">
        <v>903</v>
      </c>
      <c r="L896" s="15" t="s">
        <v>2673</v>
      </c>
      <c r="M896" s="15" t="s">
        <v>2672</v>
      </c>
      <c r="N896" s="15" t="s">
        <v>2673</v>
      </c>
      <c r="O896" s="15"/>
    </row>
    <row r="897" spans="1:15" ht="18" customHeight="1" x14ac:dyDescent="0.3">
      <c r="A897" s="29">
        <v>896</v>
      </c>
      <c r="B897" s="15" t="s">
        <v>218</v>
      </c>
      <c r="C897" s="15" t="s">
        <v>34</v>
      </c>
      <c r="D897" s="69">
        <v>46</v>
      </c>
      <c r="E897" s="68" t="s">
        <v>3282</v>
      </c>
      <c r="F897" s="24" t="s">
        <v>490</v>
      </c>
      <c r="G897" s="15" t="s">
        <v>164</v>
      </c>
      <c r="H897" s="15" t="s">
        <v>901</v>
      </c>
      <c r="I897" s="69">
        <v>236</v>
      </c>
      <c r="J897" s="15" t="s">
        <v>2672</v>
      </c>
      <c r="K897" s="15" t="s">
        <v>903</v>
      </c>
      <c r="L897" s="15" t="s">
        <v>2673</v>
      </c>
      <c r="M897" s="15" t="s">
        <v>2672</v>
      </c>
      <c r="N897" s="15" t="s">
        <v>2673</v>
      </c>
      <c r="O897" s="15"/>
    </row>
    <row r="898" spans="1:15" ht="18" customHeight="1" x14ac:dyDescent="0.3">
      <c r="A898" s="29">
        <v>897</v>
      </c>
      <c r="B898" s="15" t="s">
        <v>218</v>
      </c>
      <c r="C898" s="15" t="s">
        <v>34</v>
      </c>
      <c r="D898" s="69">
        <v>46</v>
      </c>
      <c r="E898" s="68" t="s">
        <v>3282</v>
      </c>
      <c r="F898" s="24" t="s">
        <v>490</v>
      </c>
      <c r="G898" s="15" t="s">
        <v>164</v>
      </c>
      <c r="H898" s="15" t="s">
        <v>904</v>
      </c>
      <c r="I898" s="69">
        <v>173</v>
      </c>
      <c r="J898" s="15" t="s">
        <v>2672</v>
      </c>
      <c r="K898" s="15" t="s">
        <v>903</v>
      </c>
      <c r="L898" s="15" t="s">
        <v>2673</v>
      </c>
      <c r="M898" s="15" t="s">
        <v>2672</v>
      </c>
      <c r="N898" s="15" t="s">
        <v>2673</v>
      </c>
      <c r="O898" s="15"/>
    </row>
    <row r="899" spans="1:15" ht="18" customHeight="1" x14ac:dyDescent="0.3">
      <c r="A899" s="29">
        <v>898</v>
      </c>
      <c r="B899" s="15" t="s">
        <v>218</v>
      </c>
      <c r="C899" s="15" t="s">
        <v>34</v>
      </c>
      <c r="D899" s="69">
        <v>46</v>
      </c>
      <c r="E899" s="68" t="s">
        <v>3282</v>
      </c>
      <c r="F899" s="24" t="s">
        <v>490</v>
      </c>
      <c r="G899" s="15" t="s">
        <v>164</v>
      </c>
      <c r="H899" s="15" t="s">
        <v>905</v>
      </c>
      <c r="I899" s="69">
        <v>187</v>
      </c>
      <c r="J899" s="15" t="s">
        <v>2672</v>
      </c>
      <c r="K899" s="15" t="s">
        <v>903</v>
      </c>
      <c r="L899" s="15" t="s">
        <v>2673</v>
      </c>
      <c r="M899" s="15" t="s">
        <v>2672</v>
      </c>
      <c r="N899" s="15" t="s">
        <v>2673</v>
      </c>
      <c r="O899" s="15"/>
    </row>
    <row r="900" spans="1:15" ht="18" customHeight="1" x14ac:dyDescent="0.3">
      <c r="A900" s="29">
        <v>899</v>
      </c>
      <c r="B900" s="15" t="s">
        <v>218</v>
      </c>
      <c r="C900" s="15" t="s">
        <v>34</v>
      </c>
      <c r="D900" s="69">
        <v>46</v>
      </c>
      <c r="E900" s="68" t="s">
        <v>3282</v>
      </c>
      <c r="F900" s="24" t="s">
        <v>490</v>
      </c>
      <c r="G900" s="15" t="s">
        <v>164</v>
      </c>
      <c r="H900" s="15" t="s">
        <v>906</v>
      </c>
      <c r="I900" s="69">
        <v>154</v>
      </c>
      <c r="J900" s="15" t="s">
        <v>2674</v>
      </c>
      <c r="K900" s="15" t="s">
        <v>903</v>
      </c>
      <c r="L900" s="15" t="s">
        <v>2673</v>
      </c>
      <c r="M900" s="15" t="s">
        <v>2672</v>
      </c>
      <c r="N900" s="15" t="s">
        <v>2673</v>
      </c>
      <c r="O900" s="15"/>
    </row>
    <row r="901" spans="1:15" ht="18" customHeight="1" x14ac:dyDescent="0.3">
      <c r="A901" s="29">
        <v>900</v>
      </c>
      <c r="B901" s="15" t="s">
        <v>218</v>
      </c>
      <c r="C901" s="15" t="s">
        <v>34</v>
      </c>
      <c r="D901" s="69">
        <v>46</v>
      </c>
      <c r="E901" s="68" t="s">
        <v>3282</v>
      </c>
      <c r="F901" s="24" t="s">
        <v>490</v>
      </c>
      <c r="G901" s="15" t="s">
        <v>164</v>
      </c>
      <c r="H901" s="15" t="s">
        <v>907</v>
      </c>
      <c r="I901" s="69">
        <v>109</v>
      </c>
      <c r="J901" s="15" t="s">
        <v>2672</v>
      </c>
      <c r="K901" s="15" t="s">
        <v>903</v>
      </c>
      <c r="L901" s="15" t="s">
        <v>2673</v>
      </c>
      <c r="M901" s="15" t="s">
        <v>2672</v>
      </c>
      <c r="N901" s="15" t="s">
        <v>2673</v>
      </c>
      <c r="O901" s="15"/>
    </row>
    <row r="902" spans="1:15" ht="18" customHeight="1" x14ac:dyDescent="0.3">
      <c r="A902" s="29">
        <v>901</v>
      </c>
      <c r="B902" s="15" t="s">
        <v>218</v>
      </c>
      <c r="C902" s="15" t="s">
        <v>34</v>
      </c>
      <c r="D902" s="69">
        <v>46</v>
      </c>
      <c r="E902" s="68" t="s">
        <v>3282</v>
      </c>
      <c r="F902" s="24" t="s">
        <v>490</v>
      </c>
      <c r="G902" s="15" t="s">
        <v>164</v>
      </c>
      <c r="H902" s="15" t="s">
        <v>908</v>
      </c>
      <c r="I902" s="69">
        <v>120</v>
      </c>
      <c r="J902" s="15" t="s">
        <v>2674</v>
      </c>
      <c r="K902" s="15" t="s">
        <v>903</v>
      </c>
      <c r="L902" s="15" t="s">
        <v>2673</v>
      </c>
      <c r="M902" s="15" t="s">
        <v>2672</v>
      </c>
      <c r="N902" s="15" t="s">
        <v>2673</v>
      </c>
      <c r="O902" s="15"/>
    </row>
    <row r="903" spans="1:15" ht="18" customHeight="1" x14ac:dyDescent="0.3">
      <c r="A903" s="29">
        <v>902</v>
      </c>
      <c r="B903" s="15" t="s">
        <v>218</v>
      </c>
      <c r="C903" s="15" t="s">
        <v>34</v>
      </c>
      <c r="D903" s="69">
        <v>46</v>
      </c>
      <c r="E903" s="68" t="s">
        <v>3282</v>
      </c>
      <c r="F903" s="24" t="s">
        <v>490</v>
      </c>
      <c r="G903" s="15" t="s">
        <v>164</v>
      </c>
      <c r="H903" s="15" t="s">
        <v>909</v>
      </c>
      <c r="I903" s="69">
        <v>120</v>
      </c>
      <c r="J903" s="15" t="s">
        <v>2672</v>
      </c>
      <c r="K903" s="15" t="s">
        <v>903</v>
      </c>
      <c r="L903" s="15" t="s">
        <v>2673</v>
      </c>
      <c r="M903" s="15" t="s">
        <v>2672</v>
      </c>
      <c r="N903" s="15" t="s">
        <v>2673</v>
      </c>
      <c r="O903" s="15"/>
    </row>
    <row r="904" spans="1:15" ht="18" customHeight="1" x14ac:dyDescent="0.3">
      <c r="A904" s="29">
        <v>903</v>
      </c>
      <c r="B904" s="15" t="s">
        <v>1739</v>
      </c>
      <c r="C904" s="15" t="s">
        <v>1740</v>
      </c>
      <c r="D904" s="69">
        <v>46</v>
      </c>
      <c r="E904" s="68" t="s">
        <v>3283</v>
      </c>
      <c r="F904" s="51" t="s">
        <v>1742</v>
      </c>
      <c r="G904" s="15" t="s">
        <v>1553</v>
      </c>
      <c r="H904" s="15" t="s">
        <v>2685</v>
      </c>
      <c r="I904" s="69">
        <v>87</v>
      </c>
      <c r="J904" s="15" t="s">
        <v>2672</v>
      </c>
      <c r="K904" s="15" t="s">
        <v>903</v>
      </c>
      <c r="L904" s="15" t="s">
        <v>2673</v>
      </c>
      <c r="M904" s="15" t="s">
        <v>2672</v>
      </c>
      <c r="N904" s="15" t="s">
        <v>2673</v>
      </c>
      <c r="O904" s="15"/>
    </row>
    <row r="905" spans="1:15" ht="18" customHeight="1" x14ac:dyDescent="0.3">
      <c r="A905" s="29">
        <v>904</v>
      </c>
      <c r="B905" s="15" t="s">
        <v>1739</v>
      </c>
      <c r="C905" s="15" t="s">
        <v>1740</v>
      </c>
      <c r="D905" s="69">
        <v>46</v>
      </c>
      <c r="E905" s="68" t="s">
        <v>3283</v>
      </c>
      <c r="F905" s="51" t="s">
        <v>1742</v>
      </c>
      <c r="G905" s="15" t="s">
        <v>1553</v>
      </c>
      <c r="H905" s="15" t="s">
        <v>2678</v>
      </c>
      <c r="I905" s="69">
        <v>107</v>
      </c>
      <c r="J905" s="15" t="s">
        <v>2672</v>
      </c>
      <c r="K905" s="15" t="s">
        <v>903</v>
      </c>
      <c r="L905" s="15" t="s">
        <v>2673</v>
      </c>
      <c r="M905" s="15" t="s">
        <v>2672</v>
      </c>
      <c r="N905" s="15" t="s">
        <v>2673</v>
      </c>
      <c r="O905" s="15"/>
    </row>
    <row r="906" spans="1:15" ht="18" customHeight="1" x14ac:dyDescent="0.3">
      <c r="A906" s="29">
        <v>905</v>
      </c>
      <c r="B906" s="15" t="s">
        <v>1739</v>
      </c>
      <c r="C906" s="15" t="s">
        <v>1740</v>
      </c>
      <c r="D906" s="69">
        <v>46</v>
      </c>
      <c r="E906" s="68" t="s">
        <v>3283</v>
      </c>
      <c r="F906" s="51" t="s">
        <v>1742</v>
      </c>
      <c r="G906" s="15" t="s">
        <v>1553</v>
      </c>
      <c r="H906" s="15" t="s">
        <v>2679</v>
      </c>
      <c r="I906" s="69">
        <v>87</v>
      </c>
      <c r="J906" s="15" t="s">
        <v>2672</v>
      </c>
      <c r="K906" s="15" t="s">
        <v>903</v>
      </c>
      <c r="L906" s="15" t="s">
        <v>2673</v>
      </c>
      <c r="M906" s="15" t="s">
        <v>2672</v>
      </c>
      <c r="N906" s="15" t="s">
        <v>2673</v>
      </c>
      <c r="O906" s="15"/>
    </row>
    <row r="907" spans="1:15" ht="18" customHeight="1" x14ac:dyDescent="0.3">
      <c r="A907" s="29">
        <v>906</v>
      </c>
      <c r="B907" s="15" t="s">
        <v>1739</v>
      </c>
      <c r="C907" s="15" t="s">
        <v>1740</v>
      </c>
      <c r="D907" s="69">
        <v>46</v>
      </c>
      <c r="E907" s="68" t="s">
        <v>3283</v>
      </c>
      <c r="F907" s="51" t="s">
        <v>1742</v>
      </c>
      <c r="G907" s="15" t="s">
        <v>1553</v>
      </c>
      <c r="H907" s="15" t="s">
        <v>2680</v>
      </c>
      <c r="I907" s="69">
        <v>107</v>
      </c>
      <c r="J907" s="15" t="s">
        <v>2672</v>
      </c>
      <c r="K907" s="15" t="s">
        <v>903</v>
      </c>
      <c r="L907" s="15" t="s">
        <v>2673</v>
      </c>
      <c r="M907" s="15" t="s">
        <v>2672</v>
      </c>
      <c r="N907" s="15" t="s">
        <v>2673</v>
      </c>
      <c r="O907" s="15"/>
    </row>
    <row r="908" spans="1:15" ht="18" customHeight="1" x14ac:dyDescent="0.3">
      <c r="A908" s="29">
        <v>907</v>
      </c>
      <c r="B908" s="15" t="s">
        <v>1739</v>
      </c>
      <c r="C908" s="15" t="s">
        <v>1740</v>
      </c>
      <c r="D908" s="69">
        <v>46</v>
      </c>
      <c r="E908" s="68" t="s">
        <v>3283</v>
      </c>
      <c r="F908" s="51" t="s">
        <v>1742</v>
      </c>
      <c r="G908" s="15" t="s">
        <v>1553</v>
      </c>
      <c r="H908" s="15" t="s">
        <v>2690</v>
      </c>
      <c r="I908" s="69">
        <v>84</v>
      </c>
      <c r="J908" s="15" t="s">
        <v>2672</v>
      </c>
      <c r="K908" s="15" t="s">
        <v>903</v>
      </c>
      <c r="L908" s="15" t="s">
        <v>2673</v>
      </c>
      <c r="M908" s="15" t="s">
        <v>2672</v>
      </c>
      <c r="N908" s="15" t="s">
        <v>2673</v>
      </c>
      <c r="O908" s="15"/>
    </row>
    <row r="909" spans="1:15" ht="18" customHeight="1" x14ac:dyDescent="0.3">
      <c r="A909" s="29">
        <v>908</v>
      </c>
      <c r="B909" s="15" t="s">
        <v>1739</v>
      </c>
      <c r="C909" s="15" t="s">
        <v>1740</v>
      </c>
      <c r="D909" s="69">
        <v>46</v>
      </c>
      <c r="E909" s="68" t="s">
        <v>3283</v>
      </c>
      <c r="F909" s="51" t="s">
        <v>1742</v>
      </c>
      <c r="G909" s="15" t="s">
        <v>1553</v>
      </c>
      <c r="H909" s="15" t="s">
        <v>2682</v>
      </c>
      <c r="I909" s="69">
        <v>84</v>
      </c>
      <c r="J909" s="15" t="s">
        <v>2672</v>
      </c>
      <c r="K909" s="15" t="s">
        <v>903</v>
      </c>
      <c r="L909" s="15" t="s">
        <v>2673</v>
      </c>
      <c r="M909" s="15" t="s">
        <v>2672</v>
      </c>
      <c r="N909" s="15" t="s">
        <v>2673</v>
      </c>
      <c r="O909" s="15"/>
    </row>
    <row r="910" spans="1:15" ht="18" customHeight="1" x14ac:dyDescent="0.3">
      <c r="A910" s="29">
        <v>909</v>
      </c>
      <c r="B910" s="29" t="s">
        <v>1739</v>
      </c>
      <c r="C910" s="29" t="s">
        <v>1740</v>
      </c>
      <c r="D910" s="29">
        <v>46</v>
      </c>
      <c r="E910" s="51" t="s">
        <v>1744</v>
      </c>
      <c r="F910" s="51" t="s">
        <v>1745</v>
      </c>
      <c r="G910" s="29" t="s">
        <v>1538</v>
      </c>
      <c r="H910" s="15" t="s">
        <v>2685</v>
      </c>
      <c r="I910" s="69">
        <v>177</v>
      </c>
      <c r="J910" s="15" t="s">
        <v>2672</v>
      </c>
      <c r="K910" s="15" t="s">
        <v>903</v>
      </c>
      <c r="L910" s="15" t="s">
        <v>2673</v>
      </c>
      <c r="M910" s="15" t="s">
        <v>2672</v>
      </c>
      <c r="N910" s="15" t="s">
        <v>2673</v>
      </c>
      <c r="O910" s="15"/>
    </row>
    <row r="911" spans="1:15" ht="18" customHeight="1" x14ac:dyDescent="0.3">
      <c r="A911" s="29">
        <v>910</v>
      </c>
      <c r="B911" s="29" t="s">
        <v>1739</v>
      </c>
      <c r="C911" s="29" t="s">
        <v>1740</v>
      </c>
      <c r="D911" s="29">
        <v>46</v>
      </c>
      <c r="E911" s="51" t="s">
        <v>1744</v>
      </c>
      <c r="F911" s="51" t="s">
        <v>1745</v>
      </c>
      <c r="G911" s="29" t="s">
        <v>1538</v>
      </c>
      <c r="H911" s="15" t="s">
        <v>2678</v>
      </c>
      <c r="I911" s="69">
        <v>322</v>
      </c>
      <c r="J911" s="15" t="s">
        <v>2672</v>
      </c>
      <c r="K911" s="15" t="s">
        <v>903</v>
      </c>
      <c r="L911" s="15" t="s">
        <v>2673</v>
      </c>
      <c r="M911" s="15" t="s">
        <v>2672</v>
      </c>
      <c r="N911" s="15" t="s">
        <v>2673</v>
      </c>
      <c r="O911" s="15"/>
    </row>
    <row r="912" spans="1:15" ht="18" customHeight="1" x14ac:dyDescent="0.3">
      <c r="A912" s="29">
        <v>911</v>
      </c>
      <c r="B912" s="29" t="s">
        <v>1739</v>
      </c>
      <c r="C912" s="29" t="s">
        <v>1740</v>
      </c>
      <c r="D912" s="29">
        <v>46</v>
      </c>
      <c r="E912" s="51" t="s">
        <v>1744</v>
      </c>
      <c r="F912" s="51" t="s">
        <v>1745</v>
      </c>
      <c r="G912" s="29" t="s">
        <v>1538</v>
      </c>
      <c r="H912" s="15" t="s">
        <v>2679</v>
      </c>
      <c r="I912" s="69">
        <v>189</v>
      </c>
      <c r="J912" s="15" t="s">
        <v>2672</v>
      </c>
      <c r="K912" s="15" t="s">
        <v>903</v>
      </c>
      <c r="L912" s="15" t="s">
        <v>2673</v>
      </c>
      <c r="M912" s="15" t="s">
        <v>2672</v>
      </c>
      <c r="N912" s="15" t="s">
        <v>2673</v>
      </c>
      <c r="O912" s="15"/>
    </row>
    <row r="913" spans="1:15" ht="18" customHeight="1" x14ac:dyDescent="0.3">
      <c r="A913" s="29">
        <v>912</v>
      </c>
      <c r="B913" s="29" t="s">
        <v>1739</v>
      </c>
      <c r="C913" s="29" t="s">
        <v>1740</v>
      </c>
      <c r="D913" s="29">
        <v>46</v>
      </c>
      <c r="E913" s="51" t="s">
        <v>1744</v>
      </c>
      <c r="F913" s="51" t="s">
        <v>1745</v>
      </c>
      <c r="G913" s="29" t="s">
        <v>1538</v>
      </c>
      <c r="H913" s="15" t="s">
        <v>2711</v>
      </c>
      <c r="I913" s="69">
        <v>120</v>
      </c>
      <c r="J913" s="15" t="s">
        <v>2672</v>
      </c>
      <c r="K913" s="15" t="s">
        <v>2674</v>
      </c>
      <c r="L913" s="15" t="s">
        <v>3147</v>
      </c>
      <c r="M913" s="15" t="s">
        <v>2672</v>
      </c>
      <c r="N913" s="15" t="s">
        <v>2673</v>
      </c>
      <c r="O913" s="15"/>
    </row>
    <row r="914" spans="1:15" ht="18" customHeight="1" x14ac:dyDescent="0.3">
      <c r="A914" s="29">
        <v>913</v>
      </c>
      <c r="B914" s="29" t="s">
        <v>1739</v>
      </c>
      <c r="C914" s="29" t="s">
        <v>1740</v>
      </c>
      <c r="D914" s="29">
        <v>46</v>
      </c>
      <c r="E914" s="51" t="s">
        <v>1744</v>
      </c>
      <c r="F914" s="51" t="s">
        <v>1745</v>
      </c>
      <c r="G914" s="29" t="s">
        <v>1538</v>
      </c>
      <c r="H914" s="15" t="s">
        <v>2690</v>
      </c>
      <c r="I914" s="69">
        <v>151</v>
      </c>
      <c r="J914" s="15" t="s">
        <v>2672</v>
      </c>
      <c r="K914" s="15" t="s">
        <v>903</v>
      </c>
      <c r="L914" s="15" t="s">
        <v>2673</v>
      </c>
      <c r="M914" s="15" t="s">
        <v>2672</v>
      </c>
      <c r="N914" s="15" t="s">
        <v>2673</v>
      </c>
      <c r="O914" s="15"/>
    </row>
    <row r="915" spans="1:15" ht="18" customHeight="1" x14ac:dyDescent="0.3">
      <c r="A915" s="29">
        <v>914</v>
      </c>
      <c r="B915" s="29" t="s">
        <v>1739</v>
      </c>
      <c r="C915" s="29" t="s">
        <v>1740</v>
      </c>
      <c r="D915" s="29">
        <v>46</v>
      </c>
      <c r="E915" s="51" t="s">
        <v>1744</v>
      </c>
      <c r="F915" s="51" t="s">
        <v>1745</v>
      </c>
      <c r="G915" s="29" t="s">
        <v>1538</v>
      </c>
      <c r="H915" s="15" t="s">
        <v>2682</v>
      </c>
      <c r="I915" s="69">
        <v>177</v>
      </c>
      <c r="J915" s="15" t="s">
        <v>2672</v>
      </c>
      <c r="K915" s="15" t="s">
        <v>903</v>
      </c>
      <c r="L915" s="15" t="s">
        <v>2673</v>
      </c>
      <c r="M915" s="15" t="s">
        <v>2672</v>
      </c>
      <c r="N915" s="15" t="s">
        <v>2673</v>
      </c>
      <c r="O915" s="15"/>
    </row>
    <row r="916" spans="1:15" ht="18" customHeight="1" x14ac:dyDescent="0.3">
      <c r="A916" s="29">
        <v>915</v>
      </c>
      <c r="B916" s="29" t="s">
        <v>1739</v>
      </c>
      <c r="C916" s="29" t="s">
        <v>1740</v>
      </c>
      <c r="D916" s="29">
        <v>46</v>
      </c>
      <c r="E916" s="51" t="s">
        <v>1744</v>
      </c>
      <c r="F916" s="51" t="s">
        <v>1745</v>
      </c>
      <c r="G916" s="29" t="s">
        <v>1538</v>
      </c>
      <c r="H916" s="15" t="s">
        <v>2714</v>
      </c>
      <c r="I916" s="69">
        <v>241</v>
      </c>
      <c r="J916" s="15" t="s">
        <v>2672</v>
      </c>
      <c r="K916" s="15" t="s">
        <v>2674</v>
      </c>
      <c r="L916" s="15" t="s">
        <v>2715</v>
      </c>
      <c r="M916" s="15" t="s">
        <v>2672</v>
      </c>
      <c r="N916" s="15" t="s">
        <v>2673</v>
      </c>
      <c r="O916" s="15"/>
    </row>
    <row r="917" spans="1:15" ht="18" customHeight="1" x14ac:dyDescent="0.3">
      <c r="A917" s="29">
        <v>916</v>
      </c>
      <c r="B917" s="29" t="s">
        <v>1739</v>
      </c>
      <c r="C917" s="29" t="s">
        <v>1740</v>
      </c>
      <c r="D917" s="29">
        <v>46</v>
      </c>
      <c r="E917" s="51" t="s">
        <v>1744</v>
      </c>
      <c r="F917" s="51" t="s">
        <v>1745</v>
      </c>
      <c r="G917" s="29" t="s">
        <v>1538</v>
      </c>
      <c r="H917" s="15" t="s">
        <v>2683</v>
      </c>
      <c r="I917" s="69">
        <v>151</v>
      </c>
      <c r="J917" s="15" t="s">
        <v>2672</v>
      </c>
      <c r="K917" s="15" t="s">
        <v>903</v>
      </c>
      <c r="L917" s="15" t="s">
        <v>2673</v>
      </c>
      <c r="M917" s="15" t="s">
        <v>2672</v>
      </c>
      <c r="N917" s="15" t="s">
        <v>2673</v>
      </c>
      <c r="O917" s="15"/>
    </row>
    <row r="918" spans="1:15" ht="18" customHeight="1" x14ac:dyDescent="0.3">
      <c r="A918" s="29">
        <v>917</v>
      </c>
      <c r="B918" s="15" t="s">
        <v>218</v>
      </c>
      <c r="C918" s="15" t="s">
        <v>34</v>
      </c>
      <c r="D918" s="69">
        <v>46</v>
      </c>
      <c r="E918" s="68" t="s">
        <v>2852</v>
      </c>
      <c r="F918" s="21" t="s">
        <v>1116</v>
      </c>
      <c r="G918" s="15" t="s">
        <v>164</v>
      </c>
      <c r="H918" s="15" t="s">
        <v>905</v>
      </c>
      <c r="I918" s="69">
        <v>58</v>
      </c>
      <c r="J918" s="13" t="s">
        <v>2674</v>
      </c>
      <c r="K918" s="15" t="s">
        <v>903</v>
      </c>
      <c r="L918" s="15" t="s">
        <v>2673</v>
      </c>
      <c r="M918" s="15" t="s">
        <v>2672</v>
      </c>
      <c r="N918" s="15" t="s">
        <v>2673</v>
      </c>
      <c r="O918" s="15"/>
    </row>
    <row r="919" spans="1:15" ht="18" customHeight="1" x14ac:dyDescent="0.3">
      <c r="A919" s="29">
        <v>918</v>
      </c>
      <c r="B919" s="15" t="s">
        <v>218</v>
      </c>
      <c r="C919" s="15" t="s">
        <v>34</v>
      </c>
      <c r="D919" s="69">
        <v>46</v>
      </c>
      <c r="E919" s="68" t="s">
        <v>2852</v>
      </c>
      <c r="F919" s="21" t="s">
        <v>1116</v>
      </c>
      <c r="G919" s="15" t="s">
        <v>164</v>
      </c>
      <c r="H919" s="15" t="s">
        <v>906</v>
      </c>
      <c r="I919" s="69">
        <v>126</v>
      </c>
      <c r="J919" s="13" t="s">
        <v>2672</v>
      </c>
      <c r="K919" s="15" t="s">
        <v>903</v>
      </c>
      <c r="L919" s="15" t="s">
        <v>2673</v>
      </c>
      <c r="M919" s="15" t="s">
        <v>2672</v>
      </c>
      <c r="N919" s="15" t="s">
        <v>2673</v>
      </c>
      <c r="O919" s="15"/>
    </row>
    <row r="920" spans="1:15" ht="18" customHeight="1" x14ac:dyDescent="0.3">
      <c r="A920" s="29">
        <v>919</v>
      </c>
      <c r="B920" s="15" t="s">
        <v>218</v>
      </c>
      <c r="C920" s="15" t="s">
        <v>34</v>
      </c>
      <c r="D920" s="69">
        <v>46</v>
      </c>
      <c r="E920" s="68" t="s">
        <v>2852</v>
      </c>
      <c r="F920" s="21" t="s">
        <v>1116</v>
      </c>
      <c r="G920" s="15" t="s">
        <v>164</v>
      </c>
      <c r="H920" s="15" t="s">
        <v>907</v>
      </c>
      <c r="I920" s="69">
        <v>58</v>
      </c>
      <c r="J920" s="13" t="s">
        <v>2672</v>
      </c>
      <c r="K920" s="15" t="s">
        <v>903</v>
      </c>
      <c r="L920" s="15" t="s">
        <v>2673</v>
      </c>
      <c r="M920" s="15" t="s">
        <v>2672</v>
      </c>
      <c r="N920" s="15" t="s">
        <v>2673</v>
      </c>
      <c r="O920" s="15"/>
    </row>
    <row r="921" spans="1:15" ht="18" customHeight="1" x14ac:dyDescent="0.3">
      <c r="A921" s="29">
        <v>920</v>
      </c>
      <c r="B921" s="15" t="s">
        <v>218</v>
      </c>
      <c r="C921" s="15" t="s">
        <v>34</v>
      </c>
      <c r="D921" s="69">
        <v>46</v>
      </c>
      <c r="E921" s="68" t="s">
        <v>2852</v>
      </c>
      <c r="F921" s="21" t="s">
        <v>1116</v>
      </c>
      <c r="G921" s="15" t="s">
        <v>164</v>
      </c>
      <c r="H921" s="15" t="s">
        <v>908</v>
      </c>
      <c r="I921" s="69">
        <v>58</v>
      </c>
      <c r="J921" s="13" t="s">
        <v>2674</v>
      </c>
      <c r="K921" s="15" t="s">
        <v>903</v>
      </c>
      <c r="L921" s="15" t="s">
        <v>2673</v>
      </c>
      <c r="M921" s="15" t="s">
        <v>2672</v>
      </c>
      <c r="N921" s="15" t="s">
        <v>2673</v>
      </c>
      <c r="O921" s="15"/>
    </row>
    <row r="922" spans="1:15" ht="18" customHeight="1" x14ac:dyDescent="0.3">
      <c r="A922" s="29">
        <v>921</v>
      </c>
      <c r="B922" s="15" t="s">
        <v>218</v>
      </c>
      <c r="C922" s="15" t="s">
        <v>34</v>
      </c>
      <c r="D922" s="69">
        <v>46</v>
      </c>
      <c r="E922" s="68" t="s">
        <v>2852</v>
      </c>
      <c r="F922" s="21" t="s">
        <v>492</v>
      </c>
      <c r="G922" s="15" t="s">
        <v>164</v>
      </c>
      <c r="H922" s="15" t="s">
        <v>901</v>
      </c>
      <c r="I922" s="69">
        <v>126</v>
      </c>
      <c r="J922" s="13" t="s">
        <v>2674</v>
      </c>
      <c r="K922" s="15" t="s">
        <v>903</v>
      </c>
      <c r="L922" s="15" t="s">
        <v>2673</v>
      </c>
      <c r="M922" s="15" t="s">
        <v>2672</v>
      </c>
      <c r="N922" s="15" t="s">
        <v>2673</v>
      </c>
      <c r="O922" s="15"/>
    </row>
    <row r="923" spans="1:15" ht="18" customHeight="1" x14ac:dyDescent="0.3">
      <c r="A923" s="29">
        <v>922</v>
      </c>
      <c r="B923" s="15" t="s">
        <v>218</v>
      </c>
      <c r="C923" s="15" t="s">
        <v>34</v>
      </c>
      <c r="D923" s="69">
        <v>46</v>
      </c>
      <c r="E923" s="68" t="s">
        <v>2852</v>
      </c>
      <c r="F923" s="21" t="s">
        <v>492</v>
      </c>
      <c r="G923" s="15" t="s">
        <v>164</v>
      </c>
      <c r="H923" s="15" t="s">
        <v>904</v>
      </c>
      <c r="I923" s="69">
        <v>58</v>
      </c>
      <c r="J923" s="13" t="s">
        <v>2672</v>
      </c>
      <c r="K923" s="15" t="s">
        <v>903</v>
      </c>
      <c r="L923" s="15" t="s">
        <v>2673</v>
      </c>
      <c r="M923" s="15" t="s">
        <v>2672</v>
      </c>
      <c r="N923" s="15" t="s">
        <v>2673</v>
      </c>
      <c r="O923" s="15"/>
    </row>
    <row r="924" spans="1:15" ht="18" customHeight="1" x14ac:dyDescent="0.3">
      <c r="A924" s="29">
        <v>923</v>
      </c>
      <c r="B924" s="15" t="s">
        <v>218</v>
      </c>
      <c r="C924" s="15" t="s">
        <v>41</v>
      </c>
      <c r="D924" s="69">
        <v>47</v>
      </c>
      <c r="E924" s="68" t="s">
        <v>3284</v>
      </c>
      <c r="F924" s="24" t="s">
        <v>499</v>
      </c>
      <c r="G924" s="15" t="s">
        <v>154</v>
      </c>
      <c r="H924" s="15" t="s">
        <v>901</v>
      </c>
      <c r="I924" s="69">
        <v>162</v>
      </c>
      <c r="J924" s="15" t="s">
        <v>2672</v>
      </c>
      <c r="K924" s="15" t="s">
        <v>903</v>
      </c>
      <c r="L924" s="15" t="s">
        <v>2673</v>
      </c>
      <c r="M924" s="15" t="s">
        <v>2672</v>
      </c>
      <c r="N924" s="15" t="s">
        <v>2673</v>
      </c>
      <c r="O924" s="15"/>
    </row>
    <row r="925" spans="1:15" ht="18" customHeight="1" x14ac:dyDescent="0.3">
      <c r="A925" s="29">
        <v>924</v>
      </c>
      <c r="B925" s="15" t="s">
        <v>218</v>
      </c>
      <c r="C925" s="15" t="s">
        <v>41</v>
      </c>
      <c r="D925" s="69">
        <v>47</v>
      </c>
      <c r="E925" s="68" t="s">
        <v>3284</v>
      </c>
      <c r="F925" s="24" t="s">
        <v>499</v>
      </c>
      <c r="G925" s="15" t="s">
        <v>154</v>
      </c>
      <c r="H925" s="15" t="s">
        <v>904</v>
      </c>
      <c r="I925" s="69">
        <v>186</v>
      </c>
      <c r="J925" s="15" t="s">
        <v>2674</v>
      </c>
      <c r="K925" s="15" t="s">
        <v>903</v>
      </c>
      <c r="L925" s="15" t="s">
        <v>2673</v>
      </c>
      <c r="M925" s="15" t="s">
        <v>2672</v>
      </c>
      <c r="N925" s="15" t="s">
        <v>2673</v>
      </c>
      <c r="O925" s="15"/>
    </row>
    <row r="926" spans="1:15" ht="18" customHeight="1" x14ac:dyDescent="0.3">
      <c r="A926" s="29">
        <v>925</v>
      </c>
      <c r="B926" s="15" t="s">
        <v>218</v>
      </c>
      <c r="C926" s="15" t="s">
        <v>41</v>
      </c>
      <c r="D926" s="69">
        <v>47</v>
      </c>
      <c r="E926" s="68" t="s">
        <v>3284</v>
      </c>
      <c r="F926" s="24" t="s">
        <v>499</v>
      </c>
      <c r="G926" s="15" t="s">
        <v>154</v>
      </c>
      <c r="H926" s="15" t="s">
        <v>905</v>
      </c>
      <c r="I926" s="69">
        <v>129</v>
      </c>
      <c r="J926" s="15" t="s">
        <v>2674</v>
      </c>
      <c r="K926" s="15" t="s">
        <v>903</v>
      </c>
      <c r="L926" s="15" t="s">
        <v>2673</v>
      </c>
      <c r="M926" s="15" t="s">
        <v>2672</v>
      </c>
      <c r="N926" s="15" t="s">
        <v>2673</v>
      </c>
      <c r="O926" s="15"/>
    </row>
    <row r="927" spans="1:15" ht="18" customHeight="1" x14ac:dyDescent="0.3">
      <c r="A927" s="29">
        <v>926</v>
      </c>
      <c r="B927" s="15" t="s">
        <v>218</v>
      </c>
      <c r="C927" s="15" t="s">
        <v>41</v>
      </c>
      <c r="D927" s="69">
        <v>47</v>
      </c>
      <c r="E927" s="68" t="s">
        <v>3284</v>
      </c>
      <c r="F927" s="24" t="s">
        <v>499</v>
      </c>
      <c r="G927" s="15" t="s">
        <v>154</v>
      </c>
      <c r="H927" s="15" t="s">
        <v>906</v>
      </c>
      <c r="I927" s="69">
        <v>124</v>
      </c>
      <c r="J927" s="15" t="s">
        <v>2672</v>
      </c>
      <c r="K927" s="15" t="s">
        <v>903</v>
      </c>
      <c r="L927" s="15" t="s">
        <v>2673</v>
      </c>
      <c r="M927" s="15" t="s">
        <v>2672</v>
      </c>
      <c r="N927" s="15" t="s">
        <v>2673</v>
      </c>
      <c r="O927" s="15"/>
    </row>
    <row r="928" spans="1:15" ht="18" customHeight="1" x14ac:dyDescent="0.3">
      <c r="A928" s="29">
        <v>927</v>
      </c>
      <c r="B928" s="15" t="s">
        <v>218</v>
      </c>
      <c r="C928" s="15" t="s">
        <v>41</v>
      </c>
      <c r="D928" s="69">
        <v>47</v>
      </c>
      <c r="E928" s="68" t="s">
        <v>3284</v>
      </c>
      <c r="F928" s="24" t="s">
        <v>499</v>
      </c>
      <c r="G928" s="15" t="s">
        <v>154</v>
      </c>
      <c r="H928" s="15" t="s">
        <v>907</v>
      </c>
      <c r="I928" s="69">
        <v>138</v>
      </c>
      <c r="J928" s="15" t="s">
        <v>2672</v>
      </c>
      <c r="K928" s="15" t="s">
        <v>903</v>
      </c>
      <c r="L928" s="15" t="s">
        <v>2673</v>
      </c>
      <c r="M928" s="15" t="s">
        <v>2672</v>
      </c>
      <c r="N928" s="15" t="s">
        <v>2673</v>
      </c>
      <c r="O928" s="15"/>
    </row>
    <row r="929" spans="1:15" ht="18" customHeight="1" x14ac:dyDescent="0.3">
      <c r="A929" s="29">
        <v>928</v>
      </c>
      <c r="B929" s="15" t="s">
        <v>218</v>
      </c>
      <c r="C929" s="15" t="s">
        <v>41</v>
      </c>
      <c r="D929" s="69">
        <v>47</v>
      </c>
      <c r="E929" s="68" t="s">
        <v>3284</v>
      </c>
      <c r="F929" s="24" t="s">
        <v>499</v>
      </c>
      <c r="G929" s="15" t="s">
        <v>154</v>
      </c>
      <c r="H929" s="15" t="s">
        <v>908</v>
      </c>
      <c r="I929" s="69">
        <v>124</v>
      </c>
      <c r="J929" s="15" t="s">
        <v>2672</v>
      </c>
      <c r="K929" s="15" t="s">
        <v>903</v>
      </c>
      <c r="L929" s="15" t="s">
        <v>2673</v>
      </c>
      <c r="M929" s="15" t="s">
        <v>2672</v>
      </c>
      <c r="N929" s="15" t="s">
        <v>2673</v>
      </c>
      <c r="O929" s="15"/>
    </row>
    <row r="930" spans="1:15" ht="18" customHeight="1" x14ac:dyDescent="0.3">
      <c r="A930" s="29">
        <v>929</v>
      </c>
      <c r="B930" s="15" t="s">
        <v>218</v>
      </c>
      <c r="C930" s="15" t="s">
        <v>41</v>
      </c>
      <c r="D930" s="69">
        <v>47</v>
      </c>
      <c r="E930" s="68" t="s">
        <v>3284</v>
      </c>
      <c r="F930" s="24" t="s">
        <v>499</v>
      </c>
      <c r="G930" s="15" t="s">
        <v>154</v>
      </c>
      <c r="H930" s="15" t="s">
        <v>909</v>
      </c>
      <c r="I930" s="69">
        <v>138</v>
      </c>
      <c r="J930" s="15" t="s">
        <v>2674</v>
      </c>
      <c r="K930" s="15" t="s">
        <v>903</v>
      </c>
      <c r="L930" s="15" t="s">
        <v>2673</v>
      </c>
      <c r="M930" s="15" t="s">
        <v>2672</v>
      </c>
      <c r="N930" s="15" t="s">
        <v>2673</v>
      </c>
      <c r="O930" s="15"/>
    </row>
    <row r="931" spans="1:15" ht="18" customHeight="1" x14ac:dyDescent="0.3">
      <c r="A931" s="29">
        <v>930</v>
      </c>
      <c r="B931" s="15" t="s">
        <v>218</v>
      </c>
      <c r="C931" s="15" t="s">
        <v>41</v>
      </c>
      <c r="D931" s="69">
        <v>47</v>
      </c>
      <c r="E931" s="68" t="s">
        <v>3284</v>
      </c>
      <c r="F931" s="24" t="s">
        <v>499</v>
      </c>
      <c r="G931" s="15" t="s">
        <v>154</v>
      </c>
      <c r="H931" s="15" t="s">
        <v>911</v>
      </c>
      <c r="I931" s="69">
        <v>187</v>
      </c>
      <c r="J931" s="15" t="s">
        <v>2674</v>
      </c>
      <c r="K931" s="15" t="s">
        <v>903</v>
      </c>
      <c r="L931" s="15" t="s">
        <v>2673</v>
      </c>
      <c r="M931" s="15" t="s">
        <v>2672</v>
      </c>
      <c r="N931" s="15" t="s">
        <v>2673</v>
      </c>
      <c r="O931" s="15"/>
    </row>
    <row r="932" spans="1:15" ht="18" customHeight="1" x14ac:dyDescent="0.3">
      <c r="A932" s="29">
        <v>931</v>
      </c>
      <c r="B932" s="15" t="s">
        <v>218</v>
      </c>
      <c r="C932" s="15" t="s">
        <v>41</v>
      </c>
      <c r="D932" s="69">
        <v>47</v>
      </c>
      <c r="E932" s="68" t="s">
        <v>3284</v>
      </c>
      <c r="F932" s="24" t="s">
        <v>499</v>
      </c>
      <c r="G932" s="15" t="s">
        <v>154</v>
      </c>
      <c r="H932" s="15" t="s">
        <v>927</v>
      </c>
      <c r="I932" s="69">
        <v>162</v>
      </c>
      <c r="J932" s="15" t="s">
        <v>2674</v>
      </c>
      <c r="K932" s="15" t="s">
        <v>903</v>
      </c>
      <c r="L932" s="15" t="s">
        <v>2673</v>
      </c>
      <c r="M932" s="15" t="s">
        <v>2672</v>
      </c>
      <c r="N932" s="15" t="s">
        <v>2673</v>
      </c>
      <c r="O932" s="15"/>
    </row>
    <row r="933" spans="1:15" ht="18" customHeight="1" x14ac:dyDescent="0.3">
      <c r="A933" s="29">
        <v>932</v>
      </c>
      <c r="B933" s="15" t="s">
        <v>218</v>
      </c>
      <c r="C933" s="15" t="s">
        <v>41</v>
      </c>
      <c r="D933" s="69">
        <v>47</v>
      </c>
      <c r="E933" s="68" t="s">
        <v>3284</v>
      </c>
      <c r="F933" s="24" t="s">
        <v>2853</v>
      </c>
      <c r="G933" s="15" t="s">
        <v>154</v>
      </c>
      <c r="H933" s="15" t="s">
        <v>910</v>
      </c>
      <c r="I933" s="69">
        <v>108</v>
      </c>
      <c r="J933" s="15" t="s">
        <v>2674</v>
      </c>
      <c r="K933" s="15" t="s">
        <v>902</v>
      </c>
      <c r="L933" s="15" t="s">
        <v>208</v>
      </c>
      <c r="M933" s="15" t="s">
        <v>2672</v>
      </c>
      <c r="N933" s="15" t="s">
        <v>2673</v>
      </c>
      <c r="O933" s="15"/>
    </row>
    <row r="934" spans="1:15" ht="18" customHeight="1" x14ac:dyDescent="0.3">
      <c r="A934" s="29">
        <v>933</v>
      </c>
      <c r="B934" s="15" t="s">
        <v>218</v>
      </c>
      <c r="C934" s="15" t="s">
        <v>41</v>
      </c>
      <c r="D934" s="69">
        <v>47</v>
      </c>
      <c r="E934" s="68" t="s">
        <v>3285</v>
      </c>
      <c r="F934" s="24" t="s">
        <v>497</v>
      </c>
      <c r="G934" s="15" t="s">
        <v>154</v>
      </c>
      <c r="H934" s="15" t="s">
        <v>901</v>
      </c>
      <c r="I934" s="69">
        <v>222</v>
      </c>
      <c r="J934" s="15" t="s">
        <v>2674</v>
      </c>
      <c r="K934" s="15" t="s">
        <v>903</v>
      </c>
      <c r="L934" s="15" t="s">
        <v>2673</v>
      </c>
      <c r="M934" s="15" t="s">
        <v>2672</v>
      </c>
      <c r="N934" s="15" t="s">
        <v>2673</v>
      </c>
      <c r="O934" s="15"/>
    </row>
    <row r="935" spans="1:15" ht="18" customHeight="1" x14ac:dyDescent="0.3">
      <c r="A935" s="29">
        <v>934</v>
      </c>
      <c r="B935" s="15" t="s">
        <v>218</v>
      </c>
      <c r="C935" s="15" t="s">
        <v>41</v>
      </c>
      <c r="D935" s="69">
        <v>47</v>
      </c>
      <c r="E935" s="68" t="s">
        <v>3285</v>
      </c>
      <c r="F935" s="24" t="s">
        <v>497</v>
      </c>
      <c r="G935" s="15" t="s">
        <v>154</v>
      </c>
      <c r="H935" s="15" t="s">
        <v>904</v>
      </c>
      <c r="I935" s="69">
        <v>208</v>
      </c>
      <c r="J935" s="15" t="s">
        <v>2672</v>
      </c>
      <c r="K935" s="15" t="s">
        <v>903</v>
      </c>
      <c r="L935" s="15" t="s">
        <v>2673</v>
      </c>
      <c r="M935" s="15" t="s">
        <v>2672</v>
      </c>
      <c r="N935" s="15" t="s">
        <v>2673</v>
      </c>
      <c r="O935" s="15"/>
    </row>
    <row r="936" spans="1:15" ht="18" customHeight="1" x14ac:dyDescent="0.3">
      <c r="A936" s="29">
        <v>935</v>
      </c>
      <c r="B936" s="15" t="s">
        <v>218</v>
      </c>
      <c r="C936" s="15" t="s">
        <v>41</v>
      </c>
      <c r="D936" s="69">
        <v>47</v>
      </c>
      <c r="E936" s="68" t="s">
        <v>3285</v>
      </c>
      <c r="F936" s="24" t="s">
        <v>497</v>
      </c>
      <c r="G936" s="15" t="s">
        <v>154</v>
      </c>
      <c r="H936" s="15" t="s">
        <v>905</v>
      </c>
      <c r="I936" s="69">
        <v>208</v>
      </c>
      <c r="J936" s="15" t="s">
        <v>2674</v>
      </c>
      <c r="K936" s="15" t="s">
        <v>903</v>
      </c>
      <c r="L936" s="15" t="s">
        <v>2673</v>
      </c>
      <c r="M936" s="15" t="s">
        <v>2672</v>
      </c>
      <c r="N936" s="15" t="s">
        <v>2673</v>
      </c>
      <c r="O936" s="15"/>
    </row>
    <row r="937" spans="1:15" ht="18" customHeight="1" x14ac:dyDescent="0.3">
      <c r="A937" s="29">
        <v>936</v>
      </c>
      <c r="B937" s="15" t="s">
        <v>218</v>
      </c>
      <c r="C937" s="15" t="s">
        <v>41</v>
      </c>
      <c r="D937" s="69">
        <v>47</v>
      </c>
      <c r="E937" s="68" t="s">
        <v>3285</v>
      </c>
      <c r="F937" s="24" t="s">
        <v>497</v>
      </c>
      <c r="G937" s="15" t="s">
        <v>154</v>
      </c>
      <c r="H937" s="15" t="s">
        <v>906</v>
      </c>
      <c r="I937" s="69">
        <v>166</v>
      </c>
      <c r="J937" s="15" t="s">
        <v>2672</v>
      </c>
      <c r="K937" s="15" t="s">
        <v>903</v>
      </c>
      <c r="L937" s="15" t="s">
        <v>2673</v>
      </c>
      <c r="M937" s="15" t="s">
        <v>2672</v>
      </c>
      <c r="N937" s="15" t="s">
        <v>2673</v>
      </c>
      <c r="O937" s="15"/>
    </row>
    <row r="938" spans="1:15" ht="18" customHeight="1" x14ac:dyDescent="0.3">
      <c r="A938" s="29">
        <v>937</v>
      </c>
      <c r="B938" s="15" t="s">
        <v>218</v>
      </c>
      <c r="C938" s="15" t="s">
        <v>42</v>
      </c>
      <c r="D938" s="69">
        <v>48</v>
      </c>
      <c r="E938" s="68" t="s">
        <v>252</v>
      </c>
      <c r="F938" s="14" t="s">
        <v>481</v>
      </c>
      <c r="G938" s="15" t="s">
        <v>154</v>
      </c>
      <c r="H938" s="15" t="s">
        <v>901</v>
      </c>
      <c r="I938" s="69">
        <v>166</v>
      </c>
      <c r="J938" s="13" t="s">
        <v>2672</v>
      </c>
      <c r="K938" s="15" t="s">
        <v>903</v>
      </c>
      <c r="L938" s="15" t="s">
        <v>2673</v>
      </c>
      <c r="M938" s="15" t="s">
        <v>2672</v>
      </c>
      <c r="N938" s="15" t="s">
        <v>2673</v>
      </c>
      <c r="O938" s="15"/>
    </row>
    <row r="939" spans="1:15" ht="18" customHeight="1" x14ac:dyDescent="0.3">
      <c r="A939" s="29">
        <v>938</v>
      </c>
      <c r="B939" s="15" t="s">
        <v>218</v>
      </c>
      <c r="C939" s="15" t="s">
        <v>42</v>
      </c>
      <c r="D939" s="69">
        <v>48</v>
      </c>
      <c r="E939" s="68" t="s">
        <v>252</v>
      </c>
      <c r="F939" s="14" t="s">
        <v>481</v>
      </c>
      <c r="G939" s="15" t="s">
        <v>154</v>
      </c>
      <c r="H939" s="15" t="s">
        <v>904</v>
      </c>
      <c r="I939" s="69">
        <v>135</v>
      </c>
      <c r="J939" s="13" t="s">
        <v>2672</v>
      </c>
      <c r="K939" s="15" t="s">
        <v>903</v>
      </c>
      <c r="L939" s="15" t="s">
        <v>2673</v>
      </c>
      <c r="M939" s="15" t="s">
        <v>2672</v>
      </c>
      <c r="N939" s="15" t="s">
        <v>2673</v>
      </c>
      <c r="O939" s="15"/>
    </row>
    <row r="940" spans="1:15" ht="18" customHeight="1" x14ac:dyDescent="0.3">
      <c r="A940" s="29">
        <v>939</v>
      </c>
      <c r="B940" s="15" t="s">
        <v>218</v>
      </c>
      <c r="C940" s="15" t="s">
        <v>42</v>
      </c>
      <c r="D940" s="69">
        <v>48</v>
      </c>
      <c r="E940" s="68" t="s">
        <v>252</v>
      </c>
      <c r="F940" s="14" t="s">
        <v>481</v>
      </c>
      <c r="G940" s="15" t="s">
        <v>154</v>
      </c>
      <c r="H940" s="15" t="s">
        <v>905</v>
      </c>
      <c r="I940" s="69">
        <v>247</v>
      </c>
      <c r="J940" s="13" t="s">
        <v>902</v>
      </c>
      <c r="K940" s="15" t="s">
        <v>903</v>
      </c>
      <c r="L940" s="15" t="s">
        <v>2673</v>
      </c>
      <c r="M940" s="15" t="s">
        <v>2672</v>
      </c>
      <c r="N940" s="15" t="s">
        <v>2673</v>
      </c>
      <c r="O940" s="15"/>
    </row>
    <row r="941" spans="1:15" ht="18" customHeight="1" x14ac:dyDescent="0.3">
      <c r="A941" s="29">
        <v>940</v>
      </c>
      <c r="B941" s="15" t="s">
        <v>218</v>
      </c>
      <c r="C941" s="15" t="s">
        <v>42</v>
      </c>
      <c r="D941" s="69">
        <v>48</v>
      </c>
      <c r="E941" s="68" t="s">
        <v>252</v>
      </c>
      <c r="F941" s="14" t="s">
        <v>481</v>
      </c>
      <c r="G941" s="15" t="s">
        <v>154</v>
      </c>
      <c r="H941" s="15" t="s">
        <v>906</v>
      </c>
      <c r="I941" s="69">
        <v>166</v>
      </c>
      <c r="J941" s="13" t="s">
        <v>902</v>
      </c>
      <c r="K941" s="15" t="s">
        <v>903</v>
      </c>
      <c r="L941" s="15" t="s">
        <v>2673</v>
      </c>
      <c r="M941" s="15" t="s">
        <v>2672</v>
      </c>
      <c r="N941" s="15" t="s">
        <v>2673</v>
      </c>
      <c r="O941" s="15"/>
    </row>
    <row r="942" spans="1:15" ht="18" customHeight="1" x14ac:dyDescent="0.3">
      <c r="A942" s="29">
        <v>941</v>
      </c>
      <c r="B942" s="15" t="s">
        <v>218</v>
      </c>
      <c r="C942" s="15" t="s">
        <v>42</v>
      </c>
      <c r="D942" s="69">
        <v>48</v>
      </c>
      <c r="E942" s="68" t="s">
        <v>252</v>
      </c>
      <c r="F942" s="14" t="s">
        <v>481</v>
      </c>
      <c r="G942" s="15" t="s">
        <v>154</v>
      </c>
      <c r="H942" s="15" t="s">
        <v>907</v>
      </c>
      <c r="I942" s="69">
        <v>135</v>
      </c>
      <c r="J942" s="13" t="s">
        <v>902</v>
      </c>
      <c r="K942" s="15" t="s">
        <v>903</v>
      </c>
      <c r="L942" s="15" t="s">
        <v>2673</v>
      </c>
      <c r="M942" s="15" t="s">
        <v>2672</v>
      </c>
      <c r="N942" s="15" t="s">
        <v>2673</v>
      </c>
      <c r="O942" s="15"/>
    </row>
    <row r="943" spans="1:15" ht="18" customHeight="1" x14ac:dyDescent="0.3">
      <c r="A943" s="29">
        <v>942</v>
      </c>
      <c r="B943" s="15" t="s">
        <v>218</v>
      </c>
      <c r="C943" s="15" t="s">
        <v>42</v>
      </c>
      <c r="D943" s="69">
        <v>48</v>
      </c>
      <c r="E943" s="68" t="s">
        <v>252</v>
      </c>
      <c r="F943" s="14" t="s">
        <v>481</v>
      </c>
      <c r="G943" s="15" t="s">
        <v>154</v>
      </c>
      <c r="H943" s="15" t="s">
        <v>908</v>
      </c>
      <c r="I943" s="69">
        <v>247</v>
      </c>
      <c r="J943" s="13" t="s">
        <v>902</v>
      </c>
      <c r="K943" s="15" t="s">
        <v>903</v>
      </c>
      <c r="L943" s="15" t="s">
        <v>2673</v>
      </c>
      <c r="M943" s="15" t="s">
        <v>2672</v>
      </c>
      <c r="N943" s="15" t="s">
        <v>2673</v>
      </c>
      <c r="O943" s="15"/>
    </row>
    <row r="944" spans="1:15" ht="18" customHeight="1" x14ac:dyDescent="0.3">
      <c r="A944" s="29">
        <v>943</v>
      </c>
      <c r="B944" s="15" t="s">
        <v>218</v>
      </c>
      <c r="C944" s="15" t="s">
        <v>42</v>
      </c>
      <c r="D944" s="69">
        <v>48</v>
      </c>
      <c r="E944" s="68" t="s">
        <v>252</v>
      </c>
      <c r="F944" s="14" t="s">
        <v>481</v>
      </c>
      <c r="G944" s="15" t="s">
        <v>154</v>
      </c>
      <c r="H944" s="15" t="s">
        <v>909</v>
      </c>
      <c r="I944" s="69">
        <v>166</v>
      </c>
      <c r="J944" s="13" t="s">
        <v>902</v>
      </c>
      <c r="K944" s="15" t="s">
        <v>903</v>
      </c>
      <c r="L944" s="15" t="s">
        <v>2673</v>
      </c>
      <c r="M944" s="15" t="s">
        <v>2672</v>
      </c>
      <c r="N944" s="15" t="s">
        <v>2673</v>
      </c>
      <c r="O944" s="15"/>
    </row>
    <row r="945" spans="1:15" ht="18" customHeight="1" x14ac:dyDescent="0.3">
      <c r="A945" s="29">
        <v>944</v>
      </c>
      <c r="B945" s="15" t="s">
        <v>218</v>
      </c>
      <c r="C945" s="15" t="s">
        <v>42</v>
      </c>
      <c r="D945" s="69">
        <v>48</v>
      </c>
      <c r="E945" s="68" t="s">
        <v>252</v>
      </c>
      <c r="F945" s="14" t="s">
        <v>481</v>
      </c>
      <c r="G945" s="15" t="s">
        <v>154</v>
      </c>
      <c r="H945" s="15" t="s">
        <v>910</v>
      </c>
      <c r="I945" s="69">
        <v>135</v>
      </c>
      <c r="J945" s="13" t="s">
        <v>2672</v>
      </c>
      <c r="K945" s="15" t="s">
        <v>903</v>
      </c>
      <c r="L945" s="15" t="s">
        <v>2673</v>
      </c>
      <c r="M945" s="15" t="s">
        <v>2672</v>
      </c>
      <c r="N945" s="15" t="s">
        <v>2673</v>
      </c>
      <c r="O945" s="15"/>
    </row>
    <row r="946" spans="1:15" ht="18" customHeight="1" x14ac:dyDescent="0.3">
      <c r="A946" s="29">
        <v>945</v>
      </c>
      <c r="B946" s="15" t="s">
        <v>218</v>
      </c>
      <c r="C946" s="15" t="s">
        <v>42</v>
      </c>
      <c r="D946" s="69">
        <v>48</v>
      </c>
      <c r="E946" s="68" t="s">
        <v>252</v>
      </c>
      <c r="F946" s="14" t="s">
        <v>481</v>
      </c>
      <c r="G946" s="15" t="s">
        <v>154</v>
      </c>
      <c r="H946" s="15" t="s">
        <v>911</v>
      </c>
      <c r="I946" s="69">
        <v>247</v>
      </c>
      <c r="J946" s="13" t="s">
        <v>902</v>
      </c>
      <c r="K946" s="15" t="s">
        <v>903</v>
      </c>
      <c r="L946" s="15" t="s">
        <v>2673</v>
      </c>
      <c r="M946" s="15" t="s">
        <v>2672</v>
      </c>
      <c r="N946" s="15" t="s">
        <v>2673</v>
      </c>
      <c r="O946" s="15"/>
    </row>
    <row r="947" spans="1:15" ht="18" customHeight="1" x14ac:dyDescent="0.3">
      <c r="A947" s="29">
        <v>946</v>
      </c>
      <c r="B947" s="15" t="s">
        <v>218</v>
      </c>
      <c r="C947" s="15" t="s">
        <v>42</v>
      </c>
      <c r="D947" s="69">
        <v>48</v>
      </c>
      <c r="E947" s="68" t="s">
        <v>959</v>
      </c>
      <c r="F947" s="21" t="s">
        <v>480</v>
      </c>
      <c r="G947" s="15" t="s">
        <v>154</v>
      </c>
      <c r="H947" s="15" t="s">
        <v>901</v>
      </c>
      <c r="I947" s="89">
        <v>173</v>
      </c>
      <c r="J947" s="13" t="s">
        <v>2672</v>
      </c>
      <c r="K947" s="15" t="s">
        <v>903</v>
      </c>
      <c r="L947" s="15" t="s">
        <v>2673</v>
      </c>
      <c r="M947" s="15" t="s">
        <v>2672</v>
      </c>
      <c r="N947" s="15" t="s">
        <v>2673</v>
      </c>
      <c r="O947" s="15"/>
    </row>
    <row r="948" spans="1:15" ht="18" customHeight="1" x14ac:dyDescent="0.3">
      <c r="A948" s="29">
        <v>947</v>
      </c>
      <c r="B948" s="15" t="s">
        <v>218</v>
      </c>
      <c r="C948" s="15" t="s">
        <v>42</v>
      </c>
      <c r="D948" s="69">
        <v>48</v>
      </c>
      <c r="E948" s="68" t="s">
        <v>959</v>
      </c>
      <c r="F948" s="21" t="s">
        <v>480</v>
      </c>
      <c r="G948" s="15" t="s">
        <v>154</v>
      </c>
      <c r="H948" s="15" t="s">
        <v>904</v>
      </c>
      <c r="I948" s="89">
        <v>159</v>
      </c>
      <c r="J948" s="13" t="s">
        <v>2672</v>
      </c>
      <c r="K948" s="15" t="s">
        <v>903</v>
      </c>
      <c r="L948" s="15" t="s">
        <v>2673</v>
      </c>
      <c r="M948" s="15" t="s">
        <v>2672</v>
      </c>
      <c r="N948" s="15" t="s">
        <v>2673</v>
      </c>
      <c r="O948" s="15"/>
    </row>
    <row r="949" spans="1:15" ht="18" customHeight="1" x14ac:dyDescent="0.3">
      <c r="A949" s="29">
        <v>948</v>
      </c>
      <c r="B949" s="15" t="s">
        <v>218</v>
      </c>
      <c r="C949" s="15" t="s">
        <v>42</v>
      </c>
      <c r="D949" s="69">
        <v>48</v>
      </c>
      <c r="E949" s="68" t="s">
        <v>959</v>
      </c>
      <c r="F949" s="21" t="s">
        <v>480</v>
      </c>
      <c r="G949" s="15" t="s">
        <v>154</v>
      </c>
      <c r="H949" s="15" t="s">
        <v>905</v>
      </c>
      <c r="I949" s="89">
        <v>112</v>
      </c>
      <c r="J949" s="13" t="s">
        <v>2672</v>
      </c>
      <c r="K949" s="15" t="s">
        <v>903</v>
      </c>
      <c r="L949" s="15" t="s">
        <v>2673</v>
      </c>
      <c r="M949" s="15" t="s">
        <v>2672</v>
      </c>
      <c r="N949" s="15" t="s">
        <v>2673</v>
      </c>
      <c r="O949" s="15"/>
    </row>
    <row r="950" spans="1:15" ht="18" customHeight="1" x14ac:dyDescent="0.3">
      <c r="A950" s="29">
        <v>949</v>
      </c>
      <c r="B950" s="15" t="s">
        <v>218</v>
      </c>
      <c r="C950" s="15" t="s">
        <v>42</v>
      </c>
      <c r="D950" s="69">
        <v>48</v>
      </c>
      <c r="E950" s="68" t="s">
        <v>959</v>
      </c>
      <c r="F950" s="21" t="s">
        <v>480</v>
      </c>
      <c r="G950" s="15" t="s">
        <v>154</v>
      </c>
      <c r="H950" s="15" t="s">
        <v>906</v>
      </c>
      <c r="I950" s="89">
        <v>157</v>
      </c>
      <c r="J950" s="13" t="s">
        <v>2672</v>
      </c>
      <c r="K950" s="15" t="s">
        <v>903</v>
      </c>
      <c r="L950" s="15" t="s">
        <v>2673</v>
      </c>
      <c r="M950" s="15" t="s">
        <v>2672</v>
      </c>
      <c r="N950" s="15" t="s">
        <v>2673</v>
      </c>
      <c r="O950" s="15"/>
    </row>
    <row r="951" spans="1:15" ht="18" customHeight="1" x14ac:dyDescent="0.3">
      <c r="A951" s="29">
        <v>950</v>
      </c>
      <c r="B951" s="15" t="s">
        <v>218</v>
      </c>
      <c r="C951" s="15" t="s">
        <v>42</v>
      </c>
      <c r="D951" s="69">
        <v>48</v>
      </c>
      <c r="E951" s="68" t="s">
        <v>959</v>
      </c>
      <c r="F951" s="21" t="s">
        <v>480</v>
      </c>
      <c r="G951" s="15" t="s">
        <v>154</v>
      </c>
      <c r="H951" s="15" t="s">
        <v>907</v>
      </c>
      <c r="I951" s="89">
        <v>171</v>
      </c>
      <c r="J951" s="13" t="s">
        <v>902</v>
      </c>
      <c r="K951" s="15" t="s">
        <v>903</v>
      </c>
      <c r="L951" s="15" t="s">
        <v>2673</v>
      </c>
      <c r="M951" s="15" t="s">
        <v>2672</v>
      </c>
      <c r="N951" s="15" t="s">
        <v>2673</v>
      </c>
      <c r="O951" s="15"/>
    </row>
    <row r="952" spans="1:15" ht="18" customHeight="1" x14ac:dyDescent="0.3">
      <c r="A952" s="29">
        <v>951</v>
      </c>
      <c r="B952" s="15" t="s">
        <v>218</v>
      </c>
      <c r="C952" s="15" t="s">
        <v>42</v>
      </c>
      <c r="D952" s="69">
        <v>48</v>
      </c>
      <c r="E952" s="68" t="s">
        <v>959</v>
      </c>
      <c r="F952" s="21" t="s">
        <v>480</v>
      </c>
      <c r="G952" s="15" t="s">
        <v>154</v>
      </c>
      <c r="H952" s="15" t="s">
        <v>908</v>
      </c>
      <c r="I952" s="89">
        <v>112</v>
      </c>
      <c r="J952" s="13" t="s">
        <v>2672</v>
      </c>
      <c r="K952" s="15" t="s">
        <v>903</v>
      </c>
      <c r="L952" s="15" t="s">
        <v>2673</v>
      </c>
      <c r="M952" s="15" t="s">
        <v>2672</v>
      </c>
      <c r="N952" s="15" t="s">
        <v>2673</v>
      </c>
      <c r="O952" s="15"/>
    </row>
    <row r="953" spans="1:15" ht="18" customHeight="1" x14ac:dyDescent="0.3">
      <c r="A953" s="29">
        <v>952</v>
      </c>
      <c r="B953" s="15" t="s">
        <v>218</v>
      </c>
      <c r="C953" s="15" t="s">
        <v>42</v>
      </c>
      <c r="D953" s="69">
        <v>48</v>
      </c>
      <c r="E953" s="68" t="s">
        <v>959</v>
      </c>
      <c r="F953" s="21" t="s">
        <v>1201</v>
      </c>
      <c r="G953" s="15" t="s">
        <v>154</v>
      </c>
      <c r="H953" s="15" t="s">
        <v>909</v>
      </c>
      <c r="I953" s="89">
        <v>392</v>
      </c>
      <c r="J953" s="13" t="s">
        <v>902</v>
      </c>
      <c r="K953" s="15" t="s">
        <v>2674</v>
      </c>
      <c r="L953" s="15" t="s">
        <v>2747</v>
      </c>
      <c r="M953" s="15" t="s">
        <v>2672</v>
      </c>
      <c r="N953" s="15" t="s">
        <v>2673</v>
      </c>
      <c r="O953" s="15" t="s">
        <v>2748</v>
      </c>
    </row>
    <row r="954" spans="1:15" ht="18" customHeight="1" x14ac:dyDescent="0.3">
      <c r="A954" s="29">
        <v>953</v>
      </c>
      <c r="B954" s="15" t="s">
        <v>218</v>
      </c>
      <c r="C954" s="15" t="s">
        <v>42</v>
      </c>
      <c r="D954" s="69">
        <v>48</v>
      </c>
      <c r="E954" s="68" t="s">
        <v>3286</v>
      </c>
      <c r="F954" s="39" t="s">
        <v>478</v>
      </c>
      <c r="G954" s="15" t="s">
        <v>154</v>
      </c>
      <c r="H954" s="15" t="s">
        <v>901</v>
      </c>
      <c r="I954" s="69">
        <v>182</v>
      </c>
      <c r="J954" s="15" t="s">
        <v>2674</v>
      </c>
      <c r="K954" s="15" t="s">
        <v>903</v>
      </c>
      <c r="L954" s="15" t="s">
        <v>2673</v>
      </c>
      <c r="M954" s="15" t="s">
        <v>2672</v>
      </c>
      <c r="N954" s="15" t="s">
        <v>2673</v>
      </c>
      <c r="O954" s="15"/>
    </row>
    <row r="955" spans="1:15" ht="18" customHeight="1" x14ac:dyDescent="0.3">
      <c r="A955" s="29">
        <v>954</v>
      </c>
      <c r="B955" s="15" t="s">
        <v>218</v>
      </c>
      <c r="C955" s="15" t="s">
        <v>42</v>
      </c>
      <c r="D955" s="69">
        <v>48</v>
      </c>
      <c r="E955" s="68" t="s">
        <v>3286</v>
      </c>
      <c r="F955" s="39" t="s">
        <v>478</v>
      </c>
      <c r="G955" s="15" t="s">
        <v>154</v>
      </c>
      <c r="H955" s="15" t="s">
        <v>904</v>
      </c>
      <c r="I955" s="69">
        <v>182</v>
      </c>
      <c r="J955" s="15" t="s">
        <v>2672</v>
      </c>
      <c r="K955" s="15" t="s">
        <v>903</v>
      </c>
      <c r="L955" s="15" t="s">
        <v>2673</v>
      </c>
      <c r="M955" s="15" t="s">
        <v>2672</v>
      </c>
      <c r="N955" s="15" t="s">
        <v>2673</v>
      </c>
      <c r="O955" s="15"/>
    </row>
    <row r="956" spans="1:15" ht="18" customHeight="1" x14ac:dyDescent="0.3">
      <c r="A956" s="29">
        <v>955</v>
      </c>
      <c r="B956" s="15" t="s">
        <v>218</v>
      </c>
      <c r="C956" s="15" t="s">
        <v>42</v>
      </c>
      <c r="D956" s="69">
        <v>48</v>
      </c>
      <c r="E956" s="68" t="s">
        <v>3286</v>
      </c>
      <c r="F956" s="39" t="s">
        <v>478</v>
      </c>
      <c r="G956" s="15" t="s">
        <v>154</v>
      </c>
      <c r="H956" s="15" t="s">
        <v>905</v>
      </c>
      <c r="I956" s="69">
        <v>157</v>
      </c>
      <c r="J956" s="15" t="s">
        <v>2674</v>
      </c>
      <c r="K956" s="15" t="s">
        <v>902</v>
      </c>
      <c r="L956" s="15" t="s">
        <v>1069</v>
      </c>
      <c r="M956" s="15" t="s">
        <v>2672</v>
      </c>
      <c r="N956" s="15" t="s">
        <v>2673</v>
      </c>
      <c r="O956" s="15"/>
    </row>
    <row r="957" spans="1:15" ht="18" customHeight="1" x14ac:dyDescent="0.3">
      <c r="A957" s="29">
        <v>956</v>
      </c>
      <c r="B957" s="15" t="s">
        <v>218</v>
      </c>
      <c r="C957" s="15" t="s">
        <v>42</v>
      </c>
      <c r="D957" s="69">
        <v>48</v>
      </c>
      <c r="E957" s="68" t="s">
        <v>3286</v>
      </c>
      <c r="F957" s="39" t="s">
        <v>478</v>
      </c>
      <c r="G957" s="15" t="s">
        <v>154</v>
      </c>
      <c r="H957" s="15" t="s">
        <v>906</v>
      </c>
      <c r="I957" s="69">
        <v>182</v>
      </c>
      <c r="J957" s="15" t="s">
        <v>2674</v>
      </c>
      <c r="K957" s="15" t="s">
        <v>903</v>
      </c>
      <c r="L957" s="15" t="s">
        <v>2673</v>
      </c>
      <c r="M957" s="15" t="s">
        <v>2672</v>
      </c>
      <c r="N957" s="15" t="s">
        <v>2673</v>
      </c>
      <c r="O957" s="15"/>
    </row>
    <row r="958" spans="1:15" ht="18" customHeight="1" x14ac:dyDescent="0.3">
      <c r="A958" s="29">
        <v>957</v>
      </c>
      <c r="B958" s="15" t="s">
        <v>218</v>
      </c>
      <c r="C958" s="15" t="s">
        <v>42</v>
      </c>
      <c r="D958" s="69">
        <v>48</v>
      </c>
      <c r="E958" s="68" t="s">
        <v>3286</v>
      </c>
      <c r="F958" s="39" t="s">
        <v>478</v>
      </c>
      <c r="G958" s="15" t="s">
        <v>154</v>
      </c>
      <c r="H958" s="15" t="s">
        <v>907</v>
      </c>
      <c r="I958" s="69">
        <v>182</v>
      </c>
      <c r="J958" s="15" t="s">
        <v>2672</v>
      </c>
      <c r="K958" s="15" t="s">
        <v>903</v>
      </c>
      <c r="L958" s="15" t="s">
        <v>2673</v>
      </c>
      <c r="M958" s="15" t="s">
        <v>2672</v>
      </c>
      <c r="N958" s="15" t="s">
        <v>2673</v>
      </c>
      <c r="O958" s="15"/>
    </row>
    <row r="959" spans="1:15" ht="18" customHeight="1" x14ac:dyDescent="0.3">
      <c r="A959" s="29">
        <v>958</v>
      </c>
      <c r="B959" s="15" t="s">
        <v>218</v>
      </c>
      <c r="C959" s="15" t="s">
        <v>42</v>
      </c>
      <c r="D959" s="69">
        <v>48</v>
      </c>
      <c r="E959" s="68" t="s">
        <v>3286</v>
      </c>
      <c r="F959" s="39" t="s">
        <v>478</v>
      </c>
      <c r="G959" s="15" t="s">
        <v>154</v>
      </c>
      <c r="H959" s="15" t="s">
        <v>908</v>
      </c>
      <c r="I959" s="69">
        <v>157</v>
      </c>
      <c r="J959" s="15" t="s">
        <v>2672</v>
      </c>
      <c r="K959" s="15" t="s">
        <v>903</v>
      </c>
      <c r="L959" s="15" t="s">
        <v>2673</v>
      </c>
      <c r="M959" s="15" t="s">
        <v>2672</v>
      </c>
      <c r="N959" s="15" t="s">
        <v>2673</v>
      </c>
      <c r="O959" s="15"/>
    </row>
    <row r="960" spans="1:15" ht="18" customHeight="1" x14ac:dyDescent="0.3">
      <c r="A960" s="29">
        <v>959</v>
      </c>
      <c r="B960" s="15" t="s">
        <v>218</v>
      </c>
      <c r="C960" s="15" t="s">
        <v>43</v>
      </c>
      <c r="D960" s="69">
        <v>49</v>
      </c>
      <c r="E960" s="68" t="s">
        <v>960</v>
      </c>
      <c r="F960" s="14" t="s">
        <v>1752</v>
      </c>
      <c r="G960" s="15" t="s">
        <v>164</v>
      </c>
      <c r="H960" s="15" t="s">
        <v>901</v>
      </c>
      <c r="I960" s="69">
        <v>172</v>
      </c>
      <c r="J960" s="13" t="s">
        <v>2674</v>
      </c>
      <c r="K960" s="15" t="s">
        <v>903</v>
      </c>
      <c r="L960" s="15" t="s">
        <v>2673</v>
      </c>
      <c r="M960" s="15" t="s">
        <v>2672</v>
      </c>
      <c r="N960" s="15" t="s">
        <v>2673</v>
      </c>
      <c r="O960" s="15"/>
    </row>
    <row r="961" spans="1:15" ht="18" customHeight="1" x14ac:dyDescent="0.3">
      <c r="A961" s="29">
        <v>960</v>
      </c>
      <c r="B961" s="15" t="s">
        <v>218</v>
      </c>
      <c r="C961" s="15" t="s">
        <v>43</v>
      </c>
      <c r="D961" s="69">
        <v>49</v>
      </c>
      <c r="E961" s="68" t="s">
        <v>960</v>
      </c>
      <c r="F961" s="14" t="s">
        <v>1752</v>
      </c>
      <c r="G961" s="15" t="s">
        <v>164</v>
      </c>
      <c r="H961" s="15" t="s">
        <v>904</v>
      </c>
      <c r="I961" s="69">
        <v>46</v>
      </c>
      <c r="J961" s="13" t="s">
        <v>2672</v>
      </c>
      <c r="K961" s="15" t="s">
        <v>903</v>
      </c>
      <c r="L961" s="15" t="s">
        <v>2673</v>
      </c>
      <c r="M961" s="15" t="s">
        <v>2672</v>
      </c>
      <c r="N961" s="15" t="s">
        <v>2673</v>
      </c>
      <c r="O961" s="15"/>
    </row>
    <row r="962" spans="1:15" ht="18" customHeight="1" x14ac:dyDescent="0.3">
      <c r="A962" s="29">
        <v>961</v>
      </c>
      <c r="B962" s="15" t="s">
        <v>218</v>
      </c>
      <c r="C962" s="15" t="s">
        <v>43</v>
      </c>
      <c r="D962" s="69">
        <v>49</v>
      </c>
      <c r="E962" s="68" t="s">
        <v>960</v>
      </c>
      <c r="F962" s="14" t="s">
        <v>1115</v>
      </c>
      <c r="G962" s="15" t="s">
        <v>164</v>
      </c>
      <c r="H962" s="15" t="s">
        <v>905</v>
      </c>
      <c r="I962" s="69">
        <v>149</v>
      </c>
      <c r="J962" s="13" t="s">
        <v>2672</v>
      </c>
      <c r="K962" s="15" t="s">
        <v>903</v>
      </c>
      <c r="L962" s="15" t="s">
        <v>2673</v>
      </c>
      <c r="M962" s="15" t="s">
        <v>2672</v>
      </c>
      <c r="N962" s="15" t="s">
        <v>2673</v>
      </c>
      <c r="O962" s="15"/>
    </row>
    <row r="963" spans="1:15" ht="18" customHeight="1" x14ac:dyDescent="0.3">
      <c r="A963" s="29">
        <v>962</v>
      </c>
      <c r="B963" s="15" t="s">
        <v>218</v>
      </c>
      <c r="C963" s="15" t="s">
        <v>43</v>
      </c>
      <c r="D963" s="69">
        <v>49</v>
      </c>
      <c r="E963" s="68" t="s">
        <v>960</v>
      </c>
      <c r="F963" s="14" t="s">
        <v>1115</v>
      </c>
      <c r="G963" s="15" t="s">
        <v>164</v>
      </c>
      <c r="H963" s="15" t="s">
        <v>906</v>
      </c>
      <c r="I963" s="69">
        <v>172</v>
      </c>
      <c r="J963" s="13" t="s">
        <v>2672</v>
      </c>
      <c r="K963" s="15" t="s">
        <v>903</v>
      </c>
      <c r="L963" s="15" t="s">
        <v>2673</v>
      </c>
      <c r="M963" s="15" t="s">
        <v>2672</v>
      </c>
      <c r="N963" s="15" t="s">
        <v>2673</v>
      </c>
      <c r="O963" s="15"/>
    </row>
    <row r="964" spans="1:15" ht="18" customHeight="1" x14ac:dyDescent="0.3">
      <c r="A964" s="29">
        <v>963</v>
      </c>
      <c r="B964" s="15" t="s">
        <v>218</v>
      </c>
      <c r="C964" s="15" t="s">
        <v>43</v>
      </c>
      <c r="D964" s="69">
        <v>49</v>
      </c>
      <c r="E964" s="68" t="s">
        <v>960</v>
      </c>
      <c r="F964" s="14" t="s">
        <v>1115</v>
      </c>
      <c r="G964" s="15" t="s">
        <v>164</v>
      </c>
      <c r="H964" s="15" t="s">
        <v>907</v>
      </c>
      <c r="I964" s="69">
        <v>46</v>
      </c>
      <c r="J964" s="13" t="s">
        <v>2672</v>
      </c>
      <c r="K964" s="15" t="s">
        <v>903</v>
      </c>
      <c r="L964" s="15" t="s">
        <v>2673</v>
      </c>
      <c r="M964" s="15" t="s">
        <v>2672</v>
      </c>
      <c r="N964" s="15" t="s">
        <v>2673</v>
      </c>
      <c r="O964" s="15"/>
    </row>
    <row r="965" spans="1:15" ht="18" customHeight="1" x14ac:dyDescent="0.3">
      <c r="A965" s="29">
        <v>964</v>
      </c>
      <c r="B965" s="15" t="s">
        <v>218</v>
      </c>
      <c r="C965" s="15" t="s">
        <v>43</v>
      </c>
      <c r="D965" s="69">
        <v>49</v>
      </c>
      <c r="E965" s="68" t="s">
        <v>960</v>
      </c>
      <c r="F965" s="14" t="s">
        <v>1115</v>
      </c>
      <c r="G965" s="15" t="s">
        <v>164</v>
      </c>
      <c r="H965" s="15" t="s">
        <v>908</v>
      </c>
      <c r="I965" s="69">
        <v>149</v>
      </c>
      <c r="J965" s="13" t="s">
        <v>2672</v>
      </c>
      <c r="K965" s="15" t="s">
        <v>903</v>
      </c>
      <c r="L965" s="15" t="s">
        <v>2673</v>
      </c>
      <c r="M965" s="15" t="s">
        <v>2672</v>
      </c>
      <c r="N965" s="15" t="s">
        <v>2673</v>
      </c>
      <c r="O965" s="15"/>
    </row>
    <row r="966" spans="1:15" ht="18" customHeight="1" x14ac:dyDescent="0.3">
      <c r="A966" s="29">
        <v>965</v>
      </c>
      <c r="B966" s="15" t="s">
        <v>215</v>
      </c>
      <c r="C966" s="15" t="s">
        <v>5</v>
      </c>
      <c r="D966" s="69">
        <v>50</v>
      </c>
      <c r="E966" s="68" t="s">
        <v>2854</v>
      </c>
      <c r="F966" s="16" t="s">
        <v>1754</v>
      </c>
      <c r="G966" s="15" t="s">
        <v>2673</v>
      </c>
      <c r="H966" s="15" t="s">
        <v>2685</v>
      </c>
      <c r="I966" s="69">
        <v>404</v>
      </c>
      <c r="J966" s="15" t="s">
        <v>2672</v>
      </c>
      <c r="K966" s="15" t="s">
        <v>903</v>
      </c>
      <c r="L966" s="15" t="s">
        <v>2673</v>
      </c>
      <c r="M966" s="15" t="s">
        <v>2672</v>
      </c>
      <c r="N966" s="15" t="s">
        <v>2673</v>
      </c>
      <c r="O966" s="15"/>
    </row>
    <row r="967" spans="1:15" ht="18" customHeight="1" x14ac:dyDescent="0.3">
      <c r="A967" s="29">
        <v>966</v>
      </c>
      <c r="B967" s="15" t="s">
        <v>215</v>
      </c>
      <c r="C967" s="15" t="s">
        <v>5</v>
      </c>
      <c r="D967" s="69">
        <v>50</v>
      </c>
      <c r="E967" s="68" t="s">
        <v>2854</v>
      </c>
      <c r="F967" s="16" t="s">
        <v>1754</v>
      </c>
      <c r="G967" s="15" t="s">
        <v>2673</v>
      </c>
      <c r="H967" s="15" t="s">
        <v>904</v>
      </c>
      <c r="I967" s="69">
        <v>114</v>
      </c>
      <c r="J967" s="15" t="s">
        <v>2672</v>
      </c>
      <c r="K967" s="15" t="s">
        <v>903</v>
      </c>
      <c r="L967" s="15" t="s">
        <v>2673</v>
      </c>
      <c r="M967" s="15" t="s">
        <v>2672</v>
      </c>
      <c r="N967" s="15" t="s">
        <v>2673</v>
      </c>
      <c r="O967" s="15"/>
    </row>
    <row r="968" spans="1:15" ht="18" customHeight="1" x14ac:dyDescent="0.3">
      <c r="A968" s="29">
        <v>967</v>
      </c>
      <c r="B968" s="15" t="s">
        <v>215</v>
      </c>
      <c r="C968" s="15" t="s">
        <v>5</v>
      </c>
      <c r="D968" s="69">
        <v>50</v>
      </c>
      <c r="E968" s="68" t="s">
        <v>2854</v>
      </c>
      <c r="F968" s="16" t="s">
        <v>1152</v>
      </c>
      <c r="G968" s="15" t="s">
        <v>2673</v>
      </c>
      <c r="H968" s="15" t="s">
        <v>905</v>
      </c>
      <c r="I968" s="69">
        <v>112</v>
      </c>
      <c r="J968" s="15" t="s">
        <v>2672</v>
      </c>
      <c r="K968" s="15" t="s">
        <v>903</v>
      </c>
      <c r="L968" s="15" t="s">
        <v>2673</v>
      </c>
      <c r="M968" s="15" t="s">
        <v>2672</v>
      </c>
      <c r="N968" s="15" t="s">
        <v>2673</v>
      </c>
      <c r="O968" s="15"/>
    </row>
    <row r="969" spans="1:15" ht="18" customHeight="1" x14ac:dyDescent="0.3">
      <c r="A969" s="29">
        <v>968</v>
      </c>
      <c r="B969" s="15" t="s">
        <v>215</v>
      </c>
      <c r="C969" s="15" t="s">
        <v>5</v>
      </c>
      <c r="D969" s="69">
        <v>50</v>
      </c>
      <c r="E969" s="68" t="s">
        <v>2854</v>
      </c>
      <c r="F969" s="16" t="s">
        <v>1152</v>
      </c>
      <c r="G969" s="15" t="s">
        <v>2673</v>
      </c>
      <c r="H969" s="15" t="s">
        <v>906</v>
      </c>
      <c r="I969" s="69">
        <v>98</v>
      </c>
      <c r="J969" s="15" t="s">
        <v>2672</v>
      </c>
      <c r="K969" s="15" t="s">
        <v>903</v>
      </c>
      <c r="L969" s="15" t="s">
        <v>2673</v>
      </c>
      <c r="M969" s="15" t="s">
        <v>2672</v>
      </c>
      <c r="N969" s="15" t="s">
        <v>2673</v>
      </c>
      <c r="O969" s="15"/>
    </row>
    <row r="970" spans="1:15" ht="18" customHeight="1" x14ac:dyDescent="0.3">
      <c r="A970" s="29">
        <v>969</v>
      </c>
      <c r="B970" s="15" t="s">
        <v>215</v>
      </c>
      <c r="C970" s="15" t="s">
        <v>5</v>
      </c>
      <c r="D970" s="69">
        <v>50</v>
      </c>
      <c r="E970" s="68" t="s">
        <v>2854</v>
      </c>
      <c r="F970" s="16" t="s">
        <v>1152</v>
      </c>
      <c r="G970" s="15" t="s">
        <v>2673</v>
      </c>
      <c r="H970" s="15" t="s">
        <v>907</v>
      </c>
      <c r="I970" s="69">
        <v>81</v>
      </c>
      <c r="J970" s="15" t="s">
        <v>2672</v>
      </c>
      <c r="K970" s="15" t="s">
        <v>903</v>
      </c>
      <c r="L970" s="15" t="s">
        <v>2673</v>
      </c>
      <c r="M970" s="15" t="s">
        <v>2672</v>
      </c>
      <c r="N970" s="15" t="s">
        <v>2673</v>
      </c>
      <c r="O970" s="15"/>
    </row>
    <row r="971" spans="1:15" ht="18" customHeight="1" x14ac:dyDescent="0.3">
      <c r="A971" s="29">
        <v>970</v>
      </c>
      <c r="B971" s="15" t="s">
        <v>215</v>
      </c>
      <c r="C971" s="15" t="s">
        <v>5</v>
      </c>
      <c r="D971" s="69">
        <v>50</v>
      </c>
      <c r="E971" s="68" t="s">
        <v>299</v>
      </c>
      <c r="F971" s="21" t="s">
        <v>530</v>
      </c>
      <c r="G971" s="15" t="s">
        <v>164</v>
      </c>
      <c r="H971" s="15" t="s">
        <v>901</v>
      </c>
      <c r="I971" s="69">
        <v>148</v>
      </c>
      <c r="J971" s="15" t="s">
        <v>2672</v>
      </c>
      <c r="K971" s="15" t="s">
        <v>903</v>
      </c>
      <c r="L971" s="15" t="s">
        <v>2673</v>
      </c>
      <c r="M971" s="15" t="s">
        <v>2672</v>
      </c>
      <c r="N971" s="15" t="s">
        <v>2673</v>
      </c>
      <c r="O971" s="15"/>
    </row>
    <row r="972" spans="1:15" ht="18" customHeight="1" x14ac:dyDescent="0.3">
      <c r="A972" s="29">
        <v>971</v>
      </c>
      <c r="B972" s="15" t="s">
        <v>215</v>
      </c>
      <c r="C972" s="15" t="s">
        <v>5</v>
      </c>
      <c r="D972" s="69">
        <v>50</v>
      </c>
      <c r="E972" s="68" t="s">
        <v>299</v>
      </c>
      <c r="F972" s="21" t="s">
        <v>530</v>
      </c>
      <c r="G972" s="15" t="s">
        <v>164</v>
      </c>
      <c r="H972" s="15" t="s">
        <v>904</v>
      </c>
      <c r="I972" s="69">
        <v>104</v>
      </c>
      <c r="J972" s="15" t="s">
        <v>2672</v>
      </c>
      <c r="K972" s="15" t="s">
        <v>903</v>
      </c>
      <c r="L972" s="15" t="s">
        <v>2673</v>
      </c>
      <c r="M972" s="15" t="s">
        <v>2672</v>
      </c>
      <c r="N972" s="15" t="s">
        <v>2673</v>
      </c>
      <c r="O972" s="15"/>
    </row>
    <row r="973" spans="1:15" ht="18" customHeight="1" x14ac:dyDescent="0.3">
      <c r="A973" s="29">
        <v>972</v>
      </c>
      <c r="B973" s="15" t="s">
        <v>215</v>
      </c>
      <c r="C973" s="15" t="s">
        <v>5</v>
      </c>
      <c r="D973" s="69">
        <v>50</v>
      </c>
      <c r="E973" s="68" t="s">
        <v>299</v>
      </c>
      <c r="F973" s="21" t="s">
        <v>530</v>
      </c>
      <c r="G973" s="15" t="s">
        <v>164</v>
      </c>
      <c r="H973" s="15" t="s">
        <v>905</v>
      </c>
      <c r="I973" s="69">
        <v>115</v>
      </c>
      <c r="J973" s="15" t="s">
        <v>2672</v>
      </c>
      <c r="K973" s="15" t="s">
        <v>903</v>
      </c>
      <c r="L973" s="15" t="s">
        <v>2673</v>
      </c>
      <c r="M973" s="15" t="s">
        <v>2672</v>
      </c>
      <c r="N973" s="15" t="s">
        <v>2673</v>
      </c>
      <c r="O973" s="15"/>
    </row>
    <row r="974" spans="1:15" ht="18" customHeight="1" x14ac:dyDescent="0.3">
      <c r="A974" s="29">
        <v>973</v>
      </c>
      <c r="B974" s="15" t="s">
        <v>215</v>
      </c>
      <c r="C974" s="15" t="s">
        <v>5</v>
      </c>
      <c r="D974" s="69">
        <v>50</v>
      </c>
      <c r="E974" s="68" t="s">
        <v>299</v>
      </c>
      <c r="F974" s="21" t="s">
        <v>530</v>
      </c>
      <c r="G974" s="15" t="s">
        <v>164</v>
      </c>
      <c r="H974" s="15" t="s">
        <v>906</v>
      </c>
      <c r="I974" s="69">
        <v>94</v>
      </c>
      <c r="J974" s="15" t="s">
        <v>2672</v>
      </c>
      <c r="K974" s="15" t="s">
        <v>903</v>
      </c>
      <c r="L974" s="15" t="s">
        <v>2673</v>
      </c>
      <c r="M974" s="15" t="s">
        <v>2672</v>
      </c>
      <c r="N974" s="15" t="s">
        <v>2673</v>
      </c>
      <c r="O974" s="15"/>
    </row>
    <row r="975" spans="1:15" ht="18" customHeight="1" x14ac:dyDescent="0.3">
      <c r="A975" s="29">
        <v>974</v>
      </c>
      <c r="B975" s="15" t="s">
        <v>215</v>
      </c>
      <c r="C975" s="15" t="s">
        <v>5</v>
      </c>
      <c r="D975" s="69">
        <v>50</v>
      </c>
      <c r="E975" s="68" t="s">
        <v>299</v>
      </c>
      <c r="F975" s="21" t="s">
        <v>530</v>
      </c>
      <c r="G975" s="15" t="s">
        <v>164</v>
      </c>
      <c r="H975" s="15" t="s">
        <v>907</v>
      </c>
      <c r="I975" s="69">
        <v>104</v>
      </c>
      <c r="J975" s="15" t="s">
        <v>2672</v>
      </c>
      <c r="K975" s="15" t="s">
        <v>903</v>
      </c>
      <c r="L975" s="15" t="s">
        <v>2673</v>
      </c>
      <c r="M975" s="15" t="s">
        <v>2672</v>
      </c>
      <c r="N975" s="15" t="s">
        <v>2673</v>
      </c>
      <c r="O975" s="15"/>
    </row>
    <row r="976" spans="1:15" ht="18" customHeight="1" x14ac:dyDescent="0.3">
      <c r="A976" s="29">
        <v>975</v>
      </c>
      <c r="B976" s="15" t="s">
        <v>215</v>
      </c>
      <c r="C976" s="15" t="s">
        <v>5</v>
      </c>
      <c r="D976" s="69">
        <v>50</v>
      </c>
      <c r="E976" s="68" t="s">
        <v>299</v>
      </c>
      <c r="F976" s="21" t="s">
        <v>530</v>
      </c>
      <c r="G976" s="15" t="s">
        <v>164</v>
      </c>
      <c r="H976" s="15" t="s">
        <v>908</v>
      </c>
      <c r="I976" s="69">
        <v>112</v>
      </c>
      <c r="J976" s="15" t="s">
        <v>2672</v>
      </c>
      <c r="K976" s="15" t="s">
        <v>903</v>
      </c>
      <c r="L976" s="15" t="s">
        <v>2673</v>
      </c>
      <c r="M976" s="15" t="s">
        <v>2672</v>
      </c>
      <c r="N976" s="15" t="s">
        <v>2673</v>
      </c>
      <c r="O976" s="15"/>
    </row>
    <row r="977" spans="1:15" ht="18" customHeight="1" x14ac:dyDescent="0.3">
      <c r="A977" s="29">
        <v>976</v>
      </c>
      <c r="B977" s="15" t="s">
        <v>215</v>
      </c>
      <c r="C977" s="15" t="s">
        <v>5</v>
      </c>
      <c r="D977" s="69">
        <v>50</v>
      </c>
      <c r="E977" s="68" t="s">
        <v>974</v>
      </c>
      <c r="F977" s="21" t="s">
        <v>1759</v>
      </c>
      <c r="G977" s="15" t="s">
        <v>164</v>
      </c>
      <c r="H977" s="15" t="s">
        <v>901</v>
      </c>
      <c r="I977" s="69">
        <v>88</v>
      </c>
      <c r="J977" s="13" t="s">
        <v>2672</v>
      </c>
      <c r="K977" s="15" t="s">
        <v>903</v>
      </c>
      <c r="L977" s="15" t="s">
        <v>2673</v>
      </c>
      <c r="M977" s="15" t="s">
        <v>2672</v>
      </c>
      <c r="N977" s="15" t="s">
        <v>2673</v>
      </c>
      <c r="O977" s="15"/>
    </row>
    <row r="978" spans="1:15" ht="18" customHeight="1" x14ac:dyDescent="0.3">
      <c r="A978" s="29">
        <v>977</v>
      </c>
      <c r="B978" s="15" t="s">
        <v>215</v>
      </c>
      <c r="C978" s="15" t="s">
        <v>5</v>
      </c>
      <c r="D978" s="69">
        <v>50</v>
      </c>
      <c r="E978" s="68" t="s">
        <v>974</v>
      </c>
      <c r="F978" s="21" t="s">
        <v>1759</v>
      </c>
      <c r="G978" s="15" t="s">
        <v>164</v>
      </c>
      <c r="H978" s="15" t="s">
        <v>904</v>
      </c>
      <c r="I978" s="69">
        <v>89</v>
      </c>
      <c r="J978" s="13" t="s">
        <v>2672</v>
      </c>
      <c r="K978" s="15" t="s">
        <v>903</v>
      </c>
      <c r="L978" s="15" t="s">
        <v>2673</v>
      </c>
      <c r="M978" s="15" t="s">
        <v>2672</v>
      </c>
      <c r="N978" s="15" t="s">
        <v>2673</v>
      </c>
      <c r="O978" s="15"/>
    </row>
    <row r="979" spans="1:15" ht="18" customHeight="1" x14ac:dyDescent="0.3">
      <c r="A979" s="29">
        <v>978</v>
      </c>
      <c r="B979" s="15" t="s">
        <v>215</v>
      </c>
      <c r="C979" s="15" t="s">
        <v>5</v>
      </c>
      <c r="D979" s="69">
        <v>50</v>
      </c>
      <c r="E979" s="68" t="s">
        <v>974</v>
      </c>
      <c r="F979" s="21" t="s">
        <v>1759</v>
      </c>
      <c r="G979" s="15" t="s">
        <v>164</v>
      </c>
      <c r="H979" s="15" t="s">
        <v>905</v>
      </c>
      <c r="I979" s="69">
        <v>93</v>
      </c>
      <c r="J979" s="13" t="s">
        <v>2672</v>
      </c>
      <c r="K979" s="15" t="s">
        <v>903</v>
      </c>
      <c r="L979" s="15" t="s">
        <v>2673</v>
      </c>
      <c r="M979" s="15" t="s">
        <v>2672</v>
      </c>
      <c r="N979" s="15" t="s">
        <v>2673</v>
      </c>
      <c r="O979" s="15"/>
    </row>
    <row r="980" spans="1:15" ht="18" customHeight="1" x14ac:dyDescent="0.3">
      <c r="A980" s="29">
        <v>979</v>
      </c>
      <c r="B980" s="15" t="s">
        <v>215</v>
      </c>
      <c r="C980" s="15" t="s">
        <v>30</v>
      </c>
      <c r="D980" s="69">
        <v>51</v>
      </c>
      <c r="E980" s="68" t="s">
        <v>2855</v>
      </c>
      <c r="F980" s="24" t="s">
        <v>1763</v>
      </c>
      <c r="G980" s="15" t="s">
        <v>2673</v>
      </c>
      <c r="H980" s="15" t="s">
        <v>901</v>
      </c>
      <c r="I980" s="69">
        <v>253</v>
      </c>
      <c r="J980" s="15" t="s">
        <v>2672</v>
      </c>
      <c r="K980" s="15" t="s">
        <v>903</v>
      </c>
      <c r="L980" s="15" t="s">
        <v>2673</v>
      </c>
      <c r="M980" s="15" t="s">
        <v>2674</v>
      </c>
      <c r="N980" s="15" t="s">
        <v>1508</v>
      </c>
      <c r="O980" s="15"/>
    </row>
    <row r="981" spans="1:15" ht="18" customHeight="1" x14ac:dyDescent="0.3">
      <c r="A981" s="29">
        <v>980</v>
      </c>
      <c r="B981" s="15" t="s">
        <v>1755</v>
      </c>
      <c r="C981" s="15" t="s">
        <v>1766</v>
      </c>
      <c r="D981" s="69">
        <v>52</v>
      </c>
      <c r="E981" s="68" t="s">
        <v>3287</v>
      </c>
      <c r="F981" s="16" t="s">
        <v>1768</v>
      </c>
      <c r="G981" s="15" t="s">
        <v>1538</v>
      </c>
      <c r="H981" s="15" t="s">
        <v>2685</v>
      </c>
      <c r="I981" s="69">
        <v>183</v>
      </c>
      <c r="J981" s="15" t="s">
        <v>2672</v>
      </c>
      <c r="K981" s="15" t="s">
        <v>903</v>
      </c>
      <c r="L981" s="15" t="s">
        <v>2673</v>
      </c>
      <c r="M981" s="15" t="s">
        <v>2672</v>
      </c>
      <c r="N981" s="15" t="s">
        <v>2673</v>
      </c>
      <c r="O981" s="15"/>
    </row>
    <row r="982" spans="1:15" ht="18" customHeight="1" x14ac:dyDescent="0.3">
      <c r="A982" s="29">
        <v>981</v>
      </c>
      <c r="B982" s="15" t="s">
        <v>1755</v>
      </c>
      <c r="C982" s="15" t="s">
        <v>1766</v>
      </c>
      <c r="D982" s="69">
        <v>52</v>
      </c>
      <c r="E982" s="68" t="s">
        <v>3287</v>
      </c>
      <c r="F982" s="16" t="s">
        <v>1768</v>
      </c>
      <c r="G982" s="15" t="s">
        <v>1538</v>
      </c>
      <c r="H982" s="15" t="s">
        <v>2678</v>
      </c>
      <c r="I982" s="69">
        <v>140</v>
      </c>
      <c r="J982" s="15" t="s">
        <v>2674</v>
      </c>
      <c r="K982" s="15" t="s">
        <v>903</v>
      </c>
      <c r="L982" s="15" t="s">
        <v>2673</v>
      </c>
      <c r="M982" s="15" t="s">
        <v>2672</v>
      </c>
      <c r="N982" s="15" t="s">
        <v>2673</v>
      </c>
      <c r="O982" s="15"/>
    </row>
    <row r="983" spans="1:15" ht="18" customHeight="1" x14ac:dyDescent="0.3">
      <c r="A983" s="29">
        <v>982</v>
      </c>
      <c r="B983" s="15" t="s">
        <v>1755</v>
      </c>
      <c r="C983" s="15" t="s">
        <v>1766</v>
      </c>
      <c r="D983" s="69">
        <v>52</v>
      </c>
      <c r="E983" s="68" t="s">
        <v>3287</v>
      </c>
      <c r="F983" s="16" t="s">
        <v>1768</v>
      </c>
      <c r="G983" s="15" t="s">
        <v>1538</v>
      </c>
      <c r="H983" s="15" t="s">
        <v>2679</v>
      </c>
      <c r="I983" s="69">
        <v>183</v>
      </c>
      <c r="J983" s="15" t="s">
        <v>2672</v>
      </c>
      <c r="K983" s="15" t="s">
        <v>903</v>
      </c>
      <c r="L983" s="15" t="s">
        <v>2673</v>
      </c>
      <c r="M983" s="15" t="s">
        <v>2672</v>
      </c>
      <c r="N983" s="15" t="s">
        <v>2673</v>
      </c>
      <c r="O983" s="15"/>
    </row>
    <row r="984" spans="1:15" ht="18" customHeight="1" x14ac:dyDescent="0.3">
      <c r="A984" s="29">
        <v>983</v>
      </c>
      <c r="B984" s="15" t="s">
        <v>1755</v>
      </c>
      <c r="C984" s="15" t="s">
        <v>1766</v>
      </c>
      <c r="D984" s="69">
        <v>52</v>
      </c>
      <c r="E984" s="68" t="s">
        <v>3287</v>
      </c>
      <c r="F984" s="16" t="s">
        <v>1768</v>
      </c>
      <c r="G984" s="15" t="s">
        <v>1538</v>
      </c>
      <c r="H984" s="15" t="s">
        <v>2680</v>
      </c>
      <c r="I984" s="69">
        <v>183</v>
      </c>
      <c r="J984" s="15" t="s">
        <v>2672</v>
      </c>
      <c r="K984" s="15" t="s">
        <v>903</v>
      </c>
      <c r="L984" s="15" t="s">
        <v>2673</v>
      </c>
      <c r="M984" s="15" t="s">
        <v>2672</v>
      </c>
      <c r="N984" s="15" t="s">
        <v>2673</v>
      </c>
      <c r="O984" s="15"/>
    </row>
    <row r="985" spans="1:15" ht="18" customHeight="1" x14ac:dyDescent="0.3">
      <c r="A985" s="29">
        <v>984</v>
      </c>
      <c r="B985" s="15" t="s">
        <v>1755</v>
      </c>
      <c r="C985" s="15" t="s">
        <v>1766</v>
      </c>
      <c r="D985" s="69">
        <v>52</v>
      </c>
      <c r="E985" s="68" t="s">
        <v>3287</v>
      </c>
      <c r="F985" s="16" t="s">
        <v>1768</v>
      </c>
      <c r="G985" s="15" t="s">
        <v>1538</v>
      </c>
      <c r="H985" s="15" t="s">
        <v>2690</v>
      </c>
      <c r="I985" s="69">
        <v>140</v>
      </c>
      <c r="J985" s="15" t="s">
        <v>2672</v>
      </c>
      <c r="K985" s="15" t="s">
        <v>903</v>
      </c>
      <c r="L985" s="15" t="s">
        <v>2673</v>
      </c>
      <c r="M985" s="15" t="s">
        <v>2672</v>
      </c>
      <c r="N985" s="15" t="s">
        <v>2673</v>
      </c>
      <c r="O985" s="15"/>
    </row>
    <row r="986" spans="1:15" ht="18" customHeight="1" x14ac:dyDescent="0.3">
      <c r="A986" s="29">
        <v>985</v>
      </c>
      <c r="B986" s="15" t="s">
        <v>1755</v>
      </c>
      <c r="C986" s="15" t="s">
        <v>1766</v>
      </c>
      <c r="D986" s="69">
        <v>52</v>
      </c>
      <c r="E986" s="68" t="s">
        <v>3287</v>
      </c>
      <c r="F986" s="16" t="s">
        <v>1768</v>
      </c>
      <c r="G986" s="15" t="s">
        <v>1538</v>
      </c>
      <c r="H986" s="15" t="s">
        <v>2682</v>
      </c>
      <c r="I986" s="69">
        <v>183</v>
      </c>
      <c r="J986" s="15" t="s">
        <v>2672</v>
      </c>
      <c r="K986" s="15" t="s">
        <v>903</v>
      </c>
      <c r="L986" s="15" t="s">
        <v>2673</v>
      </c>
      <c r="M986" s="15" t="s">
        <v>2672</v>
      </c>
      <c r="N986" s="15" t="s">
        <v>2673</v>
      </c>
      <c r="O986" s="15"/>
    </row>
    <row r="987" spans="1:15" ht="18" customHeight="1" x14ac:dyDescent="0.3">
      <c r="A987" s="29">
        <v>986</v>
      </c>
      <c r="B987" s="15" t="s">
        <v>215</v>
      </c>
      <c r="C987" s="15" t="s">
        <v>1766</v>
      </c>
      <c r="D987" s="69">
        <v>52</v>
      </c>
      <c r="E987" s="68" t="s">
        <v>2856</v>
      </c>
      <c r="F987" s="16" t="s">
        <v>1769</v>
      </c>
      <c r="G987" s="15" t="s">
        <v>2673</v>
      </c>
      <c r="H987" s="15" t="s">
        <v>901</v>
      </c>
      <c r="I987" s="69">
        <v>112</v>
      </c>
      <c r="J987" s="15" t="s">
        <v>2672</v>
      </c>
      <c r="K987" s="15" t="s">
        <v>903</v>
      </c>
      <c r="L987" s="15" t="s">
        <v>2673</v>
      </c>
      <c r="M987" s="15" t="s">
        <v>2674</v>
      </c>
      <c r="N987" s="15" t="s">
        <v>1508</v>
      </c>
      <c r="O987" s="15"/>
    </row>
    <row r="988" spans="1:15" ht="18" customHeight="1" x14ac:dyDescent="0.3">
      <c r="A988" s="29">
        <v>987</v>
      </c>
      <c r="B988" s="15" t="s">
        <v>215</v>
      </c>
      <c r="C988" s="15" t="s">
        <v>1766</v>
      </c>
      <c r="D988" s="69">
        <v>52</v>
      </c>
      <c r="E988" s="68" t="s">
        <v>2856</v>
      </c>
      <c r="F988" s="16" t="s">
        <v>1769</v>
      </c>
      <c r="G988" s="15" t="s">
        <v>2673</v>
      </c>
      <c r="H988" s="15" t="s">
        <v>904</v>
      </c>
      <c r="I988" s="69">
        <v>136</v>
      </c>
      <c r="J988" s="15" t="s">
        <v>2672</v>
      </c>
      <c r="K988" s="15" t="s">
        <v>903</v>
      </c>
      <c r="L988" s="15" t="s">
        <v>2673</v>
      </c>
      <c r="M988" s="15" t="s">
        <v>2674</v>
      </c>
      <c r="N988" s="15" t="s">
        <v>2689</v>
      </c>
      <c r="O988" s="15"/>
    </row>
    <row r="989" spans="1:15" ht="18" customHeight="1" x14ac:dyDescent="0.3">
      <c r="A989" s="29">
        <v>988</v>
      </c>
      <c r="B989" s="15" t="s">
        <v>215</v>
      </c>
      <c r="C989" s="15" t="s">
        <v>1766</v>
      </c>
      <c r="D989" s="69">
        <v>52</v>
      </c>
      <c r="E989" s="68" t="s">
        <v>2856</v>
      </c>
      <c r="F989" s="16" t="s">
        <v>1150</v>
      </c>
      <c r="G989" s="15" t="s">
        <v>2673</v>
      </c>
      <c r="H989" s="15" t="s">
        <v>905</v>
      </c>
      <c r="I989" s="69">
        <v>98</v>
      </c>
      <c r="J989" s="15" t="s">
        <v>2672</v>
      </c>
      <c r="K989" s="15" t="s">
        <v>903</v>
      </c>
      <c r="L989" s="15" t="s">
        <v>2673</v>
      </c>
      <c r="M989" s="15" t="s">
        <v>2674</v>
      </c>
      <c r="N989" s="15" t="s">
        <v>2857</v>
      </c>
      <c r="O989" s="15"/>
    </row>
    <row r="990" spans="1:15" ht="18" customHeight="1" x14ac:dyDescent="0.3">
      <c r="A990" s="29">
        <v>989</v>
      </c>
      <c r="B990" s="15" t="s">
        <v>215</v>
      </c>
      <c r="C990" s="15" t="s">
        <v>1766</v>
      </c>
      <c r="D990" s="69">
        <v>52</v>
      </c>
      <c r="E990" s="68" t="s">
        <v>2856</v>
      </c>
      <c r="F990" s="16" t="s">
        <v>1150</v>
      </c>
      <c r="G990" s="15" t="s">
        <v>2673</v>
      </c>
      <c r="H990" s="15" t="s">
        <v>906</v>
      </c>
      <c r="I990" s="69">
        <v>150</v>
      </c>
      <c r="J990" s="15" t="s">
        <v>2672</v>
      </c>
      <c r="K990" s="15" t="s">
        <v>903</v>
      </c>
      <c r="L990" s="15" t="s">
        <v>2673</v>
      </c>
      <c r="M990" s="15" t="s">
        <v>2674</v>
      </c>
      <c r="N990" s="15" t="s">
        <v>2858</v>
      </c>
      <c r="O990" s="15"/>
    </row>
    <row r="991" spans="1:15" ht="18" customHeight="1" x14ac:dyDescent="0.3">
      <c r="A991" s="29">
        <v>990</v>
      </c>
      <c r="B991" s="15" t="s">
        <v>1755</v>
      </c>
      <c r="C991" s="15" t="s">
        <v>1766</v>
      </c>
      <c r="D991" s="69">
        <v>52</v>
      </c>
      <c r="E991" s="68" t="s">
        <v>3288</v>
      </c>
      <c r="F991" s="51" t="s">
        <v>1774</v>
      </c>
      <c r="G991" s="15" t="s">
        <v>1553</v>
      </c>
      <c r="H991" s="15" t="s">
        <v>2685</v>
      </c>
      <c r="I991" s="69">
        <v>87</v>
      </c>
      <c r="J991" s="15" t="s">
        <v>2672</v>
      </c>
      <c r="K991" s="15" t="s">
        <v>2672</v>
      </c>
      <c r="L991" s="15" t="s">
        <v>2673</v>
      </c>
      <c r="M991" s="15" t="s">
        <v>2672</v>
      </c>
      <c r="N991" s="15" t="s">
        <v>2673</v>
      </c>
      <c r="O991" s="15"/>
    </row>
    <row r="992" spans="1:15" ht="18" customHeight="1" x14ac:dyDescent="0.3">
      <c r="A992" s="29">
        <v>991</v>
      </c>
      <c r="B992" s="15" t="s">
        <v>1755</v>
      </c>
      <c r="C992" s="15" t="s">
        <v>1766</v>
      </c>
      <c r="D992" s="69">
        <v>52</v>
      </c>
      <c r="E992" s="68" t="s">
        <v>3288</v>
      </c>
      <c r="F992" s="51" t="s">
        <v>1774</v>
      </c>
      <c r="G992" s="15" t="s">
        <v>1553</v>
      </c>
      <c r="H992" s="15" t="s">
        <v>2678</v>
      </c>
      <c r="I992" s="69">
        <v>88</v>
      </c>
      <c r="J992" s="15" t="s">
        <v>2672</v>
      </c>
      <c r="K992" s="15" t="s">
        <v>2672</v>
      </c>
      <c r="L992" s="15" t="s">
        <v>2673</v>
      </c>
      <c r="M992" s="15" t="s">
        <v>2672</v>
      </c>
      <c r="N992" s="15" t="s">
        <v>2673</v>
      </c>
      <c r="O992" s="15"/>
    </row>
    <row r="993" spans="1:15" ht="18" customHeight="1" x14ac:dyDescent="0.3">
      <c r="A993" s="29">
        <v>992</v>
      </c>
      <c r="B993" s="15" t="s">
        <v>1755</v>
      </c>
      <c r="C993" s="15" t="s">
        <v>1766</v>
      </c>
      <c r="D993" s="69">
        <v>52</v>
      </c>
      <c r="E993" s="68" t="s">
        <v>3288</v>
      </c>
      <c r="F993" s="51" t="s">
        <v>1774</v>
      </c>
      <c r="G993" s="15" t="s">
        <v>1553</v>
      </c>
      <c r="H993" s="15" t="s">
        <v>2679</v>
      </c>
      <c r="I993" s="69">
        <v>87</v>
      </c>
      <c r="J993" s="15" t="s">
        <v>2672</v>
      </c>
      <c r="K993" s="15" t="s">
        <v>2672</v>
      </c>
      <c r="L993" s="15" t="s">
        <v>2673</v>
      </c>
      <c r="M993" s="15" t="s">
        <v>2672</v>
      </c>
      <c r="N993" s="15" t="s">
        <v>2673</v>
      </c>
      <c r="O993" s="15"/>
    </row>
    <row r="994" spans="1:15" ht="18" customHeight="1" x14ac:dyDescent="0.3">
      <c r="A994" s="29">
        <v>993</v>
      </c>
      <c r="B994" s="15" t="s">
        <v>1755</v>
      </c>
      <c r="C994" s="15" t="s">
        <v>1766</v>
      </c>
      <c r="D994" s="69">
        <v>52</v>
      </c>
      <c r="E994" s="68" t="s">
        <v>3288</v>
      </c>
      <c r="F994" s="51" t="s">
        <v>1774</v>
      </c>
      <c r="G994" s="15" t="s">
        <v>1553</v>
      </c>
      <c r="H994" s="15" t="s">
        <v>2680</v>
      </c>
      <c r="I994" s="69">
        <v>102</v>
      </c>
      <c r="J994" s="15" t="s">
        <v>2672</v>
      </c>
      <c r="K994" s="15" t="s">
        <v>2672</v>
      </c>
      <c r="L994" s="15" t="s">
        <v>2673</v>
      </c>
      <c r="M994" s="15" t="s">
        <v>2672</v>
      </c>
      <c r="N994" s="15" t="s">
        <v>2673</v>
      </c>
      <c r="O994" s="15"/>
    </row>
    <row r="995" spans="1:15" ht="18" customHeight="1" x14ac:dyDescent="0.3">
      <c r="A995" s="29">
        <v>994</v>
      </c>
      <c r="B995" s="15" t="s">
        <v>1755</v>
      </c>
      <c r="C995" s="15" t="s">
        <v>1766</v>
      </c>
      <c r="D995" s="69">
        <v>52</v>
      </c>
      <c r="E995" s="68" t="s">
        <v>3288</v>
      </c>
      <c r="F995" s="51" t="s">
        <v>1774</v>
      </c>
      <c r="G995" s="15" t="s">
        <v>1553</v>
      </c>
      <c r="H995" s="15" t="s">
        <v>2690</v>
      </c>
      <c r="I995" s="69">
        <v>88</v>
      </c>
      <c r="J995" s="15" t="s">
        <v>2672</v>
      </c>
      <c r="K995" s="15" t="s">
        <v>2672</v>
      </c>
      <c r="L995" s="15" t="s">
        <v>2673</v>
      </c>
      <c r="M995" s="15" t="s">
        <v>2672</v>
      </c>
      <c r="N995" s="15" t="s">
        <v>2673</v>
      </c>
      <c r="O995" s="15"/>
    </row>
    <row r="996" spans="1:15" ht="18" customHeight="1" x14ac:dyDescent="0.3">
      <c r="A996" s="29">
        <v>995</v>
      </c>
      <c r="B996" s="15" t="s">
        <v>1755</v>
      </c>
      <c r="C996" s="15" t="s">
        <v>1766</v>
      </c>
      <c r="D996" s="69">
        <v>52</v>
      </c>
      <c r="E996" s="68" t="s">
        <v>3288</v>
      </c>
      <c r="F996" s="51" t="s">
        <v>1774</v>
      </c>
      <c r="G996" s="15" t="s">
        <v>1553</v>
      </c>
      <c r="H996" s="15" t="s">
        <v>2682</v>
      </c>
      <c r="I996" s="69">
        <v>84</v>
      </c>
      <c r="J996" s="15" t="s">
        <v>2672</v>
      </c>
      <c r="K996" s="15" t="s">
        <v>2672</v>
      </c>
      <c r="L996" s="15" t="s">
        <v>2673</v>
      </c>
      <c r="M996" s="15" t="s">
        <v>2672</v>
      </c>
      <c r="N996" s="15" t="s">
        <v>2673</v>
      </c>
      <c r="O996" s="15"/>
    </row>
    <row r="997" spans="1:15" ht="18" customHeight="1" x14ac:dyDescent="0.3">
      <c r="A997" s="29">
        <v>996</v>
      </c>
      <c r="B997" s="15" t="s">
        <v>215</v>
      </c>
      <c r="C997" s="15" t="s">
        <v>1766</v>
      </c>
      <c r="D997" s="69">
        <v>52</v>
      </c>
      <c r="E997" s="68" t="s">
        <v>268</v>
      </c>
      <c r="F997" s="24" t="s">
        <v>1775</v>
      </c>
      <c r="G997" s="15" t="s">
        <v>154</v>
      </c>
      <c r="H997" s="15" t="s">
        <v>901</v>
      </c>
      <c r="I997" s="69">
        <v>187</v>
      </c>
      <c r="J997" s="13" t="s">
        <v>2672</v>
      </c>
      <c r="K997" s="15" t="s">
        <v>903</v>
      </c>
      <c r="L997" s="15" t="s">
        <v>2673</v>
      </c>
      <c r="M997" s="15" t="s">
        <v>2672</v>
      </c>
      <c r="N997" s="15" t="s">
        <v>2673</v>
      </c>
      <c r="O997" s="15"/>
    </row>
    <row r="998" spans="1:15" ht="18" customHeight="1" x14ac:dyDescent="0.3">
      <c r="A998" s="29">
        <v>997</v>
      </c>
      <c r="B998" s="15" t="s">
        <v>215</v>
      </c>
      <c r="C998" s="15" t="s">
        <v>1766</v>
      </c>
      <c r="D998" s="69">
        <v>52</v>
      </c>
      <c r="E998" s="68" t="s">
        <v>268</v>
      </c>
      <c r="F998" s="24" t="s">
        <v>1775</v>
      </c>
      <c r="G998" s="15" t="s">
        <v>154</v>
      </c>
      <c r="H998" s="15" t="s">
        <v>904</v>
      </c>
      <c r="I998" s="69">
        <v>123</v>
      </c>
      <c r="J998" s="13" t="s">
        <v>902</v>
      </c>
      <c r="K998" s="15" t="s">
        <v>903</v>
      </c>
      <c r="L998" s="15" t="s">
        <v>2673</v>
      </c>
      <c r="M998" s="15" t="s">
        <v>2672</v>
      </c>
      <c r="N998" s="15" t="s">
        <v>2673</v>
      </c>
      <c r="O998" s="15"/>
    </row>
    <row r="999" spans="1:15" ht="18" customHeight="1" x14ac:dyDescent="0.3">
      <c r="A999" s="29">
        <v>998</v>
      </c>
      <c r="B999" s="15" t="s">
        <v>215</v>
      </c>
      <c r="C999" s="15" t="s">
        <v>1766</v>
      </c>
      <c r="D999" s="69">
        <v>52</v>
      </c>
      <c r="E999" s="68" t="s">
        <v>268</v>
      </c>
      <c r="F999" s="24" t="s">
        <v>1149</v>
      </c>
      <c r="G999" s="15" t="s">
        <v>154</v>
      </c>
      <c r="H999" s="15" t="s">
        <v>905</v>
      </c>
      <c r="I999" s="69">
        <v>100</v>
      </c>
      <c r="J999" s="13" t="s">
        <v>2672</v>
      </c>
      <c r="K999" s="15" t="s">
        <v>903</v>
      </c>
      <c r="L999" s="15" t="s">
        <v>2673</v>
      </c>
      <c r="M999" s="15" t="s">
        <v>2672</v>
      </c>
      <c r="N999" s="15" t="s">
        <v>2673</v>
      </c>
      <c r="O999" s="15"/>
    </row>
    <row r="1000" spans="1:15" ht="18" customHeight="1" x14ac:dyDescent="0.3">
      <c r="A1000" s="29">
        <v>999</v>
      </c>
      <c r="B1000" s="15" t="s">
        <v>215</v>
      </c>
      <c r="C1000" s="15" t="s">
        <v>1766</v>
      </c>
      <c r="D1000" s="69">
        <v>52</v>
      </c>
      <c r="E1000" s="68" t="s">
        <v>268</v>
      </c>
      <c r="F1000" s="24" t="s">
        <v>1149</v>
      </c>
      <c r="G1000" s="15" t="s">
        <v>154</v>
      </c>
      <c r="H1000" s="15" t="s">
        <v>906</v>
      </c>
      <c r="I1000" s="69">
        <v>128</v>
      </c>
      <c r="J1000" s="13" t="s">
        <v>2672</v>
      </c>
      <c r="K1000" s="15" t="s">
        <v>903</v>
      </c>
      <c r="L1000" s="15" t="s">
        <v>2673</v>
      </c>
      <c r="M1000" s="15" t="s">
        <v>2672</v>
      </c>
      <c r="N1000" s="15" t="s">
        <v>2673</v>
      </c>
      <c r="O1000" s="15"/>
    </row>
    <row r="1001" spans="1:15" ht="18" customHeight="1" x14ac:dyDescent="0.3">
      <c r="A1001" s="29">
        <v>1000</v>
      </c>
      <c r="B1001" s="15" t="s">
        <v>215</v>
      </c>
      <c r="C1001" s="15" t="s">
        <v>1766</v>
      </c>
      <c r="D1001" s="69">
        <v>52</v>
      </c>
      <c r="E1001" s="68" t="s">
        <v>3289</v>
      </c>
      <c r="F1001" s="24" t="s">
        <v>1777</v>
      </c>
      <c r="G1001" s="15" t="s">
        <v>1553</v>
      </c>
      <c r="H1001" s="15" t="s">
        <v>901</v>
      </c>
      <c r="I1001" s="69">
        <v>142</v>
      </c>
      <c r="J1001" s="15" t="s">
        <v>2674</v>
      </c>
      <c r="K1001" s="15" t="s">
        <v>903</v>
      </c>
      <c r="L1001" s="15" t="s">
        <v>2673</v>
      </c>
      <c r="M1001" s="15" t="s">
        <v>2672</v>
      </c>
      <c r="N1001" s="15" t="s">
        <v>2673</v>
      </c>
      <c r="O1001" s="15"/>
    </row>
    <row r="1002" spans="1:15" ht="18" customHeight="1" x14ac:dyDescent="0.3">
      <c r="A1002" s="29">
        <v>1001</v>
      </c>
      <c r="B1002" s="15" t="s">
        <v>215</v>
      </c>
      <c r="C1002" s="15" t="s">
        <v>1766</v>
      </c>
      <c r="D1002" s="69">
        <v>52</v>
      </c>
      <c r="E1002" s="68" t="s">
        <v>3289</v>
      </c>
      <c r="F1002" s="24" t="s">
        <v>1777</v>
      </c>
      <c r="G1002" s="15" t="s">
        <v>1553</v>
      </c>
      <c r="H1002" s="15" t="s">
        <v>904</v>
      </c>
      <c r="I1002" s="69">
        <v>142</v>
      </c>
      <c r="J1002" s="15" t="s">
        <v>2674</v>
      </c>
      <c r="K1002" s="15" t="s">
        <v>903</v>
      </c>
      <c r="L1002" s="15" t="s">
        <v>2673</v>
      </c>
      <c r="M1002" s="15" t="s">
        <v>2672</v>
      </c>
      <c r="N1002" s="15" t="s">
        <v>2673</v>
      </c>
      <c r="O1002" s="15"/>
    </row>
    <row r="1003" spans="1:15" ht="18" customHeight="1" x14ac:dyDescent="0.3">
      <c r="A1003" s="29">
        <v>1002</v>
      </c>
      <c r="B1003" s="15" t="s">
        <v>215</v>
      </c>
      <c r="C1003" s="15" t="s">
        <v>1766</v>
      </c>
      <c r="D1003" s="69">
        <v>52</v>
      </c>
      <c r="E1003" s="68" t="s">
        <v>3289</v>
      </c>
      <c r="F1003" s="24" t="s">
        <v>1148</v>
      </c>
      <c r="G1003" s="15" t="s">
        <v>1553</v>
      </c>
      <c r="H1003" s="15" t="s">
        <v>905</v>
      </c>
      <c r="I1003" s="69">
        <v>68</v>
      </c>
      <c r="J1003" s="15" t="s">
        <v>2674</v>
      </c>
      <c r="K1003" s="15" t="s">
        <v>903</v>
      </c>
      <c r="L1003" s="15" t="s">
        <v>2673</v>
      </c>
      <c r="M1003" s="15" t="s">
        <v>2672</v>
      </c>
      <c r="N1003" s="15" t="s">
        <v>2673</v>
      </c>
      <c r="O1003" s="15"/>
    </row>
    <row r="1004" spans="1:15" ht="18" customHeight="1" x14ac:dyDescent="0.3">
      <c r="A1004" s="29">
        <v>1003</v>
      </c>
      <c r="B1004" s="15" t="s">
        <v>215</v>
      </c>
      <c r="C1004" s="15" t="s">
        <v>1766</v>
      </c>
      <c r="D1004" s="69">
        <v>52</v>
      </c>
      <c r="E1004" s="68" t="s">
        <v>3289</v>
      </c>
      <c r="F1004" s="24" t="s">
        <v>1148</v>
      </c>
      <c r="G1004" s="15" t="s">
        <v>1553</v>
      </c>
      <c r="H1004" s="15" t="s">
        <v>906</v>
      </c>
      <c r="I1004" s="69">
        <v>121</v>
      </c>
      <c r="J1004" s="15" t="s">
        <v>2674</v>
      </c>
      <c r="K1004" s="15" t="s">
        <v>903</v>
      </c>
      <c r="L1004" s="15" t="s">
        <v>2673</v>
      </c>
      <c r="M1004" s="15" t="s">
        <v>2672</v>
      </c>
      <c r="N1004" s="15" t="s">
        <v>2673</v>
      </c>
      <c r="O1004" s="15"/>
    </row>
    <row r="1005" spans="1:15" ht="18" customHeight="1" x14ac:dyDescent="0.3">
      <c r="A1005" s="29">
        <v>1004</v>
      </c>
      <c r="B1005" s="15" t="s">
        <v>215</v>
      </c>
      <c r="C1005" s="15" t="s">
        <v>1766</v>
      </c>
      <c r="D1005" s="69">
        <v>52</v>
      </c>
      <c r="E1005" s="68" t="s">
        <v>3289</v>
      </c>
      <c r="F1005" s="24" t="s">
        <v>1148</v>
      </c>
      <c r="G1005" s="15" t="s">
        <v>1553</v>
      </c>
      <c r="H1005" s="15" t="s">
        <v>907</v>
      </c>
      <c r="I1005" s="69">
        <v>139</v>
      </c>
      <c r="J1005" s="15" t="s">
        <v>2672</v>
      </c>
      <c r="K1005" s="15" t="s">
        <v>903</v>
      </c>
      <c r="L1005" s="15" t="s">
        <v>2673</v>
      </c>
      <c r="M1005" s="15" t="s">
        <v>2672</v>
      </c>
      <c r="N1005" s="15" t="s">
        <v>2673</v>
      </c>
      <c r="O1005" s="15"/>
    </row>
    <row r="1006" spans="1:15" ht="18" customHeight="1" x14ac:dyDescent="0.3">
      <c r="A1006" s="29">
        <v>1005</v>
      </c>
      <c r="B1006" s="15" t="s">
        <v>215</v>
      </c>
      <c r="C1006" s="15" t="s">
        <v>1766</v>
      </c>
      <c r="D1006" s="69">
        <v>52</v>
      </c>
      <c r="E1006" s="68" t="s">
        <v>3289</v>
      </c>
      <c r="F1006" s="24" t="s">
        <v>1148</v>
      </c>
      <c r="G1006" s="15" t="s">
        <v>1553</v>
      </c>
      <c r="H1006" s="15" t="s">
        <v>908</v>
      </c>
      <c r="I1006" s="69">
        <v>138</v>
      </c>
      <c r="J1006" s="15" t="s">
        <v>2672</v>
      </c>
      <c r="K1006" s="15" t="s">
        <v>903</v>
      </c>
      <c r="L1006" s="15" t="s">
        <v>2673</v>
      </c>
      <c r="M1006" s="15" t="s">
        <v>2672</v>
      </c>
      <c r="N1006" s="15" t="s">
        <v>2673</v>
      </c>
      <c r="O1006" s="15"/>
    </row>
    <row r="1007" spans="1:15" ht="18" customHeight="1" x14ac:dyDescent="0.3">
      <c r="A1007" s="29">
        <v>1006</v>
      </c>
      <c r="B1007" s="15" t="s">
        <v>215</v>
      </c>
      <c r="C1007" s="15" t="s">
        <v>1766</v>
      </c>
      <c r="D1007" s="69">
        <v>52</v>
      </c>
      <c r="E1007" s="68" t="s">
        <v>3289</v>
      </c>
      <c r="F1007" s="24" t="s">
        <v>1148</v>
      </c>
      <c r="G1007" s="15" t="s">
        <v>1553</v>
      </c>
      <c r="H1007" s="15" t="s">
        <v>909</v>
      </c>
      <c r="I1007" s="69">
        <v>65</v>
      </c>
      <c r="J1007" s="15" t="s">
        <v>2672</v>
      </c>
      <c r="K1007" s="15" t="s">
        <v>903</v>
      </c>
      <c r="L1007" s="15" t="s">
        <v>2673</v>
      </c>
      <c r="M1007" s="15" t="s">
        <v>2672</v>
      </c>
      <c r="N1007" s="15" t="s">
        <v>2673</v>
      </c>
      <c r="O1007" s="15"/>
    </row>
    <row r="1008" spans="1:15" ht="18" customHeight="1" x14ac:dyDescent="0.3">
      <c r="A1008" s="29">
        <v>1007</v>
      </c>
      <c r="B1008" s="15" t="s">
        <v>215</v>
      </c>
      <c r="C1008" s="15" t="s">
        <v>1766</v>
      </c>
      <c r="D1008" s="69">
        <v>52</v>
      </c>
      <c r="E1008" s="68" t="s">
        <v>3289</v>
      </c>
      <c r="F1008" s="24" t="s">
        <v>1148</v>
      </c>
      <c r="G1008" s="15" t="s">
        <v>1553</v>
      </c>
      <c r="H1008" s="15" t="s">
        <v>910</v>
      </c>
      <c r="I1008" s="69">
        <v>68</v>
      </c>
      <c r="J1008" s="15" t="s">
        <v>2672</v>
      </c>
      <c r="K1008" s="15" t="s">
        <v>903</v>
      </c>
      <c r="L1008" s="15" t="s">
        <v>2673</v>
      </c>
      <c r="M1008" s="15" t="s">
        <v>2672</v>
      </c>
      <c r="N1008" s="15" t="s">
        <v>2673</v>
      </c>
      <c r="O1008" s="15"/>
    </row>
    <row r="1009" spans="1:15" ht="18" customHeight="1" x14ac:dyDescent="0.3">
      <c r="A1009" s="29">
        <v>1008</v>
      </c>
      <c r="B1009" s="15" t="s">
        <v>215</v>
      </c>
      <c r="C1009" s="15" t="s">
        <v>1766</v>
      </c>
      <c r="D1009" s="69">
        <v>52</v>
      </c>
      <c r="E1009" s="68" t="s">
        <v>3289</v>
      </c>
      <c r="F1009" s="24" t="s">
        <v>1148</v>
      </c>
      <c r="G1009" s="15" t="s">
        <v>1553</v>
      </c>
      <c r="H1009" s="15" t="s">
        <v>911</v>
      </c>
      <c r="I1009" s="69">
        <v>121</v>
      </c>
      <c r="J1009" s="15" t="s">
        <v>2672</v>
      </c>
      <c r="K1009" s="15" t="s">
        <v>903</v>
      </c>
      <c r="L1009" s="15" t="s">
        <v>2673</v>
      </c>
      <c r="M1009" s="15" t="s">
        <v>2672</v>
      </c>
      <c r="N1009" s="15" t="s">
        <v>2673</v>
      </c>
      <c r="O1009" s="15"/>
    </row>
    <row r="1010" spans="1:15" ht="18" customHeight="1" x14ac:dyDescent="0.3">
      <c r="A1010" s="29">
        <v>1009</v>
      </c>
      <c r="B1010" s="15" t="s">
        <v>215</v>
      </c>
      <c r="C1010" s="15" t="s">
        <v>44</v>
      </c>
      <c r="D1010" s="69">
        <v>53</v>
      </c>
      <c r="E1010" s="68" t="s">
        <v>3290</v>
      </c>
      <c r="F1010" s="24" t="s">
        <v>525</v>
      </c>
      <c r="G1010" s="15" t="s">
        <v>154</v>
      </c>
      <c r="H1010" s="15" t="s">
        <v>901</v>
      </c>
      <c r="I1010" s="69">
        <v>165</v>
      </c>
      <c r="J1010" s="15" t="s">
        <v>2674</v>
      </c>
      <c r="K1010" s="15" t="s">
        <v>903</v>
      </c>
      <c r="L1010" s="15" t="s">
        <v>2673</v>
      </c>
      <c r="M1010" s="15" t="s">
        <v>2672</v>
      </c>
      <c r="N1010" s="15" t="s">
        <v>2673</v>
      </c>
      <c r="O1010" s="15"/>
    </row>
    <row r="1011" spans="1:15" ht="18" customHeight="1" x14ac:dyDescent="0.3">
      <c r="A1011" s="29">
        <v>1010</v>
      </c>
      <c r="B1011" s="15" t="s">
        <v>215</v>
      </c>
      <c r="C1011" s="15" t="s">
        <v>44</v>
      </c>
      <c r="D1011" s="69">
        <v>53</v>
      </c>
      <c r="E1011" s="68" t="s">
        <v>3290</v>
      </c>
      <c r="F1011" s="24" t="s">
        <v>525</v>
      </c>
      <c r="G1011" s="15" t="s">
        <v>154</v>
      </c>
      <c r="H1011" s="15" t="s">
        <v>904</v>
      </c>
      <c r="I1011" s="69">
        <v>117</v>
      </c>
      <c r="J1011" s="15" t="s">
        <v>2672</v>
      </c>
      <c r="K1011" s="15" t="s">
        <v>903</v>
      </c>
      <c r="L1011" s="15" t="s">
        <v>2673</v>
      </c>
      <c r="M1011" s="15" t="s">
        <v>2672</v>
      </c>
      <c r="N1011" s="15" t="s">
        <v>2673</v>
      </c>
      <c r="O1011" s="15"/>
    </row>
    <row r="1012" spans="1:15" ht="18" customHeight="1" x14ac:dyDescent="0.3">
      <c r="A1012" s="29">
        <v>1011</v>
      </c>
      <c r="B1012" s="15" t="s">
        <v>215</v>
      </c>
      <c r="C1012" s="15" t="s">
        <v>44</v>
      </c>
      <c r="D1012" s="69">
        <v>53</v>
      </c>
      <c r="E1012" s="68" t="s">
        <v>3290</v>
      </c>
      <c r="F1012" s="24" t="s">
        <v>525</v>
      </c>
      <c r="G1012" s="15" t="s">
        <v>154</v>
      </c>
      <c r="H1012" s="15" t="s">
        <v>905</v>
      </c>
      <c r="I1012" s="69">
        <v>143</v>
      </c>
      <c r="J1012" s="15" t="s">
        <v>2674</v>
      </c>
      <c r="K1012" s="15" t="s">
        <v>903</v>
      </c>
      <c r="L1012" s="15" t="s">
        <v>2673</v>
      </c>
      <c r="M1012" s="15" t="s">
        <v>2672</v>
      </c>
      <c r="N1012" s="15" t="s">
        <v>2673</v>
      </c>
      <c r="O1012" s="15"/>
    </row>
    <row r="1013" spans="1:15" ht="18" customHeight="1" x14ac:dyDescent="0.3">
      <c r="A1013" s="29">
        <v>1012</v>
      </c>
      <c r="B1013" s="15" t="s">
        <v>215</v>
      </c>
      <c r="C1013" s="15" t="s">
        <v>44</v>
      </c>
      <c r="D1013" s="69">
        <v>53</v>
      </c>
      <c r="E1013" s="68" t="s">
        <v>3290</v>
      </c>
      <c r="F1013" s="24" t="s">
        <v>525</v>
      </c>
      <c r="G1013" s="15" t="s">
        <v>154</v>
      </c>
      <c r="H1013" s="15" t="s">
        <v>906</v>
      </c>
      <c r="I1013" s="69">
        <v>231</v>
      </c>
      <c r="J1013" s="15" t="s">
        <v>2672</v>
      </c>
      <c r="K1013" s="15" t="s">
        <v>903</v>
      </c>
      <c r="L1013" s="15" t="s">
        <v>2673</v>
      </c>
      <c r="M1013" s="15" t="s">
        <v>2672</v>
      </c>
      <c r="N1013" s="15" t="s">
        <v>2673</v>
      </c>
      <c r="O1013" s="15"/>
    </row>
    <row r="1014" spans="1:15" ht="18" customHeight="1" x14ac:dyDescent="0.3">
      <c r="A1014" s="29">
        <v>1013</v>
      </c>
      <c r="B1014" s="15" t="s">
        <v>215</v>
      </c>
      <c r="C1014" s="15" t="s">
        <v>44</v>
      </c>
      <c r="D1014" s="69">
        <v>53</v>
      </c>
      <c r="E1014" s="68" t="s">
        <v>3290</v>
      </c>
      <c r="F1014" s="24" t="s">
        <v>525</v>
      </c>
      <c r="G1014" s="15" t="s">
        <v>154</v>
      </c>
      <c r="H1014" s="15" t="s">
        <v>907</v>
      </c>
      <c r="I1014" s="69">
        <v>231</v>
      </c>
      <c r="J1014" s="15" t="s">
        <v>2672</v>
      </c>
      <c r="K1014" s="15" t="s">
        <v>903</v>
      </c>
      <c r="L1014" s="15" t="s">
        <v>2673</v>
      </c>
      <c r="M1014" s="15" t="s">
        <v>2672</v>
      </c>
      <c r="N1014" s="15" t="s">
        <v>2673</v>
      </c>
      <c r="O1014" s="15"/>
    </row>
    <row r="1015" spans="1:15" ht="18" customHeight="1" x14ac:dyDescent="0.3">
      <c r="A1015" s="29">
        <v>1014</v>
      </c>
      <c r="B1015" s="15" t="s">
        <v>215</v>
      </c>
      <c r="C1015" s="15" t="s">
        <v>44</v>
      </c>
      <c r="D1015" s="69">
        <v>53</v>
      </c>
      <c r="E1015" s="68" t="s">
        <v>3290</v>
      </c>
      <c r="F1015" s="24" t="s">
        <v>525</v>
      </c>
      <c r="G1015" s="15" t="s">
        <v>154</v>
      </c>
      <c r="H1015" s="15" t="s">
        <v>908</v>
      </c>
      <c r="I1015" s="69">
        <v>145</v>
      </c>
      <c r="J1015" s="15" t="s">
        <v>2672</v>
      </c>
      <c r="K1015" s="15" t="s">
        <v>903</v>
      </c>
      <c r="L1015" s="15" t="s">
        <v>2673</v>
      </c>
      <c r="M1015" s="15" t="s">
        <v>2672</v>
      </c>
      <c r="N1015" s="15" t="s">
        <v>2673</v>
      </c>
      <c r="O1015" s="15"/>
    </row>
    <row r="1016" spans="1:15" ht="18" customHeight="1" x14ac:dyDescent="0.3">
      <c r="A1016" s="29">
        <v>1015</v>
      </c>
      <c r="B1016" s="15" t="s">
        <v>215</v>
      </c>
      <c r="C1016" s="15" t="s">
        <v>44</v>
      </c>
      <c r="D1016" s="69">
        <v>53</v>
      </c>
      <c r="E1016" s="68" t="s">
        <v>3290</v>
      </c>
      <c r="F1016" s="24" t="s">
        <v>525</v>
      </c>
      <c r="G1016" s="15" t="s">
        <v>154</v>
      </c>
      <c r="H1016" s="15" t="s">
        <v>909</v>
      </c>
      <c r="I1016" s="69">
        <v>117</v>
      </c>
      <c r="J1016" s="15" t="s">
        <v>2672</v>
      </c>
      <c r="K1016" s="15" t="s">
        <v>903</v>
      </c>
      <c r="L1016" s="15" t="s">
        <v>2673</v>
      </c>
      <c r="M1016" s="15" t="s">
        <v>2672</v>
      </c>
      <c r="N1016" s="15" t="s">
        <v>2673</v>
      </c>
      <c r="O1016" s="15"/>
    </row>
    <row r="1017" spans="1:15" ht="18" customHeight="1" x14ac:dyDescent="0.3">
      <c r="A1017" s="29">
        <v>1016</v>
      </c>
      <c r="B1017" s="15" t="s">
        <v>215</v>
      </c>
      <c r="C1017" s="15" t="s">
        <v>44</v>
      </c>
      <c r="D1017" s="69">
        <v>53</v>
      </c>
      <c r="E1017" s="68" t="s">
        <v>3290</v>
      </c>
      <c r="F1017" s="24" t="s">
        <v>525</v>
      </c>
      <c r="G1017" s="15" t="s">
        <v>154</v>
      </c>
      <c r="H1017" s="15" t="s">
        <v>910</v>
      </c>
      <c r="I1017" s="69">
        <v>165</v>
      </c>
      <c r="J1017" s="15" t="s">
        <v>2672</v>
      </c>
      <c r="K1017" s="15" t="s">
        <v>903</v>
      </c>
      <c r="L1017" s="15" t="s">
        <v>2673</v>
      </c>
      <c r="M1017" s="15" t="s">
        <v>2672</v>
      </c>
      <c r="N1017" s="15" t="s">
        <v>2673</v>
      </c>
      <c r="O1017" s="15"/>
    </row>
    <row r="1018" spans="1:15" ht="18" customHeight="1" x14ac:dyDescent="0.3">
      <c r="A1018" s="29">
        <v>1017</v>
      </c>
      <c r="B1018" s="15" t="s">
        <v>215</v>
      </c>
      <c r="C1018" s="15" t="s">
        <v>44</v>
      </c>
      <c r="D1018" s="69">
        <v>53</v>
      </c>
      <c r="E1018" s="68" t="s">
        <v>3290</v>
      </c>
      <c r="F1018" s="24" t="s">
        <v>525</v>
      </c>
      <c r="G1018" s="15" t="s">
        <v>154</v>
      </c>
      <c r="H1018" s="15" t="s">
        <v>911</v>
      </c>
      <c r="I1018" s="69">
        <v>184</v>
      </c>
      <c r="J1018" s="15" t="s">
        <v>2672</v>
      </c>
      <c r="K1018" s="15" t="s">
        <v>903</v>
      </c>
      <c r="L1018" s="15" t="s">
        <v>2673</v>
      </c>
      <c r="M1018" s="15" t="s">
        <v>2672</v>
      </c>
      <c r="N1018" s="15" t="s">
        <v>2673</v>
      </c>
      <c r="O1018" s="15"/>
    </row>
    <row r="1019" spans="1:15" ht="18" customHeight="1" x14ac:dyDescent="0.3">
      <c r="A1019" s="29">
        <v>1018</v>
      </c>
      <c r="B1019" s="15" t="s">
        <v>215</v>
      </c>
      <c r="C1019" s="15" t="s">
        <v>44</v>
      </c>
      <c r="D1019" s="69">
        <v>53</v>
      </c>
      <c r="E1019" s="68" t="s">
        <v>2859</v>
      </c>
      <c r="F1019" s="21" t="s">
        <v>528</v>
      </c>
      <c r="G1019" s="15" t="s">
        <v>154</v>
      </c>
      <c r="H1019" s="15" t="s">
        <v>901</v>
      </c>
      <c r="I1019" s="69">
        <v>200</v>
      </c>
      <c r="J1019" s="15" t="s">
        <v>2672</v>
      </c>
      <c r="K1019" s="15" t="s">
        <v>903</v>
      </c>
      <c r="L1019" s="15" t="s">
        <v>2673</v>
      </c>
      <c r="M1019" s="15" t="s">
        <v>2672</v>
      </c>
      <c r="N1019" s="15" t="s">
        <v>2673</v>
      </c>
      <c r="O1019" s="15"/>
    </row>
    <row r="1020" spans="1:15" ht="18" customHeight="1" x14ac:dyDescent="0.3">
      <c r="A1020" s="29">
        <v>1019</v>
      </c>
      <c r="B1020" s="15" t="s">
        <v>215</v>
      </c>
      <c r="C1020" s="15" t="s">
        <v>44</v>
      </c>
      <c r="D1020" s="69">
        <v>53</v>
      </c>
      <c r="E1020" s="68" t="s">
        <v>2859</v>
      </c>
      <c r="F1020" s="21" t="s">
        <v>528</v>
      </c>
      <c r="G1020" s="15" t="s">
        <v>154</v>
      </c>
      <c r="H1020" s="15" t="s">
        <v>905</v>
      </c>
      <c r="I1020" s="69">
        <v>147</v>
      </c>
      <c r="J1020" s="15" t="s">
        <v>2672</v>
      </c>
      <c r="K1020" s="15" t="s">
        <v>903</v>
      </c>
      <c r="L1020" s="15" t="s">
        <v>2673</v>
      </c>
      <c r="M1020" s="15" t="s">
        <v>2672</v>
      </c>
      <c r="N1020" s="15" t="s">
        <v>2673</v>
      </c>
      <c r="O1020" s="15"/>
    </row>
    <row r="1021" spans="1:15" ht="18" customHeight="1" x14ac:dyDescent="0.3">
      <c r="A1021" s="29">
        <v>1020</v>
      </c>
      <c r="B1021" s="15" t="s">
        <v>215</v>
      </c>
      <c r="C1021" s="15" t="s">
        <v>44</v>
      </c>
      <c r="D1021" s="69">
        <v>53</v>
      </c>
      <c r="E1021" s="68" t="s">
        <v>2859</v>
      </c>
      <c r="F1021" s="21" t="s">
        <v>528</v>
      </c>
      <c r="G1021" s="15" t="s">
        <v>154</v>
      </c>
      <c r="H1021" s="15" t="s">
        <v>906</v>
      </c>
      <c r="I1021" s="69">
        <v>199</v>
      </c>
      <c r="J1021" s="15" t="s">
        <v>2672</v>
      </c>
      <c r="K1021" s="15" t="s">
        <v>903</v>
      </c>
      <c r="L1021" s="15" t="s">
        <v>2673</v>
      </c>
      <c r="M1021" s="15" t="s">
        <v>2672</v>
      </c>
      <c r="N1021" s="15" t="s">
        <v>2673</v>
      </c>
      <c r="O1021" s="15"/>
    </row>
    <row r="1022" spans="1:15" ht="18" customHeight="1" x14ac:dyDescent="0.3">
      <c r="A1022" s="29">
        <v>1021</v>
      </c>
      <c r="B1022" s="15" t="s">
        <v>215</v>
      </c>
      <c r="C1022" s="15" t="s">
        <v>44</v>
      </c>
      <c r="D1022" s="69">
        <v>53</v>
      </c>
      <c r="E1022" s="68" t="s">
        <v>2859</v>
      </c>
      <c r="F1022" s="21" t="s">
        <v>528</v>
      </c>
      <c r="G1022" s="15" t="s">
        <v>154</v>
      </c>
      <c r="H1022" s="15" t="s">
        <v>907</v>
      </c>
      <c r="I1022" s="69">
        <v>165</v>
      </c>
      <c r="J1022" s="15" t="s">
        <v>2674</v>
      </c>
      <c r="K1022" s="15" t="s">
        <v>903</v>
      </c>
      <c r="L1022" s="15" t="s">
        <v>2673</v>
      </c>
      <c r="M1022" s="15" t="s">
        <v>2672</v>
      </c>
      <c r="N1022" s="15" t="s">
        <v>2673</v>
      </c>
      <c r="O1022" s="15"/>
    </row>
    <row r="1023" spans="1:15" ht="18" customHeight="1" x14ac:dyDescent="0.3">
      <c r="A1023" s="29">
        <v>1022</v>
      </c>
      <c r="B1023" s="15" t="s">
        <v>215</v>
      </c>
      <c r="C1023" s="15" t="s">
        <v>44</v>
      </c>
      <c r="D1023" s="69">
        <v>53</v>
      </c>
      <c r="E1023" s="68" t="s">
        <v>2859</v>
      </c>
      <c r="F1023" s="21" t="s">
        <v>528</v>
      </c>
      <c r="G1023" s="15" t="s">
        <v>154</v>
      </c>
      <c r="H1023" s="15" t="s">
        <v>909</v>
      </c>
      <c r="I1023" s="69">
        <v>214</v>
      </c>
      <c r="J1023" s="15" t="s">
        <v>2672</v>
      </c>
      <c r="K1023" s="15" t="s">
        <v>903</v>
      </c>
      <c r="L1023" s="15" t="s">
        <v>2673</v>
      </c>
      <c r="M1023" s="15" t="s">
        <v>2672</v>
      </c>
      <c r="N1023" s="15" t="s">
        <v>2673</v>
      </c>
      <c r="O1023" s="15"/>
    </row>
    <row r="1024" spans="1:15" ht="18" customHeight="1" x14ac:dyDescent="0.3">
      <c r="A1024" s="29">
        <v>1023</v>
      </c>
      <c r="B1024" s="15" t="s">
        <v>215</v>
      </c>
      <c r="C1024" s="15" t="s">
        <v>44</v>
      </c>
      <c r="D1024" s="69">
        <v>53</v>
      </c>
      <c r="E1024" s="68" t="s">
        <v>2859</v>
      </c>
      <c r="F1024" s="21" t="s">
        <v>528</v>
      </c>
      <c r="G1024" s="15" t="s">
        <v>154</v>
      </c>
      <c r="H1024" s="15" t="s">
        <v>910</v>
      </c>
      <c r="I1024" s="69">
        <v>175</v>
      </c>
      <c r="J1024" s="15" t="s">
        <v>2672</v>
      </c>
      <c r="K1024" s="15" t="s">
        <v>903</v>
      </c>
      <c r="L1024" s="15" t="s">
        <v>2673</v>
      </c>
      <c r="M1024" s="15" t="s">
        <v>2672</v>
      </c>
      <c r="N1024" s="15" t="s">
        <v>2673</v>
      </c>
      <c r="O1024" s="15"/>
    </row>
    <row r="1025" spans="1:15" ht="18" customHeight="1" x14ac:dyDescent="0.3">
      <c r="A1025" s="29">
        <v>1024</v>
      </c>
      <c r="B1025" s="15" t="s">
        <v>215</v>
      </c>
      <c r="C1025" s="15" t="s">
        <v>44</v>
      </c>
      <c r="D1025" s="69">
        <v>53</v>
      </c>
      <c r="E1025" s="68" t="s">
        <v>2859</v>
      </c>
      <c r="F1025" s="21" t="s">
        <v>528</v>
      </c>
      <c r="G1025" s="15" t="s">
        <v>154</v>
      </c>
      <c r="H1025" s="15" t="s">
        <v>904</v>
      </c>
      <c r="I1025" s="69">
        <v>116</v>
      </c>
      <c r="J1025" s="15" t="s">
        <v>2672</v>
      </c>
      <c r="K1025" s="15" t="s">
        <v>2674</v>
      </c>
      <c r="L1025" s="15" t="s">
        <v>1703</v>
      </c>
      <c r="M1025" s="15" t="s">
        <v>2672</v>
      </c>
      <c r="N1025" s="15" t="s">
        <v>2673</v>
      </c>
      <c r="O1025" s="15"/>
    </row>
    <row r="1026" spans="1:15" ht="18" customHeight="1" x14ac:dyDescent="0.3">
      <c r="A1026" s="29">
        <v>1025</v>
      </c>
      <c r="B1026" s="15" t="s">
        <v>215</v>
      </c>
      <c r="C1026" s="15" t="s">
        <v>44</v>
      </c>
      <c r="D1026" s="69">
        <v>53</v>
      </c>
      <c r="E1026" s="68" t="s">
        <v>2859</v>
      </c>
      <c r="F1026" s="21" t="s">
        <v>528</v>
      </c>
      <c r="G1026" s="15" t="s">
        <v>154</v>
      </c>
      <c r="H1026" s="15" t="s">
        <v>2763</v>
      </c>
      <c r="I1026" s="69">
        <v>326</v>
      </c>
      <c r="J1026" s="15" t="s">
        <v>2674</v>
      </c>
      <c r="K1026" s="15" t="s">
        <v>902</v>
      </c>
      <c r="L1026" s="15" t="s">
        <v>1852</v>
      </c>
      <c r="M1026" s="15" t="s">
        <v>2672</v>
      </c>
      <c r="N1026" s="15" t="s">
        <v>2673</v>
      </c>
      <c r="O1026" s="15" t="s">
        <v>2860</v>
      </c>
    </row>
    <row r="1027" spans="1:15" ht="18" customHeight="1" x14ac:dyDescent="0.3">
      <c r="A1027" s="29">
        <v>1026</v>
      </c>
      <c r="B1027" s="15" t="s">
        <v>215</v>
      </c>
      <c r="C1027" s="15" t="s">
        <v>44</v>
      </c>
      <c r="D1027" s="69">
        <v>53</v>
      </c>
      <c r="E1027" s="68" t="s">
        <v>3291</v>
      </c>
      <c r="F1027" s="24" t="s">
        <v>526</v>
      </c>
      <c r="G1027" s="15" t="s">
        <v>154</v>
      </c>
      <c r="H1027" s="15" t="s">
        <v>901</v>
      </c>
      <c r="I1027" s="69">
        <v>207</v>
      </c>
      <c r="J1027" s="15" t="s">
        <v>2672</v>
      </c>
      <c r="K1027" s="15" t="s">
        <v>903</v>
      </c>
      <c r="L1027" s="15" t="s">
        <v>2673</v>
      </c>
      <c r="M1027" s="15" t="s">
        <v>2672</v>
      </c>
      <c r="N1027" s="15" t="s">
        <v>2673</v>
      </c>
      <c r="O1027" s="15"/>
    </row>
    <row r="1028" spans="1:15" ht="18" customHeight="1" x14ac:dyDescent="0.3">
      <c r="A1028" s="29">
        <v>1027</v>
      </c>
      <c r="B1028" s="15" t="s">
        <v>215</v>
      </c>
      <c r="C1028" s="15" t="s">
        <v>44</v>
      </c>
      <c r="D1028" s="69">
        <v>53</v>
      </c>
      <c r="E1028" s="68" t="s">
        <v>3291</v>
      </c>
      <c r="F1028" s="24" t="s">
        <v>526</v>
      </c>
      <c r="G1028" s="15" t="s">
        <v>154</v>
      </c>
      <c r="H1028" s="15" t="s">
        <v>904</v>
      </c>
      <c r="I1028" s="69">
        <v>216</v>
      </c>
      <c r="J1028" s="15" t="s">
        <v>2674</v>
      </c>
      <c r="K1028" s="15" t="s">
        <v>903</v>
      </c>
      <c r="L1028" s="15" t="s">
        <v>2673</v>
      </c>
      <c r="M1028" s="15" t="s">
        <v>2672</v>
      </c>
      <c r="N1028" s="15" t="s">
        <v>2673</v>
      </c>
      <c r="O1028" s="15"/>
    </row>
    <row r="1029" spans="1:15" ht="18" customHeight="1" x14ac:dyDescent="0.3">
      <c r="A1029" s="29">
        <v>1028</v>
      </c>
      <c r="B1029" s="15" t="s">
        <v>215</v>
      </c>
      <c r="C1029" s="15" t="s">
        <v>44</v>
      </c>
      <c r="D1029" s="69">
        <v>53</v>
      </c>
      <c r="E1029" s="68" t="s">
        <v>3291</v>
      </c>
      <c r="F1029" s="24" t="s">
        <v>526</v>
      </c>
      <c r="G1029" s="15" t="s">
        <v>154</v>
      </c>
      <c r="H1029" s="15" t="s">
        <v>905</v>
      </c>
      <c r="I1029" s="69">
        <v>167</v>
      </c>
      <c r="J1029" s="15" t="s">
        <v>2672</v>
      </c>
      <c r="K1029" s="15" t="s">
        <v>903</v>
      </c>
      <c r="L1029" s="15" t="s">
        <v>2673</v>
      </c>
      <c r="M1029" s="15" t="s">
        <v>2672</v>
      </c>
      <c r="N1029" s="15" t="s">
        <v>2673</v>
      </c>
      <c r="O1029" s="15"/>
    </row>
    <row r="1030" spans="1:15" ht="18" customHeight="1" x14ac:dyDescent="0.3">
      <c r="A1030" s="29">
        <v>1029</v>
      </c>
      <c r="B1030" s="15" t="s">
        <v>215</v>
      </c>
      <c r="C1030" s="15" t="s">
        <v>44</v>
      </c>
      <c r="D1030" s="69">
        <v>53</v>
      </c>
      <c r="E1030" s="68" t="s">
        <v>3291</v>
      </c>
      <c r="F1030" s="24" t="s">
        <v>526</v>
      </c>
      <c r="G1030" s="15" t="s">
        <v>154</v>
      </c>
      <c r="H1030" s="15" t="s">
        <v>906</v>
      </c>
      <c r="I1030" s="69">
        <v>224</v>
      </c>
      <c r="J1030" s="15" t="s">
        <v>2672</v>
      </c>
      <c r="K1030" s="15" t="s">
        <v>903</v>
      </c>
      <c r="L1030" s="15" t="s">
        <v>2673</v>
      </c>
      <c r="M1030" s="15" t="s">
        <v>2672</v>
      </c>
      <c r="N1030" s="15" t="s">
        <v>2673</v>
      </c>
      <c r="O1030" s="15"/>
    </row>
    <row r="1031" spans="1:15" ht="18" customHeight="1" x14ac:dyDescent="0.3">
      <c r="A1031" s="29">
        <v>1030</v>
      </c>
      <c r="B1031" s="15" t="s">
        <v>215</v>
      </c>
      <c r="C1031" s="15" t="s">
        <v>44</v>
      </c>
      <c r="D1031" s="69">
        <v>53</v>
      </c>
      <c r="E1031" s="68" t="s">
        <v>3291</v>
      </c>
      <c r="F1031" s="24" t="s">
        <v>526</v>
      </c>
      <c r="G1031" s="15" t="s">
        <v>154</v>
      </c>
      <c r="H1031" s="15" t="s">
        <v>907</v>
      </c>
      <c r="I1031" s="69">
        <v>232</v>
      </c>
      <c r="J1031" s="15" t="s">
        <v>2672</v>
      </c>
      <c r="K1031" s="15" t="s">
        <v>903</v>
      </c>
      <c r="L1031" s="15" t="s">
        <v>2673</v>
      </c>
      <c r="M1031" s="15" t="s">
        <v>2672</v>
      </c>
      <c r="N1031" s="15" t="s">
        <v>2673</v>
      </c>
      <c r="O1031" s="15"/>
    </row>
    <row r="1032" spans="1:15" ht="18" customHeight="1" x14ac:dyDescent="0.3">
      <c r="A1032" s="29">
        <v>1031</v>
      </c>
      <c r="B1032" s="15" t="s">
        <v>215</v>
      </c>
      <c r="C1032" s="15" t="s">
        <v>44</v>
      </c>
      <c r="D1032" s="69">
        <v>53</v>
      </c>
      <c r="E1032" s="68" t="s">
        <v>3291</v>
      </c>
      <c r="F1032" s="24" t="s">
        <v>526</v>
      </c>
      <c r="G1032" s="15" t="s">
        <v>154</v>
      </c>
      <c r="H1032" s="15" t="s">
        <v>908</v>
      </c>
      <c r="I1032" s="69">
        <v>167</v>
      </c>
      <c r="J1032" s="15" t="s">
        <v>2674</v>
      </c>
      <c r="K1032" s="15" t="s">
        <v>903</v>
      </c>
      <c r="L1032" s="15" t="s">
        <v>2673</v>
      </c>
      <c r="M1032" s="15" t="s">
        <v>2672</v>
      </c>
      <c r="N1032" s="15" t="s">
        <v>2673</v>
      </c>
      <c r="O1032" s="15"/>
    </row>
    <row r="1033" spans="1:15" ht="18" customHeight="1" x14ac:dyDescent="0.3">
      <c r="A1033" s="29">
        <v>1032</v>
      </c>
      <c r="B1033" s="15" t="s">
        <v>1755</v>
      </c>
      <c r="C1033" s="15" t="s">
        <v>1779</v>
      </c>
      <c r="D1033" s="69">
        <v>53</v>
      </c>
      <c r="E1033" s="68" t="s">
        <v>3292</v>
      </c>
      <c r="F1033" s="24" t="s">
        <v>1784</v>
      </c>
      <c r="G1033" s="15" t="s">
        <v>1553</v>
      </c>
      <c r="H1033" s="15" t="s">
        <v>2685</v>
      </c>
      <c r="I1033" s="69">
        <v>212</v>
      </c>
      <c r="J1033" s="15" t="s">
        <v>2672</v>
      </c>
      <c r="K1033" s="15" t="s">
        <v>2672</v>
      </c>
      <c r="L1033" s="15" t="s">
        <v>2673</v>
      </c>
      <c r="M1033" s="15" t="s">
        <v>2672</v>
      </c>
      <c r="N1033" s="15" t="s">
        <v>2673</v>
      </c>
      <c r="O1033" s="15"/>
    </row>
    <row r="1034" spans="1:15" ht="18" customHeight="1" x14ac:dyDescent="0.3">
      <c r="A1034" s="29">
        <v>1033</v>
      </c>
      <c r="B1034" s="15" t="s">
        <v>1755</v>
      </c>
      <c r="C1034" s="15" t="s">
        <v>1779</v>
      </c>
      <c r="D1034" s="69">
        <v>53</v>
      </c>
      <c r="E1034" s="68" t="s">
        <v>3292</v>
      </c>
      <c r="F1034" s="24" t="s">
        <v>1784</v>
      </c>
      <c r="G1034" s="15" t="s">
        <v>1553</v>
      </c>
      <c r="H1034" s="15" t="s">
        <v>2678</v>
      </c>
      <c r="I1034" s="69">
        <v>134</v>
      </c>
      <c r="J1034" s="15" t="s">
        <v>2674</v>
      </c>
      <c r="K1034" s="15" t="s">
        <v>2672</v>
      </c>
      <c r="L1034" s="15" t="s">
        <v>2673</v>
      </c>
      <c r="M1034" s="15" t="s">
        <v>2672</v>
      </c>
      <c r="N1034" s="15" t="s">
        <v>2673</v>
      </c>
      <c r="O1034" s="15"/>
    </row>
    <row r="1035" spans="1:15" ht="18" customHeight="1" x14ac:dyDescent="0.3">
      <c r="A1035" s="29">
        <v>1034</v>
      </c>
      <c r="B1035" s="15" t="s">
        <v>1755</v>
      </c>
      <c r="C1035" s="15" t="s">
        <v>1779</v>
      </c>
      <c r="D1035" s="69">
        <v>53</v>
      </c>
      <c r="E1035" s="68" t="s">
        <v>3292</v>
      </c>
      <c r="F1035" s="24" t="s">
        <v>1784</v>
      </c>
      <c r="G1035" s="15" t="s">
        <v>1553</v>
      </c>
      <c r="H1035" s="15" t="s">
        <v>2679</v>
      </c>
      <c r="I1035" s="69">
        <v>58</v>
      </c>
      <c r="J1035" s="15" t="s">
        <v>2672</v>
      </c>
      <c r="K1035" s="15" t="s">
        <v>2672</v>
      </c>
      <c r="L1035" s="15" t="s">
        <v>2673</v>
      </c>
      <c r="M1035" s="15" t="s">
        <v>2672</v>
      </c>
      <c r="N1035" s="15" t="s">
        <v>2673</v>
      </c>
      <c r="O1035" s="15"/>
    </row>
    <row r="1036" spans="1:15" ht="18" customHeight="1" x14ac:dyDescent="0.3">
      <c r="A1036" s="29">
        <v>1035</v>
      </c>
      <c r="B1036" s="15" t="s">
        <v>1755</v>
      </c>
      <c r="C1036" s="15" t="s">
        <v>1779</v>
      </c>
      <c r="D1036" s="69">
        <v>53</v>
      </c>
      <c r="E1036" s="68" t="s">
        <v>3292</v>
      </c>
      <c r="F1036" s="24" t="s">
        <v>1784</v>
      </c>
      <c r="G1036" s="15" t="s">
        <v>1553</v>
      </c>
      <c r="H1036" s="15" t="s">
        <v>2680</v>
      </c>
      <c r="I1036" s="69">
        <v>59</v>
      </c>
      <c r="J1036" s="15" t="s">
        <v>2672</v>
      </c>
      <c r="K1036" s="15" t="s">
        <v>2672</v>
      </c>
      <c r="L1036" s="15" t="s">
        <v>2673</v>
      </c>
      <c r="M1036" s="15" t="s">
        <v>2672</v>
      </c>
      <c r="N1036" s="15" t="s">
        <v>2673</v>
      </c>
      <c r="O1036" s="15"/>
    </row>
    <row r="1037" spans="1:15" ht="18" customHeight="1" x14ac:dyDescent="0.3">
      <c r="A1037" s="29">
        <v>1036</v>
      </c>
      <c r="B1037" s="15" t="s">
        <v>1755</v>
      </c>
      <c r="C1037" s="15" t="s">
        <v>1779</v>
      </c>
      <c r="D1037" s="69">
        <v>53</v>
      </c>
      <c r="E1037" s="68" t="s">
        <v>3292</v>
      </c>
      <c r="F1037" s="24" t="s">
        <v>1784</v>
      </c>
      <c r="G1037" s="15" t="s">
        <v>1553</v>
      </c>
      <c r="H1037" s="15" t="s">
        <v>2690</v>
      </c>
      <c r="I1037" s="69">
        <v>25</v>
      </c>
      <c r="J1037" s="15" t="s">
        <v>2672</v>
      </c>
      <c r="K1037" s="15" t="s">
        <v>2672</v>
      </c>
      <c r="L1037" s="15" t="s">
        <v>2673</v>
      </c>
      <c r="M1037" s="15" t="s">
        <v>2672</v>
      </c>
      <c r="N1037" s="15" t="s">
        <v>2673</v>
      </c>
      <c r="O1037" s="15"/>
    </row>
    <row r="1038" spans="1:15" ht="18" customHeight="1" x14ac:dyDescent="0.3">
      <c r="A1038" s="29">
        <v>1037</v>
      </c>
      <c r="B1038" s="15" t="s">
        <v>1755</v>
      </c>
      <c r="C1038" s="15" t="s">
        <v>1779</v>
      </c>
      <c r="D1038" s="69">
        <v>53</v>
      </c>
      <c r="E1038" s="68" t="s">
        <v>3292</v>
      </c>
      <c r="F1038" s="24" t="s">
        <v>1784</v>
      </c>
      <c r="G1038" s="15" t="s">
        <v>1553</v>
      </c>
      <c r="H1038" s="15" t="s">
        <v>2682</v>
      </c>
      <c r="I1038" s="69">
        <v>102</v>
      </c>
      <c r="J1038" s="15" t="s">
        <v>2672</v>
      </c>
      <c r="K1038" s="15" t="s">
        <v>2672</v>
      </c>
      <c r="L1038" s="15" t="s">
        <v>2673</v>
      </c>
      <c r="M1038" s="15" t="s">
        <v>2672</v>
      </c>
      <c r="N1038" s="15" t="s">
        <v>2673</v>
      </c>
      <c r="O1038" s="15"/>
    </row>
    <row r="1039" spans="1:15" ht="18" customHeight="1" x14ac:dyDescent="0.3">
      <c r="A1039" s="29">
        <v>1038</v>
      </c>
      <c r="B1039" s="15" t="s">
        <v>1755</v>
      </c>
      <c r="C1039" s="15" t="s">
        <v>1779</v>
      </c>
      <c r="D1039" s="69">
        <v>53</v>
      </c>
      <c r="E1039" s="68" t="s">
        <v>3292</v>
      </c>
      <c r="F1039" s="24" t="s">
        <v>1784</v>
      </c>
      <c r="G1039" s="15" t="s">
        <v>1553</v>
      </c>
      <c r="H1039" s="15" t="s">
        <v>2732</v>
      </c>
      <c r="I1039" s="69">
        <v>104</v>
      </c>
      <c r="J1039" s="15" t="s">
        <v>2672</v>
      </c>
      <c r="K1039" s="15" t="s">
        <v>2672</v>
      </c>
      <c r="L1039" s="15" t="s">
        <v>2673</v>
      </c>
      <c r="M1039" s="15" t="s">
        <v>2672</v>
      </c>
      <c r="N1039" s="15" t="s">
        <v>2673</v>
      </c>
      <c r="O1039" s="15"/>
    </row>
    <row r="1040" spans="1:15" ht="18" customHeight="1" x14ac:dyDescent="0.3">
      <c r="A1040" s="29">
        <v>1039</v>
      </c>
      <c r="B1040" s="15" t="s">
        <v>215</v>
      </c>
      <c r="C1040" s="15" t="s">
        <v>45</v>
      </c>
      <c r="D1040" s="69">
        <v>54</v>
      </c>
      <c r="E1040" s="68" t="s">
        <v>937</v>
      </c>
      <c r="F1040" s="16" t="s">
        <v>514</v>
      </c>
      <c r="G1040" s="15" t="s">
        <v>164</v>
      </c>
      <c r="H1040" s="15" t="s">
        <v>901</v>
      </c>
      <c r="I1040" s="69">
        <v>178</v>
      </c>
      <c r="J1040" s="15" t="s">
        <v>2672</v>
      </c>
      <c r="K1040" s="15" t="s">
        <v>903</v>
      </c>
      <c r="L1040" s="15" t="s">
        <v>2673</v>
      </c>
      <c r="M1040" s="15" t="s">
        <v>2672</v>
      </c>
      <c r="N1040" s="15" t="s">
        <v>2673</v>
      </c>
      <c r="O1040" s="15"/>
    </row>
    <row r="1041" spans="1:15" ht="18" customHeight="1" x14ac:dyDescent="0.3">
      <c r="A1041" s="29">
        <v>1040</v>
      </c>
      <c r="B1041" s="15" t="s">
        <v>215</v>
      </c>
      <c r="C1041" s="15" t="s">
        <v>45</v>
      </c>
      <c r="D1041" s="69">
        <v>54</v>
      </c>
      <c r="E1041" s="68" t="s">
        <v>937</v>
      </c>
      <c r="F1041" s="16" t="s">
        <v>514</v>
      </c>
      <c r="G1041" s="15" t="s">
        <v>164</v>
      </c>
      <c r="H1041" s="15" t="s">
        <v>2861</v>
      </c>
      <c r="I1041" s="69">
        <v>180</v>
      </c>
      <c r="J1041" s="15" t="s">
        <v>2672</v>
      </c>
      <c r="K1041" s="15" t="s">
        <v>902</v>
      </c>
      <c r="L1041" s="15" t="s">
        <v>1703</v>
      </c>
      <c r="M1041" s="15" t="s">
        <v>2672</v>
      </c>
      <c r="N1041" s="15" t="s">
        <v>2673</v>
      </c>
      <c r="O1041" s="15"/>
    </row>
    <row r="1042" spans="1:15" ht="18" customHeight="1" x14ac:dyDescent="0.3">
      <c r="A1042" s="29">
        <v>1041</v>
      </c>
      <c r="B1042" s="15" t="s">
        <v>215</v>
      </c>
      <c r="C1042" s="15" t="s">
        <v>45</v>
      </c>
      <c r="D1042" s="69">
        <v>54</v>
      </c>
      <c r="E1042" s="68" t="s">
        <v>937</v>
      </c>
      <c r="F1042" s="16" t="s">
        <v>514</v>
      </c>
      <c r="G1042" s="15" t="s">
        <v>164</v>
      </c>
      <c r="H1042" s="15" t="s">
        <v>905</v>
      </c>
      <c r="I1042" s="69">
        <v>172</v>
      </c>
      <c r="J1042" s="15" t="s">
        <v>2672</v>
      </c>
      <c r="K1042" s="15" t="s">
        <v>903</v>
      </c>
      <c r="L1042" s="15" t="s">
        <v>2673</v>
      </c>
      <c r="M1042" s="15" t="s">
        <v>2672</v>
      </c>
      <c r="N1042" s="15" t="s">
        <v>2673</v>
      </c>
      <c r="O1042" s="15"/>
    </row>
    <row r="1043" spans="1:15" ht="18" customHeight="1" x14ac:dyDescent="0.3">
      <c r="A1043" s="29">
        <v>1042</v>
      </c>
      <c r="B1043" s="15" t="s">
        <v>215</v>
      </c>
      <c r="C1043" s="15" t="s">
        <v>45</v>
      </c>
      <c r="D1043" s="69">
        <v>54</v>
      </c>
      <c r="E1043" s="68" t="s">
        <v>937</v>
      </c>
      <c r="F1043" s="16" t="s">
        <v>514</v>
      </c>
      <c r="G1043" s="15" t="s">
        <v>164</v>
      </c>
      <c r="H1043" s="15" t="s">
        <v>906</v>
      </c>
      <c r="I1043" s="69">
        <v>177</v>
      </c>
      <c r="J1043" s="15" t="s">
        <v>2672</v>
      </c>
      <c r="K1043" s="15" t="s">
        <v>903</v>
      </c>
      <c r="L1043" s="15" t="s">
        <v>2673</v>
      </c>
      <c r="M1043" s="15" t="s">
        <v>2672</v>
      </c>
      <c r="N1043" s="15" t="s">
        <v>2673</v>
      </c>
      <c r="O1043" s="15"/>
    </row>
    <row r="1044" spans="1:15" ht="18" customHeight="1" x14ac:dyDescent="0.3">
      <c r="A1044" s="29">
        <v>1043</v>
      </c>
      <c r="B1044" s="15" t="s">
        <v>215</v>
      </c>
      <c r="C1044" s="15" t="s">
        <v>45</v>
      </c>
      <c r="D1044" s="69">
        <v>54</v>
      </c>
      <c r="E1044" s="68" t="s">
        <v>937</v>
      </c>
      <c r="F1044" s="16" t="s">
        <v>514</v>
      </c>
      <c r="G1044" s="15" t="s">
        <v>164</v>
      </c>
      <c r="H1044" s="15" t="s">
        <v>907</v>
      </c>
      <c r="I1044" s="69">
        <v>177</v>
      </c>
      <c r="J1044" s="15" t="s">
        <v>2672</v>
      </c>
      <c r="K1044" s="15" t="s">
        <v>903</v>
      </c>
      <c r="L1044" s="15" t="s">
        <v>2673</v>
      </c>
      <c r="M1044" s="15" t="s">
        <v>2672</v>
      </c>
      <c r="N1044" s="15" t="s">
        <v>2673</v>
      </c>
      <c r="O1044" s="15"/>
    </row>
    <row r="1045" spans="1:15" ht="18" customHeight="1" x14ac:dyDescent="0.3">
      <c r="A1045" s="29">
        <v>1044</v>
      </c>
      <c r="B1045" s="15" t="s">
        <v>215</v>
      </c>
      <c r="C1045" s="15" t="s">
        <v>45</v>
      </c>
      <c r="D1045" s="69">
        <v>54</v>
      </c>
      <c r="E1045" s="68" t="s">
        <v>937</v>
      </c>
      <c r="F1045" s="16" t="s">
        <v>514</v>
      </c>
      <c r="G1045" s="15" t="s">
        <v>164</v>
      </c>
      <c r="H1045" s="15" t="s">
        <v>908</v>
      </c>
      <c r="I1045" s="69">
        <v>177</v>
      </c>
      <c r="J1045" s="15" t="s">
        <v>2672</v>
      </c>
      <c r="K1045" s="15" t="s">
        <v>903</v>
      </c>
      <c r="L1045" s="15" t="s">
        <v>2673</v>
      </c>
      <c r="M1045" s="15" t="s">
        <v>2672</v>
      </c>
      <c r="N1045" s="15" t="s">
        <v>2673</v>
      </c>
      <c r="O1045" s="15"/>
    </row>
    <row r="1046" spans="1:15" ht="18" customHeight="1" x14ac:dyDescent="0.3">
      <c r="A1046" s="29">
        <v>1045</v>
      </c>
      <c r="B1046" s="15" t="s">
        <v>215</v>
      </c>
      <c r="C1046" s="15" t="s">
        <v>45</v>
      </c>
      <c r="D1046" s="69">
        <v>54</v>
      </c>
      <c r="E1046" s="68" t="s">
        <v>937</v>
      </c>
      <c r="F1046" s="16" t="s">
        <v>514</v>
      </c>
      <c r="G1046" s="15" t="s">
        <v>164</v>
      </c>
      <c r="H1046" s="15" t="s">
        <v>909</v>
      </c>
      <c r="I1046" s="69">
        <v>62</v>
      </c>
      <c r="J1046" s="15" t="s">
        <v>2672</v>
      </c>
      <c r="K1046" s="15" t="s">
        <v>903</v>
      </c>
      <c r="L1046" s="15" t="s">
        <v>2673</v>
      </c>
      <c r="M1046" s="15" t="s">
        <v>2672</v>
      </c>
      <c r="N1046" s="15" t="s">
        <v>2673</v>
      </c>
      <c r="O1046" s="15"/>
    </row>
    <row r="1047" spans="1:15" ht="18" customHeight="1" x14ac:dyDescent="0.3">
      <c r="A1047" s="29">
        <v>1046</v>
      </c>
      <c r="B1047" s="15" t="s">
        <v>215</v>
      </c>
      <c r="C1047" s="15" t="s">
        <v>45</v>
      </c>
      <c r="D1047" s="69">
        <v>54</v>
      </c>
      <c r="E1047" s="68" t="s">
        <v>937</v>
      </c>
      <c r="F1047" s="16" t="s">
        <v>514</v>
      </c>
      <c r="G1047" s="15" t="s">
        <v>164</v>
      </c>
      <c r="H1047" s="15" t="s">
        <v>910</v>
      </c>
      <c r="I1047" s="69">
        <v>66</v>
      </c>
      <c r="J1047" s="15" t="s">
        <v>2672</v>
      </c>
      <c r="K1047" s="15" t="s">
        <v>903</v>
      </c>
      <c r="L1047" s="15" t="s">
        <v>2673</v>
      </c>
      <c r="M1047" s="15" t="s">
        <v>2672</v>
      </c>
      <c r="N1047" s="15" t="s">
        <v>2673</v>
      </c>
      <c r="O1047" s="15"/>
    </row>
    <row r="1048" spans="1:15" ht="18" customHeight="1" x14ac:dyDescent="0.3">
      <c r="A1048" s="29">
        <v>1047</v>
      </c>
      <c r="B1048" s="15" t="s">
        <v>215</v>
      </c>
      <c r="C1048" s="15" t="s">
        <v>45</v>
      </c>
      <c r="D1048" s="69">
        <v>54</v>
      </c>
      <c r="E1048" s="68" t="s">
        <v>3293</v>
      </c>
      <c r="F1048" s="24" t="s">
        <v>511</v>
      </c>
      <c r="G1048" s="15" t="s">
        <v>164</v>
      </c>
      <c r="H1048" s="15" t="s">
        <v>901</v>
      </c>
      <c r="I1048" s="69">
        <v>212</v>
      </c>
      <c r="J1048" s="15" t="s">
        <v>2672</v>
      </c>
      <c r="K1048" s="15" t="s">
        <v>903</v>
      </c>
      <c r="L1048" s="15" t="s">
        <v>2673</v>
      </c>
      <c r="M1048" s="15" t="s">
        <v>2672</v>
      </c>
      <c r="N1048" s="15" t="s">
        <v>2673</v>
      </c>
      <c r="O1048" s="15"/>
    </row>
    <row r="1049" spans="1:15" ht="18" customHeight="1" x14ac:dyDescent="0.3">
      <c r="A1049" s="29">
        <v>1048</v>
      </c>
      <c r="B1049" s="15" t="s">
        <v>215</v>
      </c>
      <c r="C1049" s="15" t="s">
        <v>45</v>
      </c>
      <c r="D1049" s="69">
        <v>54</v>
      </c>
      <c r="E1049" s="68" t="s">
        <v>3293</v>
      </c>
      <c r="F1049" s="24" t="s">
        <v>511</v>
      </c>
      <c r="G1049" s="15" t="s">
        <v>164</v>
      </c>
      <c r="H1049" s="15" t="s">
        <v>904</v>
      </c>
      <c r="I1049" s="69">
        <v>177</v>
      </c>
      <c r="J1049" s="15" t="s">
        <v>2674</v>
      </c>
      <c r="K1049" s="15" t="s">
        <v>903</v>
      </c>
      <c r="L1049" s="15" t="s">
        <v>2673</v>
      </c>
      <c r="M1049" s="15" t="s">
        <v>2672</v>
      </c>
      <c r="N1049" s="15" t="s">
        <v>2673</v>
      </c>
      <c r="O1049" s="15"/>
    </row>
    <row r="1050" spans="1:15" ht="18" customHeight="1" x14ac:dyDescent="0.3">
      <c r="A1050" s="29">
        <v>1049</v>
      </c>
      <c r="B1050" s="15" t="s">
        <v>215</v>
      </c>
      <c r="C1050" s="15" t="s">
        <v>45</v>
      </c>
      <c r="D1050" s="69">
        <v>54</v>
      </c>
      <c r="E1050" s="68" t="s">
        <v>3293</v>
      </c>
      <c r="F1050" s="24" t="s">
        <v>511</v>
      </c>
      <c r="G1050" s="15" t="s">
        <v>164</v>
      </c>
      <c r="H1050" s="15" t="s">
        <v>905</v>
      </c>
      <c r="I1050" s="69">
        <v>101</v>
      </c>
      <c r="J1050" s="15" t="s">
        <v>2674</v>
      </c>
      <c r="K1050" s="15" t="s">
        <v>903</v>
      </c>
      <c r="L1050" s="15" t="s">
        <v>2673</v>
      </c>
      <c r="M1050" s="15" t="s">
        <v>2672</v>
      </c>
      <c r="N1050" s="15" t="s">
        <v>2673</v>
      </c>
      <c r="O1050" s="15"/>
    </row>
    <row r="1051" spans="1:15" ht="18" customHeight="1" x14ac:dyDescent="0.3">
      <c r="A1051" s="29">
        <v>1050</v>
      </c>
      <c r="B1051" s="15" t="s">
        <v>215</v>
      </c>
      <c r="C1051" s="15" t="s">
        <v>45</v>
      </c>
      <c r="D1051" s="69">
        <v>54</v>
      </c>
      <c r="E1051" s="68" t="s">
        <v>3293</v>
      </c>
      <c r="F1051" s="24" t="s">
        <v>511</v>
      </c>
      <c r="G1051" s="15" t="s">
        <v>164</v>
      </c>
      <c r="H1051" s="15" t="s">
        <v>906</v>
      </c>
      <c r="I1051" s="69">
        <v>77</v>
      </c>
      <c r="J1051" s="15" t="s">
        <v>2672</v>
      </c>
      <c r="K1051" s="15" t="s">
        <v>903</v>
      </c>
      <c r="L1051" s="15" t="s">
        <v>2673</v>
      </c>
      <c r="M1051" s="15" t="s">
        <v>2672</v>
      </c>
      <c r="N1051" s="15" t="s">
        <v>2673</v>
      </c>
      <c r="O1051" s="15"/>
    </row>
    <row r="1052" spans="1:15" ht="18" customHeight="1" x14ac:dyDescent="0.3">
      <c r="A1052" s="29">
        <v>1051</v>
      </c>
      <c r="B1052" s="15" t="s">
        <v>215</v>
      </c>
      <c r="C1052" s="15" t="s">
        <v>45</v>
      </c>
      <c r="D1052" s="69">
        <v>54</v>
      </c>
      <c r="E1052" s="68" t="s">
        <v>3293</v>
      </c>
      <c r="F1052" s="24" t="s">
        <v>511</v>
      </c>
      <c r="G1052" s="15" t="s">
        <v>164</v>
      </c>
      <c r="H1052" s="15" t="s">
        <v>907</v>
      </c>
      <c r="I1052" s="69">
        <v>63</v>
      </c>
      <c r="J1052" s="15" t="s">
        <v>2672</v>
      </c>
      <c r="K1052" s="15" t="s">
        <v>903</v>
      </c>
      <c r="L1052" s="15" t="s">
        <v>2673</v>
      </c>
      <c r="M1052" s="15" t="s">
        <v>2672</v>
      </c>
      <c r="N1052" s="15" t="s">
        <v>2673</v>
      </c>
      <c r="O1052" s="15"/>
    </row>
    <row r="1053" spans="1:15" ht="18" customHeight="1" x14ac:dyDescent="0.3">
      <c r="A1053" s="29">
        <v>1052</v>
      </c>
      <c r="B1053" s="15" t="s">
        <v>215</v>
      </c>
      <c r="C1053" s="15" t="s">
        <v>45</v>
      </c>
      <c r="D1053" s="69">
        <v>54</v>
      </c>
      <c r="E1053" s="68" t="s">
        <v>3294</v>
      </c>
      <c r="F1053" s="24" t="s">
        <v>510</v>
      </c>
      <c r="G1053" s="15" t="s">
        <v>154</v>
      </c>
      <c r="H1053" s="15" t="s">
        <v>901</v>
      </c>
      <c r="I1053" s="69">
        <v>141</v>
      </c>
      <c r="J1053" s="15" t="s">
        <v>2672</v>
      </c>
      <c r="K1053" s="15" t="s">
        <v>903</v>
      </c>
      <c r="L1053" s="15" t="s">
        <v>2673</v>
      </c>
      <c r="M1053" s="15" t="s">
        <v>2674</v>
      </c>
      <c r="N1053" s="15" t="s">
        <v>1530</v>
      </c>
      <c r="O1053" s="15"/>
    </row>
    <row r="1054" spans="1:15" ht="18" customHeight="1" x14ac:dyDescent="0.3">
      <c r="A1054" s="29">
        <v>1053</v>
      </c>
      <c r="B1054" s="15" t="s">
        <v>215</v>
      </c>
      <c r="C1054" s="15" t="s">
        <v>45</v>
      </c>
      <c r="D1054" s="69">
        <v>54</v>
      </c>
      <c r="E1054" s="68" t="s">
        <v>3294</v>
      </c>
      <c r="F1054" s="24" t="s">
        <v>510</v>
      </c>
      <c r="G1054" s="15" t="s">
        <v>154</v>
      </c>
      <c r="H1054" s="15" t="s">
        <v>905</v>
      </c>
      <c r="I1054" s="69">
        <v>227</v>
      </c>
      <c r="J1054" s="15" t="s">
        <v>2674</v>
      </c>
      <c r="K1054" s="15" t="s">
        <v>903</v>
      </c>
      <c r="L1054" s="15" t="s">
        <v>2673</v>
      </c>
      <c r="M1054" s="15" t="s">
        <v>2672</v>
      </c>
      <c r="N1054" s="15" t="s">
        <v>2673</v>
      </c>
      <c r="O1054" s="15"/>
    </row>
    <row r="1055" spans="1:15" ht="18" customHeight="1" x14ac:dyDescent="0.3">
      <c r="A1055" s="29">
        <v>1054</v>
      </c>
      <c r="B1055" s="15" t="s">
        <v>215</v>
      </c>
      <c r="C1055" s="15" t="s">
        <v>45</v>
      </c>
      <c r="D1055" s="69">
        <v>54</v>
      </c>
      <c r="E1055" s="68" t="s">
        <v>3294</v>
      </c>
      <c r="F1055" s="24" t="s">
        <v>510</v>
      </c>
      <c r="G1055" s="15" t="s">
        <v>154</v>
      </c>
      <c r="H1055" s="15" t="s">
        <v>907</v>
      </c>
      <c r="I1055" s="69">
        <v>174</v>
      </c>
      <c r="J1055" s="15" t="s">
        <v>2674</v>
      </c>
      <c r="K1055" s="15" t="s">
        <v>903</v>
      </c>
      <c r="L1055" s="15" t="s">
        <v>2673</v>
      </c>
      <c r="M1055" s="15" t="s">
        <v>2672</v>
      </c>
      <c r="N1055" s="15" t="s">
        <v>2673</v>
      </c>
      <c r="O1055" s="15"/>
    </row>
    <row r="1056" spans="1:15" ht="18" customHeight="1" x14ac:dyDescent="0.3">
      <c r="A1056" s="29">
        <v>1055</v>
      </c>
      <c r="B1056" s="15" t="s">
        <v>215</v>
      </c>
      <c r="C1056" s="15" t="s">
        <v>45</v>
      </c>
      <c r="D1056" s="69">
        <v>54</v>
      </c>
      <c r="E1056" s="68" t="s">
        <v>3294</v>
      </c>
      <c r="F1056" s="24" t="s">
        <v>510</v>
      </c>
      <c r="G1056" s="15" t="s">
        <v>154</v>
      </c>
      <c r="H1056" s="15" t="s">
        <v>908</v>
      </c>
      <c r="I1056" s="69">
        <v>141</v>
      </c>
      <c r="J1056" s="15" t="s">
        <v>2672</v>
      </c>
      <c r="K1056" s="15" t="s">
        <v>903</v>
      </c>
      <c r="L1056" s="15" t="s">
        <v>2673</v>
      </c>
      <c r="M1056" s="15" t="s">
        <v>2672</v>
      </c>
      <c r="N1056" s="15" t="s">
        <v>2673</v>
      </c>
      <c r="O1056" s="15"/>
    </row>
    <row r="1057" spans="1:15" ht="18" customHeight="1" x14ac:dyDescent="0.3">
      <c r="A1057" s="29">
        <v>1056</v>
      </c>
      <c r="B1057" s="15" t="s">
        <v>215</v>
      </c>
      <c r="C1057" s="15" t="s">
        <v>45</v>
      </c>
      <c r="D1057" s="69">
        <v>54</v>
      </c>
      <c r="E1057" s="68" t="s">
        <v>3294</v>
      </c>
      <c r="F1057" s="24" t="s">
        <v>510</v>
      </c>
      <c r="G1057" s="15" t="s">
        <v>154</v>
      </c>
      <c r="H1057" s="15" t="s">
        <v>909</v>
      </c>
      <c r="I1057" s="69">
        <v>152</v>
      </c>
      <c r="J1057" s="15" t="s">
        <v>2672</v>
      </c>
      <c r="K1057" s="15" t="s">
        <v>903</v>
      </c>
      <c r="L1057" s="15" t="s">
        <v>2673</v>
      </c>
      <c r="M1057" s="15" t="s">
        <v>2672</v>
      </c>
      <c r="N1057" s="15" t="s">
        <v>2673</v>
      </c>
      <c r="O1057" s="15"/>
    </row>
    <row r="1058" spans="1:15" ht="18" customHeight="1" x14ac:dyDescent="0.3">
      <c r="A1058" s="29">
        <v>1057</v>
      </c>
      <c r="B1058" s="15" t="s">
        <v>215</v>
      </c>
      <c r="C1058" s="15" t="s">
        <v>45</v>
      </c>
      <c r="D1058" s="69">
        <v>54</v>
      </c>
      <c r="E1058" s="68" t="s">
        <v>3294</v>
      </c>
      <c r="F1058" s="24" t="s">
        <v>510</v>
      </c>
      <c r="G1058" s="15" t="s">
        <v>154</v>
      </c>
      <c r="H1058" s="15" t="s">
        <v>910</v>
      </c>
      <c r="I1058" s="69">
        <v>209</v>
      </c>
      <c r="J1058" s="15" t="s">
        <v>2674</v>
      </c>
      <c r="K1058" s="15" t="s">
        <v>903</v>
      </c>
      <c r="L1058" s="15" t="s">
        <v>2673</v>
      </c>
      <c r="M1058" s="15" t="s">
        <v>2672</v>
      </c>
      <c r="N1058" s="15" t="s">
        <v>2673</v>
      </c>
      <c r="O1058" s="15"/>
    </row>
    <row r="1059" spans="1:15" ht="18" customHeight="1" x14ac:dyDescent="0.3">
      <c r="A1059" s="29">
        <v>1058</v>
      </c>
      <c r="B1059" s="15" t="s">
        <v>215</v>
      </c>
      <c r="C1059" s="15" t="s">
        <v>45</v>
      </c>
      <c r="D1059" s="69">
        <v>54</v>
      </c>
      <c r="E1059" s="68" t="s">
        <v>3294</v>
      </c>
      <c r="F1059" s="24" t="s">
        <v>510</v>
      </c>
      <c r="G1059" s="15" t="s">
        <v>154</v>
      </c>
      <c r="H1059" s="15" t="s">
        <v>2776</v>
      </c>
      <c r="I1059" s="69">
        <v>274</v>
      </c>
      <c r="J1059" s="15" t="s">
        <v>2672</v>
      </c>
      <c r="K1059" s="15" t="s">
        <v>903</v>
      </c>
      <c r="L1059" s="15" t="s">
        <v>2673</v>
      </c>
      <c r="M1059" s="15" t="s">
        <v>2672</v>
      </c>
      <c r="N1059" s="15" t="s">
        <v>2673</v>
      </c>
      <c r="O1059" s="15" t="s">
        <v>2862</v>
      </c>
    </row>
    <row r="1060" spans="1:15" ht="18" customHeight="1" x14ac:dyDescent="0.3">
      <c r="A1060" s="29">
        <v>1059</v>
      </c>
      <c r="B1060" s="15" t="s">
        <v>215</v>
      </c>
      <c r="C1060" s="15" t="s">
        <v>45</v>
      </c>
      <c r="D1060" s="69">
        <v>54</v>
      </c>
      <c r="E1060" s="68" t="s">
        <v>3294</v>
      </c>
      <c r="F1060" s="24" t="s">
        <v>510</v>
      </c>
      <c r="G1060" s="15" t="s">
        <v>154</v>
      </c>
      <c r="H1060" s="15" t="s">
        <v>941</v>
      </c>
      <c r="I1060" s="69">
        <v>211</v>
      </c>
      <c r="J1060" s="15" t="s">
        <v>2674</v>
      </c>
      <c r="K1060" s="15" t="s">
        <v>903</v>
      </c>
      <c r="L1060" s="15" t="s">
        <v>2673</v>
      </c>
      <c r="M1060" s="15" t="s">
        <v>2672</v>
      </c>
      <c r="N1060" s="15" t="s">
        <v>2673</v>
      </c>
      <c r="O1060" s="15"/>
    </row>
    <row r="1061" spans="1:15" ht="18" customHeight="1" x14ac:dyDescent="0.3">
      <c r="A1061" s="29">
        <v>1060</v>
      </c>
      <c r="B1061" s="15" t="s">
        <v>215</v>
      </c>
      <c r="C1061" s="15" t="s">
        <v>45</v>
      </c>
      <c r="D1061" s="69">
        <v>54</v>
      </c>
      <c r="E1061" s="68" t="s">
        <v>3294</v>
      </c>
      <c r="F1061" s="24" t="s">
        <v>510</v>
      </c>
      <c r="G1061" s="15" t="s">
        <v>154</v>
      </c>
      <c r="H1061" s="15" t="s">
        <v>980</v>
      </c>
      <c r="I1061" s="69">
        <v>152</v>
      </c>
      <c r="J1061" s="15" t="s">
        <v>2672</v>
      </c>
      <c r="K1061" s="15" t="s">
        <v>903</v>
      </c>
      <c r="L1061" s="15" t="s">
        <v>2673</v>
      </c>
      <c r="M1061" s="15" t="s">
        <v>2672</v>
      </c>
      <c r="N1061" s="15" t="s">
        <v>2673</v>
      </c>
      <c r="O1061" s="15"/>
    </row>
    <row r="1062" spans="1:15" ht="18" customHeight="1" x14ac:dyDescent="0.3">
      <c r="A1062" s="29">
        <v>1061</v>
      </c>
      <c r="B1062" s="15" t="s">
        <v>215</v>
      </c>
      <c r="C1062" s="15" t="s">
        <v>45</v>
      </c>
      <c r="D1062" s="69">
        <v>54</v>
      </c>
      <c r="E1062" s="68" t="s">
        <v>3294</v>
      </c>
      <c r="F1062" s="24" t="s">
        <v>510</v>
      </c>
      <c r="G1062" s="15" t="s">
        <v>154</v>
      </c>
      <c r="H1062" s="15" t="s">
        <v>986</v>
      </c>
      <c r="I1062" s="69">
        <v>213</v>
      </c>
      <c r="J1062" s="15" t="s">
        <v>2674</v>
      </c>
      <c r="K1062" s="15" t="s">
        <v>903</v>
      </c>
      <c r="L1062" s="15" t="s">
        <v>2673</v>
      </c>
      <c r="M1062" s="15" t="s">
        <v>2672</v>
      </c>
      <c r="N1062" s="15" t="s">
        <v>2673</v>
      </c>
      <c r="O1062" s="15"/>
    </row>
    <row r="1063" spans="1:15" ht="18" customHeight="1" x14ac:dyDescent="0.3">
      <c r="A1063" s="29">
        <v>1062</v>
      </c>
      <c r="B1063" s="15" t="s">
        <v>215</v>
      </c>
      <c r="C1063" s="15" t="s">
        <v>45</v>
      </c>
      <c r="D1063" s="69">
        <v>54</v>
      </c>
      <c r="E1063" s="68" t="s">
        <v>3294</v>
      </c>
      <c r="F1063" s="24" t="s">
        <v>510</v>
      </c>
      <c r="G1063" s="15" t="s">
        <v>154</v>
      </c>
      <c r="H1063" s="15" t="s">
        <v>969</v>
      </c>
      <c r="I1063" s="69">
        <v>213</v>
      </c>
      <c r="J1063" s="15" t="s">
        <v>2672</v>
      </c>
      <c r="K1063" s="15" t="s">
        <v>903</v>
      </c>
      <c r="L1063" s="15" t="s">
        <v>2673</v>
      </c>
      <c r="M1063" s="15" t="s">
        <v>2672</v>
      </c>
      <c r="N1063" s="15" t="s">
        <v>2673</v>
      </c>
      <c r="O1063" s="15"/>
    </row>
    <row r="1064" spans="1:15" ht="18" customHeight="1" x14ac:dyDescent="0.3">
      <c r="A1064" s="29">
        <v>1063</v>
      </c>
      <c r="B1064" s="15" t="s">
        <v>215</v>
      </c>
      <c r="C1064" s="15" t="s">
        <v>45</v>
      </c>
      <c r="D1064" s="69">
        <v>54</v>
      </c>
      <c r="E1064" s="68" t="s">
        <v>3294</v>
      </c>
      <c r="F1064" s="24" t="s">
        <v>2863</v>
      </c>
      <c r="G1064" s="15" t="s">
        <v>154</v>
      </c>
      <c r="H1064" s="15" t="s">
        <v>904</v>
      </c>
      <c r="I1064" s="69">
        <v>169</v>
      </c>
      <c r="J1064" s="15" t="s">
        <v>2674</v>
      </c>
      <c r="K1064" s="15" t="s">
        <v>902</v>
      </c>
      <c r="L1064" s="15" t="s">
        <v>1069</v>
      </c>
      <c r="M1064" s="15" t="s">
        <v>2672</v>
      </c>
      <c r="N1064" s="15" t="s">
        <v>2673</v>
      </c>
      <c r="O1064" s="15"/>
    </row>
    <row r="1065" spans="1:15" ht="18" customHeight="1" x14ac:dyDescent="0.3">
      <c r="A1065" s="29">
        <v>1064</v>
      </c>
      <c r="B1065" s="15" t="s">
        <v>215</v>
      </c>
      <c r="C1065" s="15" t="s">
        <v>45</v>
      </c>
      <c r="D1065" s="69">
        <v>54</v>
      </c>
      <c r="E1065" s="68" t="s">
        <v>3294</v>
      </c>
      <c r="F1065" s="24" t="s">
        <v>2863</v>
      </c>
      <c r="G1065" s="15" t="s">
        <v>154</v>
      </c>
      <c r="H1065" s="15" t="s">
        <v>906</v>
      </c>
      <c r="I1065" s="69">
        <v>184</v>
      </c>
      <c r="J1065" s="15" t="s">
        <v>2674</v>
      </c>
      <c r="K1065" s="15" t="s">
        <v>902</v>
      </c>
      <c r="L1065" s="15" t="s">
        <v>208</v>
      </c>
      <c r="M1065" s="15" t="s">
        <v>2672</v>
      </c>
      <c r="N1065" s="15" t="s">
        <v>2673</v>
      </c>
      <c r="O1065" s="15"/>
    </row>
    <row r="1066" spans="1:15" ht="18" customHeight="1" x14ac:dyDescent="0.3">
      <c r="A1066" s="29">
        <v>1065</v>
      </c>
      <c r="B1066" s="15" t="s">
        <v>215</v>
      </c>
      <c r="C1066" s="15" t="s">
        <v>45</v>
      </c>
      <c r="D1066" s="69">
        <v>54</v>
      </c>
      <c r="E1066" s="68" t="s">
        <v>3294</v>
      </c>
      <c r="F1066" s="24" t="s">
        <v>2863</v>
      </c>
      <c r="G1066" s="15" t="s">
        <v>154</v>
      </c>
      <c r="H1066" s="15" t="s">
        <v>2714</v>
      </c>
      <c r="I1066" s="69">
        <v>326</v>
      </c>
      <c r="J1066" s="15" t="s">
        <v>2674</v>
      </c>
      <c r="K1066" s="15" t="s">
        <v>902</v>
      </c>
      <c r="L1066" s="15" t="s">
        <v>207</v>
      </c>
      <c r="M1066" s="15" t="s">
        <v>2672</v>
      </c>
      <c r="N1066" s="15" t="s">
        <v>2673</v>
      </c>
      <c r="O1066" s="15"/>
    </row>
    <row r="1067" spans="1:15" ht="18" customHeight="1" x14ac:dyDescent="0.3">
      <c r="A1067" s="29">
        <v>1066</v>
      </c>
      <c r="B1067" s="15" t="s">
        <v>215</v>
      </c>
      <c r="C1067" s="15" t="s">
        <v>46</v>
      </c>
      <c r="D1067" s="69">
        <v>55</v>
      </c>
      <c r="E1067" s="68" t="s">
        <v>2864</v>
      </c>
      <c r="F1067" s="24" t="s">
        <v>1789</v>
      </c>
      <c r="G1067" s="15" t="s">
        <v>2673</v>
      </c>
      <c r="H1067" s="15" t="s">
        <v>904</v>
      </c>
      <c r="I1067" s="69">
        <v>108</v>
      </c>
      <c r="J1067" s="15" t="s">
        <v>2672</v>
      </c>
      <c r="K1067" s="15" t="s">
        <v>903</v>
      </c>
      <c r="L1067" s="15" t="s">
        <v>2673</v>
      </c>
      <c r="M1067" s="15" t="s">
        <v>2672</v>
      </c>
      <c r="N1067" s="15" t="s">
        <v>2673</v>
      </c>
      <c r="O1067" s="15"/>
    </row>
    <row r="1068" spans="1:15" ht="18" customHeight="1" x14ac:dyDescent="0.3">
      <c r="A1068" s="29">
        <v>1067</v>
      </c>
      <c r="B1068" s="15" t="s">
        <v>215</v>
      </c>
      <c r="C1068" s="15" t="s">
        <v>46</v>
      </c>
      <c r="D1068" s="69">
        <v>55</v>
      </c>
      <c r="E1068" s="68" t="s">
        <v>2864</v>
      </c>
      <c r="F1068" s="24" t="s">
        <v>1789</v>
      </c>
      <c r="G1068" s="15" t="s">
        <v>2673</v>
      </c>
      <c r="H1068" s="15" t="s">
        <v>901</v>
      </c>
      <c r="I1068" s="69">
        <v>137</v>
      </c>
      <c r="J1068" s="15" t="s">
        <v>2674</v>
      </c>
      <c r="K1068" s="15" t="s">
        <v>903</v>
      </c>
      <c r="L1068" s="15" t="s">
        <v>2673</v>
      </c>
      <c r="M1068" s="15" t="s">
        <v>2672</v>
      </c>
      <c r="N1068" s="15" t="s">
        <v>2673</v>
      </c>
      <c r="O1068" s="15"/>
    </row>
    <row r="1069" spans="1:15" ht="18" customHeight="1" x14ac:dyDescent="0.3">
      <c r="A1069" s="29">
        <v>1068</v>
      </c>
      <c r="B1069" s="15" t="s">
        <v>215</v>
      </c>
      <c r="C1069" s="15" t="s">
        <v>46</v>
      </c>
      <c r="D1069" s="69">
        <v>55</v>
      </c>
      <c r="E1069" s="68" t="s">
        <v>247</v>
      </c>
      <c r="F1069" s="21" t="s">
        <v>518</v>
      </c>
      <c r="G1069" s="15" t="s">
        <v>154</v>
      </c>
      <c r="H1069" s="15" t="s">
        <v>901</v>
      </c>
      <c r="I1069" s="69">
        <v>120</v>
      </c>
      <c r="J1069" s="13" t="s">
        <v>2672</v>
      </c>
      <c r="K1069" s="15" t="s">
        <v>903</v>
      </c>
      <c r="L1069" s="15" t="s">
        <v>2673</v>
      </c>
      <c r="M1069" s="15" t="s">
        <v>2672</v>
      </c>
      <c r="N1069" s="15" t="s">
        <v>2673</v>
      </c>
      <c r="O1069" s="15"/>
    </row>
    <row r="1070" spans="1:15" ht="18" customHeight="1" x14ac:dyDescent="0.3">
      <c r="A1070" s="29">
        <v>1069</v>
      </c>
      <c r="B1070" s="15" t="s">
        <v>215</v>
      </c>
      <c r="C1070" s="15" t="s">
        <v>46</v>
      </c>
      <c r="D1070" s="69">
        <v>55</v>
      </c>
      <c r="E1070" s="68" t="s">
        <v>247</v>
      </c>
      <c r="F1070" s="21" t="s">
        <v>518</v>
      </c>
      <c r="G1070" s="15" t="s">
        <v>154</v>
      </c>
      <c r="H1070" s="15" t="s">
        <v>904</v>
      </c>
      <c r="I1070" s="69">
        <v>133</v>
      </c>
      <c r="J1070" s="13" t="s">
        <v>902</v>
      </c>
      <c r="K1070" s="15" t="s">
        <v>903</v>
      </c>
      <c r="L1070" s="15" t="s">
        <v>2673</v>
      </c>
      <c r="M1070" s="15" t="s">
        <v>2672</v>
      </c>
      <c r="N1070" s="15" t="s">
        <v>2673</v>
      </c>
      <c r="O1070" s="15"/>
    </row>
    <row r="1071" spans="1:15" ht="18" customHeight="1" x14ac:dyDescent="0.3">
      <c r="A1071" s="29">
        <v>1070</v>
      </c>
      <c r="B1071" s="15" t="s">
        <v>215</v>
      </c>
      <c r="C1071" s="15" t="s">
        <v>46</v>
      </c>
      <c r="D1071" s="69">
        <v>55</v>
      </c>
      <c r="E1071" s="68" t="s">
        <v>247</v>
      </c>
      <c r="F1071" s="21" t="s">
        <v>518</v>
      </c>
      <c r="G1071" s="15" t="s">
        <v>154</v>
      </c>
      <c r="H1071" s="15" t="s">
        <v>905</v>
      </c>
      <c r="I1071" s="69">
        <v>96</v>
      </c>
      <c r="J1071" s="13" t="s">
        <v>2672</v>
      </c>
      <c r="K1071" s="15" t="s">
        <v>903</v>
      </c>
      <c r="L1071" s="15" t="s">
        <v>2673</v>
      </c>
      <c r="M1071" s="15" t="s">
        <v>2672</v>
      </c>
      <c r="N1071" s="15" t="s">
        <v>2673</v>
      </c>
      <c r="O1071" s="15"/>
    </row>
    <row r="1072" spans="1:15" ht="18" customHeight="1" x14ac:dyDescent="0.3">
      <c r="A1072" s="29">
        <v>1071</v>
      </c>
      <c r="B1072" s="15" t="s">
        <v>215</v>
      </c>
      <c r="C1072" s="15" t="s">
        <v>46</v>
      </c>
      <c r="D1072" s="69">
        <v>55</v>
      </c>
      <c r="E1072" s="68" t="s">
        <v>247</v>
      </c>
      <c r="F1072" s="21" t="s">
        <v>518</v>
      </c>
      <c r="G1072" s="15" t="s">
        <v>154</v>
      </c>
      <c r="H1072" s="15" t="s">
        <v>906</v>
      </c>
      <c r="I1072" s="69">
        <v>141</v>
      </c>
      <c r="J1072" s="13" t="s">
        <v>2672</v>
      </c>
      <c r="K1072" s="15" t="s">
        <v>903</v>
      </c>
      <c r="L1072" s="15" t="s">
        <v>2673</v>
      </c>
      <c r="M1072" s="15" t="s">
        <v>2672</v>
      </c>
      <c r="N1072" s="15" t="s">
        <v>2673</v>
      </c>
      <c r="O1072" s="15"/>
    </row>
    <row r="1073" spans="1:15" ht="18" customHeight="1" x14ac:dyDescent="0.3">
      <c r="A1073" s="29">
        <v>1072</v>
      </c>
      <c r="B1073" s="15" t="s">
        <v>215</v>
      </c>
      <c r="C1073" s="15" t="s">
        <v>46</v>
      </c>
      <c r="D1073" s="69">
        <v>55</v>
      </c>
      <c r="E1073" s="68" t="s">
        <v>247</v>
      </c>
      <c r="F1073" s="21" t="s">
        <v>518</v>
      </c>
      <c r="G1073" s="15" t="s">
        <v>154</v>
      </c>
      <c r="H1073" s="15" t="s">
        <v>907</v>
      </c>
      <c r="I1073" s="69">
        <v>174</v>
      </c>
      <c r="J1073" s="13" t="s">
        <v>2672</v>
      </c>
      <c r="K1073" s="15" t="s">
        <v>903</v>
      </c>
      <c r="L1073" s="15" t="s">
        <v>2673</v>
      </c>
      <c r="M1073" s="15" t="s">
        <v>2672</v>
      </c>
      <c r="N1073" s="15" t="s">
        <v>2673</v>
      </c>
      <c r="O1073" s="15"/>
    </row>
    <row r="1074" spans="1:15" ht="18" customHeight="1" x14ac:dyDescent="0.3">
      <c r="A1074" s="29">
        <v>1073</v>
      </c>
      <c r="B1074" s="15" t="s">
        <v>215</v>
      </c>
      <c r="C1074" s="15" t="s">
        <v>46</v>
      </c>
      <c r="D1074" s="69">
        <v>55</v>
      </c>
      <c r="E1074" s="68" t="s">
        <v>247</v>
      </c>
      <c r="F1074" s="21" t="s">
        <v>518</v>
      </c>
      <c r="G1074" s="15" t="s">
        <v>154</v>
      </c>
      <c r="H1074" s="15" t="s">
        <v>908</v>
      </c>
      <c r="I1074" s="69">
        <v>127</v>
      </c>
      <c r="J1074" s="13" t="s">
        <v>2672</v>
      </c>
      <c r="K1074" s="15" t="s">
        <v>903</v>
      </c>
      <c r="L1074" s="15" t="s">
        <v>2673</v>
      </c>
      <c r="M1074" s="15" t="s">
        <v>2672</v>
      </c>
      <c r="N1074" s="15" t="s">
        <v>2673</v>
      </c>
      <c r="O1074" s="15"/>
    </row>
    <row r="1075" spans="1:15" ht="18" customHeight="1" x14ac:dyDescent="0.3">
      <c r="A1075" s="29">
        <v>1074</v>
      </c>
      <c r="B1075" s="15" t="s">
        <v>215</v>
      </c>
      <c r="C1075" s="15" t="s">
        <v>46</v>
      </c>
      <c r="D1075" s="69">
        <v>55</v>
      </c>
      <c r="E1075" s="68" t="s">
        <v>247</v>
      </c>
      <c r="F1075" s="21" t="s">
        <v>518</v>
      </c>
      <c r="G1075" s="15" t="s">
        <v>154</v>
      </c>
      <c r="H1075" s="15" t="s">
        <v>909</v>
      </c>
      <c r="I1075" s="69">
        <v>115</v>
      </c>
      <c r="J1075" s="13" t="s">
        <v>2672</v>
      </c>
      <c r="K1075" s="15" t="s">
        <v>903</v>
      </c>
      <c r="L1075" s="15" t="s">
        <v>2673</v>
      </c>
      <c r="M1075" s="15" t="s">
        <v>2672</v>
      </c>
      <c r="N1075" s="15" t="s">
        <v>2673</v>
      </c>
      <c r="O1075" s="15"/>
    </row>
    <row r="1076" spans="1:15" ht="18" customHeight="1" x14ac:dyDescent="0.3">
      <c r="A1076" s="29">
        <v>1075</v>
      </c>
      <c r="B1076" s="15" t="s">
        <v>215</v>
      </c>
      <c r="C1076" s="15" t="s">
        <v>46</v>
      </c>
      <c r="D1076" s="69">
        <v>55</v>
      </c>
      <c r="E1076" s="68" t="s">
        <v>247</v>
      </c>
      <c r="F1076" s="21" t="s">
        <v>518</v>
      </c>
      <c r="G1076" s="15" t="s">
        <v>154</v>
      </c>
      <c r="H1076" s="15" t="s">
        <v>910</v>
      </c>
      <c r="I1076" s="69">
        <v>183</v>
      </c>
      <c r="J1076" s="13" t="s">
        <v>2672</v>
      </c>
      <c r="K1076" s="15" t="s">
        <v>903</v>
      </c>
      <c r="L1076" s="15" t="s">
        <v>2673</v>
      </c>
      <c r="M1076" s="15" t="s">
        <v>2672</v>
      </c>
      <c r="N1076" s="15" t="s">
        <v>2673</v>
      </c>
      <c r="O1076" s="15"/>
    </row>
    <row r="1077" spans="1:15" ht="18" customHeight="1" x14ac:dyDescent="0.3">
      <c r="A1077" s="29">
        <v>1076</v>
      </c>
      <c r="B1077" s="15" t="s">
        <v>215</v>
      </c>
      <c r="C1077" s="15" t="s">
        <v>46</v>
      </c>
      <c r="D1077" s="69">
        <v>55</v>
      </c>
      <c r="E1077" s="68" t="s">
        <v>247</v>
      </c>
      <c r="F1077" s="21" t="s">
        <v>518</v>
      </c>
      <c r="G1077" s="15" t="s">
        <v>154</v>
      </c>
      <c r="H1077" s="15" t="s">
        <v>911</v>
      </c>
      <c r="I1077" s="69">
        <v>201</v>
      </c>
      <c r="J1077" s="13" t="s">
        <v>902</v>
      </c>
      <c r="K1077" s="15" t="s">
        <v>903</v>
      </c>
      <c r="L1077" s="15" t="s">
        <v>2673</v>
      </c>
      <c r="M1077" s="15" t="s">
        <v>2672</v>
      </c>
      <c r="N1077" s="15" t="s">
        <v>2673</v>
      </c>
      <c r="O1077" s="15"/>
    </row>
    <row r="1078" spans="1:15" ht="18" customHeight="1" x14ac:dyDescent="0.3">
      <c r="A1078" s="29">
        <v>1077</v>
      </c>
      <c r="B1078" s="15" t="s">
        <v>215</v>
      </c>
      <c r="C1078" s="15" t="s">
        <v>46</v>
      </c>
      <c r="D1078" s="69">
        <v>55</v>
      </c>
      <c r="E1078" s="68" t="s">
        <v>246</v>
      </c>
      <c r="F1078" s="21" t="s">
        <v>517</v>
      </c>
      <c r="G1078" s="15" t="s">
        <v>154</v>
      </c>
      <c r="H1078" s="15" t="s">
        <v>901</v>
      </c>
      <c r="I1078" s="69">
        <v>224</v>
      </c>
      <c r="J1078" s="13" t="s">
        <v>902</v>
      </c>
      <c r="K1078" s="15" t="s">
        <v>903</v>
      </c>
      <c r="L1078" s="15" t="s">
        <v>2673</v>
      </c>
      <c r="M1078" s="15" t="s">
        <v>2672</v>
      </c>
      <c r="N1078" s="15" t="s">
        <v>2673</v>
      </c>
      <c r="O1078" s="15"/>
    </row>
    <row r="1079" spans="1:15" ht="18" customHeight="1" x14ac:dyDescent="0.3">
      <c r="A1079" s="29">
        <v>1078</v>
      </c>
      <c r="B1079" s="15" t="s">
        <v>215</v>
      </c>
      <c r="C1079" s="15" t="s">
        <v>46</v>
      </c>
      <c r="D1079" s="69">
        <v>55</v>
      </c>
      <c r="E1079" s="68" t="s">
        <v>246</v>
      </c>
      <c r="F1079" s="21" t="s">
        <v>517</v>
      </c>
      <c r="G1079" s="15" t="s">
        <v>154</v>
      </c>
      <c r="H1079" s="15" t="s">
        <v>904</v>
      </c>
      <c r="I1079" s="69">
        <v>206</v>
      </c>
      <c r="J1079" s="13" t="s">
        <v>2672</v>
      </c>
      <c r="K1079" s="15" t="s">
        <v>903</v>
      </c>
      <c r="L1079" s="15" t="s">
        <v>2673</v>
      </c>
      <c r="M1079" s="15" t="s">
        <v>2672</v>
      </c>
      <c r="N1079" s="15" t="s">
        <v>2673</v>
      </c>
      <c r="O1079" s="15"/>
    </row>
    <row r="1080" spans="1:15" ht="18" customHeight="1" x14ac:dyDescent="0.3">
      <c r="A1080" s="29">
        <v>1079</v>
      </c>
      <c r="B1080" s="15" t="s">
        <v>215</v>
      </c>
      <c r="C1080" s="15" t="s">
        <v>46</v>
      </c>
      <c r="D1080" s="69">
        <v>55</v>
      </c>
      <c r="E1080" s="68" t="s">
        <v>246</v>
      </c>
      <c r="F1080" s="21" t="s">
        <v>517</v>
      </c>
      <c r="G1080" s="15" t="s">
        <v>154</v>
      </c>
      <c r="H1080" s="15" t="s">
        <v>905</v>
      </c>
      <c r="I1080" s="69">
        <v>180</v>
      </c>
      <c r="J1080" s="13" t="s">
        <v>902</v>
      </c>
      <c r="K1080" s="15" t="s">
        <v>903</v>
      </c>
      <c r="L1080" s="15" t="s">
        <v>2673</v>
      </c>
      <c r="M1080" s="15" t="s">
        <v>2672</v>
      </c>
      <c r="N1080" s="15" t="s">
        <v>2673</v>
      </c>
      <c r="O1080" s="15"/>
    </row>
    <row r="1081" spans="1:15" ht="18" customHeight="1" x14ac:dyDescent="0.3">
      <c r="A1081" s="29">
        <v>1080</v>
      </c>
      <c r="B1081" s="15" t="s">
        <v>215</v>
      </c>
      <c r="C1081" s="15" t="s">
        <v>46</v>
      </c>
      <c r="D1081" s="69">
        <v>55</v>
      </c>
      <c r="E1081" s="68" t="s">
        <v>246</v>
      </c>
      <c r="F1081" s="21" t="s">
        <v>517</v>
      </c>
      <c r="G1081" s="15" t="s">
        <v>154</v>
      </c>
      <c r="H1081" s="15" t="s">
        <v>906</v>
      </c>
      <c r="I1081" s="69">
        <v>167</v>
      </c>
      <c r="J1081" s="13" t="s">
        <v>2672</v>
      </c>
      <c r="K1081" s="15" t="s">
        <v>903</v>
      </c>
      <c r="L1081" s="15" t="s">
        <v>2673</v>
      </c>
      <c r="M1081" s="15" t="s">
        <v>2672</v>
      </c>
      <c r="N1081" s="15" t="s">
        <v>2673</v>
      </c>
      <c r="O1081" s="15"/>
    </row>
    <row r="1082" spans="1:15" ht="18" customHeight="1" x14ac:dyDescent="0.3">
      <c r="A1082" s="29">
        <v>1081</v>
      </c>
      <c r="B1082" s="15" t="s">
        <v>215</v>
      </c>
      <c r="C1082" s="15" t="s">
        <v>46</v>
      </c>
      <c r="D1082" s="69">
        <v>55</v>
      </c>
      <c r="E1082" s="68" t="s">
        <v>246</v>
      </c>
      <c r="F1082" s="21" t="s">
        <v>517</v>
      </c>
      <c r="G1082" s="15" t="s">
        <v>154</v>
      </c>
      <c r="H1082" s="15" t="s">
        <v>907</v>
      </c>
      <c r="I1082" s="69">
        <v>221</v>
      </c>
      <c r="J1082" s="13" t="s">
        <v>902</v>
      </c>
      <c r="K1082" s="15" t="s">
        <v>903</v>
      </c>
      <c r="L1082" s="15" t="s">
        <v>2673</v>
      </c>
      <c r="M1082" s="15" t="s">
        <v>2672</v>
      </c>
      <c r="N1082" s="15" t="s">
        <v>2673</v>
      </c>
      <c r="O1082" s="15"/>
    </row>
    <row r="1083" spans="1:15" ht="18" customHeight="1" x14ac:dyDescent="0.3">
      <c r="A1083" s="29">
        <v>1082</v>
      </c>
      <c r="B1083" s="15" t="s">
        <v>215</v>
      </c>
      <c r="C1083" s="15" t="s">
        <v>46</v>
      </c>
      <c r="D1083" s="69">
        <v>55</v>
      </c>
      <c r="E1083" s="68" t="s">
        <v>246</v>
      </c>
      <c r="F1083" s="21" t="s">
        <v>517</v>
      </c>
      <c r="G1083" s="15" t="s">
        <v>154</v>
      </c>
      <c r="H1083" s="15" t="s">
        <v>908</v>
      </c>
      <c r="I1083" s="69">
        <v>164</v>
      </c>
      <c r="J1083" s="13" t="s">
        <v>2672</v>
      </c>
      <c r="K1083" s="15" t="s">
        <v>903</v>
      </c>
      <c r="L1083" s="15" t="s">
        <v>2673</v>
      </c>
      <c r="M1083" s="15" t="s">
        <v>2672</v>
      </c>
      <c r="N1083" s="15" t="s">
        <v>2673</v>
      </c>
      <c r="O1083" s="15"/>
    </row>
    <row r="1084" spans="1:15" ht="18" customHeight="1" x14ac:dyDescent="0.3">
      <c r="A1084" s="29">
        <v>1083</v>
      </c>
      <c r="B1084" s="15" t="s">
        <v>215</v>
      </c>
      <c r="C1084" s="15" t="s">
        <v>46</v>
      </c>
      <c r="D1084" s="69">
        <v>55</v>
      </c>
      <c r="E1084" s="68" t="s">
        <v>246</v>
      </c>
      <c r="F1084" s="21" t="s">
        <v>517</v>
      </c>
      <c r="G1084" s="15" t="s">
        <v>154</v>
      </c>
      <c r="H1084" s="15" t="s">
        <v>909</v>
      </c>
      <c r="I1084" s="69">
        <v>144</v>
      </c>
      <c r="J1084" s="13" t="s">
        <v>902</v>
      </c>
      <c r="K1084" s="15" t="s">
        <v>903</v>
      </c>
      <c r="L1084" s="15" t="s">
        <v>2673</v>
      </c>
      <c r="M1084" s="15" t="s">
        <v>2672</v>
      </c>
      <c r="N1084" s="15" t="s">
        <v>2673</v>
      </c>
      <c r="O1084" s="15"/>
    </row>
    <row r="1085" spans="1:15" ht="18" customHeight="1" x14ac:dyDescent="0.3">
      <c r="A1085" s="29">
        <v>1084</v>
      </c>
      <c r="B1085" s="15" t="s">
        <v>215</v>
      </c>
      <c r="C1085" s="15" t="s">
        <v>46</v>
      </c>
      <c r="D1085" s="69">
        <v>55</v>
      </c>
      <c r="E1085" s="68" t="s">
        <v>246</v>
      </c>
      <c r="F1085" s="21" t="s">
        <v>517</v>
      </c>
      <c r="G1085" s="15" t="s">
        <v>154</v>
      </c>
      <c r="H1085" s="15" t="s">
        <v>910</v>
      </c>
      <c r="I1085" s="69">
        <v>134</v>
      </c>
      <c r="J1085" s="13" t="s">
        <v>2672</v>
      </c>
      <c r="K1085" s="15" t="s">
        <v>903</v>
      </c>
      <c r="L1085" s="15" t="s">
        <v>2673</v>
      </c>
      <c r="M1085" s="15" t="s">
        <v>2672</v>
      </c>
      <c r="N1085" s="15" t="s">
        <v>2673</v>
      </c>
      <c r="O1085" s="15"/>
    </row>
    <row r="1086" spans="1:15" ht="18" customHeight="1" x14ac:dyDescent="0.3">
      <c r="A1086" s="29">
        <v>1085</v>
      </c>
      <c r="B1086" s="15" t="s">
        <v>215</v>
      </c>
      <c r="C1086" s="15" t="s">
        <v>46</v>
      </c>
      <c r="D1086" s="69">
        <v>55</v>
      </c>
      <c r="E1086" s="68" t="s">
        <v>246</v>
      </c>
      <c r="F1086" s="21" t="s">
        <v>517</v>
      </c>
      <c r="G1086" s="15" t="s">
        <v>154</v>
      </c>
      <c r="H1086" s="15" t="s">
        <v>911</v>
      </c>
      <c r="I1086" s="69">
        <v>83</v>
      </c>
      <c r="J1086" s="13" t="s">
        <v>2672</v>
      </c>
      <c r="K1086" s="15" t="s">
        <v>2672</v>
      </c>
      <c r="L1086" s="15" t="s">
        <v>2673</v>
      </c>
      <c r="M1086" s="15" t="s">
        <v>2674</v>
      </c>
      <c r="N1086" s="15" t="s">
        <v>2741</v>
      </c>
      <c r="O1086" s="15"/>
    </row>
    <row r="1087" spans="1:15" ht="18" customHeight="1" x14ac:dyDescent="0.3">
      <c r="A1087" s="29">
        <v>1086</v>
      </c>
      <c r="B1087" s="15" t="s">
        <v>215</v>
      </c>
      <c r="C1087" s="15" t="s">
        <v>46</v>
      </c>
      <c r="D1087" s="69">
        <v>55</v>
      </c>
      <c r="E1087" s="68" t="s">
        <v>3295</v>
      </c>
      <c r="F1087" s="24" t="s">
        <v>515</v>
      </c>
      <c r="G1087" s="15" t="s">
        <v>164</v>
      </c>
      <c r="H1087" s="15" t="s">
        <v>901</v>
      </c>
      <c r="I1087" s="69">
        <v>92</v>
      </c>
      <c r="J1087" s="15" t="s">
        <v>2672</v>
      </c>
      <c r="K1087" s="15" t="s">
        <v>903</v>
      </c>
      <c r="L1087" s="15" t="s">
        <v>2673</v>
      </c>
      <c r="M1087" s="15" t="s">
        <v>2672</v>
      </c>
      <c r="N1087" s="15" t="s">
        <v>2673</v>
      </c>
      <c r="O1087" s="15"/>
    </row>
    <row r="1088" spans="1:15" ht="18" customHeight="1" x14ac:dyDescent="0.3">
      <c r="A1088" s="29">
        <v>1087</v>
      </c>
      <c r="B1088" s="15" t="s">
        <v>215</v>
      </c>
      <c r="C1088" s="15" t="s">
        <v>46</v>
      </c>
      <c r="D1088" s="69">
        <v>55</v>
      </c>
      <c r="E1088" s="68" t="s">
        <v>3295</v>
      </c>
      <c r="F1088" s="24" t="s">
        <v>515</v>
      </c>
      <c r="G1088" s="15" t="s">
        <v>164</v>
      </c>
      <c r="H1088" s="15" t="s">
        <v>904</v>
      </c>
      <c r="I1088" s="69">
        <v>234</v>
      </c>
      <c r="J1088" s="15" t="s">
        <v>2672</v>
      </c>
      <c r="K1088" s="15" t="s">
        <v>903</v>
      </c>
      <c r="L1088" s="15" t="s">
        <v>2673</v>
      </c>
      <c r="M1088" s="15" t="s">
        <v>2672</v>
      </c>
      <c r="N1088" s="15" t="s">
        <v>2673</v>
      </c>
      <c r="O1088" s="15"/>
    </row>
    <row r="1089" spans="1:15" ht="18" customHeight="1" x14ac:dyDescent="0.3">
      <c r="A1089" s="29">
        <v>1088</v>
      </c>
      <c r="B1089" s="15" t="s">
        <v>215</v>
      </c>
      <c r="C1089" s="15" t="s">
        <v>46</v>
      </c>
      <c r="D1089" s="69">
        <v>55</v>
      </c>
      <c r="E1089" s="68" t="s">
        <v>3295</v>
      </c>
      <c r="F1089" s="24" t="s">
        <v>515</v>
      </c>
      <c r="G1089" s="15" t="s">
        <v>164</v>
      </c>
      <c r="H1089" s="15" t="s">
        <v>905</v>
      </c>
      <c r="I1089" s="69">
        <v>142</v>
      </c>
      <c r="J1089" s="15" t="s">
        <v>2672</v>
      </c>
      <c r="K1089" s="15" t="s">
        <v>903</v>
      </c>
      <c r="L1089" s="15" t="s">
        <v>2673</v>
      </c>
      <c r="M1089" s="15" t="s">
        <v>2672</v>
      </c>
      <c r="N1089" s="15" t="s">
        <v>2673</v>
      </c>
      <c r="O1089" s="15"/>
    </row>
    <row r="1090" spans="1:15" ht="18" customHeight="1" x14ac:dyDescent="0.3">
      <c r="A1090" s="29">
        <v>1089</v>
      </c>
      <c r="B1090" s="15" t="s">
        <v>215</v>
      </c>
      <c r="C1090" s="15" t="s">
        <v>46</v>
      </c>
      <c r="D1090" s="69">
        <v>55</v>
      </c>
      <c r="E1090" s="68" t="s">
        <v>3295</v>
      </c>
      <c r="F1090" s="24" t="s">
        <v>515</v>
      </c>
      <c r="G1090" s="15" t="s">
        <v>164</v>
      </c>
      <c r="H1090" s="15" t="s">
        <v>906</v>
      </c>
      <c r="I1090" s="69">
        <v>154</v>
      </c>
      <c r="J1090" s="15" t="s">
        <v>2672</v>
      </c>
      <c r="K1090" s="15" t="s">
        <v>903</v>
      </c>
      <c r="L1090" s="15" t="s">
        <v>2673</v>
      </c>
      <c r="M1090" s="15" t="s">
        <v>2672</v>
      </c>
      <c r="N1090" s="15" t="s">
        <v>2673</v>
      </c>
      <c r="O1090" s="15"/>
    </row>
    <row r="1091" spans="1:15" ht="18" customHeight="1" x14ac:dyDescent="0.3">
      <c r="A1091" s="29">
        <v>1090</v>
      </c>
      <c r="B1091" s="15" t="s">
        <v>215</v>
      </c>
      <c r="C1091" s="15" t="s">
        <v>46</v>
      </c>
      <c r="D1091" s="69">
        <v>55</v>
      </c>
      <c r="E1091" s="68" t="s">
        <v>3295</v>
      </c>
      <c r="F1091" s="24" t="s">
        <v>515</v>
      </c>
      <c r="G1091" s="15" t="s">
        <v>164</v>
      </c>
      <c r="H1091" s="15" t="s">
        <v>907</v>
      </c>
      <c r="I1091" s="69">
        <v>154</v>
      </c>
      <c r="J1091" s="15" t="s">
        <v>2674</v>
      </c>
      <c r="K1091" s="15" t="s">
        <v>903</v>
      </c>
      <c r="L1091" s="15" t="s">
        <v>2673</v>
      </c>
      <c r="M1091" s="15" t="s">
        <v>2672</v>
      </c>
      <c r="N1091" s="15" t="s">
        <v>2673</v>
      </c>
      <c r="O1091" s="15"/>
    </row>
    <row r="1092" spans="1:15" ht="18" customHeight="1" x14ac:dyDescent="0.3">
      <c r="A1092" s="29">
        <v>1091</v>
      </c>
      <c r="B1092" s="15" t="s">
        <v>215</v>
      </c>
      <c r="C1092" s="15" t="s">
        <v>46</v>
      </c>
      <c r="D1092" s="69">
        <v>55</v>
      </c>
      <c r="E1092" s="68" t="s">
        <v>3295</v>
      </c>
      <c r="F1092" s="24" t="s">
        <v>515</v>
      </c>
      <c r="G1092" s="15" t="s">
        <v>164</v>
      </c>
      <c r="H1092" s="15" t="s">
        <v>908</v>
      </c>
      <c r="I1092" s="69">
        <v>92</v>
      </c>
      <c r="J1092" s="15" t="s">
        <v>2672</v>
      </c>
      <c r="K1092" s="15" t="s">
        <v>903</v>
      </c>
      <c r="L1092" s="15" t="s">
        <v>2673</v>
      </c>
      <c r="M1092" s="15" t="s">
        <v>2672</v>
      </c>
      <c r="N1092" s="15" t="s">
        <v>2673</v>
      </c>
      <c r="O1092" s="15"/>
    </row>
    <row r="1093" spans="1:15" ht="18" customHeight="1" x14ac:dyDescent="0.3">
      <c r="A1093" s="29">
        <v>1092</v>
      </c>
      <c r="B1093" s="15" t="s">
        <v>215</v>
      </c>
      <c r="C1093" s="15" t="s">
        <v>46</v>
      </c>
      <c r="D1093" s="69">
        <v>55</v>
      </c>
      <c r="E1093" s="68" t="s">
        <v>3295</v>
      </c>
      <c r="F1093" s="24" t="s">
        <v>515</v>
      </c>
      <c r="G1093" s="15" t="s">
        <v>164</v>
      </c>
      <c r="H1093" s="15" t="s">
        <v>909</v>
      </c>
      <c r="I1093" s="69">
        <v>234</v>
      </c>
      <c r="J1093" s="15" t="s">
        <v>2672</v>
      </c>
      <c r="K1093" s="15" t="s">
        <v>903</v>
      </c>
      <c r="L1093" s="15" t="s">
        <v>2673</v>
      </c>
      <c r="M1093" s="15" t="s">
        <v>2672</v>
      </c>
      <c r="N1093" s="15" t="s">
        <v>2673</v>
      </c>
      <c r="O1093" s="15"/>
    </row>
    <row r="1094" spans="1:15" ht="18" customHeight="1" x14ac:dyDescent="0.3">
      <c r="A1094" s="29">
        <v>1093</v>
      </c>
      <c r="B1094" s="15" t="s">
        <v>215</v>
      </c>
      <c r="C1094" s="15" t="s">
        <v>46</v>
      </c>
      <c r="D1094" s="69">
        <v>55</v>
      </c>
      <c r="E1094" s="68" t="s">
        <v>3295</v>
      </c>
      <c r="F1094" s="24" t="s">
        <v>515</v>
      </c>
      <c r="G1094" s="15" t="s">
        <v>164</v>
      </c>
      <c r="H1094" s="15" t="s">
        <v>910</v>
      </c>
      <c r="I1094" s="69">
        <v>142</v>
      </c>
      <c r="J1094" s="15" t="s">
        <v>2672</v>
      </c>
      <c r="K1094" s="15" t="s">
        <v>903</v>
      </c>
      <c r="L1094" s="15" t="s">
        <v>2673</v>
      </c>
      <c r="M1094" s="15" t="s">
        <v>2672</v>
      </c>
      <c r="N1094" s="15" t="s">
        <v>2673</v>
      </c>
      <c r="O1094" s="15"/>
    </row>
    <row r="1095" spans="1:15" ht="18" customHeight="1" x14ac:dyDescent="0.3">
      <c r="A1095" s="29">
        <v>1094</v>
      </c>
      <c r="B1095" s="15" t="s">
        <v>215</v>
      </c>
      <c r="C1095" s="15" t="s">
        <v>46</v>
      </c>
      <c r="D1095" s="69">
        <v>55</v>
      </c>
      <c r="E1095" s="68" t="s">
        <v>3295</v>
      </c>
      <c r="F1095" s="24" t="s">
        <v>515</v>
      </c>
      <c r="G1095" s="15" t="s">
        <v>164</v>
      </c>
      <c r="H1095" s="15" t="s">
        <v>911</v>
      </c>
      <c r="I1095" s="69">
        <v>154</v>
      </c>
      <c r="J1095" s="15" t="s">
        <v>2674</v>
      </c>
      <c r="K1095" s="15" t="s">
        <v>903</v>
      </c>
      <c r="L1095" s="15" t="s">
        <v>2673</v>
      </c>
      <c r="M1095" s="15" t="s">
        <v>2672</v>
      </c>
      <c r="N1095" s="15" t="s">
        <v>2673</v>
      </c>
      <c r="O1095" s="15"/>
    </row>
    <row r="1096" spans="1:15" ht="18" customHeight="1" x14ac:dyDescent="0.3">
      <c r="A1096" s="29">
        <v>1095</v>
      </c>
      <c r="B1096" s="15" t="s">
        <v>215</v>
      </c>
      <c r="C1096" s="15" t="s">
        <v>46</v>
      </c>
      <c r="D1096" s="69">
        <v>55</v>
      </c>
      <c r="E1096" s="68" t="s">
        <v>3295</v>
      </c>
      <c r="F1096" s="24" t="s">
        <v>515</v>
      </c>
      <c r="G1096" s="15" t="s">
        <v>164</v>
      </c>
      <c r="H1096" s="15" t="s">
        <v>927</v>
      </c>
      <c r="I1096" s="69">
        <v>154</v>
      </c>
      <c r="J1096" s="15" t="s">
        <v>2672</v>
      </c>
      <c r="K1096" s="15" t="s">
        <v>903</v>
      </c>
      <c r="L1096" s="15" t="s">
        <v>2673</v>
      </c>
      <c r="M1096" s="15" t="s">
        <v>2672</v>
      </c>
      <c r="N1096" s="15" t="s">
        <v>2673</v>
      </c>
      <c r="O1096" s="15"/>
    </row>
    <row r="1097" spans="1:15" ht="18" customHeight="1" x14ac:dyDescent="0.3">
      <c r="A1097" s="29">
        <v>1096</v>
      </c>
      <c r="B1097" s="13" t="s">
        <v>1755</v>
      </c>
      <c r="C1097" s="13" t="s">
        <v>1793</v>
      </c>
      <c r="D1097" s="13">
        <v>55</v>
      </c>
      <c r="E1097" s="21" t="s">
        <v>1794</v>
      </c>
      <c r="F1097" s="21" t="s">
        <v>1795</v>
      </c>
      <c r="G1097" s="13" t="s">
        <v>1538</v>
      </c>
      <c r="H1097" s="15" t="s">
        <v>2685</v>
      </c>
      <c r="I1097" s="69">
        <v>156</v>
      </c>
      <c r="J1097" s="13" t="s">
        <v>902</v>
      </c>
      <c r="K1097" s="15" t="s">
        <v>903</v>
      </c>
      <c r="L1097" s="15" t="s">
        <v>2673</v>
      </c>
      <c r="M1097" s="15" t="s">
        <v>2672</v>
      </c>
      <c r="N1097" s="15" t="s">
        <v>2673</v>
      </c>
      <c r="O1097" s="15"/>
    </row>
    <row r="1098" spans="1:15" ht="18" customHeight="1" x14ac:dyDescent="0.3">
      <c r="A1098" s="29">
        <v>1097</v>
      </c>
      <c r="B1098" s="13" t="s">
        <v>1755</v>
      </c>
      <c r="C1098" s="13" t="s">
        <v>1793</v>
      </c>
      <c r="D1098" s="13">
        <v>55</v>
      </c>
      <c r="E1098" s="21" t="s">
        <v>1794</v>
      </c>
      <c r="F1098" s="21" t="s">
        <v>1795</v>
      </c>
      <c r="G1098" s="13" t="s">
        <v>1538</v>
      </c>
      <c r="H1098" s="15" t="s">
        <v>2678</v>
      </c>
      <c r="I1098" s="69">
        <v>156</v>
      </c>
      <c r="J1098" s="13" t="s">
        <v>2672</v>
      </c>
      <c r="K1098" s="15" t="s">
        <v>903</v>
      </c>
      <c r="L1098" s="15" t="s">
        <v>2673</v>
      </c>
      <c r="M1098" s="15" t="s">
        <v>2672</v>
      </c>
      <c r="N1098" s="15" t="s">
        <v>2673</v>
      </c>
      <c r="O1098" s="15"/>
    </row>
    <row r="1099" spans="1:15" ht="18" customHeight="1" x14ac:dyDescent="0.3">
      <c r="A1099" s="29">
        <v>1098</v>
      </c>
      <c r="B1099" s="13" t="s">
        <v>1755</v>
      </c>
      <c r="C1099" s="13" t="s">
        <v>1793</v>
      </c>
      <c r="D1099" s="13">
        <v>55</v>
      </c>
      <c r="E1099" s="21" t="s">
        <v>1794</v>
      </c>
      <c r="F1099" s="21" t="s">
        <v>1795</v>
      </c>
      <c r="G1099" s="13" t="s">
        <v>1538</v>
      </c>
      <c r="H1099" s="15" t="s">
        <v>2679</v>
      </c>
      <c r="I1099" s="69">
        <v>156</v>
      </c>
      <c r="J1099" s="13" t="s">
        <v>2672</v>
      </c>
      <c r="K1099" s="15" t="s">
        <v>903</v>
      </c>
      <c r="L1099" s="15" t="s">
        <v>2673</v>
      </c>
      <c r="M1099" s="15" t="s">
        <v>2672</v>
      </c>
      <c r="N1099" s="15" t="s">
        <v>2673</v>
      </c>
      <c r="O1099" s="15"/>
    </row>
    <row r="1100" spans="1:15" ht="18" customHeight="1" x14ac:dyDescent="0.3">
      <c r="A1100" s="29">
        <v>1099</v>
      </c>
      <c r="B1100" s="13" t="s">
        <v>1755</v>
      </c>
      <c r="C1100" s="13" t="s">
        <v>1793</v>
      </c>
      <c r="D1100" s="13">
        <v>55</v>
      </c>
      <c r="E1100" s="21" t="s">
        <v>1794</v>
      </c>
      <c r="F1100" s="21" t="s">
        <v>1795</v>
      </c>
      <c r="G1100" s="13" t="s">
        <v>1538</v>
      </c>
      <c r="H1100" s="15" t="s">
        <v>2680</v>
      </c>
      <c r="I1100" s="69">
        <v>72</v>
      </c>
      <c r="J1100" s="13" t="s">
        <v>2672</v>
      </c>
      <c r="K1100" s="15" t="s">
        <v>2674</v>
      </c>
      <c r="L1100" s="15" t="s">
        <v>2525</v>
      </c>
      <c r="M1100" s="15" t="s">
        <v>2672</v>
      </c>
      <c r="N1100" s="15" t="s">
        <v>2673</v>
      </c>
      <c r="O1100" s="15"/>
    </row>
    <row r="1101" spans="1:15" ht="18" customHeight="1" x14ac:dyDescent="0.3">
      <c r="A1101" s="29">
        <v>1100</v>
      </c>
      <c r="B1101" s="13" t="s">
        <v>1755</v>
      </c>
      <c r="C1101" s="13" t="s">
        <v>1793</v>
      </c>
      <c r="D1101" s="13">
        <v>55</v>
      </c>
      <c r="E1101" s="21" t="s">
        <v>1794</v>
      </c>
      <c r="F1101" s="21" t="s">
        <v>1795</v>
      </c>
      <c r="G1101" s="13" t="s">
        <v>1538</v>
      </c>
      <c r="H1101" s="15" t="s">
        <v>2690</v>
      </c>
      <c r="I1101" s="69">
        <v>266</v>
      </c>
      <c r="J1101" s="13" t="s">
        <v>902</v>
      </c>
      <c r="K1101" s="15" t="s">
        <v>903</v>
      </c>
      <c r="L1101" s="15" t="s">
        <v>2673</v>
      </c>
      <c r="M1101" s="15" t="s">
        <v>2672</v>
      </c>
      <c r="N1101" s="15" t="s">
        <v>2673</v>
      </c>
      <c r="O1101" s="15"/>
    </row>
    <row r="1102" spans="1:15" ht="18" customHeight="1" x14ac:dyDescent="0.3">
      <c r="A1102" s="29">
        <v>1101</v>
      </c>
      <c r="B1102" s="13" t="s">
        <v>1755</v>
      </c>
      <c r="C1102" s="13" t="s">
        <v>1793</v>
      </c>
      <c r="D1102" s="13">
        <v>55</v>
      </c>
      <c r="E1102" s="21" t="s">
        <v>1794</v>
      </c>
      <c r="F1102" s="21" t="s">
        <v>1795</v>
      </c>
      <c r="G1102" s="13" t="s">
        <v>1538</v>
      </c>
      <c r="H1102" s="15" t="s">
        <v>2682</v>
      </c>
      <c r="I1102" s="69">
        <v>156</v>
      </c>
      <c r="J1102" s="13" t="s">
        <v>2672</v>
      </c>
      <c r="K1102" s="15" t="s">
        <v>903</v>
      </c>
      <c r="L1102" s="15" t="s">
        <v>2673</v>
      </c>
      <c r="M1102" s="15" t="s">
        <v>2672</v>
      </c>
      <c r="N1102" s="15" t="s">
        <v>2673</v>
      </c>
      <c r="O1102" s="15"/>
    </row>
    <row r="1103" spans="1:15" ht="18" customHeight="1" x14ac:dyDescent="0.3">
      <c r="A1103" s="29">
        <v>1102</v>
      </c>
      <c r="B1103" s="13" t="s">
        <v>1755</v>
      </c>
      <c r="C1103" s="13" t="s">
        <v>1793</v>
      </c>
      <c r="D1103" s="13">
        <v>55</v>
      </c>
      <c r="E1103" s="21" t="s">
        <v>1794</v>
      </c>
      <c r="F1103" s="21" t="s">
        <v>1795</v>
      </c>
      <c r="G1103" s="13" t="s">
        <v>1538</v>
      </c>
      <c r="H1103" s="15" t="s">
        <v>2732</v>
      </c>
      <c r="I1103" s="69">
        <v>72</v>
      </c>
      <c r="J1103" s="13" t="s">
        <v>2672</v>
      </c>
      <c r="K1103" s="15" t="s">
        <v>2674</v>
      </c>
      <c r="L1103" s="15" t="s">
        <v>2525</v>
      </c>
      <c r="M1103" s="15" t="s">
        <v>2672</v>
      </c>
      <c r="N1103" s="15" t="s">
        <v>2673</v>
      </c>
      <c r="O1103" s="15"/>
    </row>
    <row r="1104" spans="1:15" ht="18" customHeight="1" x14ac:dyDescent="0.3">
      <c r="A1104" s="29">
        <v>1103</v>
      </c>
      <c r="B1104" s="15" t="s">
        <v>215</v>
      </c>
      <c r="C1104" s="15" t="s">
        <v>47</v>
      </c>
      <c r="D1104" s="69">
        <v>56</v>
      </c>
      <c r="E1104" s="68" t="s">
        <v>3296</v>
      </c>
      <c r="F1104" s="16" t="s">
        <v>506</v>
      </c>
      <c r="G1104" s="15" t="s">
        <v>154</v>
      </c>
      <c r="H1104" s="15" t="s">
        <v>904</v>
      </c>
      <c r="I1104" s="69">
        <v>114</v>
      </c>
      <c r="J1104" s="15" t="s">
        <v>2672</v>
      </c>
      <c r="K1104" s="15" t="s">
        <v>903</v>
      </c>
      <c r="L1104" s="15" t="s">
        <v>2673</v>
      </c>
      <c r="M1104" s="15" t="s">
        <v>2672</v>
      </c>
      <c r="N1104" s="15" t="s">
        <v>2673</v>
      </c>
      <c r="O1104" s="15"/>
    </row>
    <row r="1105" spans="1:15" ht="18" customHeight="1" x14ac:dyDescent="0.3">
      <c r="A1105" s="29">
        <v>1104</v>
      </c>
      <c r="B1105" s="15" t="s">
        <v>215</v>
      </c>
      <c r="C1105" s="15" t="s">
        <v>47</v>
      </c>
      <c r="D1105" s="69">
        <v>56</v>
      </c>
      <c r="E1105" s="68" t="s">
        <v>3296</v>
      </c>
      <c r="F1105" s="16" t="s">
        <v>506</v>
      </c>
      <c r="G1105" s="15" t="s">
        <v>154</v>
      </c>
      <c r="H1105" s="15" t="s">
        <v>905</v>
      </c>
      <c r="I1105" s="69">
        <v>143</v>
      </c>
      <c r="J1105" s="15" t="s">
        <v>2674</v>
      </c>
      <c r="K1105" s="15" t="s">
        <v>903</v>
      </c>
      <c r="L1105" s="15" t="s">
        <v>2673</v>
      </c>
      <c r="M1105" s="15" t="s">
        <v>2672</v>
      </c>
      <c r="N1105" s="15" t="s">
        <v>2673</v>
      </c>
      <c r="O1105" s="15"/>
    </row>
    <row r="1106" spans="1:15" ht="18" customHeight="1" x14ac:dyDescent="0.3">
      <c r="A1106" s="29">
        <v>1105</v>
      </c>
      <c r="B1106" s="15" t="s">
        <v>215</v>
      </c>
      <c r="C1106" s="15" t="s">
        <v>47</v>
      </c>
      <c r="D1106" s="69">
        <v>56</v>
      </c>
      <c r="E1106" s="68" t="s">
        <v>3296</v>
      </c>
      <c r="F1106" s="16" t="s">
        <v>506</v>
      </c>
      <c r="G1106" s="15" t="s">
        <v>154</v>
      </c>
      <c r="H1106" s="15" t="s">
        <v>907</v>
      </c>
      <c r="I1106" s="69">
        <v>282</v>
      </c>
      <c r="J1106" s="15" t="s">
        <v>2674</v>
      </c>
      <c r="K1106" s="15" t="s">
        <v>903</v>
      </c>
      <c r="L1106" s="15" t="s">
        <v>2673</v>
      </c>
      <c r="M1106" s="15" t="s">
        <v>2672</v>
      </c>
      <c r="N1106" s="15" t="s">
        <v>2673</v>
      </c>
      <c r="O1106" s="15"/>
    </row>
    <row r="1107" spans="1:15" ht="18" customHeight="1" x14ac:dyDescent="0.3">
      <c r="A1107" s="29">
        <v>1106</v>
      </c>
      <c r="B1107" s="15" t="s">
        <v>215</v>
      </c>
      <c r="C1107" s="15" t="s">
        <v>47</v>
      </c>
      <c r="D1107" s="69">
        <v>56</v>
      </c>
      <c r="E1107" s="68" t="s">
        <v>3296</v>
      </c>
      <c r="F1107" s="16" t="s">
        <v>506</v>
      </c>
      <c r="G1107" s="15" t="s">
        <v>154</v>
      </c>
      <c r="H1107" s="15" t="s">
        <v>908</v>
      </c>
      <c r="I1107" s="69">
        <v>114</v>
      </c>
      <c r="J1107" s="15" t="s">
        <v>2672</v>
      </c>
      <c r="K1107" s="15" t="s">
        <v>903</v>
      </c>
      <c r="L1107" s="15" t="s">
        <v>2673</v>
      </c>
      <c r="M1107" s="15" t="s">
        <v>2672</v>
      </c>
      <c r="N1107" s="15" t="s">
        <v>2673</v>
      </c>
      <c r="O1107" s="15"/>
    </row>
    <row r="1108" spans="1:15" ht="18" customHeight="1" x14ac:dyDescent="0.3">
      <c r="A1108" s="29">
        <v>1107</v>
      </c>
      <c r="B1108" s="15" t="s">
        <v>215</v>
      </c>
      <c r="C1108" s="15" t="s">
        <v>47</v>
      </c>
      <c r="D1108" s="69">
        <v>56</v>
      </c>
      <c r="E1108" s="68" t="s">
        <v>3296</v>
      </c>
      <c r="F1108" s="16" t="s">
        <v>506</v>
      </c>
      <c r="G1108" s="15" t="s">
        <v>154</v>
      </c>
      <c r="H1108" s="15" t="s">
        <v>909</v>
      </c>
      <c r="I1108" s="69">
        <v>143</v>
      </c>
      <c r="J1108" s="15" t="s">
        <v>2674</v>
      </c>
      <c r="K1108" s="15" t="s">
        <v>903</v>
      </c>
      <c r="L1108" s="15" t="s">
        <v>2673</v>
      </c>
      <c r="M1108" s="15" t="s">
        <v>2672</v>
      </c>
      <c r="N1108" s="15" t="s">
        <v>2673</v>
      </c>
      <c r="O1108" s="15"/>
    </row>
    <row r="1109" spans="1:15" ht="18" customHeight="1" x14ac:dyDescent="0.3">
      <c r="A1109" s="29">
        <v>1108</v>
      </c>
      <c r="B1109" s="15" t="s">
        <v>215</v>
      </c>
      <c r="C1109" s="15" t="s">
        <v>47</v>
      </c>
      <c r="D1109" s="69">
        <v>56</v>
      </c>
      <c r="E1109" s="68" t="s">
        <v>3296</v>
      </c>
      <c r="F1109" s="16" t="s">
        <v>506</v>
      </c>
      <c r="G1109" s="15" t="s">
        <v>154</v>
      </c>
      <c r="H1109" s="15" t="s">
        <v>910</v>
      </c>
      <c r="I1109" s="69">
        <v>132</v>
      </c>
      <c r="J1109" s="15" t="s">
        <v>2672</v>
      </c>
      <c r="K1109" s="15" t="s">
        <v>903</v>
      </c>
      <c r="L1109" s="15" t="s">
        <v>2673</v>
      </c>
      <c r="M1109" s="15" t="s">
        <v>2672</v>
      </c>
      <c r="N1109" s="15" t="s">
        <v>2673</v>
      </c>
      <c r="O1109" s="15"/>
    </row>
    <row r="1110" spans="1:15" ht="18" customHeight="1" x14ac:dyDescent="0.3">
      <c r="A1110" s="29">
        <v>1109</v>
      </c>
      <c r="B1110" s="15" t="s">
        <v>215</v>
      </c>
      <c r="C1110" s="15" t="s">
        <v>47</v>
      </c>
      <c r="D1110" s="69">
        <v>56</v>
      </c>
      <c r="E1110" s="68" t="s">
        <v>3296</v>
      </c>
      <c r="F1110" s="16" t="s">
        <v>2865</v>
      </c>
      <c r="G1110" s="15" t="s">
        <v>154</v>
      </c>
      <c r="H1110" s="15" t="s">
        <v>901</v>
      </c>
      <c r="I1110" s="69">
        <v>233</v>
      </c>
      <c r="J1110" s="15" t="s">
        <v>2674</v>
      </c>
      <c r="K1110" s="15" t="s">
        <v>2672</v>
      </c>
      <c r="L1110" s="15" t="s">
        <v>2673</v>
      </c>
      <c r="M1110" s="15" t="s">
        <v>2672</v>
      </c>
      <c r="N1110" s="15" t="s">
        <v>2673</v>
      </c>
      <c r="O1110" s="15"/>
    </row>
    <row r="1111" spans="1:15" ht="18" customHeight="1" x14ac:dyDescent="0.3">
      <c r="A1111" s="29">
        <v>1110</v>
      </c>
      <c r="B1111" s="15" t="s">
        <v>215</v>
      </c>
      <c r="C1111" s="15" t="s">
        <v>47</v>
      </c>
      <c r="D1111" s="69">
        <v>56</v>
      </c>
      <c r="E1111" s="68" t="s">
        <v>3296</v>
      </c>
      <c r="F1111" s="16" t="s">
        <v>2865</v>
      </c>
      <c r="G1111" s="15" t="s">
        <v>154</v>
      </c>
      <c r="H1111" s="15" t="s">
        <v>906</v>
      </c>
      <c r="I1111" s="69">
        <v>96</v>
      </c>
      <c r="J1111" s="15" t="s">
        <v>2674</v>
      </c>
      <c r="K1111" s="15" t="s">
        <v>902</v>
      </c>
      <c r="L1111" s="15" t="s">
        <v>208</v>
      </c>
      <c r="M1111" s="15" t="s">
        <v>2672</v>
      </c>
      <c r="N1111" s="15" t="s">
        <v>2673</v>
      </c>
      <c r="O1111" s="15"/>
    </row>
    <row r="1112" spans="1:15" ht="18" customHeight="1" x14ac:dyDescent="0.3">
      <c r="A1112" s="29">
        <v>1111</v>
      </c>
      <c r="B1112" s="15" t="s">
        <v>215</v>
      </c>
      <c r="C1112" s="15" t="s">
        <v>29</v>
      </c>
      <c r="D1112" s="69">
        <v>57</v>
      </c>
      <c r="E1112" s="68" t="s">
        <v>267</v>
      </c>
      <c r="F1112" s="14" t="s">
        <v>522</v>
      </c>
      <c r="G1112" s="15" t="s">
        <v>154</v>
      </c>
      <c r="H1112" s="15" t="s">
        <v>901</v>
      </c>
      <c r="I1112" s="69">
        <v>173</v>
      </c>
      <c r="J1112" s="13" t="s">
        <v>902</v>
      </c>
      <c r="K1112" s="15" t="s">
        <v>903</v>
      </c>
      <c r="L1112" s="15" t="s">
        <v>2673</v>
      </c>
      <c r="M1112" s="15" t="s">
        <v>2672</v>
      </c>
      <c r="N1112" s="15" t="s">
        <v>2673</v>
      </c>
      <c r="O1112" s="15"/>
    </row>
    <row r="1113" spans="1:15" ht="18" customHeight="1" x14ac:dyDescent="0.3">
      <c r="A1113" s="29">
        <v>1112</v>
      </c>
      <c r="B1113" s="15" t="s">
        <v>215</v>
      </c>
      <c r="C1113" s="15" t="s">
        <v>29</v>
      </c>
      <c r="D1113" s="69">
        <v>57</v>
      </c>
      <c r="E1113" s="68" t="s">
        <v>267</v>
      </c>
      <c r="F1113" s="14" t="s">
        <v>522</v>
      </c>
      <c r="G1113" s="15" t="s">
        <v>154</v>
      </c>
      <c r="H1113" s="15" t="s">
        <v>904</v>
      </c>
      <c r="I1113" s="69">
        <v>173</v>
      </c>
      <c r="J1113" s="13" t="s">
        <v>2672</v>
      </c>
      <c r="K1113" s="15" t="s">
        <v>903</v>
      </c>
      <c r="L1113" s="15" t="s">
        <v>2673</v>
      </c>
      <c r="M1113" s="15" t="s">
        <v>2672</v>
      </c>
      <c r="N1113" s="15" t="s">
        <v>2673</v>
      </c>
      <c r="O1113" s="15"/>
    </row>
    <row r="1114" spans="1:15" ht="18" customHeight="1" x14ac:dyDescent="0.3">
      <c r="A1114" s="29">
        <v>1113</v>
      </c>
      <c r="B1114" s="15" t="s">
        <v>215</v>
      </c>
      <c r="C1114" s="15" t="s">
        <v>29</v>
      </c>
      <c r="D1114" s="69">
        <v>57</v>
      </c>
      <c r="E1114" s="68" t="s">
        <v>267</v>
      </c>
      <c r="F1114" s="14" t="s">
        <v>522</v>
      </c>
      <c r="G1114" s="15" t="s">
        <v>154</v>
      </c>
      <c r="H1114" s="15" t="s">
        <v>905</v>
      </c>
      <c r="I1114" s="69">
        <v>202</v>
      </c>
      <c r="J1114" s="13" t="s">
        <v>2672</v>
      </c>
      <c r="K1114" s="15" t="s">
        <v>903</v>
      </c>
      <c r="L1114" s="15" t="s">
        <v>2673</v>
      </c>
      <c r="M1114" s="15" t="s">
        <v>2672</v>
      </c>
      <c r="N1114" s="15" t="s">
        <v>2673</v>
      </c>
      <c r="O1114" s="15"/>
    </row>
    <row r="1115" spans="1:15" ht="18" customHeight="1" x14ac:dyDescent="0.3">
      <c r="A1115" s="29">
        <v>1114</v>
      </c>
      <c r="B1115" s="15" t="s">
        <v>215</v>
      </c>
      <c r="C1115" s="15" t="s">
        <v>29</v>
      </c>
      <c r="D1115" s="69">
        <v>57</v>
      </c>
      <c r="E1115" s="68" t="s">
        <v>267</v>
      </c>
      <c r="F1115" s="14" t="s">
        <v>522</v>
      </c>
      <c r="G1115" s="15" t="s">
        <v>154</v>
      </c>
      <c r="H1115" s="15" t="s">
        <v>906</v>
      </c>
      <c r="I1115" s="69">
        <v>202</v>
      </c>
      <c r="J1115" s="13" t="s">
        <v>2672</v>
      </c>
      <c r="K1115" s="15" t="s">
        <v>903</v>
      </c>
      <c r="L1115" s="15" t="s">
        <v>2673</v>
      </c>
      <c r="M1115" s="15" t="s">
        <v>2672</v>
      </c>
      <c r="N1115" s="15" t="s">
        <v>2673</v>
      </c>
      <c r="O1115" s="15"/>
    </row>
    <row r="1116" spans="1:15" ht="18" customHeight="1" x14ac:dyDescent="0.3">
      <c r="A1116" s="29">
        <v>1115</v>
      </c>
      <c r="B1116" s="15" t="s">
        <v>215</v>
      </c>
      <c r="C1116" s="15" t="s">
        <v>29</v>
      </c>
      <c r="D1116" s="69">
        <v>57</v>
      </c>
      <c r="E1116" s="68" t="s">
        <v>267</v>
      </c>
      <c r="F1116" s="14" t="s">
        <v>522</v>
      </c>
      <c r="G1116" s="15" t="s">
        <v>154</v>
      </c>
      <c r="H1116" s="15" t="s">
        <v>907</v>
      </c>
      <c r="I1116" s="69">
        <v>202</v>
      </c>
      <c r="J1116" s="13" t="s">
        <v>2672</v>
      </c>
      <c r="K1116" s="15" t="s">
        <v>903</v>
      </c>
      <c r="L1116" s="15" t="s">
        <v>2673</v>
      </c>
      <c r="M1116" s="15" t="s">
        <v>2672</v>
      </c>
      <c r="N1116" s="15" t="s">
        <v>2673</v>
      </c>
      <c r="O1116" s="15"/>
    </row>
    <row r="1117" spans="1:15" ht="18" customHeight="1" x14ac:dyDescent="0.3">
      <c r="A1117" s="29">
        <v>1116</v>
      </c>
      <c r="B1117" s="15" t="s">
        <v>215</v>
      </c>
      <c r="C1117" s="15" t="s">
        <v>29</v>
      </c>
      <c r="D1117" s="69">
        <v>57</v>
      </c>
      <c r="E1117" s="68" t="s">
        <v>267</v>
      </c>
      <c r="F1117" s="14" t="s">
        <v>522</v>
      </c>
      <c r="G1117" s="15" t="s">
        <v>154</v>
      </c>
      <c r="H1117" s="15" t="s">
        <v>908</v>
      </c>
      <c r="I1117" s="69">
        <v>203</v>
      </c>
      <c r="J1117" s="13" t="s">
        <v>902</v>
      </c>
      <c r="K1117" s="15" t="s">
        <v>903</v>
      </c>
      <c r="L1117" s="15" t="s">
        <v>2673</v>
      </c>
      <c r="M1117" s="15" t="s">
        <v>2672</v>
      </c>
      <c r="N1117" s="15" t="s">
        <v>2673</v>
      </c>
      <c r="O1117" s="15"/>
    </row>
    <row r="1118" spans="1:15" ht="18" customHeight="1" x14ac:dyDescent="0.3">
      <c r="A1118" s="29">
        <v>1117</v>
      </c>
      <c r="B1118" s="15" t="s">
        <v>215</v>
      </c>
      <c r="C1118" s="15" t="s">
        <v>29</v>
      </c>
      <c r="D1118" s="69">
        <v>57</v>
      </c>
      <c r="E1118" s="68" t="s">
        <v>2866</v>
      </c>
      <c r="F1118" s="16" t="s">
        <v>1151</v>
      </c>
      <c r="G1118" s="15" t="s">
        <v>164</v>
      </c>
      <c r="H1118" s="15" t="s">
        <v>905</v>
      </c>
      <c r="I1118" s="69">
        <v>151</v>
      </c>
      <c r="J1118" s="15" t="s">
        <v>2672</v>
      </c>
      <c r="K1118" s="15" t="s">
        <v>903</v>
      </c>
      <c r="L1118" s="15" t="s">
        <v>2673</v>
      </c>
      <c r="M1118" s="15" t="s">
        <v>2672</v>
      </c>
      <c r="N1118" s="15" t="s">
        <v>2673</v>
      </c>
      <c r="O1118" s="15"/>
    </row>
    <row r="1119" spans="1:15" ht="18" customHeight="1" x14ac:dyDescent="0.3">
      <c r="A1119" s="29">
        <v>1118</v>
      </c>
      <c r="B1119" s="15" t="s">
        <v>215</v>
      </c>
      <c r="C1119" s="15" t="s">
        <v>29</v>
      </c>
      <c r="D1119" s="69">
        <v>57</v>
      </c>
      <c r="E1119" s="68" t="s">
        <v>2866</v>
      </c>
      <c r="F1119" s="16" t="s">
        <v>1151</v>
      </c>
      <c r="G1119" s="15" t="s">
        <v>164</v>
      </c>
      <c r="H1119" s="15" t="s">
        <v>906</v>
      </c>
      <c r="I1119" s="69">
        <v>208</v>
      </c>
      <c r="J1119" s="15" t="s">
        <v>2672</v>
      </c>
      <c r="K1119" s="15" t="s">
        <v>903</v>
      </c>
      <c r="L1119" s="15" t="s">
        <v>2673</v>
      </c>
      <c r="M1119" s="15" t="s">
        <v>2672</v>
      </c>
      <c r="N1119" s="15" t="s">
        <v>2673</v>
      </c>
      <c r="O1119" s="15"/>
    </row>
    <row r="1120" spans="1:15" ht="18" customHeight="1" x14ac:dyDescent="0.3">
      <c r="A1120" s="29">
        <v>1119</v>
      </c>
      <c r="B1120" s="15" t="s">
        <v>215</v>
      </c>
      <c r="C1120" s="15" t="s">
        <v>29</v>
      </c>
      <c r="D1120" s="69">
        <v>57</v>
      </c>
      <c r="E1120" s="68" t="s">
        <v>2866</v>
      </c>
      <c r="F1120" s="16" t="s">
        <v>1151</v>
      </c>
      <c r="G1120" s="15" t="s">
        <v>164</v>
      </c>
      <c r="H1120" s="15" t="s">
        <v>907</v>
      </c>
      <c r="I1120" s="69">
        <v>201</v>
      </c>
      <c r="J1120" s="15" t="s">
        <v>2672</v>
      </c>
      <c r="K1120" s="15" t="s">
        <v>903</v>
      </c>
      <c r="L1120" s="15" t="s">
        <v>2673</v>
      </c>
      <c r="M1120" s="15" t="s">
        <v>2672</v>
      </c>
      <c r="N1120" s="15" t="s">
        <v>2673</v>
      </c>
      <c r="O1120" s="15"/>
    </row>
    <row r="1121" spans="1:15" ht="18" customHeight="1" x14ac:dyDescent="0.3">
      <c r="A1121" s="29">
        <v>1120</v>
      </c>
      <c r="B1121" s="15" t="s">
        <v>215</v>
      </c>
      <c r="C1121" s="15" t="s">
        <v>29</v>
      </c>
      <c r="D1121" s="69">
        <v>57</v>
      </c>
      <c r="E1121" s="68" t="s">
        <v>2866</v>
      </c>
      <c r="F1121" s="16" t="s">
        <v>524</v>
      </c>
      <c r="G1121" s="15" t="s">
        <v>164</v>
      </c>
      <c r="H1121" s="15" t="s">
        <v>904</v>
      </c>
      <c r="I1121" s="69">
        <v>151</v>
      </c>
      <c r="J1121" s="15" t="s">
        <v>2674</v>
      </c>
      <c r="K1121" s="15" t="s">
        <v>903</v>
      </c>
      <c r="L1121" s="15" t="s">
        <v>2673</v>
      </c>
      <c r="M1121" s="15" t="s">
        <v>2672</v>
      </c>
      <c r="N1121" s="15" t="s">
        <v>2673</v>
      </c>
      <c r="O1121" s="15"/>
    </row>
    <row r="1122" spans="1:15" ht="18" customHeight="1" x14ac:dyDescent="0.3">
      <c r="A1122" s="29">
        <v>1121</v>
      </c>
      <c r="B1122" s="15" t="s">
        <v>215</v>
      </c>
      <c r="C1122" s="15" t="s">
        <v>29</v>
      </c>
      <c r="D1122" s="69">
        <v>57</v>
      </c>
      <c r="E1122" s="68" t="s">
        <v>2866</v>
      </c>
      <c r="F1122" s="16" t="s">
        <v>1204</v>
      </c>
      <c r="G1122" s="15" t="s">
        <v>164</v>
      </c>
      <c r="H1122" s="15" t="s">
        <v>901</v>
      </c>
      <c r="I1122" s="69">
        <v>60</v>
      </c>
      <c r="J1122" s="15" t="s">
        <v>2672</v>
      </c>
      <c r="K1122" s="15" t="s">
        <v>2674</v>
      </c>
      <c r="L1122" s="15" t="s">
        <v>1703</v>
      </c>
      <c r="M1122" s="15" t="s">
        <v>2672</v>
      </c>
      <c r="N1122" s="15" t="s">
        <v>2673</v>
      </c>
      <c r="O1122" s="15"/>
    </row>
    <row r="1123" spans="1:15" ht="18" customHeight="1" x14ac:dyDescent="0.3">
      <c r="A1123" s="29">
        <v>1122</v>
      </c>
      <c r="B1123" s="15" t="s">
        <v>215</v>
      </c>
      <c r="C1123" s="15" t="s">
        <v>29</v>
      </c>
      <c r="D1123" s="69">
        <v>57</v>
      </c>
      <c r="E1123" s="68" t="s">
        <v>3297</v>
      </c>
      <c r="F1123" s="24" t="s">
        <v>519</v>
      </c>
      <c r="G1123" s="15" t="s">
        <v>164</v>
      </c>
      <c r="H1123" s="15" t="s">
        <v>901</v>
      </c>
      <c r="I1123" s="69">
        <v>162</v>
      </c>
      <c r="J1123" s="15" t="s">
        <v>2672</v>
      </c>
      <c r="K1123" s="15" t="s">
        <v>903</v>
      </c>
      <c r="L1123" s="15" t="s">
        <v>2673</v>
      </c>
      <c r="M1123" s="15" t="s">
        <v>2672</v>
      </c>
      <c r="N1123" s="15" t="s">
        <v>2673</v>
      </c>
      <c r="O1123" s="15"/>
    </row>
    <row r="1124" spans="1:15" ht="18" customHeight="1" x14ac:dyDescent="0.3">
      <c r="A1124" s="29">
        <v>1123</v>
      </c>
      <c r="B1124" s="15" t="s">
        <v>215</v>
      </c>
      <c r="C1124" s="15" t="s">
        <v>29</v>
      </c>
      <c r="D1124" s="69">
        <v>57</v>
      </c>
      <c r="E1124" s="68" t="s">
        <v>3297</v>
      </c>
      <c r="F1124" s="24" t="s">
        <v>519</v>
      </c>
      <c r="G1124" s="15" t="s">
        <v>164</v>
      </c>
      <c r="H1124" s="15" t="s">
        <v>2678</v>
      </c>
      <c r="I1124" s="69">
        <v>24</v>
      </c>
      <c r="J1124" s="15" t="s">
        <v>2672</v>
      </c>
      <c r="K1124" s="15" t="s">
        <v>2672</v>
      </c>
      <c r="L1124" s="15" t="s">
        <v>2673</v>
      </c>
      <c r="M1124" s="15" t="s">
        <v>2672</v>
      </c>
      <c r="N1124" s="15" t="s">
        <v>2673</v>
      </c>
      <c r="O1124" s="15"/>
    </row>
    <row r="1125" spans="1:15" ht="18" customHeight="1" x14ac:dyDescent="0.3">
      <c r="A1125" s="29">
        <v>1124</v>
      </c>
      <c r="B1125" s="15" t="s">
        <v>215</v>
      </c>
      <c r="C1125" s="15" t="s">
        <v>29</v>
      </c>
      <c r="D1125" s="69">
        <v>57</v>
      </c>
      <c r="E1125" s="68" t="s">
        <v>3297</v>
      </c>
      <c r="F1125" s="24" t="s">
        <v>519</v>
      </c>
      <c r="G1125" s="15" t="s">
        <v>164</v>
      </c>
      <c r="H1125" s="15" t="s">
        <v>905</v>
      </c>
      <c r="I1125" s="69">
        <v>162</v>
      </c>
      <c r="J1125" s="15" t="s">
        <v>2672</v>
      </c>
      <c r="K1125" s="15" t="s">
        <v>903</v>
      </c>
      <c r="L1125" s="15" t="s">
        <v>2673</v>
      </c>
      <c r="M1125" s="15" t="s">
        <v>2672</v>
      </c>
      <c r="N1125" s="15" t="s">
        <v>2673</v>
      </c>
      <c r="O1125" s="15"/>
    </row>
    <row r="1126" spans="1:15" ht="18" customHeight="1" x14ac:dyDescent="0.3">
      <c r="A1126" s="29">
        <v>1125</v>
      </c>
      <c r="B1126" s="15" t="s">
        <v>215</v>
      </c>
      <c r="C1126" s="15" t="s">
        <v>29</v>
      </c>
      <c r="D1126" s="69">
        <v>57</v>
      </c>
      <c r="E1126" s="68" t="s">
        <v>3297</v>
      </c>
      <c r="F1126" s="24" t="s">
        <v>519</v>
      </c>
      <c r="G1126" s="15" t="s">
        <v>164</v>
      </c>
      <c r="H1126" s="15" t="s">
        <v>906</v>
      </c>
      <c r="I1126" s="69">
        <v>216</v>
      </c>
      <c r="J1126" s="15" t="s">
        <v>2672</v>
      </c>
      <c r="K1126" s="15" t="s">
        <v>903</v>
      </c>
      <c r="L1126" s="15" t="s">
        <v>2673</v>
      </c>
      <c r="M1126" s="15" t="s">
        <v>2672</v>
      </c>
      <c r="N1126" s="15" t="s">
        <v>2673</v>
      </c>
      <c r="O1126" s="15"/>
    </row>
    <row r="1127" spans="1:15" ht="18" customHeight="1" x14ac:dyDescent="0.3">
      <c r="A1127" s="29">
        <v>1126</v>
      </c>
      <c r="B1127" s="15" t="s">
        <v>215</v>
      </c>
      <c r="C1127" s="15" t="s">
        <v>29</v>
      </c>
      <c r="D1127" s="69">
        <v>57</v>
      </c>
      <c r="E1127" s="68" t="s">
        <v>3297</v>
      </c>
      <c r="F1127" s="24" t="s">
        <v>519</v>
      </c>
      <c r="G1127" s="15" t="s">
        <v>164</v>
      </c>
      <c r="H1127" s="15" t="s">
        <v>907</v>
      </c>
      <c r="I1127" s="69">
        <v>139</v>
      </c>
      <c r="J1127" s="15" t="s">
        <v>2672</v>
      </c>
      <c r="K1127" s="15" t="s">
        <v>903</v>
      </c>
      <c r="L1127" s="15" t="s">
        <v>2673</v>
      </c>
      <c r="M1127" s="15" t="s">
        <v>2672</v>
      </c>
      <c r="N1127" s="15" t="s">
        <v>2673</v>
      </c>
      <c r="O1127" s="15"/>
    </row>
    <row r="1128" spans="1:15" ht="18" customHeight="1" x14ac:dyDescent="0.3">
      <c r="A1128" s="29">
        <v>1127</v>
      </c>
      <c r="B1128" s="15" t="s">
        <v>215</v>
      </c>
      <c r="C1128" s="15" t="s">
        <v>29</v>
      </c>
      <c r="D1128" s="69">
        <v>57</v>
      </c>
      <c r="E1128" s="68" t="s">
        <v>3297</v>
      </c>
      <c r="F1128" s="24" t="s">
        <v>519</v>
      </c>
      <c r="G1128" s="15" t="s">
        <v>164</v>
      </c>
      <c r="H1128" s="15" t="s">
        <v>908</v>
      </c>
      <c r="I1128" s="69">
        <v>185</v>
      </c>
      <c r="J1128" s="15" t="s">
        <v>2674</v>
      </c>
      <c r="K1128" s="15" t="s">
        <v>903</v>
      </c>
      <c r="L1128" s="15" t="s">
        <v>2673</v>
      </c>
      <c r="M1128" s="15" t="s">
        <v>2672</v>
      </c>
      <c r="N1128" s="15" t="s">
        <v>2673</v>
      </c>
      <c r="O1128" s="15"/>
    </row>
    <row r="1129" spans="1:15" ht="18" customHeight="1" x14ac:dyDescent="0.3">
      <c r="A1129" s="29">
        <v>1128</v>
      </c>
      <c r="B1129" s="15" t="s">
        <v>215</v>
      </c>
      <c r="C1129" s="15" t="s">
        <v>29</v>
      </c>
      <c r="D1129" s="69">
        <v>57</v>
      </c>
      <c r="E1129" s="68" t="s">
        <v>3297</v>
      </c>
      <c r="F1129" s="24" t="s">
        <v>519</v>
      </c>
      <c r="G1129" s="15" t="s">
        <v>164</v>
      </c>
      <c r="H1129" s="15" t="s">
        <v>909</v>
      </c>
      <c r="I1129" s="69">
        <v>185</v>
      </c>
      <c r="J1129" s="15" t="s">
        <v>2672</v>
      </c>
      <c r="K1129" s="15" t="s">
        <v>903</v>
      </c>
      <c r="L1129" s="15" t="s">
        <v>2673</v>
      </c>
      <c r="M1129" s="15" t="s">
        <v>2672</v>
      </c>
      <c r="N1129" s="15" t="s">
        <v>2673</v>
      </c>
      <c r="O1129" s="15"/>
    </row>
    <row r="1130" spans="1:15" ht="18" customHeight="1" x14ac:dyDescent="0.3">
      <c r="A1130" s="29">
        <v>1129</v>
      </c>
      <c r="B1130" s="15" t="s">
        <v>215</v>
      </c>
      <c r="C1130" s="15" t="s">
        <v>29</v>
      </c>
      <c r="D1130" s="69">
        <v>57</v>
      </c>
      <c r="E1130" s="68" t="s">
        <v>311</v>
      </c>
      <c r="F1130" s="16" t="s">
        <v>520</v>
      </c>
      <c r="G1130" s="15" t="s">
        <v>164</v>
      </c>
      <c r="H1130" s="15" t="s">
        <v>901</v>
      </c>
      <c r="I1130" s="69">
        <v>167</v>
      </c>
      <c r="J1130" s="15" t="s">
        <v>2672</v>
      </c>
      <c r="K1130" s="15" t="s">
        <v>903</v>
      </c>
      <c r="L1130" s="15" t="s">
        <v>2673</v>
      </c>
      <c r="M1130" s="15" t="s">
        <v>2672</v>
      </c>
      <c r="N1130" s="15" t="s">
        <v>2673</v>
      </c>
      <c r="O1130" s="15"/>
    </row>
    <row r="1131" spans="1:15" ht="18" customHeight="1" x14ac:dyDescent="0.3">
      <c r="A1131" s="29">
        <v>1130</v>
      </c>
      <c r="B1131" s="15" t="s">
        <v>215</v>
      </c>
      <c r="C1131" s="15" t="s">
        <v>29</v>
      </c>
      <c r="D1131" s="69">
        <v>57</v>
      </c>
      <c r="E1131" s="68" t="s">
        <v>311</v>
      </c>
      <c r="F1131" s="16" t="s">
        <v>520</v>
      </c>
      <c r="G1131" s="15" t="s">
        <v>164</v>
      </c>
      <c r="H1131" s="15" t="s">
        <v>904</v>
      </c>
      <c r="I1131" s="69">
        <v>139</v>
      </c>
      <c r="J1131" s="15" t="s">
        <v>2672</v>
      </c>
      <c r="K1131" s="15" t="s">
        <v>903</v>
      </c>
      <c r="L1131" s="15" t="s">
        <v>2673</v>
      </c>
      <c r="M1131" s="15" t="s">
        <v>2672</v>
      </c>
      <c r="N1131" s="15" t="s">
        <v>2673</v>
      </c>
      <c r="O1131" s="15"/>
    </row>
    <row r="1132" spans="1:15" ht="18" customHeight="1" x14ac:dyDescent="0.3">
      <c r="A1132" s="29">
        <v>1131</v>
      </c>
      <c r="B1132" s="15" t="s">
        <v>215</v>
      </c>
      <c r="C1132" s="15" t="s">
        <v>29</v>
      </c>
      <c r="D1132" s="69">
        <v>57</v>
      </c>
      <c r="E1132" s="68" t="s">
        <v>311</v>
      </c>
      <c r="F1132" s="16" t="s">
        <v>520</v>
      </c>
      <c r="G1132" s="15" t="s">
        <v>164</v>
      </c>
      <c r="H1132" s="15" t="s">
        <v>905</v>
      </c>
      <c r="I1132" s="69">
        <v>34</v>
      </c>
      <c r="J1132" s="15" t="s">
        <v>2672</v>
      </c>
      <c r="K1132" s="15" t="s">
        <v>903</v>
      </c>
      <c r="L1132" s="15" t="s">
        <v>2673</v>
      </c>
      <c r="M1132" s="15" t="s">
        <v>2672</v>
      </c>
      <c r="N1132" s="15" t="s">
        <v>2673</v>
      </c>
      <c r="O1132" s="15"/>
    </row>
    <row r="1133" spans="1:15" ht="18" customHeight="1" x14ac:dyDescent="0.3">
      <c r="A1133" s="29">
        <v>1132</v>
      </c>
      <c r="B1133" s="15" t="s">
        <v>215</v>
      </c>
      <c r="C1133" s="15" t="s">
        <v>29</v>
      </c>
      <c r="D1133" s="69">
        <v>57</v>
      </c>
      <c r="E1133" s="68" t="s">
        <v>311</v>
      </c>
      <c r="F1133" s="16" t="s">
        <v>520</v>
      </c>
      <c r="G1133" s="15" t="s">
        <v>164</v>
      </c>
      <c r="H1133" s="15" t="s">
        <v>906</v>
      </c>
      <c r="I1133" s="69">
        <v>43</v>
      </c>
      <c r="J1133" s="15" t="s">
        <v>2672</v>
      </c>
      <c r="K1133" s="15" t="s">
        <v>2674</v>
      </c>
      <c r="L1133" s="15" t="s">
        <v>1703</v>
      </c>
      <c r="M1133" s="15" t="s">
        <v>2672</v>
      </c>
      <c r="N1133" s="15" t="s">
        <v>2673</v>
      </c>
      <c r="O1133" s="15"/>
    </row>
    <row r="1134" spans="1:15" ht="18" customHeight="1" x14ac:dyDescent="0.3">
      <c r="A1134" s="29">
        <v>1133</v>
      </c>
      <c r="B1134" s="15" t="s">
        <v>215</v>
      </c>
      <c r="C1134" s="15" t="s">
        <v>29</v>
      </c>
      <c r="D1134" s="69">
        <v>57</v>
      </c>
      <c r="E1134" s="68" t="s">
        <v>311</v>
      </c>
      <c r="F1134" s="16" t="s">
        <v>520</v>
      </c>
      <c r="G1134" s="15" t="s">
        <v>164</v>
      </c>
      <c r="H1134" s="15" t="s">
        <v>907</v>
      </c>
      <c r="I1134" s="69">
        <v>107</v>
      </c>
      <c r="J1134" s="15" t="s">
        <v>2674</v>
      </c>
      <c r="K1134" s="15" t="s">
        <v>2674</v>
      </c>
      <c r="L1134" s="15" t="s">
        <v>1703</v>
      </c>
      <c r="M1134" s="15" t="s">
        <v>2672</v>
      </c>
      <c r="N1134" s="15" t="s">
        <v>2673</v>
      </c>
      <c r="O1134" s="15"/>
    </row>
    <row r="1135" spans="1:15" ht="18" customHeight="1" x14ac:dyDescent="0.3">
      <c r="A1135" s="29">
        <v>1134</v>
      </c>
      <c r="B1135" s="15" t="s">
        <v>215</v>
      </c>
      <c r="C1135" s="15" t="s">
        <v>29</v>
      </c>
      <c r="D1135" s="69">
        <v>57</v>
      </c>
      <c r="E1135" s="68" t="s">
        <v>311</v>
      </c>
      <c r="F1135" s="16" t="s">
        <v>520</v>
      </c>
      <c r="G1135" s="15" t="s">
        <v>164</v>
      </c>
      <c r="H1135" s="15" t="s">
        <v>908</v>
      </c>
      <c r="I1135" s="69">
        <v>139</v>
      </c>
      <c r="J1135" s="15" t="s">
        <v>2672</v>
      </c>
      <c r="K1135" s="15" t="s">
        <v>903</v>
      </c>
      <c r="L1135" s="15" t="s">
        <v>2673</v>
      </c>
      <c r="M1135" s="15" t="s">
        <v>2672</v>
      </c>
      <c r="N1135" s="15" t="s">
        <v>2673</v>
      </c>
      <c r="O1135" s="15"/>
    </row>
    <row r="1136" spans="1:15" ht="18" customHeight="1" x14ac:dyDescent="0.3">
      <c r="A1136" s="29">
        <v>1135</v>
      </c>
      <c r="B1136" s="15" t="s">
        <v>215</v>
      </c>
      <c r="C1136" s="15" t="s">
        <v>29</v>
      </c>
      <c r="D1136" s="69">
        <v>57</v>
      </c>
      <c r="E1136" s="68" t="s">
        <v>311</v>
      </c>
      <c r="F1136" s="16" t="s">
        <v>520</v>
      </c>
      <c r="G1136" s="15" t="s">
        <v>164</v>
      </c>
      <c r="H1136" s="15" t="s">
        <v>909</v>
      </c>
      <c r="I1136" s="69">
        <v>155</v>
      </c>
      <c r="J1136" s="15" t="s">
        <v>2672</v>
      </c>
      <c r="K1136" s="15" t="s">
        <v>903</v>
      </c>
      <c r="L1136" s="15" t="s">
        <v>2673</v>
      </c>
      <c r="M1136" s="15" t="s">
        <v>2672</v>
      </c>
      <c r="N1136" s="15" t="s">
        <v>2673</v>
      </c>
      <c r="O1136" s="15"/>
    </row>
    <row r="1137" spans="1:15" ht="18" customHeight="1" x14ac:dyDescent="0.3">
      <c r="A1137" s="29">
        <v>1136</v>
      </c>
      <c r="B1137" s="15" t="s">
        <v>1760</v>
      </c>
      <c r="C1137" s="15" t="s">
        <v>1799</v>
      </c>
      <c r="D1137" s="13">
        <v>58</v>
      </c>
      <c r="E1137" s="6" t="s">
        <v>1800</v>
      </c>
      <c r="F1137" s="16" t="s">
        <v>1801</v>
      </c>
      <c r="G1137" s="15" t="s">
        <v>2867</v>
      </c>
      <c r="H1137" s="69" t="s">
        <v>2685</v>
      </c>
      <c r="I1137" s="127">
        <v>89</v>
      </c>
      <c r="J1137" s="15" t="s">
        <v>2674</v>
      </c>
      <c r="K1137" s="15" t="s">
        <v>903</v>
      </c>
      <c r="L1137" s="15" t="s">
        <v>2673</v>
      </c>
      <c r="M1137" s="15" t="s">
        <v>2672</v>
      </c>
      <c r="N1137" s="15" t="s">
        <v>2673</v>
      </c>
      <c r="O1137" s="15"/>
    </row>
    <row r="1138" spans="1:15" ht="18" customHeight="1" x14ac:dyDescent="0.3">
      <c r="A1138" s="29">
        <v>1137</v>
      </c>
      <c r="B1138" s="15" t="s">
        <v>75</v>
      </c>
      <c r="C1138" s="15" t="s">
        <v>30</v>
      </c>
      <c r="D1138" s="69">
        <v>60</v>
      </c>
      <c r="E1138" s="68" t="s">
        <v>544</v>
      </c>
      <c r="F1138" s="21" t="s">
        <v>545</v>
      </c>
      <c r="G1138" s="15" t="s">
        <v>154</v>
      </c>
      <c r="H1138" s="15" t="s">
        <v>904</v>
      </c>
      <c r="I1138" s="69">
        <v>132</v>
      </c>
      <c r="J1138" s="13" t="s">
        <v>902</v>
      </c>
      <c r="K1138" s="15" t="s">
        <v>903</v>
      </c>
      <c r="L1138" s="15" t="s">
        <v>2673</v>
      </c>
      <c r="M1138" s="15" t="s">
        <v>2672</v>
      </c>
      <c r="N1138" s="15" t="s">
        <v>2673</v>
      </c>
      <c r="O1138" s="15"/>
    </row>
    <row r="1139" spans="1:15" ht="18" customHeight="1" x14ac:dyDescent="0.3">
      <c r="A1139" s="29">
        <v>1138</v>
      </c>
      <c r="B1139" s="15" t="s">
        <v>75</v>
      </c>
      <c r="C1139" s="15" t="s">
        <v>30</v>
      </c>
      <c r="D1139" s="69">
        <v>60</v>
      </c>
      <c r="E1139" s="68" t="s">
        <v>544</v>
      </c>
      <c r="F1139" s="21" t="s">
        <v>545</v>
      </c>
      <c r="G1139" s="15" t="s">
        <v>154</v>
      </c>
      <c r="H1139" s="15" t="s">
        <v>905</v>
      </c>
      <c r="I1139" s="69">
        <v>286</v>
      </c>
      <c r="J1139" s="13" t="s">
        <v>902</v>
      </c>
      <c r="K1139" s="15" t="s">
        <v>903</v>
      </c>
      <c r="L1139" s="15" t="s">
        <v>2673</v>
      </c>
      <c r="M1139" s="15" t="s">
        <v>2672</v>
      </c>
      <c r="N1139" s="15" t="s">
        <v>2673</v>
      </c>
      <c r="O1139" s="15"/>
    </row>
    <row r="1140" spans="1:15" ht="18" customHeight="1" x14ac:dyDescent="0.3">
      <c r="A1140" s="29">
        <v>1139</v>
      </c>
      <c r="B1140" s="15" t="s">
        <v>75</v>
      </c>
      <c r="C1140" s="15" t="s">
        <v>30</v>
      </c>
      <c r="D1140" s="69">
        <v>60</v>
      </c>
      <c r="E1140" s="68" t="s">
        <v>544</v>
      </c>
      <c r="F1140" s="21" t="s">
        <v>545</v>
      </c>
      <c r="G1140" s="15" t="s">
        <v>154</v>
      </c>
      <c r="H1140" s="15" t="s">
        <v>906</v>
      </c>
      <c r="I1140" s="69">
        <v>156</v>
      </c>
      <c r="J1140" s="13" t="s">
        <v>902</v>
      </c>
      <c r="K1140" s="15" t="s">
        <v>903</v>
      </c>
      <c r="L1140" s="15" t="s">
        <v>2673</v>
      </c>
      <c r="M1140" s="15" t="s">
        <v>2672</v>
      </c>
      <c r="N1140" s="15" t="s">
        <v>2673</v>
      </c>
      <c r="O1140" s="15"/>
    </row>
    <row r="1141" spans="1:15" ht="18" customHeight="1" x14ac:dyDescent="0.3">
      <c r="A1141" s="29">
        <v>1140</v>
      </c>
      <c r="B1141" s="15" t="s">
        <v>75</v>
      </c>
      <c r="C1141" s="15" t="s">
        <v>30</v>
      </c>
      <c r="D1141" s="69">
        <v>60</v>
      </c>
      <c r="E1141" s="68" t="s">
        <v>544</v>
      </c>
      <c r="F1141" s="21" t="s">
        <v>545</v>
      </c>
      <c r="G1141" s="15" t="s">
        <v>154</v>
      </c>
      <c r="H1141" s="15" t="s">
        <v>907</v>
      </c>
      <c r="I1141" s="69">
        <v>156</v>
      </c>
      <c r="J1141" s="13" t="s">
        <v>2672</v>
      </c>
      <c r="K1141" s="15" t="s">
        <v>903</v>
      </c>
      <c r="L1141" s="15" t="s">
        <v>2673</v>
      </c>
      <c r="M1141" s="15" t="s">
        <v>2672</v>
      </c>
      <c r="N1141" s="15" t="s">
        <v>2673</v>
      </c>
      <c r="O1141" s="15"/>
    </row>
    <row r="1142" spans="1:15" ht="18" customHeight="1" x14ac:dyDescent="0.3">
      <c r="A1142" s="29">
        <v>1141</v>
      </c>
      <c r="B1142" s="15" t="s">
        <v>75</v>
      </c>
      <c r="C1142" s="15" t="s">
        <v>30</v>
      </c>
      <c r="D1142" s="69">
        <v>60</v>
      </c>
      <c r="E1142" s="68" t="s">
        <v>544</v>
      </c>
      <c r="F1142" s="21" t="s">
        <v>545</v>
      </c>
      <c r="G1142" s="15" t="s">
        <v>154</v>
      </c>
      <c r="H1142" s="15" t="s">
        <v>908</v>
      </c>
      <c r="I1142" s="69">
        <v>264</v>
      </c>
      <c r="J1142" s="13" t="s">
        <v>2672</v>
      </c>
      <c r="K1142" s="15" t="s">
        <v>903</v>
      </c>
      <c r="L1142" s="15" t="s">
        <v>2673</v>
      </c>
      <c r="M1142" s="15" t="s">
        <v>2672</v>
      </c>
      <c r="N1142" s="15" t="s">
        <v>2673</v>
      </c>
      <c r="O1142" s="15"/>
    </row>
    <row r="1143" spans="1:15" ht="18" customHeight="1" x14ac:dyDescent="0.3">
      <c r="A1143" s="29">
        <v>1142</v>
      </c>
      <c r="B1143" s="15" t="s">
        <v>75</v>
      </c>
      <c r="C1143" s="15" t="s">
        <v>30</v>
      </c>
      <c r="D1143" s="69">
        <v>60</v>
      </c>
      <c r="E1143" s="68" t="s">
        <v>1262</v>
      </c>
      <c r="F1143" s="21" t="s">
        <v>1205</v>
      </c>
      <c r="G1143" s="15" t="s">
        <v>154</v>
      </c>
      <c r="H1143" s="15" t="s">
        <v>1254</v>
      </c>
      <c r="I1143" s="69">
        <v>30</v>
      </c>
      <c r="J1143" s="13" t="s">
        <v>2672</v>
      </c>
      <c r="K1143" s="15" t="s">
        <v>902</v>
      </c>
      <c r="L1143" s="15" t="s">
        <v>2692</v>
      </c>
      <c r="M1143" s="15" t="s">
        <v>2672</v>
      </c>
      <c r="N1143" s="15" t="s">
        <v>2673</v>
      </c>
      <c r="O1143" s="15"/>
    </row>
    <row r="1144" spans="1:15" ht="18" customHeight="1" x14ac:dyDescent="0.3">
      <c r="A1144" s="29">
        <v>1143</v>
      </c>
      <c r="B1144" s="15" t="s">
        <v>75</v>
      </c>
      <c r="C1144" s="15" t="s">
        <v>30</v>
      </c>
      <c r="D1144" s="69">
        <v>60</v>
      </c>
      <c r="E1144" s="68" t="s">
        <v>1014</v>
      </c>
      <c r="F1144" s="21" t="s">
        <v>1807</v>
      </c>
      <c r="G1144" s="15" t="s">
        <v>2673</v>
      </c>
      <c r="H1144" s="15" t="s">
        <v>901</v>
      </c>
      <c r="I1144" s="69">
        <v>105</v>
      </c>
      <c r="J1144" s="15" t="s">
        <v>2672</v>
      </c>
      <c r="K1144" s="15" t="s">
        <v>903</v>
      </c>
      <c r="L1144" s="15" t="s">
        <v>2673</v>
      </c>
      <c r="M1144" s="15" t="s">
        <v>2674</v>
      </c>
      <c r="N1144" s="15" t="s">
        <v>1508</v>
      </c>
      <c r="O1144" s="15"/>
    </row>
    <row r="1145" spans="1:15" ht="18" customHeight="1" x14ac:dyDescent="0.3">
      <c r="A1145" s="29">
        <v>1144</v>
      </c>
      <c r="B1145" s="15" t="s">
        <v>2868</v>
      </c>
      <c r="C1145" s="15" t="s">
        <v>1856</v>
      </c>
      <c r="D1145" s="69">
        <v>60</v>
      </c>
      <c r="E1145" s="68" t="s">
        <v>3298</v>
      </c>
      <c r="F1145" s="51" t="s">
        <v>2869</v>
      </c>
      <c r="G1145" s="15" t="s">
        <v>1538</v>
      </c>
      <c r="H1145" s="15" t="s">
        <v>2685</v>
      </c>
      <c r="I1145" s="69">
        <v>134</v>
      </c>
      <c r="J1145" s="15" t="s">
        <v>2672</v>
      </c>
      <c r="K1145" s="15" t="s">
        <v>903</v>
      </c>
      <c r="L1145" s="15" t="s">
        <v>2673</v>
      </c>
      <c r="M1145" s="15" t="s">
        <v>2672</v>
      </c>
      <c r="N1145" s="15" t="s">
        <v>2673</v>
      </c>
      <c r="O1145" s="15"/>
    </row>
    <row r="1146" spans="1:15" ht="18" customHeight="1" x14ac:dyDescent="0.3">
      <c r="A1146" s="29">
        <v>1145</v>
      </c>
      <c r="B1146" s="15" t="s">
        <v>2868</v>
      </c>
      <c r="C1146" s="15" t="s">
        <v>1856</v>
      </c>
      <c r="D1146" s="69">
        <v>60</v>
      </c>
      <c r="E1146" s="68" t="s">
        <v>3298</v>
      </c>
      <c r="F1146" s="51" t="s">
        <v>2869</v>
      </c>
      <c r="G1146" s="15" t="s">
        <v>1538</v>
      </c>
      <c r="H1146" s="15" t="s">
        <v>2678</v>
      </c>
      <c r="I1146" s="69">
        <v>72</v>
      </c>
      <c r="J1146" s="15" t="s">
        <v>2674</v>
      </c>
      <c r="K1146" s="15" t="s">
        <v>903</v>
      </c>
      <c r="L1146" s="15" t="s">
        <v>2673</v>
      </c>
      <c r="M1146" s="15" t="s">
        <v>2672</v>
      </c>
      <c r="N1146" s="15" t="s">
        <v>2673</v>
      </c>
      <c r="O1146" s="15"/>
    </row>
    <row r="1147" spans="1:15" ht="18" customHeight="1" x14ac:dyDescent="0.3">
      <c r="A1147" s="29">
        <v>1146</v>
      </c>
      <c r="B1147" s="15" t="s">
        <v>2868</v>
      </c>
      <c r="C1147" s="15" t="s">
        <v>1856</v>
      </c>
      <c r="D1147" s="69">
        <v>60</v>
      </c>
      <c r="E1147" s="68" t="s">
        <v>3298</v>
      </c>
      <c r="F1147" s="51" t="s">
        <v>2869</v>
      </c>
      <c r="G1147" s="15" t="s">
        <v>1538</v>
      </c>
      <c r="H1147" s="15" t="s">
        <v>2679</v>
      </c>
      <c r="I1147" s="69">
        <v>72</v>
      </c>
      <c r="J1147" s="15" t="s">
        <v>2672</v>
      </c>
      <c r="K1147" s="15" t="s">
        <v>903</v>
      </c>
      <c r="L1147" s="15" t="s">
        <v>2673</v>
      </c>
      <c r="M1147" s="15" t="s">
        <v>2672</v>
      </c>
      <c r="N1147" s="15" t="s">
        <v>2673</v>
      </c>
      <c r="O1147" s="15"/>
    </row>
    <row r="1148" spans="1:15" ht="18" customHeight="1" x14ac:dyDescent="0.3">
      <c r="A1148" s="29">
        <v>1147</v>
      </c>
      <c r="B1148" s="15" t="s">
        <v>2868</v>
      </c>
      <c r="C1148" s="15" t="s">
        <v>1856</v>
      </c>
      <c r="D1148" s="69">
        <v>60</v>
      </c>
      <c r="E1148" s="68" t="s">
        <v>3298</v>
      </c>
      <c r="F1148" s="51" t="s">
        <v>2869</v>
      </c>
      <c r="G1148" s="15" t="s">
        <v>1538</v>
      </c>
      <c r="H1148" s="15" t="s">
        <v>2680</v>
      </c>
      <c r="I1148" s="69">
        <v>66</v>
      </c>
      <c r="J1148" s="15" t="s">
        <v>2672</v>
      </c>
      <c r="K1148" s="15" t="s">
        <v>903</v>
      </c>
      <c r="L1148" s="15" t="s">
        <v>2673</v>
      </c>
      <c r="M1148" s="15" t="s">
        <v>2672</v>
      </c>
      <c r="N1148" s="15" t="s">
        <v>2673</v>
      </c>
      <c r="O1148" s="15"/>
    </row>
    <row r="1149" spans="1:15" ht="18" customHeight="1" x14ac:dyDescent="0.3">
      <c r="A1149" s="29">
        <v>1148</v>
      </c>
      <c r="B1149" s="15" t="s">
        <v>2868</v>
      </c>
      <c r="C1149" s="15" t="s">
        <v>1856</v>
      </c>
      <c r="D1149" s="69">
        <v>60</v>
      </c>
      <c r="E1149" s="68" t="s">
        <v>3298</v>
      </c>
      <c r="F1149" s="51" t="s">
        <v>2869</v>
      </c>
      <c r="G1149" s="15" t="s">
        <v>1538</v>
      </c>
      <c r="H1149" s="15" t="s">
        <v>2690</v>
      </c>
      <c r="I1149" s="69">
        <v>81</v>
      </c>
      <c r="J1149" s="15" t="s">
        <v>2672</v>
      </c>
      <c r="K1149" s="15" t="s">
        <v>903</v>
      </c>
      <c r="L1149" s="15" t="s">
        <v>2673</v>
      </c>
      <c r="M1149" s="15" t="s">
        <v>2672</v>
      </c>
      <c r="N1149" s="15" t="s">
        <v>2673</v>
      </c>
      <c r="O1149" s="15"/>
    </row>
    <row r="1150" spans="1:15" ht="18" customHeight="1" x14ac:dyDescent="0.3">
      <c r="A1150" s="29">
        <v>1149</v>
      </c>
      <c r="B1150" s="15" t="s">
        <v>2868</v>
      </c>
      <c r="C1150" s="15" t="s">
        <v>1856</v>
      </c>
      <c r="D1150" s="69">
        <v>60</v>
      </c>
      <c r="E1150" s="68" t="s">
        <v>3298</v>
      </c>
      <c r="F1150" s="51" t="s">
        <v>2869</v>
      </c>
      <c r="G1150" s="15" t="s">
        <v>1538</v>
      </c>
      <c r="H1150" s="15" t="s">
        <v>2682</v>
      </c>
      <c r="I1150" s="69">
        <v>72</v>
      </c>
      <c r="J1150" s="15" t="s">
        <v>2672</v>
      </c>
      <c r="K1150" s="15" t="s">
        <v>903</v>
      </c>
      <c r="L1150" s="15" t="s">
        <v>2673</v>
      </c>
      <c r="M1150" s="15" t="s">
        <v>2672</v>
      </c>
      <c r="N1150" s="15" t="s">
        <v>2673</v>
      </c>
      <c r="O1150" s="15"/>
    </row>
    <row r="1151" spans="1:15" ht="18" customHeight="1" x14ac:dyDescent="0.3">
      <c r="A1151" s="29">
        <v>1150</v>
      </c>
      <c r="B1151" s="15" t="s">
        <v>2868</v>
      </c>
      <c r="C1151" s="15" t="s">
        <v>1856</v>
      </c>
      <c r="D1151" s="69">
        <v>60</v>
      </c>
      <c r="E1151" s="68" t="s">
        <v>3298</v>
      </c>
      <c r="F1151" s="51" t="s">
        <v>2869</v>
      </c>
      <c r="G1151" s="15" t="s">
        <v>1538</v>
      </c>
      <c r="H1151" s="15" t="s">
        <v>2732</v>
      </c>
      <c r="I1151" s="69">
        <v>72</v>
      </c>
      <c r="J1151" s="15" t="s">
        <v>2672</v>
      </c>
      <c r="K1151" s="15" t="s">
        <v>903</v>
      </c>
      <c r="L1151" s="15" t="s">
        <v>2673</v>
      </c>
      <c r="M1151" s="15" t="s">
        <v>2672</v>
      </c>
      <c r="N1151" s="15" t="s">
        <v>2673</v>
      </c>
      <c r="O1151" s="15"/>
    </row>
    <row r="1152" spans="1:15" ht="18" customHeight="1" x14ac:dyDescent="0.3">
      <c r="A1152" s="29">
        <v>1151</v>
      </c>
      <c r="B1152" s="15" t="s">
        <v>2868</v>
      </c>
      <c r="C1152" s="15" t="s">
        <v>1856</v>
      </c>
      <c r="D1152" s="69">
        <v>60</v>
      </c>
      <c r="E1152" s="68" t="s">
        <v>3298</v>
      </c>
      <c r="F1152" s="51" t="s">
        <v>2869</v>
      </c>
      <c r="G1152" s="15" t="s">
        <v>1538</v>
      </c>
      <c r="H1152" s="15" t="s">
        <v>2870</v>
      </c>
      <c r="I1152" s="69">
        <v>66</v>
      </c>
      <c r="J1152" s="15" t="s">
        <v>2672</v>
      </c>
      <c r="K1152" s="15" t="s">
        <v>2674</v>
      </c>
      <c r="L1152" s="15" t="s">
        <v>2727</v>
      </c>
      <c r="M1152" s="15" t="s">
        <v>2672</v>
      </c>
      <c r="N1152" s="15" t="s">
        <v>2673</v>
      </c>
      <c r="O1152" s="15"/>
    </row>
    <row r="1153" spans="1:15" ht="18" customHeight="1" x14ac:dyDescent="0.3">
      <c r="A1153" s="29">
        <v>1152</v>
      </c>
      <c r="B1153" s="15" t="s">
        <v>2868</v>
      </c>
      <c r="C1153" s="15" t="s">
        <v>1856</v>
      </c>
      <c r="D1153" s="69">
        <v>60</v>
      </c>
      <c r="E1153" s="68" t="s">
        <v>3298</v>
      </c>
      <c r="F1153" s="51" t="s">
        <v>2869</v>
      </c>
      <c r="G1153" s="15" t="s">
        <v>1538</v>
      </c>
      <c r="H1153" s="15" t="s">
        <v>2824</v>
      </c>
      <c r="I1153" s="69">
        <v>320</v>
      </c>
      <c r="J1153" s="15" t="s">
        <v>2674</v>
      </c>
      <c r="K1153" s="15" t="s">
        <v>2672</v>
      </c>
      <c r="L1153" s="15" t="s">
        <v>2673</v>
      </c>
      <c r="M1153" s="15" t="s">
        <v>2672</v>
      </c>
      <c r="N1153" s="15" t="s">
        <v>2673</v>
      </c>
      <c r="O1153" s="15"/>
    </row>
    <row r="1154" spans="1:15" ht="18" customHeight="1" x14ac:dyDescent="0.3">
      <c r="A1154" s="29">
        <v>1153</v>
      </c>
      <c r="B1154" s="15" t="s">
        <v>75</v>
      </c>
      <c r="C1154" s="15" t="s">
        <v>30</v>
      </c>
      <c r="D1154" s="69">
        <v>60</v>
      </c>
      <c r="E1154" s="68" t="s">
        <v>3299</v>
      </c>
      <c r="F1154" s="16" t="s">
        <v>542</v>
      </c>
      <c r="G1154" s="15" t="s">
        <v>164</v>
      </c>
      <c r="H1154" s="15" t="s">
        <v>901</v>
      </c>
      <c r="I1154" s="69">
        <v>234</v>
      </c>
      <c r="J1154" s="15" t="s">
        <v>2672</v>
      </c>
      <c r="K1154" s="15" t="s">
        <v>903</v>
      </c>
      <c r="L1154" s="15" t="s">
        <v>2673</v>
      </c>
      <c r="M1154" s="15" t="s">
        <v>2672</v>
      </c>
      <c r="N1154" s="15" t="s">
        <v>2673</v>
      </c>
      <c r="O1154" s="15"/>
    </row>
    <row r="1155" spans="1:15" ht="18" customHeight="1" x14ac:dyDescent="0.3">
      <c r="A1155" s="29">
        <v>1154</v>
      </c>
      <c r="B1155" s="15" t="s">
        <v>75</v>
      </c>
      <c r="C1155" s="15" t="s">
        <v>30</v>
      </c>
      <c r="D1155" s="69">
        <v>60</v>
      </c>
      <c r="E1155" s="68" t="s">
        <v>3299</v>
      </c>
      <c r="F1155" s="16" t="s">
        <v>542</v>
      </c>
      <c r="G1155" s="15" t="s">
        <v>164</v>
      </c>
      <c r="H1155" s="15" t="s">
        <v>904</v>
      </c>
      <c r="I1155" s="69">
        <v>135</v>
      </c>
      <c r="J1155" s="15" t="s">
        <v>2672</v>
      </c>
      <c r="K1155" s="15" t="s">
        <v>903</v>
      </c>
      <c r="L1155" s="15" t="s">
        <v>2673</v>
      </c>
      <c r="M1155" s="15" t="s">
        <v>2672</v>
      </c>
      <c r="N1155" s="15" t="s">
        <v>2673</v>
      </c>
      <c r="O1155" s="15"/>
    </row>
    <row r="1156" spans="1:15" ht="18" customHeight="1" x14ac:dyDescent="0.3">
      <c r="A1156" s="29">
        <v>1155</v>
      </c>
      <c r="B1156" s="15" t="s">
        <v>75</v>
      </c>
      <c r="C1156" s="15" t="s">
        <v>30</v>
      </c>
      <c r="D1156" s="69">
        <v>60</v>
      </c>
      <c r="E1156" s="68" t="s">
        <v>3299</v>
      </c>
      <c r="F1156" s="16" t="s">
        <v>542</v>
      </c>
      <c r="G1156" s="15" t="s">
        <v>164</v>
      </c>
      <c r="H1156" s="15" t="s">
        <v>905</v>
      </c>
      <c r="I1156" s="69">
        <v>103</v>
      </c>
      <c r="J1156" s="15" t="s">
        <v>2672</v>
      </c>
      <c r="K1156" s="15" t="s">
        <v>903</v>
      </c>
      <c r="L1156" s="15" t="s">
        <v>2673</v>
      </c>
      <c r="M1156" s="15" t="s">
        <v>2672</v>
      </c>
      <c r="N1156" s="15" t="s">
        <v>2673</v>
      </c>
      <c r="O1156" s="15"/>
    </row>
    <row r="1157" spans="1:15" ht="18" customHeight="1" x14ac:dyDescent="0.3">
      <c r="A1157" s="29">
        <v>1156</v>
      </c>
      <c r="B1157" s="15" t="s">
        <v>75</v>
      </c>
      <c r="C1157" s="15" t="s">
        <v>30</v>
      </c>
      <c r="D1157" s="69">
        <v>60</v>
      </c>
      <c r="E1157" s="68" t="s">
        <v>3299</v>
      </c>
      <c r="F1157" s="16" t="s">
        <v>542</v>
      </c>
      <c r="G1157" s="15" t="s">
        <v>164</v>
      </c>
      <c r="H1157" s="15" t="s">
        <v>906</v>
      </c>
      <c r="I1157" s="69">
        <v>113</v>
      </c>
      <c r="J1157" s="15" t="s">
        <v>2672</v>
      </c>
      <c r="K1157" s="15" t="s">
        <v>903</v>
      </c>
      <c r="L1157" s="15" t="s">
        <v>2673</v>
      </c>
      <c r="M1157" s="15" t="s">
        <v>2672</v>
      </c>
      <c r="N1157" s="15" t="s">
        <v>2673</v>
      </c>
      <c r="O1157" s="15"/>
    </row>
    <row r="1158" spans="1:15" ht="18" customHeight="1" x14ac:dyDescent="0.3">
      <c r="A1158" s="29">
        <v>1157</v>
      </c>
      <c r="B1158" s="15" t="s">
        <v>75</v>
      </c>
      <c r="C1158" s="15" t="s">
        <v>30</v>
      </c>
      <c r="D1158" s="69">
        <v>60</v>
      </c>
      <c r="E1158" s="68" t="s">
        <v>3299</v>
      </c>
      <c r="F1158" s="16" t="s">
        <v>542</v>
      </c>
      <c r="G1158" s="15" t="s">
        <v>164</v>
      </c>
      <c r="H1158" s="15" t="s">
        <v>907</v>
      </c>
      <c r="I1158" s="69">
        <v>134</v>
      </c>
      <c r="J1158" s="15" t="s">
        <v>2672</v>
      </c>
      <c r="K1158" s="15" t="s">
        <v>903</v>
      </c>
      <c r="L1158" s="15" t="s">
        <v>2673</v>
      </c>
      <c r="M1158" s="15" t="s">
        <v>2672</v>
      </c>
      <c r="N1158" s="15" t="s">
        <v>2673</v>
      </c>
      <c r="O1158" s="15"/>
    </row>
    <row r="1159" spans="1:15" ht="18" customHeight="1" x14ac:dyDescent="0.3">
      <c r="A1159" s="29">
        <v>1158</v>
      </c>
      <c r="B1159" s="15" t="s">
        <v>75</v>
      </c>
      <c r="C1159" s="15" t="s">
        <v>30</v>
      </c>
      <c r="D1159" s="69">
        <v>60</v>
      </c>
      <c r="E1159" s="68" t="s">
        <v>222</v>
      </c>
      <c r="F1159" s="21" t="s">
        <v>1814</v>
      </c>
      <c r="G1159" s="15" t="s">
        <v>2673</v>
      </c>
      <c r="H1159" s="15" t="s">
        <v>901</v>
      </c>
      <c r="I1159" s="69">
        <v>856</v>
      </c>
      <c r="J1159" s="15" t="s">
        <v>2672</v>
      </c>
      <c r="K1159" s="15" t="s">
        <v>903</v>
      </c>
      <c r="L1159" s="15" t="s">
        <v>2673</v>
      </c>
      <c r="M1159" s="15" t="s">
        <v>2674</v>
      </c>
      <c r="N1159" s="15" t="s">
        <v>1508</v>
      </c>
      <c r="O1159" s="15"/>
    </row>
    <row r="1160" spans="1:15" ht="18" customHeight="1" x14ac:dyDescent="0.3">
      <c r="A1160" s="29">
        <v>1159</v>
      </c>
      <c r="B1160" s="15" t="s">
        <v>75</v>
      </c>
      <c r="C1160" s="15" t="s">
        <v>30</v>
      </c>
      <c r="D1160" s="69">
        <v>60</v>
      </c>
      <c r="E1160" s="68" t="s">
        <v>958</v>
      </c>
      <c r="F1160" s="21" t="s">
        <v>1113</v>
      </c>
      <c r="G1160" s="15" t="s">
        <v>164</v>
      </c>
      <c r="H1160" s="15" t="s">
        <v>905</v>
      </c>
      <c r="I1160" s="69">
        <v>42</v>
      </c>
      <c r="J1160" s="13" t="s">
        <v>2674</v>
      </c>
      <c r="K1160" s="15" t="s">
        <v>903</v>
      </c>
      <c r="L1160" s="15" t="s">
        <v>2673</v>
      </c>
      <c r="M1160" s="15" t="s">
        <v>2672</v>
      </c>
      <c r="N1160" s="15" t="s">
        <v>2673</v>
      </c>
      <c r="O1160" s="15"/>
    </row>
    <row r="1161" spans="1:15" ht="18" customHeight="1" x14ac:dyDescent="0.3">
      <c r="A1161" s="29">
        <v>1160</v>
      </c>
      <c r="B1161" s="15" t="s">
        <v>75</v>
      </c>
      <c r="C1161" s="15" t="s">
        <v>30</v>
      </c>
      <c r="D1161" s="69">
        <v>60</v>
      </c>
      <c r="E1161" s="68" t="s">
        <v>958</v>
      </c>
      <c r="F1161" s="21" t="s">
        <v>1113</v>
      </c>
      <c r="G1161" s="15" t="s">
        <v>164</v>
      </c>
      <c r="H1161" s="15" t="s">
        <v>2680</v>
      </c>
      <c r="I1161" s="69">
        <v>84</v>
      </c>
      <c r="J1161" s="13" t="s">
        <v>2672</v>
      </c>
      <c r="K1161" s="15" t="s">
        <v>903</v>
      </c>
      <c r="L1161" s="15" t="s">
        <v>2673</v>
      </c>
      <c r="M1161" s="15" t="s">
        <v>2672</v>
      </c>
      <c r="N1161" s="15" t="s">
        <v>2673</v>
      </c>
      <c r="O1161" s="15"/>
    </row>
    <row r="1162" spans="1:15" ht="18" customHeight="1" x14ac:dyDescent="0.3">
      <c r="A1162" s="29">
        <v>1161</v>
      </c>
      <c r="B1162" s="15" t="s">
        <v>75</v>
      </c>
      <c r="C1162" s="15" t="s">
        <v>30</v>
      </c>
      <c r="D1162" s="69">
        <v>60</v>
      </c>
      <c r="E1162" s="68" t="s">
        <v>958</v>
      </c>
      <c r="F1162" s="21" t="s">
        <v>1113</v>
      </c>
      <c r="G1162" s="15" t="s">
        <v>164</v>
      </c>
      <c r="H1162" s="15" t="s">
        <v>2690</v>
      </c>
      <c r="I1162" s="69">
        <v>67</v>
      </c>
      <c r="J1162" s="13" t="s">
        <v>2674</v>
      </c>
      <c r="K1162" s="15" t="s">
        <v>903</v>
      </c>
      <c r="L1162" s="15" t="s">
        <v>2673</v>
      </c>
      <c r="M1162" s="15" t="s">
        <v>2672</v>
      </c>
      <c r="N1162" s="15" t="s">
        <v>2673</v>
      </c>
      <c r="O1162" s="15"/>
    </row>
    <row r="1163" spans="1:15" ht="18" customHeight="1" x14ac:dyDescent="0.3">
      <c r="A1163" s="29">
        <v>1162</v>
      </c>
      <c r="B1163" s="15" t="s">
        <v>75</v>
      </c>
      <c r="C1163" s="15" t="s">
        <v>30</v>
      </c>
      <c r="D1163" s="69">
        <v>60</v>
      </c>
      <c r="E1163" s="68" t="s">
        <v>958</v>
      </c>
      <c r="F1163" s="21" t="s">
        <v>1113</v>
      </c>
      <c r="G1163" s="15" t="s">
        <v>164</v>
      </c>
      <c r="H1163" s="15" t="s">
        <v>2682</v>
      </c>
      <c r="I1163" s="69">
        <v>145</v>
      </c>
      <c r="J1163" s="13" t="s">
        <v>2674</v>
      </c>
      <c r="K1163" s="15" t="s">
        <v>903</v>
      </c>
      <c r="L1163" s="15" t="s">
        <v>2673</v>
      </c>
      <c r="M1163" s="15" t="s">
        <v>2672</v>
      </c>
      <c r="N1163" s="15" t="s">
        <v>2673</v>
      </c>
      <c r="O1163" s="15"/>
    </row>
    <row r="1164" spans="1:15" ht="18" customHeight="1" x14ac:dyDescent="0.3">
      <c r="A1164" s="29">
        <v>1163</v>
      </c>
      <c r="B1164" s="15" t="s">
        <v>75</v>
      </c>
      <c r="C1164" s="15" t="s">
        <v>30</v>
      </c>
      <c r="D1164" s="69">
        <v>60</v>
      </c>
      <c r="E1164" s="68" t="s">
        <v>958</v>
      </c>
      <c r="F1164" s="21" t="s">
        <v>1113</v>
      </c>
      <c r="G1164" s="15" t="s">
        <v>164</v>
      </c>
      <c r="H1164" s="15" t="s">
        <v>911</v>
      </c>
      <c r="I1164" s="69">
        <v>43</v>
      </c>
      <c r="J1164" s="13" t="s">
        <v>2674</v>
      </c>
      <c r="K1164" s="15" t="s">
        <v>903</v>
      </c>
      <c r="L1164" s="15" t="s">
        <v>2673</v>
      </c>
      <c r="M1164" s="15" t="s">
        <v>2672</v>
      </c>
      <c r="N1164" s="15" t="s">
        <v>2673</v>
      </c>
      <c r="O1164" s="15"/>
    </row>
    <row r="1165" spans="1:15" ht="18" customHeight="1" x14ac:dyDescent="0.3">
      <c r="A1165" s="29">
        <v>1164</v>
      </c>
      <c r="B1165" s="15" t="s">
        <v>75</v>
      </c>
      <c r="C1165" s="15" t="s">
        <v>30</v>
      </c>
      <c r="D1165" s="69">
        <v>60</v>
      </c>
      <c r="E1165" s="68" t="s">
        <v>958</v>
      </c>
      <c r="F1165" s="21" t="s">
        <v>547</v>
      </c>
      <c r="G1165" s="15" t="s">
        <v>164</v>
      </c>
      <c r="H1165" s="15" t="s">
        <v>2685</v>
      </c>
      <c r="I1165" s="69">
        <v>190</v>
      </c>
      <c r="J1165" s="13" t="s">
        <v>2674</v>
      </c>
      <c r="K1165" s="15" t="s">
        <v>903</v>
      </c>
      <c r="L1165" s="15" t="s">
        <v>2673</v>
      </c>
      <c r="M1165" s="15" t="s">
        <v>2672</v>
      </c>
      <c r="N1165" s="15" t="s">
        <v>2673</v>
      </c>
      <c r="O1165" s="15"/>
    </row>
    <row r="1166" spans="1:15" ht="18" customHeight="1" x14ac:dyDescent="0.3">
      <c r="A1166" s="29">
        <v>1165</v>
      </c>
      <c r="B1166" s="15" t="s">
        <v>75</v>
      </c>
      <c r="C1166" s="15" t="s">
        <v>30</v>
      </c>
      <c r="D1166" s="69">
        <v>60</v>
      </c>
      <c r="E1166" s="68" t="s">
        <v>958</v>
      </c>
      <c r="F1166" s="21" t="s">
        <v>547</v>
      </c>
      <c r="G1166" s="15" t="s">
        <v>164</v>
      </c>
      <c r="H1166" s="15" t="s">
        <v>2678</v>
      </c>
      <c r="I1166" s="69">
        <v>74</v>
      </c>
      <c r="J1166" s="13" t="s">
        <v>2674</v>
      </c>
      <c r="K1166" s="15" t="s">
        <v>903</v>
      </c>
      <c r="L1166" s="15" t="s">
        <v>2673</v>
      </c>
      <c r="M1166" s="15" t="s">
        <v>2672</v>
      </c>
      <c r="N1166" s="15" t="s">
        <v>2673</v>
      </c>
      <c r="O1166" s="15"/>
    </row>
    <row r="1167" spans="1:15" ht="18" customHeight="1" x14ac:dyDescent="0.3">
      <c r="A1167" s="29">
        <v>1166</v>
      </c>
      <c r="B1167" s="15" t="s">
        <v>75</v>
      </c>
      <c r="C1167" s="15" t="s">
        <v>30</v>
      </c>
      <c r="D1167" s="69">
        <v>60</v>
      </c>
      <c r="E1167" s="68" t="s">
        <v>958</v>
      </c>
      <c r="F1167" s="21" t="s">
        <v>1206</v>
      </c>
      <c r="G1167" s="15" t="s">
        <v>164</v>
      </c>
      <c r="H1167" s="15" t="s">
        <v>909</v>
      </c>
      <c r="I1167" s="69">
        <v>24</v>
      </c>
      <c r="J1167" s="13" t="s">
        <v>2674</v>
      </c>
      <c r="K1167" s="15" t="s">
        <v>2674</v>
      </c>
      <c r="L1167" s="15" t="s">
        <v>2830</v>
      </c>
      <c r="M1167" s="15" t="s">
        <v>2672</v>
      </c>
      <c r="N1167" s="15" t="s">
        <v>2673</v>
      </c>
      <c r="O1167" s="14"/>
    </row>
    <row r="1168" spans="1:15" ht="18" customHeight="1" x14ac:dyDescent="0.3">
      <c r="A1168" s="29">
        <v>1167</v>
      </c>
      <c r="B1168" s="15" t="s">
        <v>75</v>
      </c>
      <c r="C1168" s="15" t="s">
        <v>30</v>
      </c>
      <c r="D1168" s="69">
        <v>60</v>
      </c>
      <c r="E1168" s="68" t="s">
        <v>958</v>
      </c>
      <c r="F1168" s="21" t="s">
        <v>1206</v>
      </c>
      <c r="G1168" s="15" t="s">
        <v>164</v>
      </c>
      <c r="H1168" s="15" t="s">
        <v>910</v>
      </c>
      <c r="I1168" s="69">
        <v>24</v>
      </c>
      <c r="J1168" s="13" t="s">
        <v>2674</v>
      </c>
      <c r="K1168" s="15" t="s">
        <v>2674</v>
      </c>
      <c r="L1168" s="15" t="s">
        <v>2830</v>
      </c>
      <c r="M1168" s="15" t="s">
        <v>2672</v>
      </c>
      <c r="N1168" s="15" t="s">
        <v>2673</v>
      </c>
      <c r="O1168" s="14"/>
    </row>
    <row r="1169" spans="1:15" ht="18" customHeight="1" x14ac:dyDescent="0.3">
      <c r="A1169" s="29">
        <v>1168</v>
      </c>
      <c r="B1169" s="15" t="s">
        <v>75</v>
      </c>
      <c r="C1169" s="15" t="s">
        <v>29</v>
      </c>
      <c r="D1169" s="69">
        <v>61</v>
      </c>
      <c r="E1169" s="68" t="s">
        <v>3300</v>
      </c>
      <c r="F1169" s="24" t="s">
        <v>551</v>
      </c>
      <c r="G1169" s="15" t="s">
        <v>154</v>
      </c>
      <c r="H1169" s="15" t="s">
        <v>901</v>
      </c>
      <c r="I1169" s="69">
        <v>194</v>
      </c>
      <c r="J1169" s="15" t="s">
        <v>2672</v>
      </c>
      <c r="K1169" s="15" t="s">
        <v>903</v>
      </c>
      <c r="L1169" s="15" t="s">
        <v>2673</v>
      </c>
      <c r="M1169" s="15" t="s">
        <v>2672</v>
      </c>
      <c r="N1169" s="15" t="s">
        <v>2673</v>
      </c>
      <c r="O1169" s="15"/>
    </row>
    <row r="1170" spans="1:15" ht="18" customHeight="1" x14ac:dyDescent="0.3">
      <c r="A1170" s="29">
        <v>1169</v>
      </c>
      <c r="B1170" s="15" t="s">
        <v>75</v>
      </c>
      <c r="C1170" s="15" t="s">
        <v>29</v>
      </c>
      <c r="D1170" s="69">
        <v>61</v>
      </c>
      <c r="E1170" s="68" t="s">
        <v>3300</v>
      </c>
      <c r="F1170" s="24" t="s">
        <v>551</v>
      </c>
      <c r="G1170" s="15" t="s">
        <v>154</v>
      </c>
      <c r="H1170" s="15" t="s">
        <v>904</v>
      </c>
      <c r="I1170" s="69">
        <v>208</v>
      </c>
      <c r="J1170" s="15" t="s">
        <v>2672</v>
      </c>
      <c r="K1170" s="15" t="s">
        <v>903</v>
      </c>
      <c r="L1170" s="15" t="s">
        <v>2673</v>
      </c>
      <c r="M1170" s="15" t="s">
        <v>2672</v>
      </c>
      <c r="N1170" s="15" t="s">
        <v>2673</v>
      </c>
      <c r="O1170" s="15"/>
    </row>
    <row r="1171" spans="1:15" ht="18" customHeight="1" x14ac:dyDescent="0.3">
      <c r="A1171" s="29">
        <v>1170</v>
      </c>
      <c r="B1171" s="15" t="s">
        <v>75</v>
      </c>
      <c r="C1171" s="15" t="s">
        <v>29</v>
      </c>
      <c r="D1171" s="69">
        <v>61</v>
      </c>
      <c r="E1171" s="68" t="s">
        <v>3300</v>
      </c>
      <c r="F1171" s="24" t="s">
        <v>551</v>
      </c>
      <c r="G1171" s="15" t="s">
        <v>154</v>
      </c>
      <c r="H1171" s="15" t="s">
        <v>907</v>
      </c>
      <c r="I1171" s="69">
        <v>117</v>
      </c>
      <c r="J1171" s="15" t="s">
        <v>2672</v>
      </c>
      <c r="K1171" s="15" t="s">
        <v>903</v>
      </c>
      <c r="L1171" s="15" t="s">
        <v>2673</v>
      </c>
      <c r="M1171" s="15" t="s">
        <v>2674</v>
      </c>
      <c r="N1171" s="15" t="s">
        <v>1530</v>
      </c>
      <c r="O1171" s="15"/>
    </row>
    <row r="1172" spans="1:15" ht="18" customHeight="1" x14ac:dyDescent="0.3">
      <c r="A1172" s="29">
        <v>1171</v>
      </c>
      <c r="B1172" s="15" t="s">
        <v>75</v>
      </c>
      <c r="C1172" s="15" t="s">
        <v>29</v>
      </c>
      <c r="D1172" s="69">
        <v>61</v>
      </c>
      <c r="E1172" s="68" t="s">
        <v>3300</v>
      </c>
      <c r="F1172" s="24" t="s">
        <v>551</v>
      </c>
      <c r="G1172" s="15" t="s">
        <v>154</v>
      </c>
      <c r="H1172" s="15" t="s">
        <v>909</v>
      </c>
      <c r="I1172" s="69">
        <v>215</v>
      </c>
      <c r="J1172" s="15" t="s">
        <v>2674</v>
      </c>
      <c r="K1172" s="15" t="s">
        <v>903</v>
      </c>
      <c r="L1172" s="15" t="s">
        <v>2673</v>
      </c>
      <c r="M1172" s="15" t="s">
        <v>2672</v>
      </c>
      <c r="N1172" s="15" t="s">
        <v>2673</v>
      </c>
      <c r="O1172" s="15"/>
    </row>
    <row r="1173" spans="1:15" ht="18" customHeight="1" x14ac:dyDescent="0.3">
      <c r="A1173" s="29">
        <v>1172</v>
      </c>
      <c r="B1173" s="15" t="s">
        <v>75</v>
      </c>
      <c r="C1173" s="15" t="s">
        <v>29</v>
      </c>
      <c r="D1173" s="69">
        <v>61</v>
      </c>
      <c r="E1173" s="68" t="s">
        <v>3300</v>
      </c>
      <c r="F1173" s="24" t="s">
        <v>551</v>
      </c>
      <c r="G1173" s="15" t="s">
        <v>154</v>
      </c>
      <c r="H1173" s="15" t="s">
        <v>910</v>
      </c>
      <c r="I1173" s="69">
        <v>128</v>
      </c>
      <c r="J1173" s="15" t="s">
        <v>2672</v>
      </c>
      <c r="K1173" s="15" t="s">
        <v>903</v>
      </c>
      <c r="L1173" s="15" t="s">
        <v>2673</v>
      </c>
      <c r="M1173" s="15" t="s">
        <v>2672</v>
      </c>
      <c r="N1173" s="15" t="s">
        <v>2673</v>
      </c>
      <c r="O1173" s="15"/>
    </row>
    <row r="1174" spans="1:15" ht="18" customHeight="1" x14ac:dyDescent="0.3">
      <c r="A1174" s="29">
        <v>1173</v>
      </c>
      <c r="B1174" s="15" t="s">
        <v>75</v>
      </c>
      <c r="C1174" s="15" t="s">
        <v>29</v>
      </c>
      <c r="D1174" s="69">
        <v>61</v>
      </c>
      <c r="E1174" s="68" t="s">
        <v>3300</v>
      </c>
      <c r="F1174" s="24" t="s">
        <v>551</v>
      </c>
      <c r="G1174" s="15" t="s">
        <v>154</v>
      </c>
      <c r="H1174" s="15" t="s">
        <v>911</v>
      </c>
      <c r="I1174" s="69">
        <v>154</v>
      </c>
      <c r="J1174" s="15" t="s">
        <v>2672</v>
      </c>
      <c r="K1174" s="15" t="s">
        <v>903</v>
      </c>
      <c r="L1174" s="15" t="s">
        <v>2673</v>
      </c>
      <c r="M1174" s="15" t="s">
        <v>2672</v>
      </c>
      <c r="N1174" s="15" t="s">
        <v>2673</v>
      </c>
      <c r="O1174" s="15"/>
    </row>
    <row r="1175" spans="1:15" ht="18" customHeight="1" x14ac:dyDescent="0.3">
      <c r="A1175" s="29">
        <v>1174</v>
      </c>
      <c r="B1175" s="15" t="s">
        <v>75</v>
      </c>
      <c r="C1175" s="15" t="s">
        <v>29</v>
      </c>
      <c r="D1175" s="69">
        <v>61</v>
      </c>
      <c r="E1175" s="68" t="s">
        <v>3300</v>
      </c>
      <c r="F1175" s="24" t="s">
        <v>551</v>
      </c>
      <c r="G1175" s="15" t="s">
        <v>154</v>
      </c>
      <c r="H1175" s="15" t="s">
        <v>927</v>
      </c>
      <c r="I1175" s="69">
        <v>100</v>
      </c>
      <c r="J1175" s="15" t="s">
        <v>2672</v>
      </c>
      <c r="K1175" s="15" t="s">
        <v>903</v>
      </c>
      <c r="L1175" s="15" t="s">
        <v>2673</v>
      </c>
      <c r="M1175" s="15" t="s">
        <v>2672</v>
      </c>
      <c r="N1175" s="15" t="s">
        <v>2673</v>
      </c>
      <c r="O1175" s="15"/>
    </row>
    <row r="1176" spans="1:15" ht="18" customHeight="1" x14ac:dyDescent="0.3">
      <c r="A1176" s="29">
        <v>1175</v>
      </c>
      <c r="B1176" s="15" t="s">
        <v>75</v>
      </c>
      <c r="C1176" s="15" t="s">
        <v>29</v>
      </c>
      <c r="D1176" s="69">
        <v>61</v>
      </c>
      <c r="E1176" s="68" t="s">
        <v>3300</v>
      </c>
      <c r="F1176" s="24" t="s">
        <v>551</v>
      </c>
      <c r="G1176" s="15" t="s">
        <v>154</v>
      </c>
      <c r="H1176" s="15" t="s">
        <v>941</v>
      </c>
      <c r="I1176" s="69">
        <v>128</v>
      </c>
      <c r="J1176" s="15" t="s">
        <v>2672</v>
      </c>
      <c r="K1176" s="15" t="s">
        <v>903</v>
      </c>
      <c r="L1176" s="15" t="s">
        <v>2673</v>
      </c>
      <c r="M1176" s="15" t="s">
        <v>2672</v>
      </c>
      <c r="N1176" s="15" t="s">
        <v>2673</v>
      </c>
      <c r="O1176" s="15"/>
    </row>
    <row r="1177" spans="1:15" ht="18" customHeight="1" x14ac:dyDescent="0.3">
      <c r="A1177" s="29">
        <v>1176</v>
      </c>
      <c r="B1177" s="15" t="s">
        <v>75</v>
      </c>
      <c r="C1177" s="15" t="s">
        <v>29</v>
      </c>
      <c r="D1177" s="69">
        <v>61</v>
      </c>
      <c r="E1177" s="68" t="s">
        <v>3300</v>
      </c>
      <c r="F1177" s="24" t="s">
        <v>2871</v>
      </c>
      <c r="G1177" s="15" t="s">
        <v>154</v>
      </c>
      <c r="H1177" s="15" t="s">
        <v>906</v>
      </c>
      <c r="I1177" s="69">
        <v>278</v>
      </c>
      <c r="J1177" s="15" t="s">
        <v>2674</v>
      </c>
      <c r="K1177" s="15" t="s">
        <v>902</v>
      </c>
      <c r="L1177" s="15" t="s">
        <v>1069</v>
      </c>
      <c r="M1177" s="15" t="s">
        <v>2672</v>
      </c>
      <c r="N1177" s="15" t="s">
        <v>2673</v>
      </c>
      <c r="O1177" s="15"/>
    </row>
    <row r="1178" spans="1:15" ht="18" customHeight="1" x14ac:dyDescent="0.3">
      <c r="A1178" s="29">
        <v>1177</v>
      </c>
      <c r="B1178" s="15" t="s">
        <v>75</v>
      </c>
      <c r="C1178" s="15" t="s">
        <v>29</v>
      </c>
      <c r="D1178" s="69">
        <v>61</v>
      </c>
      <c r="E1178" s="68" t="s">
        <v>3300</v>
      </c>
      <c r="F1178" s="24" t="s">
        <v>2871</v>
      </c>
      <c r="G1178" s="15" t="s">
        <v>154</v>
      </c>
      <c r="H1178" s="15" t="s">
        <v>2711</v>
      </c>
      <c r="I1178" s="69">
        <v>108</v>
      </c>
      <c r="J1178" s="15" t="s">
        <v>2674</v>
      </c>
      <c r="K1178" s="15" t="s">
        <v>902</v>
      </c>
      <c r="L1178" s="15" t="s">
        <v>208</v>
      </c>
      <c r="M1178" s="15" t="s">
        <v>2672</v>
      </c>
      <c r="N1178" s="15" t="s">
        <v>2673</v>
      </c>
      <c r="O1178" s="15"/>
    </row>
    <row r="1179" spans="1:15" ht="18" customHeight="1" x14ac:dyDescent="0.3">
      <c r="A1179" s="29">
        <v>1178</v>
      </c>
      <c r="B1179" s="15" t="s">
        <v>75</v>
      </c>
      <c r="C1179" s="15" t="s">
        <v>29</v>
      </c>
      <c r="D1179" s="69">
        <v>61</v>
      </c>
      <c r="E1179" s="68" t="s">
        <v>3300</v>
      </c>
      <c r="F1179" s="24" t="s">
        <v>2871</v>
      </c>
      <c r="G1179" s="15" t="s">
        <v>154</v>
      </c>
      <c r="H1179" s="15" t="s">
        <v>2714</v>
      </c>
      <c r="I1179" s="69">
        <v>362</v>
      </c>
      <c r="J1179" s="15" t="s">
        <v>2674</v>
      </c>
      <c r="K1179" s="15" t="s">
        <v>902</v>
      </c>
      <c r="L1179" s="15" t="s">
        <v>207</v>
      </c>
      <c r="M1179" s="15" t="s">
        <v>2672</v>
      </c>
      <c r="N1179" s="15" t="s">
        <v>2673</v>
      </c>
      <c r="O1179" s="15"/>
    </row>
    <row r="1180" spans="1:15" ht="18" customHeight="1" x14ac:dyDescent="0.3">
      <c r="A1180" s="29">
        <v>1179</v>
      </c>
      <c r="B1180" s="15" t="s">
        <v>75</v>
      </c>
      <c r="C1180" s="15" t="s">
        <v>29</v>
      </c>
      <c r="D1180" s="69">
        <v>61</v>
      </c>
      <c r="E1180" s="68" t="s">
        <v>2872</v>
      </c>
      <c r="F1180" s="21" t="s">
        <v>1208</v>
      </c>
      <c r="G1180" s="15" t="s">
        <v>164</v>
      </c>
      <c r="H1180" s="15" t="s">
        <v>2851</v>
      </c>
      <c r="I1180" s="69">
        <v>84</v>
      </c>
      <c r="J1180" s="15" t="s">
        <v>2672</v>
      </c>
      <c r="K1180" s="15" t="s">
        <v>2674</v>
      </c>
      <c r="L1180" s="15" t="s">
        <v>1703</v>
      </c>
      <c r="M1180" s="15" t="s">
        <v>2672</v>
      </c>
      <c r="N1180" s="15" t="s">
        <v>2673</v>
      </c>
      <c r="O1180" s="15"/>
    </row>
    <row r="1181" spans="1:15" ht="18" customHeight="1" x14ac:dyDescent="0.3">
      <c r="A1181" s="29">
        <v>1180</v>
      </c>
      <c r="B1181" s="15" t="s">
        <v>75</v>
      </c>
      <c r="C1181" s="15" t="s">
        <v>29</v>
      </c>
      <c r="D1181" s="69">
        <v>61</v>
      </c>
      <c r="E1181" s="68" t="s">
        <v>2872</v>
      </c>
      <c r="F1181" s="21" t="s">
        <v>1208</v>
      </c>
      <c r="G1181" s="15" t="s">
        <v>164</v>
      </c>
      <c r="H1181" s="15" t="s">
        <v>2767</v>
      </c>
      <c r="I1181" s="69">
        <v>71</v>
      </c>
      <c r="J1181" s="15" t="s">
        <v>2672</v>
      </c>
      <c r="K1181" s="15" t="s">
        <v>2674</v>
      </c>
      <c r="L1181" s="15" t="s">
        <v>1703</v>
      </c>
      <c r="M1181" s="15" t="s">
        <v>2672</v>
      </c>
      <c r="N1181" s="15" t="s">
        <v>2673</v>
      </c>
      <c r="O1181" s="15"/>
    </row>
    <row r="1182" spans="1:15" ht="18" customHeight="1" x14ac:dyDescent="0.3">
      <c r="A1182" s="29">
        <v>1181</v>
      </c>
      <c r="B1182" s="15" t="s">
        <v>75</v>
      </c>
      <c r="C1182" s="15" t="s">
        <v>29</v>
      </c>
      <c r="D1182" s="69">
        <v>61</v>
      </c>
      <c r="E1182" s="68" t="s">
        <v>2872</v>
      </c>
      <c r="F1182" s="21" t="s">
        <v>1208</v>
      </c>
      <c r="G1182" s="15" t="s">
        <v>164</v>
      </c>
      <c r="H1182" s="15" t="s">
        <v>1301</v>
      </c>
      <c r="I1182" s="69">
        <v>84</v>
      </c>
      <c r="J1182" s="15" t="s">
        <v>2672</v>
      </c>
      <c r="K1182" s="15" t="s">
        <v>2674</v>
      </c>
      <c r="L1182" s="15" t="s">
        <v>1703</v>
      </c>
      <c r="M1182" s="15" t="s">
        <v>2672</v>
      </c>
      <c r="N1182" s="15" t="s">
        <v>2673</v>
      </c>
      <c r="O1182" s="15"/>
    </row>
    <row r="1183" spans="1:15" ht="18" customHeight="1" x14ac:dyDescent="0.3">
      <c r="A1183" s="29">
        <v>1182</v>
      </c>
      <c r="B1183" s="15" t="s">
        <v>75</v>
      </c>
      <c r="C1183" s="15" t="s">
        <v>29</v>
      </c>
      <c r="D1183" s="69">
        <v>61</v>
      </c>
      <c r="E1183" s="68" t="s">
        <v>2872</v>
      </c>
      <c r="F1183" s="21" t="s">
        <v>1208</v>
      </c>
      <c r="G1183" s="15" t="s">
        <v>164</v>
      </c>
      <c r="H1183" s="15" t="s">
        <v>1302</v>
      </c>
      <c r="I1183" s="69">
        <v>104</v>
      </c>
      <c r="J1183" s="15" t="s">
        <v>2672</v>
      </c>
      <c r="K1183" s="15" t="s">
        <v>2674</v>
      </c>
      <c r="L1183" s="15" t="s">
        <v>1703</v>
      </c>
      <c r="M1183" s="15" t="s">
        <v>2672</v>
      </c>
      <c r="N1183" s="15" t="s">
        <v>2673</v>
      </c>
      <c r="O1183" s="15"/>
    </row>
    <row r="1184" spans="1:15" ht="18" customHeight="1" x14ac:dyDescent="0.3">
      <c r="A1184" s="29">
        <v>1183</v>
      </c>
      <c r="B1184" s="15" t="s">
        <v>75</v>
      </c>
      <c r="C1184" s="15" t="s">
        <v>29</v>
      </c>
      <c r="D1184" s="69">
        <v>61</v>
      </c>
      <c r="E1184" s="68" t="s">
        <v>2872</v>
      </c>
      <c r="F1184" s="21" t="s">
        <v>1208</v>
      </c>
      <c r="G1184" s="15" t="s">
        <v>164</v>
      </c>
      <c r="H1184" s="15" t="s">
        <v>1303</v>
      </c>
      <c r="I1184" s="69">
        <v>56</v>
      </c>
      <c r="J1184" s="15" t="s">
        <v>2672</v>
      </c>
      <c r="K1184" s="15" t="s">
        <v>2674</v>
      </c>
      <c r="L1184" s="15" t="s">
        <v>1703</v>
      </c>
      <c r="M1184" s="15" t="s">
        <v>2672</v>
      </c>
      <c r="N1184" s="15" t="s">
        <v>2673</v>
      </c>
      <c r="O1184" s="15"/>
    </row>
    <row r="1185" spans="1:15" ht="18" customHeight="1" x14ac:dyDescent="0.3">
      <c r="A1185" s="29">
        <v>1184</v>
      </c>
      <c r="B1185" s="15" t="s">
        <v>75</v>
      </c>
      <c r="C1185" s="15" t="s">
        <v>29</v>
      </c>
      <c r="D1185" s="69">
        <v>61</v>
      </c>
      <c r="E1185" s="68" t="s">
        <v>2872</v>
      </c>
      <c r="F1185" s="21" t="s">
        <v>1208</v>
      </c>
      <c r="G1185" s="15" t="s">
        <v>164</v>
      </c>
      <c r="H1185" s="15" t="s">
        <v>1304</v>
      </c>
      <c r="I1185" s="69">
        <v>85</v>
      </c>
      <c r="J1185" s="15" t="s">
        <v>2672</v>
      </c>
      <c r="K1185" s="15" t="s">
        <v>2674</v>
      </c>
      <c r="L1185" s="15" t="s">
        <v>1703</v>
      </c>
      <c r="M1185" s="15" t="s">
        <v>2672</v>
      </c>
      <c r="N1185" s="15" t="s">
        <v>2673</v>
      </c>
      <c r="O1185" s="15"/>
    </row>
    <row r="1186" spans="1:15" ht="18" customHeight="1" x14ac:dyDescent="0.3">
      <c r="A1186" s="29">
        <v>1185</v>
      </c>
      <c r="B1186" s="15" t="s">
        <v>75</v>
      </c>
      <c r="C1186" s="15" t="s">
        <v>29</v>
      </c>
      <c r="D1186" s="69">
        <v>61</v>
      </c>
      <c r="E1186" s="68" t="s">
        <v>2872</v>
      </c>
      <c r="F1186" s="21" t="s">
        <v>1208</v>
      </c>
      <c r="G1186" s="15" t="s">
        <v>164</v>
      </c>
      <c r="H1186" s="15" t="s">
        <v>1305</v>
      </c>
      <c r="I1186" s="69">
        <v>123</v>
      </c>
      <c r="J1186" s="15" t="s">
        <v>2672</v>
      </c>
      <c r="K1186" s="15" t="s">
        <v>2674</v>
      </c>
      <c r="L1186" s="15" t="s">
        <v>1703</v>
      </c>
      <c r="M1186" s="15" t="s">
        <v>2672</v>
      </c>
      <c r="N1186" s="15" t="s">
        <v>2673</v>
      </c>
      <c r="O1186" s="15"/>
    </row>
    <row r="1187" spans="1:15" ht="18" customHeight="1" x14ac:dyDescent="0.3">
      <c r="A1187" s="29">
        <v>1186</v>
      </c>
      <c r="B1187" s="15" t="s">
        <v>75</v>
      </c>
      <c r="C1187" s="15" t="s">
        <v>29</v>
      </c>
      <c r="D1187" s="69">
        <v>61</v>
      </c>
      <c r="E1187" s="68" t="s">
        <v>2872</v>
      </c>
      <c r="F1187" s="21" t="s">
        <v>1208</v>
      </c>
      <c r="G1187" s="15" t="s">
        <v>164</v>
      </c>
      <c r="H1187" s="15" t="s">
        <v>1306</v>
      </c>
      <c r="I1187" s="69">
        <v>96</v>
      </c>
      <c r="J1187" s="15" t="s">
        <v>2672</v>
      </c>
      <c r="K1187" s="15" t="s">
        <v>2674</v>
      </c>
      <c r="L1187" s="15" t="s">
        <v>1703</v>
      </c>
      <c r="M1187" s="15" t="s">
        <v>2672</v>
      </c>
      <c r="N1187" s="15" t="s">
        <v>2673</v>
      </c>
      <c r="O1187" s="15"/>
    </row>
    <row r="1188" spans="1:15" ht="18" customHeight="1" x14ac:dyDescent="0.3">
      <c r="A1188" s="29">
        <v>1187</v>
      </c>
      <c r="B1188" s="15" t="s">
        <v>75</v>
      </c>
      <c r="C1188" s="15" t="s">
        <v>29</v>
      </c>
      <c r="D1188" s="69">
        <v>61</v>
      </c>
      <c r="E1188" s="68" t="s">
        <v>2872</v>
      </c>
      <c r="F1188" s="21" t="s">
        <v>1208</v>
      </c>
      <c r="G1188" s="15" t="s">
        <v>164</v>
      </c>
      <c r="H1188" s="15" t="s">
        <v>1307</v>
      </c>
      <c r="I1188" s="69">
        <v>70</v>
      </c>
      <c r="J1188" s="15" t="s">
        <v>2672</v>
      </c>
      <c r="K1188" s="15" t="s">
        <v>2674</v>
      </c>
      <c r="L1188" s="15" t="s">
        <v>1703</v>
      </c>
      <c r="M1188" s="15" t="s">
        <v>2672</v>
      </c>
      <c r="N1188" s="15" t="s">
        <v>2673</v>
      </c>
      <c r="O1188" s="15"/>
    </row>
    <row r="1189" spans="1:15" ht="18" customHeight="1" x14ac:dyDescent="0.3">
      <c r="A1189" s="29">
        <v>1188</v>
      </c>
      <c r="B1189" s="15" t="s">
        <v>75</v>
      </c>
      <c r="C1189" s="15" t="s">
        <v>29</v>
      </c>
      <c r="D1189" s="69">
        <v>61</v>
      </c>
      <c r="E1189" s="68" t="s">
        <v>2872</v>
      </c>
      <c r="F1189" s="21" t="s">
        <v>1208</v>
      </c>
      <c r="G1189" s="15" t="s">
        <v>164</v>
      </c>
      <c r="H1189" s="15" t="s">
        <v>1308</v>
      </c>
      <c r="I1189" s="69">
        <v>64</v>
      </c>
      <c r="J1189" s="15" t="s">
        <v>2672</v>
      </c>
      <c r="K1189" s="15" t="s">
        <v>2674</v>
      </c>
      <c r="L1189" s="15" t="s">
        <v>1703</v>
      </c>
      <c r="M1189" s="15" t="s">
        <v>2672</v>
      </c>
      <c r="N1189" s="15" t="s">
        <v>2673</v>
      </c>
      <c r="O1189" s="15"/>
    </row>
    <row r="1190" spans="1:15" ht="18" customHeight="1" x14ac:dyDescent="0.3">
      <c r="A1190" s="29">
        <v>1189</v>
      </c>
      <c r="B1190" s="15" t="s">
        <v>75</v>
      </c>
      <c r="C1190" s="15" t="s">
        <v>29</v>
      </c>
      <c r="D1190" s="69">
        <v>61</v>
      </c>
      <c r="E1190" s="68" t="s">
        <v>3301</v>
      </c>
      <c r="F1190" s="14" t="s">
        <v>1164</v>
      </c>
      <c r="G1190" s="15" t="s">
        <v>154</v>
      </c>
      <c r="H1190" s="15" t="s">
        <v>901</v>
      </c>
      <c r="I1190" s="69">
        <v>133</v>
      </c>
      <c r="J1190" s="15" t="s">
        <v>2672</v>
      </c>
      <c r="K1190" s="15" t="s">
        <v>903</v>
      </c>
      <c r="L1190" s="15" t="s">
        <v>2673</v>
      </c>
      <c r="M1190" s="15" t="s">
        <v>2672</v>
      </c>
      <c r="N1190" s="15" t="s">
        <v>2673</v>
      </c>
      <c r="O1190" s="15"/>
    </row>
    <row r="1191" spans="1:15" ht="18" customHeight="1" x14ac:dyDescent="0.3">
      <c r="A1191" s="29">
        <v>1190</v>
      </c>
      <c r="B1191" s="15" t="s">
        <v>75</v>
      </c>
      <c r="C1191" s="15" t="s">
        <v>29</v>
      </c>
      <c r="D1191" s="69">
        <v>61</v>
      </c>
      <c r="E1191" s="68" t="s">
        <v>3301</v>
      </c>
      <c r="F1191" s="14" t="s">
        <v>1164</v>
      </c>
      <c r="G1191" s="15" t="s">
        <v>154</v>
      </c>
      <c r="H1191" s="15" t="s">
        <v>904</v>
      </c>
      <c r="I1191" s="69">
        <v>188</v>
      </c>
      <c r="J1191" s="15" t="s">
        <v>2672</v>
      </c>
      <c r="K1191" s="15" t="s">
        <v>903</v>
      </c>
      <c r="L1191" s="15" t="s">
        <v>2673</v>
      </c>
      <c r="M1191" s="15" t="s">
        <v>2672</v>
      </c>
      <c r="N1191" s="15" t="s">
        <v>2673</v>
      </c>
      <c r="O1191" s="15"/>
    </row>
    <row r="1192" spans="1:15" ht="18" customHeight="1" x14ac:dyDescent="0.3">
      <c r="A1192" s="29">
        <v>1191</v>
      </c>
      <c r="B1192" s="15" t="s">
        <v>75</v>
      </c>
      <c r="C1192" s="15" t="s">
        <v>29</v>
      </c>
      <c r="D1192" s="69">
        <v>61</v>
      </c>
      <c r="E1192" s="68" t="s">
        <v>3301</v>
      </c>
      <c r="F1192" s="14" t="s">
        <v>2873</v>
      </c>
      <c r="G1192" s="15" t="s">
        <v>154</v>
      </c>
      <c r="H1192" s="15" t="s">
        <v>906</v>
      </c>
      <c r="I1192" s="69">
        <v>120</v>
      </c>
      <c r="J1192" s="15" t="s">
        <v>2674</v>
      </c>
      <c r="K1192" s="15" t="s">
        <v>903</v>
      </c>
      <c r="L1192" s="15" t="s">
        <v>2673</v>
      </c>
      <c r="M1192" s="15" t="s">
        <v>2672</v>
      </c>
      <c r="N1192" s="15" t="s">
        <v>2673</v>
      </c>
      <c r="O1192" s="15"/>
    </row>
    <row r="1193" spans="1:15" ht="18" customHeight="1" x14ac:dyDescent="0.3">
      <c r="A1193" s="29">
        <v>1192</v>
      </c>
      <c r="B1193" s="15" t="s">
        <v>75</v>
      </c>
      <c r="C1193" s="15" t="s">
        <v>29</v>
      </c>
      <c r="D1193" s="69">
        <v>61</v>
      </c>
      <c r="E1193" s="68" t="s">
        <v>3301</v>
      </c>
      <c r="F1193" s="14" t="s">
        <v>1164</v>
      </c>
      <c r="G1193" s="15" t="s">
        <v>154</v>
      </c>
      <c r="H1193" s="15" t="s">
        <v>907</v>
      </c>
      <c r="I1193" s="69">
        <v>224</v>
      </c>
      <c r="J1193" s="15" t="s">
        <v>2672</v>
      </c>
      <c r="K1193" s="15" t="s">
        <v>903</v>
      </c>
      <c r="L1193" s="15" t="s">
        <v>2673</v>
      </c>
      <c r="M1193" s="15" t="s">
        <v>2672</v>
      </c>
      <c r="N1193" s="15" t="s">
        <v>2673</v>
      </c>
      <c r="O1193" s="15"/>
    </row>
    <row r="1194" spans="1:15" ht="18" customHeight="1" x14ac:dyDescent="0.3">
      <c r="A1194" s="29">
        <v>1193</v>
      </c>
      <c r="B1194" s="15" t="s">
        <v>75</v>
      </c>
      <c r="C1194" s="15" t="s">
        <v>29</v>
      </c>
      <c r="D1194" s="69">
        <v>61</v>
      </c>
      <c r="E1194" s="68" t="s">
        <v>3301</v>
      </c>
      <c r="F1194" s="14" t="s">
        <v>1164</v>
      </c>
      <c r="G1194" s="15" t="s">
        <v>154</v>
      </c>
      <c r="H1194" s="15" t="s">
        <v>908</v>
      </c>
      <c r="I1194" s="69">
        <v>133</v>
      </c>
      <c r="J1194" s="15" t="s">
        <v>2672</v>
      </c>
      <c r="K1194" s="15" t="s">
        <v>903</v>
      </c>
      <c r="L1194" s="15" t="s">
        <v>2673</v>
      </c>
      <c r="M1194" s="15" t="s">
        <v>2672</v>
      </c>
      <c r="N1194" s="15" t="s">
        <v>2673</v>
      </c>
      <c r="O1194" s="15"/>
    </row>
    <row r="1195" spans="1:15" ht="18" customHeight="1" x14ac:dyDescent="0.3">
      <c r="A1195" s="29">
        <v>1194</v>
      </c>
      <c r="B1195" s="15" t="s">
        <v>75</v>
      </c>
      <c r="C1195" s="15" t="s">
        <v>29</v>
      </c>
      <c r="D1195" s="69">
        <v>61</v>
      </c>
      <c r="E1195" s="68" t="s">
        <v>3301</v>
      </c>
      <c r="F1195" s="14" t="s">
        <v>1164</v>
      </c>
      <c r="G1195" s="15" t="s">
        <v>154</v>
      </c>
      <c r="H1195" s="15" t="s">
        <v>909</v>
      </c>
      <c r="I1195" s="69">
        <v>188</v>
      </c>
      <c r="J1195" s="15" t="s">
        <v>2672</v>
      </c>
      <c r="K1195" s="15" t="s">
        <v>903</v>
      </c>
      <c r="L1195" s="15" t="s">
        <v>2673</v>
      </c>
      <c r="M1195" s="15" t="s">
        <v>2672</v>
      </c>
      <c r="N1195" s="15" t="s">
        <v>2673</v>
      </c>
      <c r="O1195" s="15"/>
    </row>
    <row r="1196" spans="1:15" ht="18" customHeight="1" x14ac:dyDescent="0.3">
      <c r="A1196" s="29">
        <v>1195</v>
      </c>
      <c r="B1196" s="15" t="s">
        <v>75</v>
      </c>
      <c r="C1196" s="15" t="s">
        <v>29</v>
      </c>
      <c r="D1196" s="69">
        <v>61</v>
      </c>
      <c r="E1196" s="68" t="s">
        <v>3301</v>
      </c>
      <c r="F1196" s="14" t="s">
        <v>1164</v>
      </c>
      <c r="G1196" s="15" t="s">
        <v>154</v>
      </c>
      <c r="H1196" s="15" t="s">
        <v>910</v>
      </c>
      <c r="I1196" s="69">
        <v>140</v>
      </c>
      <c r="J1196" s="15" t="s">
        <v>2672</v>
      </c>
      <c r="K1196" s="15" t="s">
        <v>903</v>
      </c>
      <c r="L1196" s="15" t="s">
        <v>2673</v>
      </c>
      <c r="M1196" s="15" t="s">
        <v>2672</v>
      </c>
      <c r="N1196" s="15" t="s">
        <v>2673</v>
      </c>
      <c r="O1196" s="15"/>
    </row>
    <row r="1197" spans="1:15" ht="18" customHeight="1" x14ac:dyDescent="0.3">
      <c r="A1197" s="29">
        <v>1196</v>
      </c>
      <c r="B1197" s="15" t="s">
        <v>75</v>
      </c>
      <c r="C1197" s="15" t="s">
        <v>29</v>
      </c>
      <c r="D1197" s="69">
        <v>61</v>
      </c>
      <c r="E1197" s="68" t="s">
        <v>3301</v>
      </c>
      <c r="F1197" s="14" t="s">
        <v>1164</v>
      </c>
      <c r="G1197" s="15" t="s">
        <v>154</v>
      </c>
      <c r="H1197" s="15" t="s">
        <v>911</v>
      </c>
      <c r="I1197" s="69">
        <v>120</v>
      </c>
      <c r="J1197" s="15" t="s">
        <v>2672</v>
      </c>
      <c r="K1197" s="15" t="s">
        <v>903</v>
      </c>
      <c r="L1197" s="15" t="s">
        <v>2673</v>
      </c>
      <c r="M1197" s="15" t="s">
        <v>2672</v>
      </c>
      <c r="N1197" s="15" t="s">
        <v>2673</v>
      </c>
      <c r="O1197" s="15"/>
    </row>
    <row r="1198" spans="1:15" ht="18" customHeight="1" x14ac:dyDescent="0.3">
      <c r="A1198" s="29">
        <v>1197</v>
      </c>
      <c r="B1198" s="15" t="s">
        <v>75</v>
      </c>
      <c r="C1198" s="15" t="s">
        <v>29</v>
      </c>
      <c r="D1198" s="69">
        <v>61</v>
      </c>
      <c r="E1198" s="68" t="s">
        <v>3301</v>
      </c>
      <c r="F1198" s="14" t="s">
        <v>1164</v>
      </c>
      <c r="G1198" s="15" t="s">
        <v>154</v>
      </c>
      <c r="H1198" s="15" t="s">
        <v>927</v>
      </c>
      <c r="I1198" s="69">
        <v>224</v>
      </c>
      <c r="J1198" s="15" t="s">
        <v>2672</v>
      </c>
      <c r="K1198" s="15" t="s">
        <v>903</v>
      </c>
      <c r="L1198" s="15" t="s">
        <v>2673</v>
      </c>
      <c r="M1198" s="15" t="s">
        <v>2672</v>
      </c>
      <c r="N1198" s="15" t="s">
        <v>2673</v>
      </c>
      <c r="O1198" s="15"/>
    </row>
    <row r="1199" spans="1:15" ht="18" customHeight="1" x14ac:dyDescent="0.3">
      <c r="A1199" s="29">
        <v>1198</v>
      </c>
      <c r="B1199" s="15" t="s">
        <v>75</v>
      </c>
      <c r="C1199" s="15" t="s">
        <v>29</v>
      </c>
      <c r="D1199" s="69">
        <v>61</v>
      </c>
      <c r="E1199" s="68" t="s">
        <v>3301</v>
      </c>
      <c r="F1199" s="14" t="s">
        <v>2873</v>
      </c>
      <c r="G1199" s="15" t="s">
        <v>154</v>
      </c>
      <c r="H1199" s="15" t="s">
        <v>905</v>
      </c>
      <c r="I1199" s="69">
        <v>140</v>
      </c>
      <c r="J1199" s="15" t="s">
        <v>2672</v>
      </c>
      <c r="K1199" s="15" t="s">
        <v>903</v>
      </c>
      <c r="L1199" s="15" t="s">
        <v>2673</v>
      </c>
      <c r="M1199" s="15" t="s">
        <v>2672</v>
      </c>
      <c r="N1199" s="15" t="s">
        <v>2673</v>
      </c>
      <c r="O1199" s="15"/>
    </row>
    <row r="1200" spans="1:15" ht="18" customHeight="1" x14ac:dyDescent="0.3">
      <c r="A1200" s="29">
        <v>1199</v>
      </c>
      <c r="B1200" s="15" t="s">
        <v>75</v>
      </c>
      <c r="C1200" s="15" t="s">
        <v>34</v>
      </c>
      <c r="D1200" s="69">
        <v>63</v>
      </c>
      <c r="E1200" s="68" t="s">
        <v>3302</v>
      </c>
      <c r="F1200" s="24" t="s">
        <v>1114</v>
      </c>
      <c r="G1200" s="15" t="s">
        <v>154</v>
      </c>
      <c r="H1200" s="15" t="s">
        <v>905</v>
      </c>
      <c r="I1200" s="69">
        <v>161</v>
      </c>
      <c r="J1200" s="15" t="s">
        <v>2672</v>
      </c>
      <c r="K1200" s="15" t="s">
        <v>903</v>
      </c>
      <c r="L1200" s="15" t="s">
        <v>2673</v>
      </c>
      <c r="M1200" s="15" t="s">
        <v>2672</v>
      </c>
      <c r="N1200" s="15" t="s">
        <v>2673</v>
      </c>
      <c r="O1200" s="15"/>
    </row>
    <row r="1201" spans="1:15" ht="18" customHeight="1" x14ac:dyDescent="0.3">
      <c r="A1201" s="29">
        <v>1200</v>
      </c>
      <c r="B1201" s="15" t="s">
        <v>75</v>
      </c>
      <c r="C1201" s="15" t="s">
        <v>34</v>
      </c>
      <c r="D1201" s="69">
        <v>63</v>
      </c>
      <c r="E1201" s="68" t="s">
        <v>3302</v>
      </c>
      <c r="F1201" s="24" t="s">
        <v>1114</v>
      </c>
      <c r="G1201" s="15" t="s">
        <v>154</v>
      </c>
      <c r="H1201" s="15" t="s">
        <v>906</v>
      </c>
      <c r="I1201" s="69">
        <v>107</v>
      </c>
      <c r="J1201" s="15" t="s">
        <v>2672</v>
      </c>
      <c r="K1201" s="15" t="s">
        <v>903</v>
      </c>
      <c r="L1201" s="15" t="s">
        <v>2673</v>
      </c>
      <c r="M1201" s="15" t="s">
        <v>2672</v>
      </c>
      <c r="N1201" s="15" t="s">
        <v>2673</v>
      </c>
      <c r="O1201" s="15"/>
    </row>
    <row r="1202" spans="1:15" ht="18" customHeight="1" x14ac:dyDescent="0.3">
      <c r="A1202" s="29">
        <v>1201</v>
      </c>
      <c r="B1202" s="15" t="s">
        <v>75</v>
      </c>
      <c r="C1202" s="15" t="s">
        <v>34</v>
      </c>
      <c r="D1202" s="69">
        <v>63</v>
      </c>
      <c r="E1202" s="68" t="s">
        <v>3302</v>
      </c>
      <c r="F1202" s="24" t="s">
        <v>1114</v>
      </c>
      <c r="G1202" s="15" t="s">
        <v>154</v>
      </c>
      <c r="H1202" s="15" t="s">
        <v>907</v>
      </c>
      <c r="I1202" s="69">
        <v>157</v>
      </c>
      <c r="J1202" s="15" t="s">
        <v>2672</v>
      </c>
      <c r="K1202" s="15" t="s">
        <v>903</v>
      </c>
      <c r="L1202" s="15" t="s">
        <v>2673</v>
      </c>
      <c r="M1202" s="15" t="s">
        <v>2672</v>
      </c>
      <c r="N1202" s="15" t="s">
        <v>2673</v>
      </c>
      <c r="O1202" s="15"/>
    </row>
    <row r="1203" spans="1:15" ht="18" customHeight="1" x14ac:dyDescent="0.3">
      <c r="A1203" s="29">
        <v>1202</v>
      </c>
      <c r="B1203" s="15" t="s">
        <v>75</v>
      </c>
      <c r="C1203" s="15" t="s">
        <v>34</v>
      </c>
      <c r="D1203" s="69">
        <v>63</v>
      </c>
      <c r="E1203" s="68" t="s">
        <v>3302</v>
      </c>
      <c r="F1203" s="24" t="s">
        <v>1114</v>
      </c>
      <c r="G1203" s="15" t="s">
        <v>154</v>
      </c>
      <c r="H1203" s="15" t="s">
        <v>908</v>
      </c>
      <c r="I1203" s="69">
        <v>157</v>
      </c>
      <c r="J1203" s="15" t="s">
        <v>2672</v>
      </c>
      <c r="K1203" s="15" t="s">
        <v>903</v>
      </c>
      <c r="L1203" s="15" t="s">
        <v>2673</v>
      </c>
      <c r="M1203" s="15" t="s">
        <v>2672</v>
      </c>
      <c r="N1203" s="15" t="s">
        <v>2673</v>
      </c>
      <c r="O1203" s="15"/>
    </row>
    <row r="1204" spans="1:15" ht="18" customHeight="1" x14ac:dyDescent="0.3">
      <c r="A1204" s="29">
        <v>1203</v>
      </c>
      <c r="B1204" s="15" t="s">
        <v>75</v>
      </c>
      <c r="C1204" s="15" t="s">
        <v>34</v>
      </c>
      <c r="D1204" s="69">
        <v>63</v>
      </c>
      <c r="E1204" s="68" t="s">
        <v>3302</v>
      </c>
      <c r="F1204" s="24" t="s">
        <v>1114</v>
      </c>
      <c r="G1204" s="15" t="s">
        <v>154</v>
      </c>
      <c r="H1204" s="15" t="s">
        <v>909</v>
      </c>
      <c r="I1204" s="69">
        <v>156</v>
      </c>
      <c r="J1204" s="15" t="s">
        <v>2672</v>
      </c>
      <c r="K1204" s="15" t="s">
        <v>903</v>
      </c>
      <c r="L1204" s="15" t="s">
        <v>2673</v>
      </c>
      <c r="M1204" s="15" t="s">
        <v>2672</v>
      </c>
      <c r="N1204" s="15" t="s">
        <v>2673</v>
      </c>
      <c r="O1204" s="15"/>
    </row>
    <row r="1205" spans="1:15" ht="18" customHeight="1" x14ac:dyDescent="0.3">
      <c r="A1205" s="29">
        <v>1204</v>
      </c>
      <c r="B1205" s="15" t="s">
        <v>75</v>
      </c>
      <c r="C1205" s="15" t="s">
        <v>34</v>
      </c>
      <c r="D1205" s="69">
        <v>63</v>
      </c>
      <c r="E1205" s="68" t="s">
        <v>3302</v>
      </c>
      <c r="F1205" s="24" t="s">
        <v>1114</v>
      </c>
      <c r="G1205" s="15" t="s">
        <v>154</v>
      </c>
      <c r="H1205" s="15" t="s">
        <v>910</v>
      </c>
      <c r="I1205" s="69">
        <v>151</v>
      </c>
      <c r="J1205" s="15" t="s">
        <v>2674</v>
      </c>
      <c r="K1205" s="15" t="s">
        <v>903</v>
      </c>
      <c r="L1205" s="15" t="s">
        <v>2673</v>
      </c>
      <c r="M1205" s="15" t="s">
        <v>2672</v>
      </c>
      <c r="N1205" s="15" t="s">
        <v>2673</v>
      </c>
      <c r="O1205" s="15"/>
    </row>
    <row r="1206" spans="1:15" ht="18" customHeight="1" x14ac:dyDescent="0.3">
      <c r="A1206" s="29">
        <v>1205</v>
      </c>
      <c r="B1206" s="15" t="s">
        <v>75</v>
      </c>
      <c r="C1206" s="15" t="s">
        <v>34</v>
      </c>
      <c r="D1206" s="69">
        <v>63</v>
      </c>
      <c r="E1206" s="68" t="s">
        <v>3302</v>
      </c>
      <c r="F1206" s="24" t="s">
        <v>1114</v>
      </c>
      <c r="G1206" s="15" t="s">
        <v>154</v>
      </c>
      <c r="H1206" s="15" t="s">
        <v>911</v>
      </c>
      <c r="I1206" s="69">
        <v>155</v>
      </c>
      <c r="J1206" s="15" t="s">
        <v>2672</v>
      </c>
      <c r="K1206" s="15" t="s">
        <v>903</v>
      </c>
      <c r="L1206" s="15" t="s">
        <v>2673</v>
      </c>
      <c r="M1206" s="15" t="s">
        <v>2672</v>
      </c>
      <c r="N1206" s="15" t="s">
        <v>2673</v>
      </c>
      <c r="O1206" s="15"/>
    </row>
    <row r="1207" spans="1:15" ht="18" customHeight="1" x14ac:dyDescent="0.3">
      <c r="A1207" s="29">
        <v>1206</v>
      </c>
      <c r="B1207" s="15" t="s">
        <v>75</v>
      </c>
      <c r="C1207" s="15" t="s">
        <v>34</v>
      </c>
      <c r="D1207" s="69">
        <v>63</v>
      </c>
      <c r="E1207" s="68" t="s">
        <v>3302</v>
      </c>
      <c r="F1207" s="24" t="s">
        <v>1114</v>
      </c>
      <c r="G1207" s="15" t="s">
        <v>154</v>
      </c>
      <c r="H1207" s="15" t="s">
        <v>927</v>
      </c>
      <c r="I1207" s="69">
        <v>153</v>
      </c>
      <c r="J1207" s="15" t="s">
        <v>2674</v>
      </c>
      <c r="K1207" s="15" t="s">
        <v>903</v>
      </c>
      <c r="L1207" s="15" t="s">
        <v>2673</v>
      </c>
      <c r="M1207" s="15" t="s">
        <v>2672</v>
      </c>
      <c r="N1207" s="15" t="s">
        <v>2673</v>
      </c>
      <c r="O1207" s="15"/>
    </row>
    <row r="1208" spans="1:15" ht="18" customHeight="1" x14ac:dyDescent="0.3">
      <c r="A1208" s="29">
        <v>1207</v>
      </c>
      <c r="B1208" s="15" t="s">
        <v>75</v>
      </c>
      <c r="C1208" s="15" t="s">
        <v>34</v>
      </c>
      <c r="D1208" s="69">
        <v>63</v>
      </c>
      <c r="E1208" s="68" t="s">
        <v>3302</v>
      </c>
      <c r="F1208" s="24" t="s">
        <v>549</v>
      </c>
      <c r="G1208" s="15" t="s">
        <v>154</v>
      </c>
      <c r="H1208" s="15" t="s">
        <v>901</v>
      </c>
      <c r="I1208" s="69">
        <v>107</v>
      </c>
      <c r="J1208" s="15" t="s">
        <v>2672</v>
      </c>
      <c r="K1208" s="15" t="s">
        <v>903</v>
      </c>
      <c r="L1208" s="15" t="s">
        <v>2673</v>
      </c>
      <c r="M1208" s="15" t="s">
        <v>2672</v>
      </c>
      <c r="N1208" s="15" t="s">
        <v>2673</v>
      </c>
      <c r="O1208" s="15"/>
    </row>
    <row r="1209" spans="1:15" ht="18" customHeight="1" x14ac:dyDescent="0.3">
      <c r="A1209" s="29">
        <v>1208</v>
      </c>
      <c r="B1209" s="15" t="s">
        <v>75</v>
      </c>
      <c r="C1209" s="15" t="s">
        <v>34</v>
      </c>
      <c r="D1209" s="69">
        <v>63</v>
      </c>
      <c r="E1209" s="68" t="s">
        <v>3302</v>
      </c>
      <c r="F1209" s="24" t="s">
        <v>549</v>
      </c>
      <c r="G1209" s="15" t="s">
        <v>154</v>
      </c>
      <c r="H1209" s="15" t="s">
        <v>904</v>
      </c>
      <c r="I1209" s="69">
        <v>161</v>
      </c>
      <c r="J1209" s="15" t="s">
        <v>2672</v>
      </c>
      <c r="K1209" s="15" t="s">
        <v>903</v>
      </c>
      <c r="L1209" s="15" t="s">
        <v>2673</v>
      </c>
      <c r="M1209" s="15" t="s">
        <v>2672</v>
      </c>
      <c r="N1209" s="15" t="s">
        <v>2673</v>
      </c>
      <c r="O1209" s="15"/>
    </row>
    <row r="1210" spans="1:15" ht="18" customHeight="1" x14ac:dyDescent="0.3">
      <c r="A1210" s="29">
        <v>1209</v>
      </c>
      <c r="B1210" s="15" t="s">
        <v>75</v>
      </c>
      <c r="C1210" s="15" t="s">
        <v>34</v>
      </c>
      <c r="D1210" s="69">
        <v>63</v>
      </c>
      <c r="E1210" s="68" t="s">
        <v>305</v>
      </c>
      <c r="F1210" s="16" t="s">
        <v>548</v>
      </c>
      <c r="G1210" s="15" t="s">
        <v>164</v>
      </c>
      <c r="H1210" s="15" t="s">
        <v>901</v>
      </c>
      <c r="I1210" s="69">
        <v>152</v>
      </c>
      <c r="J1210" s="15" t="s">
        <v>2672</v>
      </c>
      <c r="K1210" s="15" t="s">
        <v>903</v>
      </c>
      <c r="L1210" s="15" t="s">
        <v>2673</v>
      </c>
      <c r="M1210" s="15" t="s">
        <v>2672</v>
      </c>
      <c r="N1210" s="15" t="s">
        <v>2673</v>
      </c>
      <c r="O1210" s="15"/>
    </row>
    <row r="1211" spans="1:15" ht="18" customHeight="1" x14ac:dyDescent="0.3">
      <c r="A1211" s="29">
        <v>1210</v>
      </c>
      <c r="B1211" s="15" t="s">
        <v>75</v>
      </c>
      <c r="C1211" s="15" t="s">
        <v>34</v>
      </c>
      <c r="D1211" s="69">
        <v>63</v>
      </c>
      <c r="E1211" s="68" t="s">
        <v>305</v>
      </c>
      <c r="F1211" s="16" t="s">
        <v>548</v>
      </c>
      <c r="G1211" s="15" t="s">
        <v>164</v>
      </c>
      <c r="H1211" s="15" t="s">
        <v>904</v>
      </c>
      <c r="I1211" s="69">
        <v>110</v>
      </c>
      <c r="J1211" s="15" t="s">
        <v>2672</v>
      </c>
      <c r="K1211" s="15" t="s">
        <v>903</v>
      </c>
      <c r="L1211" s="15" t="s">
        <v>2673</v>
      </c>
      <c r="M1211" s="15" t="s">
        <v>2672</v>
      </c>
      <c r="N1211" s="15" t="s">
        <v>2673</v>
      </c>
      <c r="O1211" s="15"/>
    </row>
    <row r="1212" spans="1:15" ht="18" customHeight="1" x14ac:dyDescent="0.3">
      <c r="A1212" s="29">
        <v>1211</v>
      </c>
      <c r="B1212" s="15" t="s">
        <v>75</v>
      </c>
      <c r="C1212" s="15" t="s">
        <v>34</v>
      </c>
      <c r="D1212" s="69">
        <v>63</v>
      </c>
      <c r="E1212" s="68" t="s">
        <v>305</v>
      </c>
      <c r="F1212" s="16" t="s">
        <v>548</v>
      </c>
      <c r="G1212" s="15" t="s">
        <v>164</v>
      </c>
      <c r="H1212" s="15" t="s">
        <v>905</v>
      </c>
      <c r="I1212" s="69">
        <v>150</v>
      </c>
      <c r="J1212" s="15" t="s">
        <v>2672</v>
      </c>
      <c r="K1212" s="15" t="s">
        <v>903</v>
      </c>
      <c r="L1212" s="15" t="s">
        <v>2673</v>
      </c>
      <c r="M1212" s="15" t="s">
        <v>2672</v>
      </c>
      <c r="N1212" s="15" t="s">
        <v>2673</v>
      </c>
      <c r="O1212" s="15"/>
    </row>
    <row r="1213" spans="1:15" ht="18" customHeight="1" x14ac:dyDescent="0.3">
      <c r="A1213" s="29">
        <v>1212</v>
      </c>
      <c r="B1213" s="15" t="s">
        <v>75</v>
      </c>
      <c r="C1213" s="15" t="s">
        <v>34</v>
      </c>
      <c r="D1213" s="69">
        <v>63</v>
      </c>
      <c r="E1213" s="68" t="s">
        <v>305</v>
      </c>
      <c r="F1213" s="16" t="s">
        <v>548</v>
      </c>
      <c r="G1213" s="15" t="s">
        <v>164</v>
      </c>
      <c r="H1213" s="15" t="s">
        <v>906</v>
      </c>
      <c r="I1213" s="69">
        <v>95</v>
      </c>
      <c r="J1213" s="15" t="s">
        <v>2674</v>
      </c>
      <c r="K1213" s="15" t="s">
        <v>903</v>
      </c>
      <c r="L1213" s="15" t="s">
        <v>2673</v>
      </c>
      <c r="M1213" s="15" t="s">
        <v>2672</v>
      </c>
      <c r="N1213" s="15" t="s">
        <v>2673</v>
      </c>
      <c r="O1213" s="15"/>
    </row>
    <row r="1214" spans="1:15" ht="18" customHeight="1" x14ac:dyDescent="0.3">
      <c r="A1214" s="29">
        <v>1213</v>
      </c>
      <c r="B1214" s="15" t="s">
        <v>75</v>
      </c>
      <c r="C1214" s="15" t="s">
        <v>34</v>
      </c>
      <c r="D1214" s="69">
        <v>63</v>
      </c>
      <c r="E1214" s="68" t="s">
        <v>305</v>
      </c>
      <c r="F1214" s="16" t="s">
        <v>548</v>
      </c>
      <c r="G1214" s="15" t="s">
        <v>164</v>
      </c>
      <c r="H1214" s="15" t="s">
        <v>907</v>
      </c>
      <c r="I1214" s="69">
        <v>95</v>
      </c>
      <c r="J1214" s="15" t="s">
        <v>2672</v>
      </c>
      <c r="K1214" s="15" t="s">
        <v>903</v>
      </c>
      <c r="L1214" s="15" t="s">
        <v>2673</v>
      </c>
      <c r="M1214" s="15" t="s">
        <v>2672</v>
      </c>
      <c r="N1214" s="15" t="s">
        <v>2673</v>
      </c>
      <c r="O1214" s="15"/>
    </row>
    <row r="1215" spans="1:15" ht="18" customHeight="1" x14ac:dyDescent="0.3">
      <c r="A1215" s="29">
        <v>1214</v>
      </c>
      <c r="B1215" s="15" t="s">
        <v>75</v>
      </c>
      <c r="C1215" s="15" t="s">
        <v>34</v>
      </c>
      <c r="D1215" s="69">
        <v>63</v>
      </c>
      <c r="E1215" s="68" t="s">
        <v>305</v>
      </c>
      <c r="F1215" s="16" t="s">
        <v>548</v>
      </c>
      <c r="G1215" s="15" t="s">
        <v>164</v>
      </c>
      <c r="H1215" s="15" t="s">
        <v>908</v>
      </c>
      <c r="I1215" s="69">
        <v>150</v>
      </c>
      <c r="J1215" s="15" t="s">
        <v>2674</v>
      </c>
      <c r="K1215" s="15" t="s">
        <v>903</v>
      </c>
      <c r="L1215" s="15" t="s">
        <v>2673</v>
      </c>
      <c r="M1215" s="15" t="s">
        <v>2672</v>
      </c>
      <c r="N1215" s="15" t="s">
        <v>2673</v>
      </c>
      <c r="O1215" s="15"/>
    </row>
    <row r="1216" spans="1:15" ht="18" customHeight="1" x14ac:dyDescent="0.3">
      <c r="A1216" s="29">
        <v>1215</v>
      </c>
      <c r="B1216" s="15" t="s">
        <v>75</v>
      </c>
      <c r="C1216" s="15" t="s">
        <v>34</v>
      </c>
      <c r="D1216" s="69">
        <v>63</v>
      </c>
      <c r="E1216" s="68" t="s">
        <v>305</v>
      </c>
      <c r="F1216" s="16" t="s">
        <v>548</v>
      </c>
      <c r="G1216" s="15" t="s">
        <v>164</v>
      </c>
      <c r="H1216" s="15" t="s">
        <v>909</v>
      </c>
      <c r="I1216" s="69">
        <v>206</v>
      </c>
      <c r="J1216" s="15" t="s">
        <v>2672</v>
      </c>
      <c r="K1216" s="15" t="s">
        <v>903</v>
      </c>
      <c r="L1216" s="15" t="s">
        <v>2673</v>
      </c>
      <c r="M1216" s="15" t="s">
        <v>2672</v>
      </c>
      <c r="N1216" s="15" t="s">
        <v>2673</v>
      </c>
      <c r="O1216" s="15"/>
    </row>
    <row r="1217" spans="1:15" ht="18" customHeight="1" x14ac:dyDescent="0.3">
      <c r="A1217" s="29">
        <v>1216</v>
      </c>
      <c r="B1217" s="15" t="s">
        <v>2868</v>
      </c>
      <c r="C1217" s="15" t="s">
        <v>2874</v>
      </c>
      <c r="D1217" s="69">
        <v>64</v>
      </c>
      <c r="E1217" s="68" t="s">
        <v>2875</v>
      </c>
      <c r="F1217" s="14" t="s">
        <v>535</v>
      </c>
      <c r="G1217" s="15" t="s">
        <v>164</v>
      </c>
      <c r="H1217" s="15" t="s">
        <v>2685</v>
      </c>
      <c r="I1217" s="69">
        <v>59</v>
      </c>
      <c r="J1217" s="13" t="s">
        <v>2672</v>
      </c>
      <c r="K1217" s="15" t="s">
        <v>2674</v>
      </c>
      <c r="L1217" s="15" t="s">
        <v>2525</v>
      </c>
      <c r="M1217" s="15" t="s">
        <v>2672</v>
      </c>
      <c r="N1217" s="15" t="s">
        <v>2673</v>
      </c>
      <c r="O1217" s="15"/>
    </row>
    <row r="1218" spans="1:15" ht="18" customHeight="1" x14ac:dyDescent="0.3">
      <c r="A1218" s="29">
        <v>1217</v>
      </c>
      <c r="B1218" s="15" t="s">
        <v>2868</v>
      </c>
      <c r="C1218" s="15" t="s">
        <v>2874</v>
      </c>
      <c r="D1218" s="69">
        <v>64</v>
      </c>
      <c r="E1218" s="68" t="s">
        <v>2875</v>
      </c>
      <c r="F1218" s="14" t="s">
        <v>535</v>
      </c>
      <c r="G1218" s="15" t="s">
        <v>164</v>
      </c>
      <c r="H1218" s="15" t="s">
        <v>2678</v>
      </c>
      <c r="I1218" s="69">
        <v>65</v>
      </c>
      <c r="J1218" s="13" t="s">
        <v>2672</v>
      </c>
      <c r="K1218" s="15" t="s">
        <v>2674</v>
      </c>
      <c r="L1218" s="15" t="s">
        <v>2525</v>
      </c>
      <c r="M1218" s="15" t="s">
        <v>2672</v>
      </c>
      <c r="N1218" s="15" t="s">
        <v>2673</v>
      </c>
      <c r="O1218" s="15"/>
    </row>
    <row r="1219" spans="1:15" ht="18" customHeight="1" x14ac:dyDescent="0.3">
      <c r="A1219" s="29">
        <v>1218</v>
      </c>
      <c r="B1219" s="15" t="s">
        <v>2868</v>
      </c>
      <c r="C1219" s="15" t="s">
        <v>2874</v>
      </c>
      <c r="D1219" s="69">
        <v>64</v>
      </c>
      <c r="E1219" s="68" t="s">
        <v>2875</v>
      </c>
      <c r="F1219" s="14" t="s">
        <v>535</v>
      </c>
      <c r="G1219" s="15" t="s">
        <v>164</v>
      </c>
      <c r="H1219" s="15" t="s">
        <v>2679</v>
      </c>
      <c r="I1219" s="69">
        <v>93</v>
      </c>
      <c r="J1219" s="13" t="s">
        <v>2672</v>
      </c>
      <c r="K1219" s="15" t="s">
        <v>2674</v>
      </c>
      <c r="L1219" s="15" t="s">
        <v>2525</v>
      </c>
      <c r="M1219" s="15" t="s">
        <v>2672</v>
      </c>
      <c r="N1219" s="15" t="s">
        <v>2673</v>
      </c>
      <c r="O1219" s="15"/>
    </row>
    <row r="1220" spans="1:15" ht="18" customHeight="1" x14ac:dyDescent="0.3">
      <c r="A1220" s="29">
        <v>1219</v>
      </c>
      <c r="B1220" s="15" t="s">
        <v>2868</v>
      </c>
      <c r="C1220" s="15" t="s">
        <v>2874</v>
      </c>
      <c r="D1220" s="69">
        <v>64</v>
      </c>
      <c r="E1220" s="68" t="s">
        <v>2875</v>
      </c>
      <c r="F1220" s="14" t="s">
        <v>535</v>
      </c>
      <c r="G1220" s="15" t="s">
        <v>164</v>
      </c>
      <c r="H1220" s="15" t="s">
        <v>2680</v>
      </c>
      <c r="I1220" s="69">
        <v>159</v>
      </c>
      <c r="J1220" s="13" t="s">
        <v>2672</v>
      </c>
      <c r="K1220" s="15" t="s">
        <v>903</v>
      </c>
      <c r="L1220" s="15" t="s">
        <v>2673</v>
      </c>
      <c r="M1220" s="15" t="s">
        <v>2672</v>
      </c>
      <c r="N1220" s="15" t="s">
        <v>2673</v>
      </c>
      <c r="O1220" s="15"/>
    </row>
    <row r="1221" spans="1:15" ht="18" customHeight="1" x14ac:dyDescent="0.3">
      <c r="A1221" s="29">
        <v>1220</v>
      </c>
      <c r="B1221" s="15" t="s">
        <v>2868</v>
      </c>
      <c r="C1221" s="15" t="s">
        <v>2874</v>
      </c>
      <c r="D1221" s="69">
        <v>64</v>
      </c>
      <c r="E1221" s="68" t="s">
        <v>2875</v>
      </c>
      <c r="F1221" s="14" t="s">
        <v>535</v>
      </c>
      <c r="G1221" s="15" t="s">
        <v>164</v>
      </c>
      <c r="H1221" s="15" t="s">
        <v>2690</v>
      </c>
      <c r="I1221" s="69">
        <v>59</v>
      </c>
      <c r="J1221" s="13" t="s">
        <v>2672</v>
      </c>
      <c r="K1221" s="15" t="s">
        <v>2674</v>
      </c>
      <c r="L1221" s="15" t="s">
        <v>2525</v>
      </c>
      <c r="M1221" s="15" t="s">
        <v>2672</v>
      </c>
      <c r="N1221" s="15" t="s">
        <v>2673</v>
      </c>
      <c r="O1221" s="15"/>
    </row>
    <row r="1222" spans="1:15" ht="18" customHeight="1" x14ac:dyDescent="0.3">
      <c r="A1222" s="29">
        <v>1221</v>
      </c>
      <c r="B1222" s="15" t="s">
        <v>2868</v>
      </c>
      <c r="C1222" s="15" t="s">
        <v>2874</v>
      </c>
      <c r="D1222" s="69">
        <v>64</v>
      </c>
      <c r="E1222" s="68" t="s">
        <v>2875</v>
      </c>
      <c r="F1222" s="14" t="s">
        <v>535</v>
      </c>
      <c r="G1222" s="15" t="s">
        <v>164</v>
      </c>
      <c r="H1222" s="15" t="s">
        <v>2682</v>
      </c>
      <c r="I1222" s="69">
        <v>65</v>
      </c>
      <c r="J1222" s="13" t="s">
        <v>2674</v>
      </c>
      <c r="K1222" s="15" t="s">
        <v>2674</v>
      </c>
      <c r="L1222" s="15" t="s">
        <v>2525</v>
      </c>
      <c r="M1222" s="15" t="s">
        <v>2672</v>
      </c>
      <c r="N1222" s="15" t="s">
        <v>2673</v>
      </c>
      <c r="O1222" s="15"/>
    </row>
    <row r="1223" spans="1:15" ht="18" customHeight="1" x14ac:dyDescent="0.3">
      <c r="A1223" s="29">
        <v>1222</v>
      </c>
      <c r="B1223" s="15" t="s">
        <v>2868</v>
      </c>
      <c r="C1223" s="15" t="s">
        <v>2874</v>
      </c>
      <c r="D1223" s="69">
        <v>64</v>
      </c>
      <c r="E1223" s="68" t="s">
        <v>2875</v>
      </c>
      <c r="F1223" s="14" t="s">
        <v>535</v>
      </c>
      <c r="G1223" s="15" t="s">
        <v>164</v>
      </c>
      <c r="H1223" s="15" t="s">
        <v>2732</v>
      </c>
      <c r="I1223" s="69">
        <v>104</v>
      </c>
      <c r="J1223" s="13" t="s">
        <v>2672</v>
      </c>
      <c r="K1223" s="15" t="s">
        <v>2674</v>
      </c>
      <c r="L1223" s="15" t="s">
        <v>2525</v>
      </c>
      <c r="M1223" s="15" t="s">
        <v>2672</v>
      </c>
      <c r="N1223" s="15" t="s">
        <v>2673</v>
      </c>
      <c r="O1223" s="15"/>
    </row>
    <row r="1224" spans="1:15" ht="18" customHeight="1" x14ac:dyDescent="0.3">
      <c r="A1224" s="29">
        <v>1223</v>
      </c>
      <c r="B1224" s="15" t="s">
        <v>2868</v>
      </c>
      <c r="C1224" s="15" t="s">
        <v>2874</v>
      </c>
      <c r="D1224" s="69">
        <v>64</v>
      </c>
      <c r="E1224" s="68" t="s">
        <v>2875</v>
      </c>
      <c r="F1224" s="14" t="s">
        <v>535</v>
      </c>
      <c r="G1224" s="15" t="s">
        <v>164</v>
      </c>
      <c r="H1224" s="15" t="s">
        <v>2683</v>
      </c>
      <c r="I1224" s="69">
        <v>129</v>
      </c>
      <c r="J1224" s="13" t="s">
        <v>2672</v>
      </c>
      <c r="K1224" s="15" t="s">
        <v>2674</v>
      </c>
      <c r="L1224" s="15" t="s">
        <v>2525</v>
      </c>
      <c r="M1224" s="15" t="s">
        <v>2672</v>
      </c>
      <c r="N1224" s="15" t="s">
        <v>2673</v>
      </c>
      <c r="O1224" s="15"/>
    </row>
    <row r="1225" spans="1:15" ht="18" customHeight="1" x14ac:dyDescent="0.3">
      <c r="A1225" s="29">
        <v>1224</v>
      </c>
      <c r="B1225" s="15" t="s">
        <v>75</v>
      </c>
      <c r="C1225" s="15" t="s">
        <v>48</v>
      </c>
      <c r="D1225" s="69">
        <v>64</v>
      </c>
      <c r="E1225" s="68" t="s">
        <v>310</v>
      </c>
      <c r="F1225" s="24" t="s">
        <v>540</v>
      </c>
      <c r="G1225" s="15" t="s">
        <v>164</v>
      </c>
      <c r="H1225" s="15" t="s">
        <v>901</v>
      </c>
      <c r="I1225" s="69">
        <v>122</v>
      </c>
      <c r="J1225" s="15" t="s">
        <v>2672</v>
      </c>
      <c r="K1225" s="15" t="s">
        <v>903</v>
      </c>
      <c r="L1225" s="15" t="s">
        <v>2673</v>
      </c>
      <c r="M1225" s="15" t="s">
        <v>2672</v>
      </c>
      <c r="N1225" s="15" t="s">
        <v>2673</v>
      </c>
      <c r="O1225" s="15"/>
    </row>
    <row r="1226" spans="1:15" ht="18" customHeight="1" x14ac:dyDescent="0.3">
      <c r="A1226" s="29">
        <v>1225</v>
      </c>
      <c r="B1226" s="15" t="s">
        <v>75</v>
      </c>
      <c r="C1226" s="15" t="s">
        <v>48</v>
      </c>
      <c r="D1226" s="69">
        <v>64</v>
      </c>
      <c r="E1226" s="68" t="s">
        <v>310</v>
      </c>
      <c r="F1226" s="24" t="s">
        <v>540</v>
      </c>
      <c r="G1226" s="15" t="s">
        <v>164</v>
      </c>
      <c r="H1226" s="15" t="s">
        <v>904</v>
      </c>
      <c r="I1226" s="69">
        <v>122</v>
      </c>
      <c r="J1226" s="15" t="s">
        <v>2672</v>
      </c>
      <c r="K1226" s="15" t="s">
        <v>903</v>
      </c>
      <c r="L1226" s="15" t="s">
        <v>2673</v>
      </c>
      <c r="M1226" s="15" t="s">
        <v>2672</v>
      </c>
      <c r="N1226" s="15" t="s">
        <v>2673</v>
      </c>
      <c r="O1226" s="15"/>
    </row>
    <row r="1227" spans="1:15" ht="18" customHeight="1" x14ac:dyDescent="0.3">
      <c r="A1227" s="29">
        <v>1226</v>
      </c>
      <c r="B1227" s="15" t="s">
        <v>75</v>
      </c>
      <c r="C1227" s="15" t="s">
        <v>48</v>
      </c>
      <c r="D1227" s="69">
        <v>64</v>
      </c>
      <c r="E1227" s="68" t="s">
        <v>310</v>
      </c>
      <c r="F1227" s="24" t="s">
        <v>540</v>
      </c>
      <c r="G1227" s="15" t="s">
        <v>164</v>
      </c>
      <c r="H1227" s="15" t="s">
        <v>905</v>
      </c>
      <c r="I1227" s="69">
        <v>122</v>
      </c>
      <c r="J1227" s="15" t="s">
        <v>2672</v>
      </c>
      <c r="K1227" s="15" t="s">
        <v>903</v>
      </c>
      <c r="L1227" s="15" t="s">
        <v>2673</v>
      </c>
      <c r="M1227" s="15" t="s">
        <v>2672</v>
      </c>
      <c r="N1227" s="15" t="s">
        <v>2673</v>
      </c>
      <c r="O1227" s="15"/>
    </row>
    <row r="1228" spans="1:15" ht="18" customHeight="1" x14ac:dyDescent="0.3">
      <c r="A1228" s="29">
        <v>1227</v>
      </c>
      <c r="B1228" s="15" t="s">
        <v>75</v>
      </c>
      <c r="C1228" s="15" t="s">
        <v>48</v>
      </c>
      <c r="D1228" s="69">
        <v>64</v>
      </c>
      <c r="E1228" s="68" t="s">
        <v>310</v>
      </c>
      <c r="F1228" s="24" t="s">
        <v>540</v>
      </c>
      <c r="G1228" s="15" t="s">
        <v>164</v>
      </c>
      <c r="H1228" s="15" t="s">
        <v>906</v>
      </c>
      <c r="I1228" s="69">
        <v>177</v>
      </c>
      <c r="J1228" s="15" t="s">
        <v>2674</v>
      </c>
      <c r="K1228" s="15" t="s">
        <v>903</v>
      </c>
      <c r="L1228" s="15" t="s">
        <v>2673</v>
      </c>
      <c r="M1228" s="15" t="s">
        <v>2672</v>
      </c>
      <c r="N1228" s="15" t="s">
        <v>2673</v>
      </c>
      <c r="O1228" s="15"/>
    </row>
    <row r="1229" spans="1:15" ht="18" customHeight="1" x14ac:dyDescent="0.3">
      <c r="A1229" s="29">
        <v>1228</v>
      </c>
      <c r="B1229" s="15" t="s">
        <v>75</v>
      </c>
      <c r="C1229" s="15" t="s">
        <v>48</v>
      </c>
      <c r="D1229" s="69">
        <v>64</v>
      </c>
      <c r="E1229" s="68" t="s">
        <v>310</v>
      </c>
      <c r="F1229" s="24" t="s">
        <v>540</v>
      </c>
      <c r="G1229" s="15" t="s">
        <v>164</v>
      </c>
      <c r="H1229" s="15" t="s">
        <v>907</v>
      </c>
      <c r="I1229" s="69">
        <v>122</v>
      </c>
      <c r="J1229" s="15" t="s">
        <v>2672</v>
      </c>
      <c r="K1229" s="15" t="s">
        <v>903</v>
      </c>
      <c r="L1229" s="15" t="s">
        <v>2673</v>
      </c>
      <c r="M1229" s="15" t="s">
        <v>2672</v>
      </c>
      <c r="N1229" s="15" t="s">
        <v>2673</v>
      </c>
      <c r="O1229" s="15"/>
    </row>
    <row r="1230" spans="1:15" ht="18" customHeight="1" x14ac:dyDescent="0.3">
      <c r="A1230" s="29">
        <v>1229</v>
      </c>
      <c r="B1230" s="15" t="s">
        <v>75</v>
      </c>
      <c r="C1230" s="15" t="s">
        <v>48</v>
      </c>
      <c r="D1230" s="69">
        <v>64</v>
      </c>
      <c r="E1230" s="68" t="s">
        <v>310</v>
      </c>
      <c r="F1230" s="24" t="s">
        <v>540</v>
      </c>
      <c r="G1230" s="15" t="s">
        <v>164</v>
      </c>
      <c r="H1230" s="15" t="s">
        <v>908</v>
      </c>
      <c r="I1230" s="69">
        <v>122</v>
      </c>
      <c r="J1230" s="15" t="s">
        <v>2672</v>
      </c>
      <c r="K1230" s="15" t="s">
        <v>903</v>
      </c>
      <c r="L1230" s="15" t="s">
        <v>2673</v>
      </c>
      <c r="M1230" s="15" t="s">
        <v>2672</v>
      </c>
      <c r="N1230" s="15" t="s">
        <v>2673</v>
      </c>
      <c r="O1230" s="15"/>
    </row>
    <row r="1231" spans="1:15" ht="18" customHeight="1" x14ac:dyDescent="0.3">
      <c r="A1231" s="29">
        <v>1230</v>
      </c>
      <c r="B1231" s="15" t="s">
        <v>75</v>
      </c>
      <c r="C1231" s="15" t="s">
        <v>48</v>
      </c>
      <c r="D1231" s="69">
        <v>64</v>
      </c>
      <c r="E1231" s="68" t="s">
        <v>310</v>
      </c>
      <c r="F1231" s="24" t="s">
        <v>540</v>
      </c>
      <c r="G1231" s="15" t="s">
        <v>164</v>
      </c>
      <c r="H1231" s="15" t="s">
        <v>909</v>
      </c>
      <c r="I1231" s="69">
        <v>122</v>
      </c>
      <c r="J1231" s="15" t="s">
        <v>2672</v>
      </c>
      <c r="K1231" s="15" t="s">
        <v>903</v>
      </c>
      <c r="L1231" s="15" t="s">
        <v>2673</v>
      </c>
      <c r="M1231" s="15" t="s">
        <v>2672</v>
      </c>
      <c r="N1231" s="15" t="s">
        <v>2673</v>
      </c>
      <c r="O1231" s="15"/>
    </row>
    <row r="1232" spans="1:15" ht="18" customHeight="1" x14ac:dyDescent="0.3">
      <c r="A1232" s="29">
        <v>1231</v>
      </c>
      <c r="B1232" s="15" t="s">
        <v>75</v>
      </c>
      <c r="C1232" s="15" t="s">
        <v>48</v>
      </c>
      <c r="D1232" s="69">
        <v>64</v>
      </c>
      <c r="E1232" s="68" t="s">
        <v>310</v>
      </c>
      <c r="F1232" s="24" t="s">
        <v>540</v>
      </c>
      <c r="G1232" s="15" t="s">
        <v>164</v>
      </c>
      <c r="H1232" s="15" t="s">
        <v>910</v>
      </c>
      <c r="I1232" s="69">
        <v>122</v>
      </c>
      <c r="J1232" s="15" t="s">
        <v>2672</v>
      </c>
      <c r="K1232" s="15" t="s">
        <v>903</v>
      </c>
      <c r="L1232" s="15" t="s">
        <v>2673</v>
      </c>
      <c r="M1232" s="15" t="s">
        <v>2672</v>
      </c>
      <c r="N1232" s="15" t="s">
        <v>2673</v>
      </c>
      <c r="O1232" s="15"/>
    </row>
    <row r="1233" spans="1:15" ht="18" customHeight="1" x14ac:dyDescent="0.3">
      <c r="A1233" s="29">
        <v>1232</v>
      </c>
      <c r="B1233" s="15" t="s">
        <v>75</v>
      </c>
      <c r="C1233" s="15" t="s">
        <v>48</v>
      </c>
      <c r="D1233" s="69">
        <v>64</v>
      </c>
      <c r="E1233" s="68" t="s">
        <v>310</v>
      </c>
      <c r="F1233" s="24" t="s">
        <v>540</v>
      </c>
      <c r="G1233" s="15" t="s">
        <v>164</v>
      </c>
      <c r="H1233" s="15" t="s">
        <v>911</v>
      </c>
      <c r="I1233" s="69">
        <v>126</v>
      </c>
      <c r="J1233" s="15" t="s">
        <v>2674</v>
      </c>
      <c r="K1233" s="15" t="s">
        <v>903</v>
      </c>
      <c r="L1233" s="15" t="s">
        <v>2673</v>
      </c>
      <c r="M1233" s="15" t="s">
        <v>2672</v>
      </c>
      <c r="N1233" s="15" t="s">
        <v>2673</v>
      </c>
      <c r="O1233" s="15"/>
    </row>
    <row r="1234" spans="1:15" ht="18" customHeight="1" x14ac:dyDescent="0.3">
      <c r="A1234" s="29">
        <v>1233</v>
      </c>
      <c r="B1234" s="15" t="s">
        <v>75</v>
      </c>
      <c r="C1234" s="15" t="s">
        <v>48</v>
      </c>
      <c r="D1234" s="69">
        <v>64</v>
      </c>
      <c r="E1234" s="68" t="s">
        <v>3303</v>
      </c>
      <c r="F1234" s="16" t="s">
        <v>534</v>
      </c>
      <c r="G1234" s="15" t="s">
        <v>154</v>
      </c>
      <c r="H1234" s="15" t="s">
        <v>901</v>
      </c>
      <c r="I1234" s="69">
        <v>136</v>
      </c>
      <c r="J1234" s="15" t="s">
        <v>2672</v>
      </c>
      <c r="K1234" s="15" t="s">
        <v>903</v>
      </c>
      <c r="L1234" s="15" t="s">
        <v>2673</v>
      </c>
      <c r="M1234" s="15" t="s">
        <v>2672</v>
      </c>
      <c r="N1234" s="15" t="s">
        <v>2673</v>
      </c>
      <c r="O1234" s="15"/>
    </row>
    <row r="1235" spans="1:15" ht="18" customHeight="1" x14ac:dyDescent="0.3">
      <c r="A1235" s="29">
        <v>1234</v>
      </c>
      <c r="B1235" s="15" t="s">
        <v>75</v>
      </c>
      <c r="C1235" s="15" t="s">
        <v>48</v>
      </c>
      <c r="D1235" s="69">
        <v>64</v>
      </c>
      <c r="E1235" s="68" t="s">
        <v>3303</v>
      </c>
      <c r="F1235" s="16" t="s">
        <v>534</v>
      </c>
      <c r="G1235" s="15" t="s">
        <v>154</v>
      </c>
      <c r="H1235" s="15" t="s">
        <v>904</v>
      </c>
      <c r="I1235" s="69">
        <v>118</v>
      </c>
      <c r="J1235" s="15" t="s">
        <v>2672</v>
      </c>
      <c r="K1235" s="15" t="s">
        <v>903</v>
      </c>
      <c r="L1235" s="15" t="s">
        <v>2673</v>
      </c>
      <c r="M1235" s="15" t="s">
        <v>2672</v>
      </c>
      <c r="N1235" s="15" t="s">
        <v>2673</v>
      </c>
      <c r="O1235" s="15"/>
    </row>
    <row r="1236" spans="1:15" ht="18" customHeight="1" x14ac:dyDescent="0.3">
      <c r="A1236" s="29">
        <v>1235</v>
      </c>
      <c r="B1236" s="15" t="s">
        <v>75</v>
      </c>
      <c r="C1236" s="15" t="s">
        <v>48</v>
      </c>
      <c r="D1236" s="69">
        <v>64</v>
      </c>
      <c r="E1236" s="68" t="s">
        <v>3303</v>
      </c>
      <c r="F1236" s="16" t="s">
        <v>534</v>
      </c>
      <c r="G1236" s="15" t="s">
        <v>154</v>
      </c>
      <c r="H1236" s="15" t="s">
        <v>905</v>
      </c>
      <c r="I1236" s="69">
        <v>157</v>
      </c>
      <c r="J1236" s="15" t="s">
        <v>2674</v>
      </c>
      <c r="K1236" s="15" t="s">
        <v>903</v>
      </c>
      <c r="L1236" s="15" t="s">
        <v>2673</v>
      </c>
      <c r="M1236" s="15" t="s">
        <v>2672</v>
      </c>
      <c r="N1236" s="15" t="s">
        <v>2673</v>
      </c>
      <c r="O1236" s="15"/>
    </row>
    <row r="1237" spans="1:15" ht="18" customHeight="1" x14ac:dyDescent="0.3">
      <c r="A1237" s="29">
        <v>1236</v>
      </c>
      <c r="B1237" s="15" t="s">
        <v>75</v>
      </c>
      <c r="C1237" s="15" t="s">
        <v>48</v>
      </c>
      <c r="D1237" s="69">
        <v>64</v>
      </c>
      <c r="E1237" s="68" t="s">
        <v>3303</v>
      </c>
      <c r="F1237" s="16" t="s">
        <v>534</v>
      </c>
      <c r="G1237" s="15" t="s">
        <v>154</v>
      </c>
      <c r="H1237" s="15" t="s">
        <v>906</v>
      </c>
      <c r="I1237" s="69">
        <v>174</v>
      </c>
      <c r="J1237" s="15" t="s">
        <v>2674</v>
      </c>
      <c r="K1237" s="15" t="s">
        <v>903</v>
      </c>
      <c r="L1237" s="15" t="s">
        <v>2673</v>
      </c>
      <c r="M1237" s="15" t="s">
        <v>2672</v>
      </c>
      <c r="N1237" s="15" t="s">
        <v>2673</v>
      </c>
      <c r="O1237" s="15"/>
    </row>
    <row r="1238" spans="1:15" ht="18" customHeight="1" x14ac:dyDescent="0.3">
      <c r="A1238" s="29">
        <v>1237</v>
      </c>
      <c r="B1238" s="15" t="s">
        <v>75</v>
      </c>
      <c r="C1238" s="15" t="s">
        <v>48</v>
      </c>
      <c r="D1238" s="69">
        <v>64</v>
      </c>
      <c r="E1238" s="68" t="s">
        <v>3303</v>
      </c>
      <c r="F1238" s="16" t="s">
        <v>534</v>
      </c>
      <c r="G1238" s="15" t="s">
        <v>154</v>
      </c>
      <c r="H1238" s="15" t="s">
        <v>907</v>
      </c>
      <c r="I1238" s="69">
        <v>113</v>
      </c>
      <c r="J1238" s="15" t="s">
        <v>2672</v>
      </c>
      <c r="K1238" s="15" t="s">
        <v>903</v>
      </c>
      <c r="L1238" s="15" t="s">
        <v>2673</v>
      </c>
      <c r="M1238" s="15" t="s">
        <v>2672</v>
      </c>
      <c r="N1238" s="15" t="s">
        <v>2673</v>
      </c>
      <c r="O1238" s="15"/>
    </row>
    <row r="1239" spans="1:15" ht="18" customHeight="1" x14ac:dyDescent="0.3">
      <c r="A1239" s="29">
        <v>1238</v>
      </c>
      <c r="B1239" s="15" t="s">
        <v>75</v>
      </c>
      <c r="C1239" s="15" t="s">
        <v>48</v>
      </c>
      <c r="D1239" s="69">
        <v>64</v>
      </c>
      <c r="E1239" s="68" t="s">
        <v>3303</v>
      </c>
      <c r="F1239" s="16" t="s">
        <v>534</v>
      </c>
      <c r="G1239" s="15" t="s">
        <v>154</v>
      </c>
      <c r="H1239" s="15" t="s">
        <v>908</v>
      </c>
      <c r="I1239" s="69">
        <v>137</v>
      </c>
      <c r="J1239" s="15" t="s">
        <v>2674</v>
      </c>
      <c r="K1239" s="15" t="s">
        <v>903</v>
      </c>
      <c r="L1239" s="15" t="s">
        <v>2673</v>
      </c>
      <c r="M1239" s="15" t="s">
        <v>2672</v>
      </c>
      <c r="N1239" s="15" t="s">
        <v>2673</v>
      </c>
      <c r="O1239" s="15"/>
    </row>
    <row r="1240" spans="1:15" ht="18" customHeight="1" x14ac:dyDescent="0.3">
      <c r="A1240" s="29">
        <v>1239</v>
      </c>
      <c r="B1240" s="15" t="s">
        <v>75</v>
      </c>
      <c r="C1240" s="15" t="s">
        <v>48</v>
      </c>
      <c r="D1240" s="69">
        <v>64</v>
      </c>
      <c r="E1240" s="68" t="s">
        <v>3304</v>
      </c>
      <c r="F1240" s="16" t="s">
        <v>533</v>
      </c>
      <c r="G1240" s="15" t="s">
        <v>154</v>
      </c>
      <c r="H1240" s="15" t="s">
        <v>901</v>
      </c>
      <c r="I1240" s="69">
        <v>177</v>
      </c>
      <c r="J1240" s="15" t="s">
        <v>2672</v>
      </c>
      <c r="K1240" s="15" t="s">
        <v>903</v>
      </c>
      <c r="L1240" s="15" t="s">
        <v>2673</v>
      </c>
      <c r="M1240" s="15" t="s">
        <v>2672</v>
      </c>
      <c r="N1240" s="15" t="s">
        <v>2673</v>
      </c>
      <c r="O1240" s="15"/>
    </row>
    <row r="1241" spans="1:15" ht="18" customHeight="1" x14ac:dyDescent="0.3">
      <c r="A1241" s="29">
        <v>1240</v>
      </c>
      <c r="B1241" s="15" t="s">
        <v>75</v>
      </c>
      <c r="C1241" s="15" t="s">
        <v>48</v>
      </c>
      <c r="D1241" s="69">
        <v>64</v>
      </c>
      <c r="E1241" s="68" t="s">
        <v>3304</v>
      </c>
      <c r="F1241" s="16" t="s">
        <v>533</v>
      </c>
      <c r="G1241" s="15" t="s">
        <v>154</v>
      </c>
      <c r="H1241" s="15" t="s">
        <v>904</v>
      </c>
      <c r="I1241" s="69">
        <v>122</v>
      </c>
      <c r="J1241" s="15" t="s">
        <v>2672</v>
      </c>
      <c r="K1241" s="15" t="s">
        <v>903</v>
      </c>
      <c r="L1241" s="15" t="s">
        <v>2673</v>
      </c>
      <c r="M1241" s="15" t="s">
        <v>2672</v>
      </c>
      <c r="N1241" s="15" t="s">
        <v>2673</v>
      </c>
      <c r="O1241" s="15"/>
    </row>
    <row r="1242" spans="1:15" ht="18" customHeight="1" x14ac:dyDescent="0.3">
      <c r="A1242" s="29">
        <v>1241</v>
      </c>
      <c r="B1242" s="15" t="s">
        <v>75</v>
      </c>
      <c r="C1242" s="15" t="s">
        <v>48</v>
      </c>
      <c r="D1242" s="69">
        <v>64</v>
      </c>
      <c r="E1242" s="68" t="s">
        <v>3304</v>
      </c>
      <c r="F1242" s="16" t="s">
        <v>533</v>
      </c>
      <c r="G1242" s="15" t="s">
        <v>154</v>
      </c>
      <c r="H1242" s="15" t="s">
        <v>905</v>
      </c>
      <c r="I1242" s="69">
        <v>122</v>
      </c>
      <c r="J1242" s="15" t="s">
        <v>2672</v>
      </c>
      <c r="K1242" s="15" t="s">
        <v>903</v>
      </c>
      <c r="L1242" s="15" t="s">
        <v>2673</v>
      </c>
      <c r="M1242" s="15" t="s">
        <v>2672</v>
      </c>
      <c r="N1242" s="15" t="s">
        <v>2673</v>
      </c>
      <c r="O1242" s="15"/>
    </row>
    <row r="1243" spans="1:15" ht="18" customHeight="1" x14ac:dyDescent="0.3">
      <c r="A1243" s="29">
        <v>1242</v>
      </c>
      <c r="B1243" s="15" t="s">
        <v>75</v>
      </c>
      <c r="C1243" s="15" t="s">
        <v>48</v>
      </c>
      <c r="D1243" s="69">
        <v>64</v>
      </c>
      <c r="E1243" s="68" t="s">
        <v>3304</v>
      </c>
      <c r="F1243" s="16" t="s">
        <v>533</v>
      </c>
      <c r="G1243" s="15" t="s">
        <v>154</v>
      </c>
      <c r="H1243" s="15" t="s">
        <v>907</v>
      </c>
      <c r="I1243" s="69">
        <v>177</v>
      </c>
      <c r="J1243" s="15" t="s">
        <v>2672</v>
      </c>
      <c r="K1243" s="15" t="s">
        <v>903</v>
      </c>
      <c r="L1243" s="15" t="s">
        <v>2673</v>
      </c>
      <c r="M1243" s="15" t="s">
        <v>2672</v>
      </c>
      <c r="N1243" s="15" t="s">
        <v>2673</v>
      </c>
      <c r="O1243" s="15"/>
    </row>
    <row r="1244" spans="1:15" ht="18" customHeight="1" x14ac:dyDescent="0.3">
      <c r="A1244" s="29">
        <v>1243</v>
      </c>
      <c r="B1244" s="15" t="s">
        <v>75</v>
      </c>
      <c r="C1244" s="15" t="s">
        <v>48</v>
      </c>
      <c r="D1244" s="69">
        <v>64</v>
      </c>
      <c r="E1244" s="68" t="s">
        <v>3304</v>
      </c>
      <c r="F1244" s="16" t="s">
        <v>533</v>
      </c>
      <c r="G1244" s="15" t="s">
        <v>154</v>
      </c>
      <c r="H1244" s="15" t="s">
        <v>908</v>
      </c>
      <c r="I1244" s="69">
        <v>108</v>
      </c>
      <c r="J1244" s="15" t="s">
        <v>2674</v>
      </c>
      <c r="K1244" s="15" t="s">
        <v>903</v>
      </c>
      <c r="L1244" s="15" t="s">
        <v>2673</v>
      </c>
      <c r="M1244" s="15" t="s">
        <v>2672</v>
      </c>
      <c r="N1244" s="15" t="s">
        <v>2673</v>
      </c>
      <c r="O1244" s="15"/>
    </row>
    <row r="1245" spans="1:15" ht="18" customHeight="1" x14ac:dyDescent="0.3">
      <c r="A1245" s="29">
        <v>1244</v>
      </c>
      <c r="B1245" s="15" t="s">
        <v>75</v>
      </c>
      <c r="C1245" s="15" t="s">
        <v>48</v>
      </c>
      <c r="D1245" s="69">
        <v>64</v>
      </c>
      <c r="E1245" s="68" t="s">
        <v>3304</v>
      </c>
      <c r="F1245" s="16" t="s">
        <v>533</v>
      </c>
      <c r="G1245" s="15" t="s">
        <v>154</v>
      </c>
      <c r="H1245" s="15" t="s">
        <v>909</v>
      </c>
      <c r="I1245" s="69">
        <v>122</v>
      </c>
      <c r="J1245" s="15" t="s">
        <v>2672</v>
      </c>
      <c r="K1245" s="15" t="s">
        <v>903</v>
      </c>
      <c r="L1245" s="15" t="s">
        <v>2673</v>
      </c>
      <c r="M1245" s="15" t="s">
        <v>2672</v>
      </c>
      <c r="N1245" s="15" t="s">
        <v>2673</v>
      </c>
      <c r="O1245" s="15"/>
    </row>
    <row r="1246" spans="1:15" ht="18" customHeight="1" x14ac:dyDescent="0.3">
      <c r="A1246" s="29">
        <v>1245</v>
      </c>
      <c r="B1246" s="15" t="s">
        <v>75</v>
      </c>
      <c r="C1246" s="15" t="s">
        <v>48</v>
      </c>
      <c r="D1246" s="69">
        <v>64</v>
      </c>
      <c r="E1246" s="68" t="s">
        <v>3304</v>
      </c>
      <c r="F1246" s="16" t="s">
        <v>533</v>
      </c>
      <c r="G1246" s="15" t="s">
        <v>154</v>
      </c>
      <c r="H1246" s="15" t="s">
        <v>910</v>
      </c>
      <c r="I1246" s="69">
        <v>122</v>
      </c>
      <c r="J1246" s="15" t="s">
        <v>2672</v>
      </c>
      <c r="K1246" s="15" t="s">
        <v>903</v>
      </c>
      <c r="L1246" s="15" t="s">
        <v>2673</v>
      </c>
      <c r="M1246" s="15" t="s">
        <v>2672</v>
      </c>
      <c r="N1246" s="15" t="s">
        <v>2673</v>
      </c>
      <c r="O1246" s="15"/>
    </row>
    <row r="1247" spans="1:15" ht="18" customHeight="1" x14ac:dyDescent="0.3">
      <c r="A1247" s="29">
        <v>1246</v>
      </c>
      <c r="B1247" s="15" t="s">
        <v>75</v>
      </c>
      <c r="C1247" s="15" t="s">
        <v>48</v>
      </c>
      <c r="D1247" s="69">
        <v>64</v>
      </c>
      <c r="E1247" s="68" t="s">
        <v>3304</v>
      </c>
      <c r="F1247" s="16" t="s">
        <v>533</v>
      </c>
      <c r="G1247" s="15" t="s">
        <v>154</v>
      </c>
      <c r="H1247" s="15" t="s">
        <v>911</v>
      </c>
      <c r="I1247" s="69">
        <v>149</v>
      </c>
      <c r="J1247" s="15" t="s">
        <v>2674</v>
      </c>
      <c r="K1247" s="15" t="s">
        <v>903</v>
      </c>
      <c r="L1247" s="15" t="s">
        <v>2673</v>
      </c>
      <c r="M1247" s="15" t="s">
        <v>2672</v>
      </c>
      <c r="N1247" s="15" t="s">
        <v>2673</v>
      </c>
      <c r="O1247" s="15"/>
    </row>
    <row r="1248" spans="1:15" ht="18" customHeight="1" x14ac:dyDescent="0.3">
      <c r="A1248" s="29">
        <v>1247</v>
      </c>
      <c r="B1248" s="15" t="s">
        <v>75</v>
      </c>
      <c r="C1248" s="15" t="s">
        <v>48</v>
      </c>
      <c r="D1248" s="69">
        <v>64</v>
      </c>
      <c r="E1248" s="68" t="s">
        <v>3304</v>
      </c>
      <c r="F1248" s="16" t="s">
        <v>1209</v>
      </c>
      <c r="G1248" s="15" t="s">
        <v>154</v>
      </c>
      <c r="H1248" s="15" t="s">
        <v>906</v>
      </c>
      <c r="I1248" s="69">
        <v>120</v>
      </c>
      <c r="J1248" s="15" t="s">
        <v>2674</v>
      </c>
      <c r="K1248" s="15" t="s">
        <v>902</v>
      </c>
      <c r="L1248" s="15" t="s">
        <v>208</v>
      </c>
      <c r="M1248" s="15" t="s">
        <v>2672</v>
      </c>
      <c r="N1248" s="15" t="s">
        <v>2673</v>
      </c>
      <c r="O1248" s="15"/>
    </row>
    <row r="1249" spans="1:15" ht="18" customHeight="1" x14ac:dyDescent="0.3">
      <c r="A1249" s="29">
        <v>1248</v>
      </c>
      <c r="B1249" s="15" t="s">
        <v>75</v>
      </c>
      <c r="C1249" s="15" t="s">
        <v>48</v>
      </c>
      <c r="D1249" s="69">
        <v>64</v>
      </c>
      <c r="E1249" s="68" t="s">
        <v>255</v>
      </c>
      <c r="F1249" s="14" t="s">
        <v>536</v>
      </c>
      <c r="G1249" s="15" t="s">
        <v>154</v>
      </c>
      <c r="H1249" s="15" t="s">
        <v>901</v>
      </c>
      <c r="I1249" s="69">
        <v>224</v>
      </c>
      <c r="J1249" s="13" t="s">
        <v>2672</v>
      </c>
      <c r="K1249" s="15" t="s">
        <v>903</v>
      </c>
      <c r="L1249" s="15" t="s">
        <v>2673</v>
      </c>
      <c r="M1249" s="15" t="s">
        <v>2672</v>
      </c>
      <c r="N1249" s="15" t="s">
        <v>2673</v>
      </c>
      <c r="O1249" s="15"/>
    </row>
    <row r="1250" spans="1:15" ht="18" customHeight="1" x14ac:dyDescent="0.3">
      <c r="A1250" s="29">
        <v>1249</v>
      </c>
      <c r="B1250" s="15" t="s">
        <v>75</v>
      </c>
      <c r="C1250" s="15" t="s">
        <v>48</v>
      </c>
      <c r="D1250" s="69">
        <v>64</v>
      </c>
      <c r="E1250" s="68" t="s">
        <v>255</v>
      </c>
      <c r="F1250" s="14" t="s">
        <v>536</v>
      </c>
      <c r="G1250" s="15" t="s">
        <v>154</v>
      </c>
      <c r="H1250" s="15" t="s">
        <v>904</v>
      </c>
      <c r="I1250" s="69">
        <v>224</v>
      </c>
      <c r="J1250" s="13" t="s">
        <v>902</v>
      </c>
      <c r="K1250" s="15" t="s">
        <v>903</v>
      </c>
      <c r="L1250" s="15" t="s">
        <v>2673</v>
      </c>
      <c r="M1250" s="15" t="s">
        <v>2672</v>
      </c>
      <c r="N1250" s="15" t="s">
        <v>2673</v>
      </c>
      <c r="O1250" s="15"/>
    </row>
    <row r="1251" spans="1:15" ht="18" customHeight="1" x14ac:dyDescent="0.3">
      <c r="A1251" s="29">
        <v>1250</v>
      </c>
      <c r="B1251" s="15" t="s">
        <v>75</v>
      </c>
      <c r="C1251" s="15" t="s">
        <v>48</v>
      </c>
      <c r="D1251" s="69">
        <v>64</v>
      </c>
      <c r="E1251" s="68" t="s">
        <v>255</v>
      </c>
      <c r="F1251" s="14" t="s">
        <v>536</v>
      </c>
      <c r="G1251" s="15" t="s">
        <v>154</v>
      </c>
      <c r="H1251" s="15" t="s">
        <v>905</v>
      </c>
      <c r="I1251" s="69">
        <v>144</v>
      </c>
      <c r="J1251" s="13" t="s">
        <v>2672</v>
      </c>
      <c r="K1251" s="15" t="s">
        <v>903</v>
      </c>
      <c r="L1251" s="15" t="s">
        <v>2673</v>
      </c>
      <c r="M1251" s="15" t="s">
        <v>2672</v>
      </c>
      <c r="N1251" s="15" t="s">
        <v>2673</v>
      </c>
      <c r="O1251" s="15"/>
    </row>
    <row r="1252" spans="1:15" ht="18" customHeight="1" x14ac:dyDescent="0.3">
      <c r="A1252" s="29">
        <v>1251</v>
      </c>
      <c r="B1252" s="15" t="s">
        <v>75</v>
      </c>
      <c r="C1252" s="15" t="s">
        <v>48</v>
      </c>
      <c r="D1252" s="69">
        <v>64</v>
      </c>
      <c r="E1252" s="68" t="s">
        <v>255</v>
      </c>
      <c r="F1252" s="14" t="s">
        <v>536</v>
      </c>
      <c r="G1252" s="15" t="s">
        <v>154</v>
      </c>
      <c r="H1252" s="15" t="s">
        <v>906</v>
      </c>
      <c r="I1252" s="69">
        <v>174</v>
      </c>
      <c r="J1252" s="13" t="s">
        <v>902</v>
      </c>
      <c r="K1252" s="15" t="s">
        <v>903</v>
      </c>
      <c r="L1252" s="15" t="s">
        <v>2673</v>
      </c>
      <c r="M1252" s="15" t="s">
        <v>2672</v>
      </c>
      <c r="N1252" s="15" t="s">
        <v>2673</v>
      </c>
      <c r="O1252" s="15"/>
    </row>
    <row r="1253" spans="1:15" ht="18" customHeight="1" x14ac:dyDescent="0.3">
      <c r="A1253" s="29">
        <v>1252</v>
      </c>
      <c r="B1253" s="15" t="s">
        <v>75</v>
      </c>
      <c r="C1253" s="15" t="s">
        <v>48</v>
      </c>
      <c r="D1253" s="69">
        <v>64</v>
      </c>
      <c r="E1253" s="68" t="s">
        <v>255</v>
      </c>
      <c r="F1253" s="14" t="s">
        <v>536</v>
      </c>
      <c r="G1253" s="15" t="s">
        <v>154</v>
      </c>
      <c r="H1253" s="15" t="s">
        <v>907</v>
      </c>
      <c r="I1253" s="69">
        <v>384</v>
      </c>
      <c r="J1253" s="13" t="s">
        <v>902</v>
      </c>
      <c r="K1253" s="15" t="s">
        <v>903</v>
      </c>
      <c r="L1253" s="15" t="s">
        <v>2673</v>
      </c>
      <c r="M1253" s="15" t="s">
        <v>2672</v>
      </c>
      <c r="N1253" s="15" t="s">
        <v>2673</v>
      </c>
      <c r="O1253" s="15" t="s">
        <v>2876</v>
      </c>
    </row>
    <row r="1254" spans="1:15" ht="18" customHeight="1" x14ac:dyDescent="0.3">
      <c r="A1254" s="29">
        <v>1253</v>
      </c>
      <c r="B1254" s="15" t="s">
        <v>75</v>
      </c>
      <c r="C1254" s="15" t="s">
        <v>48</v>
      </c>
      <c r="D1254" s="69">
        <v>64</v>
      </c>
      <c r="E1254" s="68" t="s">
        <v>255</v>
      </c>
      <c r="F1254" s="14" t="s">
        <v>536</v>
      </c>
      <c r="G1254" s="15" t="s">
        <v>154</v>
      </c>
      <c r="H1254" s="15" t="s">
        <v>909</v>
      </c>
      <c r="I1254" s="69">
        <v>142</v>
      </c>
      <c r="J1254" s="13" t="s">
        <v>2672</v>
      </c>
      <c r="K1254" s="15" t="s">
        <v>903</v>
      </c>
      <c r="L1254" s="15" t="s">
        <v>2673</v>
      </c>
      <c r="M1254" s="15" t="s">
        <v>2672</v>
      </c>
      <c r="N1254" s="15" t="s">
        <v>2673</v>
      </c>
      <c r="O1254" s="15"/>
    </row>
    <row r="1255" spans="1:15" ht="18" customHeight="1" x14ac:dyDescent="0.3">
      <c r="A1255" s="29">
        <v>1254</v>
      </c>
      <c r="B1255" s="15" t="s">
        <v>75</v>
      </c>
      <c r="C1255" s="15" t="s">
        <v>48</v>
      </c>
      <c r="D1255" s="69">
        <v>64</v>
      </c>
      <c r="E1255" s="68" t="s">
        <v>255</v>
      </c>
      <c r="F1255" s="14" t="s">
        <v>1210</v>
      </c>
      <c r="G1255" s="15" t="s">
        <v>154</v>
      </c>
      <c r="H1255" s="15" t="s">
        <v>908</v>
      </c>
      <c r="I1255" s="69">
        <v>105</v>
      </c>
      <c r="J1255" s="13" t="s">
        <v>902</v>
      </c>
      <c r="K1255" s="15" t="s">
        <v>2674</v>
      </c>
      <c r="L1255" s="15" t="s">
        <v>1577</v>
      </c>
      <c r="M1255" s="15" t="s">
        <v>2672</v>
      </c>
      <c r="N1255" s="15" t="s">
        <v>2673</v>
      </c>
      <c r="O1255" s="15"/>
    </row>
    <row r="1256" spans="1:15" ht="18" customHeight="1" x14ac:dyDescent="0.3">
      <c r="A1256" s="29">
        <v>1255</v>
      </c>
      <c r="B1256" s="15" t="s">
        <v>75</v>
      </c>
      <c r="C1256" s="15" t="s">
        <v>48</v>
      </c>
      <c r="D1256" s="69">
        <v>64</v>
      </c>
      <c r="E1256" s="68" t="s">
        <v>2877</v>
      </c>
      <c r="F1256" s="24" t="s">
        <v>1211</v>
      </c>
      <c r="G1256" s="15" t="s">
        <v>164</v>
      </c>
      <c r="H1256" s="15" t="s">
        <v>901</v>
      </c>
      <c r="I1256" s="69">
        <v>120</v>
      </c>
      <c r="J1256" s="15" t="s">
        <v>2672</v>
      </c>
      <c r="K1256" s="15" t="s">
        <v>2674</v>
      </c>
      <c r="L1256" s="15" t="s">
        <v>1703</v>
      </c>
      <c r="M1256" s="15" t="s">
        <v>2672</v>
      </c>
      <c r="N1256" s="15" t="s">
        <v>2673</v>
      </c>
      <c r="O1256" s="15"/>
    </row>
    <row r="1257" spans="1:15" ht="18" customHeight="1" x14ac:dyDescent="0.3">
      <c r="A1257" s="29">
        <v>1256</v>
      </c>
      <c r="B1257" s="15" t="s">
        <v>75</v>
      </c>
      <c r="C1257" s="15" t="s">
        <v>48</v>
      </c>
      <c r="D1257" s="69">
        <v>64</v>
      </c>
      <c r="E1257" s="68" t="s">
        <v>2877</v>
      </c>
      <c r="F1257" s="24" t="s">
        <v>1211</v>
      </c>
      <c r="G1257" s="15" t="s">
        <v>164</v>
      </c>
      <c r="H1257" s="15" t="s">
        <v>904</v>
      </c>
      <c r="I1257" s="69">
        <v>121</v>
      </c>
      <c r="J1257" s="15" t="s">
        <v>2674</v>
      </c>
      <c r="K1257" s="15" t="s">
        <v>2674</v>
      </c>
      <c r="L1257" s="15" t="s">
        <v>1703</v>
      </c>
      <c r="M1257" s="15" t="s">
        <v>2672</v>
      </c>
      <c r="N1257" s="15" t="s">
        <v>2673</v>
      </c>
      <c r="O1257" s="15"/>
    </row>
    <row r="1258" spans="1:15" ht="18" customHeight="1" x14ac:dyDescent="0.3">
      <c r="A1258" s="29">
        <v>1257</v>
      </c>
      <c r="B1258" s="15" t="s">
        <v>75</v>
      </c>
      <c r="C1258" s="15" t="s">
        <v>48</v>
      </c>
      <c r="D1258" s="69">
        <v>64</v>
      </c>
      <c r="E1258" s="68" t="s">
        <v>2877</v>
      </c>
      <c r="F1258" s="24" t="s">
        <v>1211</v>
      </c>
      <c r="G1258" s="15" t="s">
        <v>164</v>
      </c>
      <c r="H1258" s="15" t="s">
        <v>905</v>
      </c>
      <c r="I1258" s="69">
        <v>121</v>
      </c>
      <c r="J1258" s="15" t="s">
        <v>2672</v>
      </c>
      <c r="K1258" s="15" t="s">
        <v>2674</v>
      </c>
      <c r="L1258" s="15" t="s">
        <v>1703</v>
      </c>
      <c r="M1258" s="15" t="s">
        <v>2672</v>
      </c>
      <c r="N1258" s="15" t="s">
        <v>2673</v>
      </c>
      <c r="O1258" s="15"/>
    </row>
    <row r="1259" spans="1:15" ht="18" customHeight="1" x14ac:dyDescent="0.3">
      <c r="A1259" s="29">
        <v>1258</v>
      </c>
      <c r="B1259" s="15" t="s">
        <v>75</v>
      </c>
      <c r="C1259" s="15" t="s">
        <v>48</v>
      </c>
      <c r="D1259" s="69">
        <v>64</v>
      </c>
      <c r="E1259" s="68" t="s">
        <v>2877</v>
      </c>
      <c r="F1259" s="24" t="s">
        <v>1211</v>
      </c>
      <c r="G1259" s="15" t="s">
        <v>164</v>
      </c>
      <c r="H1259" s="15" t="s">
        <v>906</v>
      </c>
      <c r="I1259" s="69">
        <v>74</v>
      </c>
      <c r="J1259" s="15" t="s">
        <v>2674</v>
      </c>
      <c r="K1259" s="15" t="s">
        <v>2674</v>
      </c>
      <c r="L1259" s="15" t="s">
        <v>1703</v>
      </c>
      <c r="M1259" s="15" t="s">
        <v>2672</v>
      </c>
      <c r="N1259" s="15" t="s">
        <v>2673</v>
      </c>
      <c r="O1259" s="15"/>
    </row>
    <row r="1260" spans="1:15" ht="18" customHeight="1" x14ac:dyDescent="0.3">
      <c r="A1260" s="29">
        <v>1259</v>
      </c>
      <c r="B1260" s="15" t="s">
        <v>75</v>
      </c>
      <c r="C1260" s="15" t="s">
        <v>48</v>
      </c>
      <c r="D1260" s="69">
        <v>64</v>
      </c>
      <c r="E1260" s="68" t="s">
        <v>2877</v>
      </c>
      <c r="F1260" s="24" t="s">
        <v>1211</v>
      </c>
      <c r="G1260" s="15" t="s">
        <v>164</v>
      </c>
      <c r="H1260" s="15" t="s">
        <v>907</v>
      </c>
      <c r="I1260" s="69">
        <v>77</v>
      </c>
      <c r="J1260" s="15" t="s">
        <v>2672</v>
      </c>
      <c r="K1260" s="15" t="s">
        <v>2674</v>
      </c>
      <c r="L1260" s="15" t="s">
        <v>1703</v>
      </c>
      <c r="M1260" s="15" t="s">
        <v>2672</v>
      </c>
      <c r="N1260" s="15" t="s">
        <v>2673</v>
      </c>
      <c r="O1260" s="15"/>
    </row>
    <row r="1261" spans="1:15" ht="18" customHeight="1" x14ac:dyDescent="0.3">
      <c r="A1261" s="29">
        <v>1260</v>
      </c>
      <c r="B1261" s="15" t="s">
        <v>75</v>
      </c>
      <c r="C1261" s="15" t="s">
        <v>48</v>
      </c>
      <c r="D1261" s="69">
        <v>64</v>
      </c>
      <c r="E1261" s="68" t="s">
        <v>2877</v>
      </c>
      <c r="F1261" s="24" t="s">
        <v>1211</v>
      </c>
      <c r="G1261" s="15" t="s">
        <v>164</v>
      </c>
      <c r="H1261" s="15" t="s">
        <v>908</v>
      </c>
      <c r="I1261" s="69">
        <v>77</v>
      </c>
      <c r="J1261" s="15" t="s">
        <v>2672</v>
      </c>
      <c r="K1261" s="15" t="s">
        <v>2674</v>
      </c>
      <c r="L1261" s="15" t="s">
        <v>1703</v>
      </c>
      <c r="M1261" s="15" t="s">
        <v>2672</v>
      </c>
      <c r="N1261" s="15" t="s">
        <v>2673</v>
      </c>
      <c r="O1261" s="15"/>
    </row>
    <row r="1262" spans="1:15" ht="18" customHeight="1" x14ac:dyDescent="0.3">
      <c r="A1262" s="29">
        <v>1261</v>
      </c>
      <c r="B1262" s="15" t="s">
        <v>75</v>
      </c>
      <c r="C1262" s="15" t="s">
        <v>48</v>
      </c>
      <c r="D1262" s="69">
        <v>64</v>
      </c>
      <c r="E1262" s="68" t="s">
        <v>2877</v>
      </c>
      <c r="F1262" s="24" t="s">
        <v>1211</v>
      </c>
      <c r="G1262" s="15" t="s">
        <v>164</v>
      </c>
      <c r="H1262" s="15" t="s">
        <v>909</v>
      </c>
      <c r="I1262" s="69">
        <v>77</v>
      </c>
      <c r="J1262" s="15" t="s">
        <v>2672</v>
      </c>
      <c r="K1262" s="15" t="s">
        <v>2674</v>
      </c>
      <c r="L1262" s="15" t="s">
        <v>1703</v>
      </c>
      <c r="M1262" s="15" t="s">
        <v>2672</v>
      </c>
      <c r="N1262" s="15" t="s">
        <v>2673</v>
      </c>
      <c r="O1262" s="15"/>
    </row>
    <row r="1263" spans="1:15" ht="18" customHeight="1" x14ac:dyDescent="0.3">
      <c r="A1263" s="29">
        <v>1262</v>
      </c>
      <c r="B1263" s="15" t="s">
        <v>75</v>
      </c>
      <c r="C1263" s="15" t="s">
        <v>48</v>
      </c>
      <c r="D1263" s="69">
        <v>64</v>
      </c>
      <c r="E1263" s="68" t="s">
        <v>2877</v>
      </c>
      <c r="F1263" s="24" t="s">
        <v>1211</v>
      </c>
      <c r="G1263" s="15" t="s">
        <v>164</v>
      </c>
      <c r="H1263" s="15" t="s">
        <v>910</v>
      </c>
      <c r="I1263" s="69">
        <v>65</v>
      </c>
      <c r="J1263" s="15" t="s">
        <v>2672</v>
      </c>
      <c r="K1263" s="15" t="s">
        <v>2674</v>
      </c>
      <c r="L1263" s="15" t="s">
        <v>1703</v>
      </c>
      <c r="M1263" s="15" t="s">
        <v>2672</v>
      </c>
      <c r="N1263" s="15" t="s">
        <v>2673</v>
      </c>
      <c r="O1263" s="15"/>
    </row>
    <row r="1264" spans="1:15" ht="18" customHeight="1" x14ac:dyDescent="0.3">
      <c r="A1264" s="29">
        <v>1263</v>
      </c>
      <c r="B1264" s="15" t="s">
        <v>75</v>
      </c>
      <c r="C1264" s="15" t="s">
        <v>48</v>
      </c>
      <c r="D1264" s="69">
        <v>64</v>
      </c>
      <c r="E1264" s="68" t="s">
        <v>2877</v>
      </c>
      <c r="F1264" s="24" t="s">
        <v>1211</v>
      </c>
      <c r="G1264" s="15" t="s">
        <v>164</v>
      </c>
      <c r="H1264" s="15" t="s">
        <v>911</v>
      </c>
      <c r="I1264" s="69">
        <v>66</v>
      </c>
      <c r="J1264" s="15" t="s">
        <v>2672</v>
      </c>
      <c r="K1264" s="15" t="s">
        <v>2674</v>
      </c>
      <c r="L1264" s="15" t="s">
        <v>1703</v>
      </c>
      <c r="M1264" s="15" t="s">
        <v>2672</v>
      </c>
      <c r="N1264" s="15" t="s">
        <v>2673</v>
      </c>
      <c r="O1264" s="15"/>
    </row>
    <row r="1265" spans="1:15" ht="18" customHeight="1" x14ac:dyDescent="0.3">
      <c r="A1265" s="29">
        <v>1264</v>
      </c>
      <c r="B1265" s="15" t="s">
        <v>75</v>
      </c>
      <c r="C1265" s="15" t="s">
        <v>48</v>
      </c>
      <c r="D1265" s="69">
        <v>64</v>
      </c>
      <c r="E1265" s="68" t="s">
        <v>2877</v>
      </c>
      <c r="F1265" s="24" t="s">
        <v>1211</v>
      </c>
      <c r="G1265" s="15" t="s">
        <v>164</v>
      </c>
      <c r="H1265" s="15" t="s">
        <v>927</v>
      </c>
      <c r="I1265" s="69">
        <v>120</v>
      </c>
      <c r="J1265" s="15" t="s">
        <v>2672</v>
      </c>
      <c r="K1265" s="15" t="s">
        <v>2674</v>
      </c>
      <c r="L1265" s="15" t="s">
        <v>1703</v>
      </c>
      <c r="M1265" s="15" t="s">
        <v>2672</v>
      </c>
      <c r="N1265" s="15" t="s">
        <v>2673</v>
      </c>
      <c r="O1265" s="15"/>
    </row>
    <row r="1266" spans="1:15" ht="18" customHeight="1" x14ac:dyDescent="0.3">
      <c r="A1266" s="29">
        <v>1265</v>
      </c>
      <c r="B1266" s="15" t="s">
        <v>219</v>
      </c>
      <c r="C1266" s="15" t="s">
        <v>30</v>
      </c>
      <c r="D1266" s="69">
        <v>65</v>
      </c>
      <c r="E1266" s="68" t="s">
        <v>3305</v>
      </c>
      <c r="F1266" s="24" t="s">
        <v>555</v>
      </c>
      <c r="G1266" s="15" t="s">
        <v>154</v>
      </c>
      <c r="H1266" s="15" t="s">
        <v>901</v>
      </c>
      <c r="I1266" s="69">
        <v>173</v>
      </c>
      <c r="J1266" s="15" t="s">
        <v>2672</v>
      </c>
      <c r="K1266" s="15" t="s">
        <v>903</v>
      </c>
      <c r="L1266" s="15" t="s">
        <v>2673</v>
      </c>
      <c r="M1266" s="15" t="s">
        <v>2672</v>
      </c>
      <c r="N1266" s="15" t="s">
        <v>2673</v>
      </c>
      <c r="O1266" s="15"/>
    </row>
    <row r="1267" spans="1:15" ht="18" customHeight="1" x14ac:dyDescent="0.3">
      <c r="A1267" s="29">
        <v>1266</v>
      </c>
      <c r="B1267" s="15" t="s">
        <v>219</v>
      </c>
      <c r="C1267" s="15" t="s">
        <v>30</v>
      </c>
      <c r="D1267" s="69">
        <v>65</v>
      </c>
      <c r="E1267" s="68" t="s">
        <v>3305</v>
      </c>
      <c r="F1267" s="24" t="s">
        <v>555</v>
      </c>
      <c r="G1267" s="15" t="s">
        <v>154</v>
      </c>
      <c r="H1267" s="15" t="s">
        <v>904</v>
      </c>
      <c r="I1267" s="69">
        <v>267</v>
      </c>
      <c r="J1267" s="15" t="s">
        <v>2674</v>
      </c>
      <c r="K1267" s="15" t="s">
        <v>903</v>
      </c>
      <c r="L1267" s="15" t="s">
        <v>2673</v>
      </c>
      <c r="M1267" s="15" t="s">
        <v>2672</v>
      </c>
      <c r="N1267" s="15" t="s">
        <v>2673</v>
      </c>
      <c r="O1267" s="15"/>
    </row>
    <row r="1268" spans="1:15" ht="18" customHeight="1" x14ac:dyDescent="0.3">
      <c r="A1268" s="29">
        <v>1267</v>
      </c>
      <c r="B1268" s="15" t="s">
        <v>219</v>
      </c>
      <c r="C1268" s="15" t="s">
        <v>30</v>
      </c>
      <c r="D1268" s="69">
        <v>65</v>
      </c>
      <c r="E1268" s="68" t="s">
        <v>3305</v>
      </c>
      <c r="F1268" s="24" t="s">
        <v>555</v>
      </c>
      <c r="G1268" s="15" t="s">
        <v>154</v>
      </c>
      <c r="H1268" s="15" t="s">
        <v>906</v>
      </c>
      <c r="I1268" s="69">
        <v>267</v>
      </c>
      <c r="J1268" s="15" t="s">
        <v>2672</v>
      </c>
      <c r="K1268" s="15" t="s">
        <v>903</v>
      </c>
      <c r="L1268" s="15" t="s">
        <v>2673</v>
      </c>
      <c r="M1268" s="15" t="s">
        <v>2672</v>
      </c>
      <c r="N1268" s="15" t="s">
        <v>2673</v>
      </c>
      <c r="O1268" s="15"/>
    </row>
    <row r="1269" spans="1:15" ht="18" customHeight="1" x14ac:dyDescent="0.3">
      <c r="A1269" s="29">
        <v>1268</v>
      </c>
      <c r="B1269" s="15" t="s">
        <v>219</v>
      </c>
      <c r="C1269" s="15" t="s">
        <v>30</v>
      </c>
      <c r="D1269" s="69">
        <v>65</v>
      </c>
      <c r="E1269" s="68" t="s">
        <v>3305</v>
      </c>
      <c r="F1269" s="24" t="s">
        <v>555</v>
      </c>
      <c r="G1269" s="15" t="s">
        <v>154</v>
      </c>
      <c r="H1269" s="15" t="s">
        <v>907</v>
      </c>
      <c r="I1269" s="69">
        <v>173</v>
      </c>
      <c r="J1269" s="15" t="s">
        <v>2672</v>
      </c>
      <c r="K1269" s="15" t="s">
        <v>903</v>
      </c>
      <c r="L1269" s="15" t="s">
        <v>2673</v>
      </c>
      <c r="M1269" s="15" t="s">
        <v>2672</v>
      </c>
      <c r="N1269" s="15" t="s">
        <v>2673</v>
      </c>
      <c r="O1269" s="15"/>
    </row>
    <row r="1270" spans="1:15" ht="18" customHeight="1" x14ac:dyDescent="0.3">
      <c r="A1270" s="29">
        <v>1269</v>
      </c>
      <c r="B1270" s="15" t="s">
        <v>219</v>
      </c>
      <c r="C1270" s="15" t="s">
        <v>30</v>
      </c>
      <c r="D1270" s="69">
        <v>65</v>
      </c>
      <c r="E1270" s="68" t="s">
        <v>3305</v>
      </c>
      <c r="F1270" s="24" t="s">
        <v>555</v>
      </c>
      <c r="G1270" s="15" t="s">
        <v>154</v>
      </c>
      <c r="H1270" s="15" t="s">
        <v>908</v>
      </c>
      <c r="I1270" s="69">
        <v>267</v>
      </c>
      <c r="J1270" s="15" t="s">
        <v>2672</v>
      </c>
      <c r="K1270" s="15" t="s">
        <v>903</v>
      </c>
      <c r="L1270" s="15" t="s">
        <v>2673</v>
      </c>
      <c r="M1270" s="15" t="s">
        <v>2672</v>
      </c>
      <c r="N1270" s="15" t="s">
        <v>2673</v>
      </c>
      <c r="O1270" s="15"/>
    </row>
    <row r="1271" spans="1:15" ht="18" customHeight="1" x14ac:dyDescent="0.3">
      <c r="A1271" s="29">
        <v>1270</v>
      </c>
      <c r="B1271" s="15" t="s">
        <v>219</v>
      </c>
      <c r="C1271" s="15" t="s">
        <v>30</v>
      </c>
      <c r="D1271" s="69">
        <v>65</v>
      </c>
      <c r="E1271" s="68" t="s">
        <v>3305</v>
      </c>
      <c r="F1271" s="24" t="s">
        <v>555</v>
      </c>
      <c r="G1271" s="15" t="s">
        <v>154</v>
      </c>
      <c r="H1271" s="15" t="s">
        <v>909</v>
      </c>
      <c r="I1271" s="69">
        <v>173</v>
      </c>
      <c r="J1271" s="15" t="s">
        <v>2672</v>
      </c>
      <c r="K1271" s="15" t="s">
        <v>903</v>
      </c>
      <c r="L1271" s="15" t="s">
        <v>2673</v>
      </c>
      <c r="M1271" s="15" t="s">
        <v>2672</v>
      </c>
      <c r="N1271" s="15" t="s">
        <v>2673</v>
      </c>
      <c r="O1271" s="15"/>
    </row>
    <row r="1272" spans="1:15" ht="18" customHeight="1" x14ac:dyDescent="0.3">
      <c r="A1272" s="29">
        <v>1271</v>
      </c>
      <c r="B1272" s="15" t="s">
        <v>219</v>
      </c>
      <c r="C1272" s="15" t="s">
        <v>30</v>
      </c>
      <c r="D1272" s="69">
        <v>65</v>
      </c>
      <c r="E1272" s="68" t="s">
        <v>3305</v>
      </c>
      <c r="F1272" s="24" t="s">
        <v>1212</v>
      </c>
      <c r="G1272" s="15" t="s">
        <v>154</v>
      </c>
      <c r="H1272" s="15" t="s">
        <v>2711</v>
      </c>
      <c r="I1272" s="69">
        <v>144</v>
      </c>
      <c r="J1272" s="15" t="s">
        <v>2674</v>
      </c>
      <c r="K1272" s="15" t="s">
        <v>902</v>
      </c>
      <c r="L1272" s="15" t="s">
        <v>208</v>
      </c>
      <c r="M1272" s="15" t="s">
        <v>2672</v>
      </c>
      <c r="N1272" s="15" t="s">
        <v>2673</v>
      </c>
      <c r="O1272" s="15"/>
    </row>
    <row r="1273" spans="1:15" ht="18" customHeight="1" x14ac:dyDescent="0.3">
      <c r="A1273" s="29">
        <v>1272</v>
      </c>
      <c r="B1273" s="15" t="s">
        <v>219</v>
      </c>
      <c r="C1273" s="15" t="s">
        <v>30</v>
      </c>
      <c r="D1273" s="69">
        <v>65</v>
      </c>
      <c r="E1273" s="68" t="s">
        <v>3312</v>
      </c>
      <c r="F1273" s="24" t="s">
        <v>1119</v>
      </c>
      <c r="G1273" s="15" t="s">
        <v>154</v>
      </c>
      <c r="H1273" s="15" t="s">
        <v>905</v>
      </c>
      <c r="I1273" s="69">
        <v>216</v>
      </c>
      <c r="J1273" s="15" t="s">
        <v>2674</v>
      </c>
      <c r="K1273" s="15" t="s">
        <v>903</v>
      </c>
      <c r="L1273" s="15" t="s">
        <v>2673</v>
      </c>
      <c r="M1273" s="15" t="s">
        <v>2672</v>
      </c>
      <c r="N1273" s="15" t="s">
        <v>2673</v>
      </c>
      <c r="O1273" s="15"/>
    </row>
    <row r="1274" spans="1:15" ht="18" customHeight="1" x14ac:dyDescent="0.3">
      <c r="A1274" s="29">
        <v>1273</v>
      </c>
      <c r="B1274" s="15" t="s">
        <v>219</v>
      </c>
      <c r="C1274" s="15" t="s">
        <v>30</v>
      </c>
      <c r="D1274" s="69">
        <v>65</v>
      </c>
      <c r="E1274" s="68" t="s">
        <v>3312</v>
      </c>
      <c r="F1274" s="24" t="s">
        <v>1119</v>
      </c>
      <c r="G1274" s="15" t="s">
        <v>154</v>
      </c>
      <c r="H1274" s="15" t="s">
        <v>906</v>
      </c>
      <c r="I1274" s="69">
        <v>171</v>
      </c>
      <c r="J1274" s="15" t="s">
        <v>2672</v>
      </c>
      <c r="K1274" s="15" t="s">
        <v>903</v>
      </c>
      <c r="L1274" s="15" t="s">
        <v>2673</v>
      </c>
      <c r="M1274" s="15" t="s">
        <v>2672</v>
      </c>
      <c r="N1274" s="15" t="s">
        <v>2673</v>
      </c>
      <c r="O1274" s="15"/>
    </row>
    <row r="1275" spans="1:15" ht="18" customHeight="1" x14ac:dyDescent="0.3">
      <c r="A1275" s="29">
        <v>1274</v>
      </c>
      <c r="B1275" s="15" t="s">
        <v>219</v>
      </c>
      <c r="C1275" s="15" t="s">
        <v>30</v>
      </c>
      <c r="D1275" s="69">
        <v>65</v>
      </c>
      <c r="E1275" s="68" t="s">
        <v>3312</v>
      </c>
      <c r="F1275" s="24" t="s">
        <v>1119</v>
      </c>
      <c r="G1275" s="15" t="s">
        <v>154</v>
      </c>
      <c r="H1275" s="15" t="s">
        <v>907</v>
      </c>
      <c r="I1275" s="69">
        <v>149</v>
      </c>
      <c r="J1275" s="15" t="s">
        <v>2672</v>
      </c>
      <c r="K1275" s="15" t="s">
        <v>903</v>
      </c>
      <c r="L1275" s="15" t="s">
        <v>2673</v>
      </c>
      <c r="M1275" s="15" t="s">
        <v>2672</v>
      </c>
      <c r="N1275" s="15" t="s">
        <v>2673</v>
      </c>
      <c r="O1275" s="15"/>
    </row>
    <row r="1276" spans="1:15" ht="18" customHeight="1" x14ac:dyDescent="0.3">
      <c r="A1276" s="29">
        <v>1275</v>
      </c>
      <c r="B1276" s="15" t="s">
        <v>219</v>
      </c>
      <c r="C1276" s="15" t="s">
        <v>30</v>
      </c>
      <c r="D1276" s="69">
        <v>65</v>
      </c>
      <c r="E1276" s="68" t="s">
        <v>3312</v>
      </c>
      <c r="F1276" s="24" t="s">
        <v>1119</v>
      </c>
      <c r="G1276" s="15" t="s">
        <v>154</v>
      </c>
      <c r="H1276" s="15" t="s">
        <v>908</v>
      </c>
      <c r="I1276" s="69">
        <v>183</v>
      </c>
      <c r="J1276" s="15" t="s">
        <v>2672</v>
      </c>
      <c r="K1276" s="15" t="s">
        <v>903</v>
      </c>
      <c r="L1276" s="15" t="s">
        <v>2673</v>
      </c>
      <c r="M1276" s="15" t="s">
        <v>2672</v>
      </c>
      <c r="N1276" s="15" t="s">
        <v>2673</v>
      </c>
      <c r="O1276" s="15"/>
    </row>
    <row r="1277" spans="1:15" ht="18" customHeight="1" x14ac:dyDescent="0.3">
      <c r="A1277" s="29">
        <v>1276</v>
      </c>
      <c r="B1277" s="15" t="s">
        <v>219</v>
      </c>
      <c r="C1277" s="15" t="s">
        <v>30</v>
      </c>
      <c r="D1277" s="69">
        <v>65</v>
      </c>
      <c r="E1277" s="68" t="s">
        <v>3312</v>
      </c>
      <c r="F1277" s="24" t="s">
        <v>1119</v>
      </c>
      <c r="G1277" s="15" t="s">
        <v>154</v>
      </c>
      <c r="H1277" s="15" t="s">
        <v>909</v>
      </c>
      <c r="I1277" s="69">
        <v>124</v>
      </c>
      <c r="J1277" s="15" t="s">
        <v>2674</v>
      </c>
      <c r="K1277" s="15" t="s">
        <v>903</v>
      </c>
      <c r="L1277" s="15" t="s">
        <v>2673</v>
      </c>
      <c r="M1277" s="15" t="s">
        <v>2672</v>
      </c>
      <c r="N1277" s="15" t="s">
        <v>2673</v>
      </c>
      <c r="O1277" s="15"/>
    </row>
    <row r="1278" spans="1:15" ht="18" customHeight="1" x14ac:dyDescent="0.3">
      <c r="A1278" s="29">
        <v>1277</v>
      </c>
      <c r="B1278" s="15" t="s">
        <v>219</v>
      </c>
      <c r="C1278" s="15" t="s">
        <v>30</v>
      </c>
      <c r="D1278" s="69">
        <v>65</v>
      </c>
      <c r="E1278" s="68" t="s">
        <v>3312</v>
      </c>
      <c r="F1278" s="24" t="s">
        <v>558</v>
      </c>
      <c r="G1278" s="15" t="s">
        <v>154</v>
      </c>
      <c r="H1278" s="15" t="s">
        <v>901</v>
      </c>
      <c r="I1278" s="69">
        <v>160</v>
      </c>
      <c r="J1278" s="15" t="s">
        <v>2672</v>
      </c>
      <c r="K1278" s="15" t="s">
        <v>903</v>
      </c>
      <c r="L1278" s="15" t="s">
        <v>2673</v>
      </c>
      <c r="M1278" s="15" t="s">
        <v>2672</v>
      </c>
      <c r="N1278" s="15" t="s">
        <v>2673</v>
      </c>
      <c r="O1278" s="15"/>
    </row>
    <row r="1279" spans="1:15" ht="18" customHeight="1" x14ac:dyDescent="0.3">
      <c r="A1279" s="29">
        <v>1278</v>
      </c>
      <c r="B1279" s="15" t="s">
        <v>219</v>
      </c>
      <c r="C1279" s="15" t="s">
        <v>30</v>
      </c>
      <c r="D1279" s="69">
        <v>65</v>
      </c>
      <c r="E1279" s="68" t="s">
        <v>3312</v>
      </c>
      <c r="F1279" s="24" t="s">
        <v>558</v>
      </c>
      <c r="G1279" s="15" t="s">
        <v>154</v>
      </c>
      <c r="H1279" s="15" t="s">
        <v>904</v>
      </c>
      <c r="I1279" s="69">
        <v>160</v>
      </c>
      <c r="J1279" s="15" t="s">
        <v>2674</v>
      </c>
      <c r="K1279" s="15" t="s">
        <v>903</v>
      </c>
      <c r="L1279" s="15" t="s">
        <v>2673</v>
      </c>
      <c r="M1279" s="15" t="s">
        <v>2672</v>
      </c>
      <c r="N1279" s="15" t="s">
        <v>2673</v>
      </c>
      <c r="O1279" s="15"/>
    </row>
    <row r="1280" spans="1:15" ht="18" customHeight="1" x14ac:dyDescent="0.3">
      <c r="A1280" s="29">
        <v>1279</v>
      </c>
      <c r="B1280" s="15" t="s">
        <v>219</v>
      </c>
      <c r="C1280" s="15" t="s">
        <v>5</v>
      </c>
      <c r="D1280" s="69">
        <v>66</v>
      </c>
      <c r="E1280" s="68" t="s">
        <v>3306</v>
      </c>
      <c r="F1280" s="24" t="s">
        <v>572</v>
      </c>
      <c r="G1280" s="15" t="s">
        <v>154</v>
      </c>
      <c r="H1280" s="15" t="s">
        <v>904</v>
      </c>
      <c r="I1280" s="69">
        <v>249</v>
      </c>
      <c r="J1280" s="15" t="s">
        <v>2674</v>
      </c>
      <c r="K1280" s="15" t="s">
        <v>903</v>
      </c>
      <c r="L1280" s="15" t="s">
        <v>2673</v>
      </c>
      <c r="M1280" s="15" t="s">
        <v>2672</v>
      </c>
      <c r="N1280" s="15" t="s">
        <v>2673</v>
      </c>
      <c r="O1280" s="15"/>
    </row>
    <row r="1281" spans="1:15" ht="18" customHeight="1" x14ac:dyDescent="0.3">
      <c r="A1281" s="29">
        <v>1280</v>
      </c>
      <c r="B1281" s="15" t="s">
        <v>219</v>
      </c>
      <c r="C1281" s="15" t="s">
        <v>5</v>
      </c>
      <c r="D1281" s="69">
        <v>66</v>
      </c>
      <c r="E1281" s="68" t="s">
        <v>3306</v>
      </c>
      <c r="F1281" s="24" t="s">
        <v>572</v>
      </c>
      <c r="G1281" s="15" t="s">
        <v>154</v>
      </c>
      <c r="H1281" s="15" t="s">
        <v>905</v>
      </c>
      <c r="I1281" s="69">
        <v>344</v>
      </c>
      <c r="J1281" s="15" t="s">
        <v>2674</v>
      </c>
      <c r="K1281" s="15" t="s">
        <v>903</v>
      </c>
      <c r="L1281" s="15" t="s">
        <v>2673</v>
      </c>
      <c r="M1281" s="15" t="s">
        <v>2672</v>
      </c>
      <c r="N1281" s="15" t="s">
        <v>2673</v>
      </c>
      <c r="O1281" s="15"/>
    </row>
    <row r="1282" spans="1:15" ht="18" customHeight="1" x14ac:dyDescent="0.3">
      <c r="A1282" s="29">
        <v>1281</v>
      </c>
      <c r="B1282" s="15" t="s">
        <v>219</v>
      </c>
      <c r="C1282" s="15" t="s">
        <v>5</v>
      </c>
      <c r="D1282" s="69">
        <v>66</v>
      </c>
      <c r="E1282" s="68" t="s">
        <v>3306</v>
      </c>
      <c r="F1282" s="24" t="s">
        <v>572</v>
      </c>
      <c r="G1282" s="15" t="s">
        <v>154</v>
      </c>
      <c r="H1282" s="15" t="s">
        <v>908</v>
      </c>
      <c r="I1282" s="69">
        <v>130</v>
      </c>
      <c r="J1282" s="15" t="s">
        <v>2672</v>
      </c>
      <c r="K1282" s="15" t="s">
        <v>903</v>
      </c>
      <c r="L1282" s="15" t="s">
        <v>2673</v>
      </c>
      <c r="M1282" s="15" t="s">
        <v>2672</v>
      </c>
      <c r="N1282" s="15" t="s">
        <v>2673</v>
      </c>
      <c r="O1282" s="15"/>
    </row>
    <row r="1283" spans="1:15" ht="18" customHeight="1" x14ac:dyDescent="0.3">
      <c r="A1283" s="29">
        <v>1282</v>
      </c>
      <c r="B1283" s="15" t="s">
        <v>219</v>
      </c>
      <c r="C1283" s="15" t="s">
        <v>5</v>
      </c>
      <c r="D1283" s="69">
        <v>66</v>
      </c>
      <c r="E1283" s="68" t="s">
        <v>3306</v>
      </c>
      <c r="F1283" s="24" t="s">
        <v>572</v>
      </c>
      <c r="G1283" s="15" t="s">
        <v>154</v>
      </c>
      <c r="H1283" s="15" t="s">
        <v>909</v>
      </c>
      <c r="I1283" s="69">
        <v>130</v>
      </c>
      <c r="J1283" s="15" t="s">
        <v>2672</v>
      </c>
      <c r="K1283" s="15" t="s">
        <v>903</v>
      </c>
      <c r="L1283" s="15" t="s">
        <v>2673</v>
      </c>
      <c r="M1283" s="15" t="s">
        <v>2674</v>
      </c>
      <c r="N1283" s="15" t="s">
        <v>1530</v>
      </c>
      <c r="O1283" s="15"/>
    </row>
    <row r="1284" spans="1:15" ht="18" customHeight="1" x14ac:dyDescent="0.3">
      <c r="A1284" s="29">
        <v>1283</v>
      </c>
      <c r="B1284" s="15" t="s">
        <v>219</v>
      </c>
      <c r="C1284" s="15" t="s">
        <v>5</v>
      </c>
      <c r="D1284" s="69">
        <v>66</v>
      </c>
      <c r="E1284" s="68" t="s">
        <v>3306</v>
      </c>
      <c r="F1284" s="24" t="s">
        <v>572</v>
      </c>
      <c r="G1284" s="15" t="s">
        <v>154</v>
      </c>
      <c r="H1284" s="15" t="s">
        <v>910</v>
      </c>
      <c r="I1284" s="69">
        <v>141</v>
      </c>
      <c r="J1284" s="15" t="s">
        <v>2674</v>
      </c>
      <c r="K1284" s="15" t="s">
        <v>903</v>
      </c>
      <c r="L1284" s="15" t="s">
        <v>2673</v>
      </c>
      <c r="M1284" s="15" t="s">
        <v>2672</v>
      </c>
      <c r="N1284" s="15" t="s">
        <v>2673</v>
      </c>
      <c r="O1284" s="15"/>
    </row>
    <row r="1285" spans="1:15" ht="18" customHeight="1" x14ac:dyDescent="0.3">
      <c r="A1285" s="29">
        <v>1284</v>
      </c>
      <c r="B1285" s="15" t="s">
        <v>219</v>
      </c>
      <c r="C1285" s="15" t="s">
        <v>5</v>
      </c>
      <c r="D1285" s="69">
        <v>66</v>
      </c>
      <c r="E1285" s="68" t="s">
        <v>3306</v>
      </c>
      <c r="F1285" s="24" t="s">
        <v>572</v>
      </c>
      <c r="G1285" s="15" t="s">
        <v>154</v>
      </c>
      <c r="H1285" s="15" t="s">
        <v>911</v>
      </c>
      <c r="I1285" s="69">
        <v>141</v>
      </c>
      <c r="J1285" s="15" t="s">
        <v>2674</v>
      </c>
      <c r="K1285" s="15" t="s">
        <v>903</v>
      </c>
      <c r="L1285" s="15" t="s">
        <v>2673</v>
      </c>
      <c r="M1285" s="15" t="s">
        <v>2672</v>
      </c>
      <c r="N1285" s="15" t="s">
        <v>2673</v>
      </c>
      <c r="O1285" s="15"/>
    </row>
    <row r="1286" spans="1:15" ht="18" customHeight="1" x14ac:dyDescent="0.3">
      <c r="A1286" s="29">
        <v>1285</v>
      </c>
      <c r="B1286" s="15" t="s">
        <v>219</v>
      </c>
      <c r="C1286" s="15" t="s">
        <v>5</v>
      </c>
      <c r="D1286" s="69">
        <v>66</v>
      </c>
      <c r="E1286" s="68" t="s">
        <v>3306</v>
      </c>
      <c r="F1286" s="24" t="s">
        <v>2878</v>
      </c>
      <c r="G1286" s="15" t="s">
        <v>154</v>
      </c>
      <c r="H1286" s="15" t="s">
        <v>906</v>
      </c>
      <c r="I1286" s="69">
        <v>273</v>
      </c>
      <c r="J1286" s="15" t="s">
        <v>2674</v>
      </c>
      <c r="K1286" s="15" t="s">
        <v>902</v>
      </c>
      <c r="L1286" s="15" t="s">
        <v>1069</v>
      </c>
      <c r="M1286" s="15" t="s">
        <v>2672</v>
      </c>
      <c r="N1286" s="15" t="s">
        <v>2673</v>
      </c>
      <c r="O1286" s="15"/>
    </row>
    <row r="1287" spans="1:15" ht="18" customHeight="1" x14ac:dyDescent="0.3">
      <c r="A1287" s="29">
        <v>1286</v>
      </c>
      <c r="B1287" s="15" t="s">
        <v>219</v>
      </c>
      <c r="C1287" s="15" t="s">
        <v>5</v>
      </c>
      <c r="D1287" s="69">
        <v>66</v>
      </c>
      <c r="E1287" s="68" t="s">
        <v>3306</v>
      </c>
      <c r="F1287" s="24" t="s">
        <v>2878</v>
      </c>
      <c r="G1287" s="15" t="s">
        <v>154</v>
      </c>
      <c r="H1287" s="15" t="s">
        <v>2711</v>
      </c>
      <c r="I1287" s="69">
        <v>108</v>
      </c>
      <c r="J1287" s="15" t="s">
        <v>2674</v>
      </c>
      <c r="K1287" s="15" t="s">
        <v>902</v>
      </c>
      <c r="L1287" s="15" t="s">
        <v>208</v>
      </c>
      <c r="M1287" s="15" t="s">
        <v>2672</v>
      </c>
      <c r="N1287" s="15" t="s">
        <v>2673</v>
      </c>
      <c r="O1287" s="15"/>
    </row>
    <row r="1288" spans="1:15" ht="18" customHeight="1" x14ac:dyDescent="0.3">
      <c r="A1288" s="29">
        <v>1287</v>
      </c>
      <c r="B1288" s="15" t="s">
        <v>219</v>
      </c>
      <c r="C1288" s="15" t="s">
        <v>5</v>
      </c>
      <c r="D1288" s="69">
        <v>66</v>
      </c>
      <c r="E1288" s="68" t="s">
        <v>3306</v>
      </c>
      <c r="F1288" s="24" t="s">
        <v>2878</v>
      </c>
      <c r="G1288" s="15" t="s">
        <v>154</v>
      </c>
      <c r="H1288" s="15" t="s">
        <v>2714</v>
      </c>
      <c r="I1288" s="69">
        <v>364</v>
      </c>
      <c r="J1288" s="15" t="s">
        <v>2674</v>
      </c>
      <c r="K1288" s="15" t="s">
        <v>902</v>
      </c>
      <c r="L1288" s="15" t="s">
        <v>207</v>
      </c>
      <c r="M1288" s="15" t="s">
        <v>2672</v>
      </c>
      <c r="N1288" s="15" t="s">
        <v>2673</v>
      </c>
      <c r="O1288" s="15"/>
    </row>
    <row r="1289" spans="1:15" ht="18" customHeight="1" x14ac:dyDescent="0.3">
      <c r="A1289" s="29">
        <v>1288</v>
      </c>
      <c r="B1289" s="15" t="s">
        <v>1828</v>
      </c>
      <c r="C1289" s="15" t="s">
        <v>1756</v>
      </c>
      <c r="D1289" s="69">
        <v>66</v>
      </c>
      <c r="E1289" s="68" t="s">
        <v>1829</v>
      </c>
      <c r="F1289" s="24" t="s">
        <v>1278</v>
      </c>
      <c r="G1289" s="15" t="s">
        <v>2673</v>
      </c>
      <c r="H1289" s="15" t="s">
        <v>2685</v>
      </c>
      <c r="I1289" s="69">
        <v>72</v>
      </c>
      <c r="J1289" s="15" t="s">
        <v>2672</v>
      </c>
      <c r="K1289" s="15" t="s">
        <v>2672</v>
      </c>
      <c r="L1289" s="15" t="s">
        <v>2673</v>
      </c>
      <c r="M1289" s="15" t="s">
        <v>2672</v>
      </c>
      <c r="N1289" s="15" t="s">
        <v>2673</v>
      </c>
      <c r="O1289" s="15"/>
    </row>
    <row r="1290" spans="1:15" ht="18" customHeight="1" x14ac:dyDescent="0.3">
      <c r="A1290" s="29">
        <v>1289</v>
      </c>
      <c r="B1290" s="15" t="s">
        <v>219</v>
      </c>
      <c r="C1290" s="15" t="s">
        <v>5</v>
      </c>
      <c r="D1290" s="69">
        <v>66</v>
      </c>
      <c r="E1290" s="68" t="s">
        <v>928</v>
      </c>
      <c r="F1290" s="24" t="s">
        <v>1834</v>
      </c>
      <c r="G1290" s="15" t="s">
        <v>154</v>
      </c>
      <c r="H1290" s="15" t="s">
        <v>901</v>
      </c>
      <c r="I1290" s="69">
        <v>168</v>
      </c>
      <c r="J1290" s="15" t="s">
        <v>2672</v>
      </c>
      <c r="K1290" s="15" t="s">
        <v>903</v>
      </c>
      <c r="L1290" s="15" t="s">
        <v>2673</v>
      </c>
      <c r="M1290" s="15" t="s">
        <v>2672</v>
      </c>
      <c r="N1290" s="15" t="s">
        <v>2673</v>
      </c>
      <c r="O1290" s="15"/>
    </row>
    <row r="1291" spans="1:15" ht="18" customHeight="1" x14ac:dyDescent="0.3">
      <c r="A1291" s="29">
        <v>1290</v>
      </c>
      <c r="B1291" s="15" t="s">
        <v>219</v>
      </c>
      <c r="C1291" s="15" t="s">
        <v>5</v>
      </c>
      <c r="D1291" s="69">
        <v>66</v>
      </c>
      <c r="E1291" s="68" t="s">
        <v>928</v>
      </c>
      <c r="F1291" s="24" t="s">
        <v>1834</v>
      </c>
      <c r="G1291" s="15" t="s">
        <v>154</v>
      </c>
      <c r="H1291" s="15" t="s">
        <v>904</v>
      </c>
      <c r="I1291" s="69">
        <v>114</v>
      </c>
      <c r="J1291" s="15" t="s">
        <v>2672</v>
      </c>
      <c r="K1291" s="15" t="s">
        <v>903</v>
      </c>
      <c r="L1291" s="15" t="s">
        <v>2673</v>
      </c>
      <c r="M1291" s="15" t="s">
        <v>2672</v>
      </c>
      <c r="N1291" s="15" t="s">
        <v>2673</v>
      </c>
      <c r="O1291" s="15"/>
    </row>
    <row r="1292" spans="1:15" ht="18" customHeight="1" x14ac:dyDescent="0.3">
      <c r="A1292" s="29">
        <v>1291</v>
      </c>
      <c r="B1292" s="15" t="s">
        <v>219</v>
      </c>
      <c r="C1292" s="15" t="s">
        <v>5</v>
      </c>
      <c r="D1292" s="69">
        <v>66</v>
      </c>
      <c r="E1292" s="68" t="s">
        <v>928</v>
      </c>
      <c r="F1292" s="24" t="s">
        <v>1124</v>
      </c>
      <c r="G1292" s="15" t="s">
        <v>154</v>
      </c>
      <c r="H1292" s="15" t="s">
        <v>905</v>
      </c>
      <c r="I1292" s="69">
        <v>128</v>
      </c>
      <c r="J1292" s="15" t="s">
        <v>2672</v>
      </c>
      <c r="K1292" s="15" t="s">
        <v>903</v>
      </c>
      <c r="L1292" s="15" t="s">
        <v>2673</v>
      </c>
      <c r="M1292" s="15" t="s">
        <v>2672</v>
      </c>
      <c r="N1292" s="15" t="s">
        <v>2673</v>
      </c>
      <c r="O1292" s="15"/>
    </row>
    <row r="1293" spans="1:15" ht="18" customHeight="1" x14ac:dyDescent="0.3">
      <c r="A1293" s="29">
        <v>1292</v>
      </c>
      <c r="B1293" s="15" t="s">
        <v>219</v>
      </c>
      <c r="C1293" s="15" t="s">
        <v>5</v>
      </c>
      <c r="D1293" s="69">
        <v>66</v>
      </c>
      <c r="E1293" s="68" t="s">
        <v>928</v>
      </c>
      <c r="F1293" s="24" t="s">
        <v>1124</v>
      </c>
      <c r="G1293" s="15" t="s">
        <v>154</v>
      </c>
      <c r="H1293" s="15" t="s">
        <v>906</v>
      </c>
      <c r="I1293" s="69">
        <v>152</v>
      </c>
      <c r="J1293" s="15" t="s">
        <v>2672</v>
      </c>
      <c r="K1293" s="15" t="s">
        <v>903</v>
      </c>
      <c r="L1293" s="15" t="s">
        <v>2673</v>
      </c>
      <c r="M1293" s="15" t="s">
        <v>2672</v>
      </c>
      <c r="N1293" s="15" t="s">
        <v>2673</v>
      </c>
      <c r="O1293" s="15"/>
    </row>
    <row r="1294" spans="1:15" ht="18" customHeight="1" x14ac:dyDescent="0.3">
      <c r="A1294" s="29">
        <v>1293</v>
      </c>
      <c r="B1294" s="15" t="s">
        <v>219</v>
      </c>
      <c r="C1294" s="15" t="s">
        <v>5</v>
      </c>
      <c r="D1294" s="69">
        <v>66</v>
      </c>
      <c r="E1294" s="68" t="s">
        <v>928</v>
      </c>
      <c r="F1294" s="24" t="s">
        <v>1124</v>
      </c>
      <c r="G1294" s="15" t="s">
        <v>154</v>
      </c>
      <c r="H1294" s="15" t="s">
        <v>907</v>
      </c>
      <c r="I1294" s="69">
        <v>168</v>
      </c>
      <c r="J1294" s="15" t="s">
        <v>2672</v>
      </c>
      <c r="K1294" s="15" t="s">
        <v>903</v>
      </c>
      <c r="L1294" s="15" t="s">
        <v>2673</v>
      </c>
      <c r="M1294" s="15" t="s">
        <v>2672</v>
      </c>
      <c r="N1294" s="15" t="s">
        <v>2673</v>
      </c>
      <c r="O1294" s="15"/>
    </row>
    <row r="1295" spans="1:15" ht="18" customHeight="1" x14ac:dyDescent="0.3">
      <c r="A1295" s="29">
        <v>1294</v>
      </c>
      <c r="B1295" s="15" t="s">
        <v>219</v>
      </c>
      <c r="C1295" s="15" t="s">
        <v>5</v>
      </c>
      <c r="D1295" s="69">
        <v>66</v>
      </c>
      <c r="E1295" s="68" t="s">
        <v>928</v>
      </c>
      <c r="F1295" s="24" t="s">
        <v>1124</v>
      </c>
      <c r="G1295" s="15" t="s">
        <v>154</v>
      </c>
      <c r="H1295" s="15" t="s">
        <v>908</v>
      </c>
      <c r="I1295" s="69">
        <v>114</v>
      </c>
      <c r="J1295" s="15" t="s">
        <v>2672</v>
      </c>
      <c r="K1295" s="15" t="s">
        <v>903</v>
      </c>
      <c r="L1295" s="15" t="s">
        <v>2673</v>
      </c>
      <c r="M1295" s="15" t="s">
        <v>2672</v>
      </c>
      <c r="N1295" s="15" t="s">
        <v>2673</v>
      </c>
      <c r="O1295" s="15"/>
    </row>
    <row r="1296" spans="1:15" ht="18" customHeight="1" x14ac:dyDescent="0.3">
      <c r="A1296" s="29">
        <v>1295</v>
      </c>
      <c r="B1296" s="15" t="s">
        <v>219</v>
      </c>
      <c r="C1296" s="15" t="s">
        <v>5</v>
      </c>
      <c r="D1296" s="69">
        <v>66</v>
      </c>
      <c r="E1296" s="68" t="s">
        <v>928</v>
      </c>
      <c r="F1296" s="24" t="s">
        <v>1124</v>
      </c>
      <c r="G1296" s="15" t="s">
        <v>154</v>
      </c>
      <c r="H1296" s="15" t="s">
        <v>909</v>
      </c>
      <c r="I1296" s="69">
        <v>128</v>
      </c>
      <c r="J1296" s="15" t="s">
        <v>2672</v>
      </c>
      <c r="K1296" s="15" t="s">
        <v>903</v>
      </c>
      <c r="L1296" s="15" t="s">
        <v>2673</v>
      </c>
      <c r="M1296" s="15" t="s">
        <v>2672</v>
      </c>
      <c r="N1296" s="15" t="s">
        <v>2673</v>
      </c>
      <c r="O1296" s="15"/>
    </row>
    <row r="1297" spans="1:15" ht="18" customHeight="1" x14ac:dyDescent="0.3">
      <c r="A1297" s="29">
        <v>1296</v>
      </c>
      <c r="B1297" s="15" t="s">
        <v>219</v>
      </c>
      <c r="C1297" s="15" t="s">
        <v>5</v>
      </c>
      <c r="D1297" s="69">
        <v>66</v>
      </c>
      <c r="E1297" s="68" t="s">
        <v>928</v>
      </c>
      <c r="F1297" s="24" t="s">
        <v>1124</v>
      </c>
      <c r="G1297" s="15" t="s">
        <v>154</v>
      </c>
      <c r="H1297" s="15" t="s">
        <v>910</v>
      </c>
      <c r="I1297" s="69">
        <v>152</v>
      </c>
      <c r="J1297" s="15" t="s">
        <v>2672</v>
      </c>
      <c r="K1297" s="15" t="s">
        <v>903</v>
      </c>
      <c r="L1297" s="15" t="s">
        <v>2673</v>
      </c>
      <c r="M1297" s="15" t="s">
        <v>2672</v>
      </c>
      <c r="N1297" s="15" t="s">
        <v>2673</v>
      </c>
      <c r="O1297" s="15"/>
    </row>
    <row r="1298" spans="1:15" ht="18" customHeight="1" x14ac:dyDescent="0.3">
      <c r="A1298" s="29">
        <v>1297</v>
      </c>
      <c r="B1298" s="15" t="s">
        <v>219</v>
      </c>
      <c r="C1298" s="15" t="s">
        <v>29</v>
      </c>
      <c r="D1298" s="69">
        <v>67</v>
      </c>
      <c r="E1298" s="68" t="s">
        <v>561</v>
      </c>
      <c r="F1298" s="21" t="s">
        <v>562</v>
      </c>
      <c r="G1298" s="15" t="s">
        <v>154</v>
      </c>
      <c r="H1298" s="15" t="s">
        <v>901</v>
      </c>
      <c r="I1298" s="69">
        <v>105</v>
      </c>
      <c r="J1298" s="13" t="s">
        <v>902</v>
      </c>
      <c r="K1298" s="15" t="s">
        <v>903</v>
      </c>
      <c r="L1298" s="15" t="s">
        <v>2673</v>
      </c>
      <c r="M1298" s="15" t="s">
        <v>2672</v>
      </c>
      <c r="N1298" s="15" t="s">
        <v>2673</v>
      </c>
      <c r="O1298" s="15"/>
    </row>
    <row r="1299" spans="1:15" ht="18" customHeight="1" x14ac:dyDescent="0.3">
      <c r="A1299" s="29">
        <v>1298</v>
      </c>
      <c r="B1299" s="15" t="s">
        <v>219</v>
      </c>
      <c r="C1299" s="15" t="s">
        <v>29</v>
      </c>
      <c r="D1299" s="69">
        <v>67</v>
      </c>
      <c r="E1299" s="68" t="s">
        <v>561</v>
      </c>
      <c r="F1299" s="21" t="s">
        <v>562</v>
      </c>
      <c r="G1299" s="15" t="s">
        <v>154</v>
      </c>
      <c r="H1299" s="15" t="s">
        <v>1264</v>
      </c>
      <c r="I1299" s="69">
        <v>218</v>
      </c>
      <c r="J1299" s="13" t="s">
        <v>2672</v>
      </c>
      <c r="K1299" s="15" t="s">
        <v>903</v>
      </c>
      <c r="L1299" s="15" t="s">
        <v>2673</v>
      </c>
      <c r="M1299" s="15" t="s">
        <v>2672</v>
      </c>
      <c r="N1299" s="15" t="s">
        <v>2673</v>
      </c>
      <c r="O1299" s="15"/>
    </row>
    <row r="1300" spans="1:15" ht="18" customHeight="1" x14ac:dyDescent="0.3">
      <c r="A1300" s="29">
        <v>1299</v>
      </c>
      <c r="B1300" s="15" t="s">
        <v>219</v>
      </c>
      <c r="C1300" s="15" t="s">
        <v>29</v>
      </c>
      <c r="D1300" s="69">
        <v>67</v>
      </c>
      <c r="E1300" s="68" t="s">
        <v>561</v>
      </c>
      <c r="F1300" s="21" t="s">
        <v>562</v>
      </c>
      <c r="G1300" s="15" t="s">
        <v>154</v>
      </c>
      <c r="H1300" s="15" t="s">
        <v>905</v>
      </c>
      <c r="I1300" s="69">
        <v>138</v>
      </c>
      <c r="J1300" s="13" t="s">
        <v>2672</v>
      </c>
      <c r="K1300" s="15" t="s">
        <v>903</v>
      </c>
      <c r="L1300" s="15" t="s">
        <v>2673</v>
      </c>
      <c r="M1300" s="15" t="s">
        <v>2672</v>
      </c>
      <c r="N1300" s="15" t="s">
        <v>2673</v>
      </c>
      <c r="O1300" s="15"/>
    </row>
    <row r="1301" spans="1:15" ht="18" customHeight="1" x14ac:dyDescent="0.3">
      <c r="A1301" s="29">
        <v>1300</v>
      </c>
      <c r="B1301" s="15" t="s">
        <v>219</v>
      </c>
      <c r="C1301" s="15" t="s">
        <v>29</v>
      </c>
      <c r="D1301" s="69">
        <v>67</v>
      </c>
      <c r="E1301" s="68" t="s">
        <v>561</v>
      </c>
      <c r="F1301" s="21" t="s">
        <v>562</v>
      </c>
      <c r="G1301" s="15" t="s">
        <v>154</v>
      </c>
      <c r="H1301" s="15" t="s">
        <v>906</v>
      </c>
      <c r="I1301" s="69">
        <v>139</v>
      </c>
      <c r="J1301" s="13" t="s">
        <v>902</v>
      </c>
      <c r="K1301" s="15" t="s">
        <v>903</v>
      </c>
      <c r="L1301" s="15" t="s">
        <v>2673</v>
      </c>
      <c r="M1301" s="15" t="s">
        <v>2672</v>
      </c>
      <c r="N1301" s="15" t="s">
        <v>2673</v>
      </c>
      <c r="O1301" s="15"/>
    </row>
    <row r="1302" spans="1:15" ht="18" customHeight="1" x14ac:dyDescent="0.3">
      <c r="A1302" s="29">
        <v>1301</v>
      </c>
      <c r="B1302" s="15" t="s">
        <v>219</v>
      </c>
      <c r="C1302" s="15" t="s">
        <v>29</v>
      </c>
      <c r="D1302" s="69">
        <v>67</v>
      </c>
      <c r="E1302" s="68" t="s">
        <v>561</v>
      </c>
      <c r="F1302" s="21" t="s">
        <v>562</v>
      </c>
      <c r="G1302" s="15" t="s">
        <v>154</v>
      </c>
      <c r="H1302" s="15" t="s">
        <v>907</v>
      </c>
      <c r="I1302" s="69">
        <v>149</v>
      </c>
      <c r="J1302" s="13" t="s">
        <v>2672</v>
      </c>
      <c r="K1302" s="15" t="s">
        <v>903</v>
      </c>
      <c r="L1302" s="15" t="s">
        <v>2673</v>
      </c>
      <c r="M1302" s="15" t="s">
        <v>2672</v>
      </c>
      <c r="N1302" s="15" t="s">
        <v>2673</v>
      </c>
      <c r="O1302" s="15"/>
    </row>
    <row r="1303" spans="1:15" ht="18" customHeight="1" x14ac:dyDescent="0.3">
      <c r="A1303" s="29">
        <v>1302</v>
      </c>
      <c r="B1303" s="15" t="s">
        <v>219</v>
      </c>
      <c r="C1303" s="15" t="s">
        <v>29</v>
      </c>
      <c r="D1303" s="69">
        <v>67</v>
      </c>
      <c r="E1303" s="68" t="s">
        <v>561</v>
      </c>
      <c r="F1303" s="21" t="s">
        <v>562</v>
      </c>
      <c r="G1303" s="15" t="s">
        <v>154</v>
      </c>
      <c r="H1303" s="15" t="s">
        <v>1265</v>
      </c>
      <c r="I1303" s="69">
        <v>187</v>
      </c>
      <c r="J1303" s="13" t="s">
        <v>2672</v>
      </c>
      <c r="K1303" s="15" t="s">
        <v>903</v>
      </c>
      <c r="L1303" s="15" t="s">
        <v>2673</v>
      </c>
      <c r="M1303" s="15" t="s">
        <v>2672</v>
      </c>
      <c r="N1303" s="15" t="s">
        <v>2673</v>
      </c>
      <c r="O1303" s="15"/>
    </row>
    <row r="1304" spans="1:15" ht="18" customHeight="1" x14ac:dyDescent="0.3">
      <c r="A1304" s="29">
        <v>1303</v>
      </c>
      <c r="B1304" s="15" t="s">
        <v>219</v>
      </c>
      <c r="C1304" s="15" t="s">
        <v>29</v>
      </c>
      <c r="D1304" s="69">
        <v>67</v>
      </c>
      <c r="E1304" s="68" t="s">
        <v>561</v>
      </c>
      <c r="F1304" s="21" t="s">
        <v>562</v>
      </c>
      <c r="G1304" s="15" t="s">
        <v>154</v>
      </c>
      <c r="H1304" s="15" t="s">
        <v>909</v>
      </c>
      <c r="I1304" s="69">
        <v>93</v>
      </c>
      <c r="J1304" s="13" t="s">
        <v>2672</v>
      </c>
      <c r="K1304" s="15" t="s">
        <v>903</v>
      </c>
      <c r="L1304" s="15" t="s">
        <v>2673</v>
      </c>
      <c r="M1304" s="15" t="s">
        <v>2672</v>
      </c>
      <c r="N1304" s="15" t="s">
        <v>2673</v>
      </c>
      <c r="O1304" s="15"/>
    </row>
    <row r="1305" spans="1:15" ht="18" customHeight="1" x14ac:dyDescent="0.3">
      <c r="A1305" s="29">
        <v>1304</v>
      </c>
      <c r="B1305" s="15" t="s">
        <v>219</v>
      </c>
      <c r="C1305" s="15" t="s">
        <v>29</v>
      </c>
      <c r="D1305" s="69">
        <v>67</v>
      </c>
      <c r="E1305" s="68" t="s">
        <v>561</v>
      </c>
      <c r="F1305" s="21" t="s">
        <v>562</v>
      </c>
      <c r="G1305" s="15" t="s">
        <v>154</v>
      </c>
      <c r="H1305" s="15" t="s">
        <v>910</v>
      </c>
      <c r="I1305" s="69">
        <v>115</v>
      </c>
      <c r="J1305" s="13" t="s">
        <v>2672</v>
      </c>
      <c r="K1305" s="15" t="s">
        <v>903</v>
      </c>
      <c r="L1305" s="15" t="s">
        <v>2673</v>
      </c>
      <c r="M1305" s="15" t="s">
        <v>2672</v>
      </c>
      <c r="N1305" s="15" t="s">
        <v>2673</v>
      </c>
      <c r="O1305" s="15"/>
    </row>
    <row r="1306" spans="1:15" ht="18" customHeight="1" x14ac:dyDescent="0.3">
      <c r="A1306" s="29">
        <v>1305</v>
      </c>
      <c r="B1306" s="15" t="s">
        <v>219</v>
      </c>
      <c r="C1306" s="15" t="s">
        <v>29</v>
      </c>
      <c r="D1306" s="69">
        <v>67</v>
      </c>
      <c r="E1306" s="68" t="s">
        <v>239</v>
      </c>
      <c r="F1306" s="21" t="s">
        <v>563</v>
      </c>
      <c r="G1306" s="15" t="s">
        <v>154</v>
      </c>
      <c r="H1306" s="15" t="s">
        <v>901</v>
      </c>
      <c r="I1306" s="69">
        <v>131</v>
      </c>
      <c r="J1306" s="13" t="s">
        <v>2672</v>
      </c>
      <c r="K1306" s="15" t="s">
        <v>903</v>
      </c>
      <c r="L1306" s="15" t="s">
        <v>2673</v>
      </c>
      <c r="M1306" s="15" t="s">
        <v>2672</v>
      </c>
      <c r="N1306" s="15" t="s">
        <v>2673</v>
      </c>
      <c r="O1306" s="15"/>
    </row>
    <row r="1307" spans="1:15" ht="18" customHeight="1" x14ac:dyDescent="0.3">
      <c r="A1307" s="29">
        <v>1306</v>
      </c>
      <c r="B1307" s="15" t="s">
        <v>219</v>
      </c>
      <c r="C1307" s="15" t="s">
        <v>29</v>
      </c>
      <c r="D1307" s="69">
        <v>67</v>
      </c>
      <c r="E1307" s="68" t="s">
        <v>239</v>
      </c>
      <c r="F1307" s="21" t="s">
        <v>563</v>
      </c>
      <c r="G1307" s="15" t="s">
        <v>154</v>
      </c>
      <c r="H1307" s="15" t="s">
        <v>904</v>
      </c>
      <c r="I1307" s="69">
        <v>58</v>
      </c>
      <c r="J1307" s="13" t="s">
        <v>2672</v>
      </c>
      <c r="K1307" s="15" t="s">
        <v>2674</v>
      </c>
      <c r="L1307" s="15" t="s">
        <v>2525</v>
      </c>
      <c r="M1307" s="15" t="s">
        <v>2672</v>
      </c>
      <c r="N1307" s="15" t="s">
        <v>2673</v>
      </c>
      <c r="O1307" s="15"/>
    </row>
    <row r="1308" spans="1:15" ht="18" customHeight="1" x14ac:dyDescent="0.3">
      <c r="A1308" s="29">
        <v>1307</v>
      </c>
      <c r="B1308" s="15" t="s">
        <v>219</v>
      </c>
      <c r="C1308" s="15" t="s">
        <v>29</v>
      </c>
      <c r="D1308" s="69">
        <v>67</v>
      </c>
      <c r="E1308" s="68" t="s">
        <v>239</v>
      </c>
      <c r="F1308" s="21" t="s">
        <v>563</v>
      </c>
      <c r="G1308" s="15" t="s">
        <v>154</v>
      </c>
      <c r="H1308" s="15" t="s">
        <v>905</v>
      </c>
      <c r="I1308" s="69">
        <v>82</v>
      </c>
      <c r="J1308" s="13" t="s">
        <v>902</v>
      </c>
      <c r="K1308" s="15" t="s">
        <v>2674</v>
      </c>
      <c r="L1308" s="15" t="s">
        <v>2525</v>
      </c>
      <c r="M1308" s="15" t="s">
        <v>2672</v>
      </c>
      <c r="N1308" s="15" t="s">
        <v>2673</v>
      </c>
      <c r="O1308" s="15"/>
    </row>
    <row r="1309" spans="1:15" ht="18" customHeight="1" x14ac:dyDescent="0.3">
      <c r="A1309" s="29">
        <v>1308</v>
      </c>
      <c r="B1309" s="15" t="s">
        <v>219</v>
      </c>
      <c r="C1309" s="15" t="s">
        <v>29</v>
      </c>
      <c r="D1309" s="69">
        <v>67</v>
      </c>
      <c r="E1309" s="68" t="s">
        <v>239</v>
      </c>
      <c r="F1309" s="21" t="s">
        <v>563</v>
      </c>
      <c r="G1309" s="15" t="s">
        <v>154</v>
      </c>
      <c r="H1309" s="15" t="s">
        <v>906</v>
      </c>
      <c r="I1309" s="69">
        <v>145</v>
      </c>
      <c r="J1309" s="13" t="s">
        <v>902</v>
      </c>
      <c r="K1309" s="15" t="s">
        <v>903</v>
      </c>
      <c r="L1309" s="15" t="s">
        <v>2673</v>
      </c>
      <c r="M1309" s="15" t="s">
        <v>2672</v>
      </c>
      <c r="N1309" s="15" t="s">
        <v>2673</v>
      </c>
      <c r="O1309" s="15"/>
    </row>
    <row r="1310" spans="1:15" ht="18" customHeight="1" x14ac:dyDescent="0.3">
      <c r="A1310" s="29">
        <v>1309</v>
      </c>
      <c r="B1310" s="15" t="s">
        <v>219</v>
      </c>
      <c r="C1310" s="15" t="s">
        <v>29</v>
      </c>
      <c r="D1310" s="69">
        <v>67</v>
      </c>
      <c r="E1310" s="68" t="s">
        <v>239</v>
      </c>
      <c r="F1310" s="21" t="s">
        <v>563</v>
      </c>
      <c r="G1310" s="15" t="s">
        <v>154</v>
      </c>
      <c r="H1310" s="15" t="s">
        <v>907</v>
      </c>
      <c r="I1310" s="69">
        <v>150</v>
      </c>
      <c r="J1310" s="13" t="s">
        <v>2672</v>
      </c>
      <c r="K1310" s="15" t="s">
        <v>903</v>
      </c>
      <c r="L1310" s="15" t="s">
        <v>2673</v>
      </c>
      <c r="M1310" s="15" t="s">
        <v>2672</v>
      </c>
      <c r="N1310" s="15" t="s">
        <v>2673</v>
      </c>
      <c r="O1310" s="15"/>
    </row>
    <row r="1311" spans="1:15" ht="18" customHeight="1" x14ac:dyDescent="0.3">
      <c r="A1311" s="29">
        <v>1310</v>
      </c>
      <c r="B1311" s="15" t="s">
        <v>219</v>
      </c>
      <c r="C1311" s="15" t="s">
        <v>29</v>
      </c>
      <c r="D1311" s="69">
        <v>67</v>
      </c>
      <c r="E1311" s="68" t="s">
        <v>239</v>
      </c>
      <c r="F1311" s="21" t="s">
        <v>563</v>
      </c>
      <c r="G1311" s="15" t="s">
        <v>154</v>
      </c>
      <c r="H1311" s="15" t="s">
        <v>908</v>
      </c>
      <c r="I1311" s="69">
        <v>109</v>
      </c>
      <c r="J1311" s="13" t="s">
        <v>2672</v>
      </c>
      <c r="K1311" s="15" t="s">
        <v>903</v>
      </c>
      <c r="L1311" s="15" t="s">
        <v>2673</v>
      </c>
      <c r="M1311" s="15" t="s">
        <v>2672</v>
      </c>
      <c r="N1311" s="15" t="s">
        <v>2673</v>
      </c>
      <c r="O1311" s="15"/>
    </row>
    <row r="1312" spans="1:15" ht="18" customHeight="1" x14ac:dyDescent="0.3">
      <c r="A1312" s="29">
        <v>1311</v>
      </c>
      <c r="B1312" s="15" t="s">
        <v>219</v>
      </c>
      <c r="C1312" s="15" t="s">
        <v>29</v>
      </c>
      <c r="D1312" s="69">
        <v>67</v>
      </c>
      <c r="E1312" s="68" t="s">
        <v>239</v>
      </c>
      <c r="F1312" s="21" t="s">
        <v>563</v>
      </c>
      <c r="G1312" s="15" t="s">
        <v>154</v>
      </c>
      <c r="H1312" s="15" t="s">
        <v>2732</v>
      </c>
      <c r="I1312" s="69">
        <v>184</v>
      </c>
      <c r="J1312" s="13" t="s">
        <v>2672</v>
      </c>
      <c r="K1312" s="15" t="s">
        <v>903</v>
      </c>
      <c r="L1312" s="15" t="s">
        <v>2673</v>
      </c>
      <c r="M1312" s="15" t="s">
        <v>2672</v>
      </c>
      <c r="N1312" s="15" t="s">
        <v>2673</v>
      </c>
      <c r="O1312" s="15"/>
    </row>
    <row r="1313" spans="1:15" ht="18" customHeight="1" x14ac:dyDescent="0.3">
      <c r="A1313" s="29">
        <v>1312</v>
      </c>
      <c r="B1313" s="15" t="s">
        <v>219</v>
      </c>
      <c r="C1313" s="15" t="s">
        <v>29</v>
      </c>
      <c r="D1313" s="69">
        <v>67</v>
      </c>
      <c r="E1313" s="68" t="s">
        <v>2879</v>
      </c>
      <c r="F1313" s="21" t="s">
        <v>566</v>
      </c>
      <c r="G1313" s="15" t="s">
        <v>154</v>
      </c>
      <c r="H1313" s="15" t="s">
        <v>901</v>
      </c>
      <c r="I1313" s="69">
        <v>234</v>
      </c>
      <c r="J1313" s="13" t="s">
        <v>2672</v>
      </c>
      <c r="K1313" s="15" t="s">
        <v>903</v>
      </c>
      <c r="L1313" s="15" t="s">
        <v>2673</v>
      </c>
      <c r="M1313" s="15" t="s">
        <v>2672</v>
      </c>
      <c r="N1313" s="15" t="s">
        <v>2673</v>
      </c>
      <c r="O1313" s="15"/>
    </row>
    <row r="1314" spans="1:15" ht="18" customHeight="1" x14ac:dyDescent="0.3">
      <c r="A1314" s="29">
        <v>1313</v>
      </c>
      <c r="B1314" s="15" t="s">
        <v>219</v>
      </c>
      <c r="C1314" s="15" t="s">
        <v>29</v>
      </c>
      <c r="D1314" s="69">
        <v>67</v>
      </c>
      <c r="E1314" s="68" t="s">
        <v>2879</v>
      </c>
      <c r="F1314" s="21" t="s">
        <v>566</v>
      </c>
      <c r="G1314" s="15" t="s">
        <v>154</v>
      </c>
      <c r="H1314" s="15" t="s">
        <v>904</v>
      </c>
      <c r="I1314" s="69">
        <v>236</v>
      </c>
      <c r="J1314" s="13" t="s">
        <v>902</v>
      </c>
      <c r="K1314" s="15" t="s">
        <v>903</v>
      </c>
      <c r="L1314" s="15" t="s">
        <v>2673</v>
      </c>
      <c r="M1314" s="15" t="s">
        <v>2672</v>
      </c>
      <c r="N1314" s="15" t="s">
        <v>2673</v>
      </c>
      <c r="O1314" s="15"/>
    </row>
    <row r="1315" spans="1:15" ht="18" customHeight="1" x14ac:dyDescent="0.3">
      <c r="A1315" s="29">
        <v>1314</v>
      </c>
      <c r="B1315" s="15" t="s">
        <v>219</v>
      </c>
      <c r="C1315" s="15" t="s">
        <v>29</v>
      </c>
      <c r="D1315" s="69">
        <v>67</v>
      </c>
      <c r="E1315" s="68" t="s">
        <v>2879</v>
      </c>
      <c r="F1315" s="21" t="s">
        <v>566</v>
      </c>
      <c r="G1315" s="15" t="s">
        <v>154</v>
      </c>
      <c r="H1315" s="15" t="s">
        <v>905</v>
      </c>
      <c r="I1315" s="69">
        <v>260</v>
      </c>
      <c r="J1315" s="13" t="s">
        <v>902</v>
      </c>
      <c r="K1315" s="15" t="s">
        <v>903</v>
      </c>
      <c r="L1315" s="15" t="s">
        <v>2673</v>
      </c>
      <c r="M1315" s="15" t="s">
        <v>2672</v>
      </c>
      <c r="N1315" s="15" t="s">
        <v>2673</v>
      </c>
      <c r="O1315" s="15"/>
    </row>
    <row r="1316" spans="1:15" ht="18" customHeight="1" x14ac:dyDescent="0.3">
      <c r="A1316" s="29">
        <v>1315</v>
      </c>
      <c r="B1316" s="15" t="s">
        <v>219</v>
      </c>
      <c r="C1316" s="15" t="s">
        <v>29</v>
      </c>
      <c r="D1316" s="69">
        <v>67</v>
      </c>
      <c r="E1316" s="68" t="s">
        <v>2879</v>
      </c>
      <c r="F1316" s="21" t="s">
        <v>566</v>
      </c>
      <c r="G1316" s="15" t="s">
        <v>154</v>
      </c>
      <c r="H1316" s="15" t="s">
        <v>906</v>
      </c>
      <c r="I1316" s="69">
        <v>210</v>
      </c>
      <c r="J1316" s="13" t="s">
        <v>2672</v>
      </c>
      <c r="K1316" s="15" t="s">
        <v>903</v>
      </c>
      <c r="L1316" s="15" t="s">
        <v>2673</v>
      </c>
      <c r="M1316" s="15" t="s">
        <v>2672</v>
      </c>
      <c r="N1316" s="15" t="s">
        <v>2673</v>
      </c>
      <c r="O1316" s="15"/>
    </row>
    <row r="1317" spans="1:15" ht="18" customHeight="1" x14ac:dyDescent="0.3">
      <c r="A1317" s="29">
        <v>1316</v>
      </c>
      <c r="B1317" s="15" t="s">
        <v>219</v>
      </c>
      <c r="C1317" s="15" t="s">
        <v>29</v>
      </c>
      <c r="D1317" s="69">
        <v>67</v>
      </c>
      <c r="E1317" s="68" t="s">
        <v>2879</v>
      </c>
      <c r="F1317" s="21" t="s">
        <v>566</v>
      </c>
      <c r="G1317" s="15" t="s">
        <v>154</v>
      </c>
      <c r="H1317" s="15" t="s">
        <v>907</v>
      </c>
      <c r="I1317" s="69">
        <v>103</v>
      </c>
      <c r="J1317" s="13" t="s">
        <v>2672</v>
      </c>
      <c r="K1317" s="15" t="s">
        <v>903</v>
      </c>
      <c r="L1317" s="15" t="s">
        <v>2673</v>
      </c>
      <c r="M1317" s="15" t="s">
        <v>2672</v>
      </c>
      <c r="N1317" s="15" t="s">
        <v>2673</v>
      </c>
      <c r="O1317" s="15"/>
    </row>
    <row r="1318" spans="1:15" ht="18" customHeight="1" x14ac:dyDescent="0.3">
      <c r="A1318" s="29">
        <v>1317</v>
      </c>
      <c r="B1318" s="15" t="s">
        <v>219</v>
      </c>
      <c r="C1318" s="15" t="s">
        <v>29</v>
      </c>
      <c r="D1318" s="69">
        <v>67</v>
      </c>
      <c r="E1318" s="68" t="s">
        <v>2879</v>
      </c>
      <c r="F1318" s="21" t="s">
        <v>566</v>
      </c>
      <c r="G1318" s="15" t="s">
        <v>154</v>
      </c>
      <c r="H1318" s="15" t="s">
        <v>908</v>
      </c>
      <c r="I1318" s="69">
        <v>116</v>
      </c>
      <c r="J1318" s="13" t="s">
        <v>902</v>
      </c>
      <c r="K1318" s="15" t="s">
        <v>903</v>
      </c>
      <c r="L1318" s="15" t="s">
        <v>2673</v>
      </c>
      <c r="M1318" s="15" t="s">
        <v>2672</v>
      </c>
      <c r="N1318" s="15" t="s">
        <v>2673</v>
      </c>
      <c r="O1318" s="15"/>
    </row>
    <row r="1319" spans="1:15" ht="18" customHeight="1" x14ac:dyDescent="0.3">
      <c r="A1319" s="29">
        <v>1318</v>
      </c>
      <c r="B1319" s="15" t="s">
        <v>219</v>
      </c>
      <c r="C1319" s="15" t="s">
        <v>29</v>
      </c>
      <c r="D1319" s="69">
        <v>67</v>
      </c>
      <c r="E1319" s="68" t="s">
        <v>2879</v>
      </c>
      <c r="F1319" s="21" t="s">
        <v>566</v>
      </c>
      <c r="G1319" s="15" t="s">
        <v>154</v>
      </c>
      <c r="H1319" s="15" t="s">
        <v>909</v>
      </c>
      <c r="I1319" s="69">
        <v>119</v>
      </c>
      <c r="J1319" s="13" t="s">
        <v>2672</v>
      </c>
      <c r="K1319" s="15" t="s">
        <v>903</v>
      </c>
      <c r="L1319" s="15" t="s">
        <v>2673</v>
      </c>
      <c r="M1319" s="15" t="s">
        <v>2672</v>
      </c>
      <c r="N1319" s="15" t="s">
        <v>2673</v>
      </c>
      <c r="O1319" s="15"/>
    </row>
    <row r="1320" spans="1:15" ht="18" customHeight="1" x14ac:dyDescent="0.3">
      <c r="A1320" s="29">
        <v>1319</v>
      </c>
      <c r="B1320" s="15" t="s">
        <v>219</v>
      </c>
      <c r="C1320" s="15" t="s">
        <v>29</v>
      </c>
      <c r="D1320" s="69">
        <v>67</v>
      </c>
      <c r="E1320" s="68" t="s">
        <v>2879</v>
      </c>
      <c r="F1320" s="21" t="s">
        <v>566</v>
      </c>
      <c r="G1320" s="15" t="s">
        <v>154</v>
      </c>
      <c r="H1320" s="15" t="s">
        <v>910</v>
      </c>
      <c r="I1320" s="69">
        <v>128</v>
      </c>
      <c r="J1320" s="13" t="s">
        <v>2672</v>
      </c>
      <c r="K1320" s="15" t="s">
        <v>903</v>
      </c>
      <c r="L1320" s="15" t="s">
        <v>2673</v>
      </c>
      <c r="M1320" s="15" t="s">
        <v>2672</v>
      </c>
      <c r="N1320" s="15" t="s">
        <v>2673</v>
      </c>
      <c r="O1320" s="15"/>
    </row>
    <row r="1321" spans="1:15" ht="18" customHeight="1" x14ac:dyDescent="0.3">
      <c r="A1321" s="29">
        <v>1320</v>
      </c>
      <c r="B1321" s="15" t="s">
        <v>219</v>
      </c>
      <c r="C1321" s="15" t="s">
        <v>29</v>
      </c>
      <c r="D1321" s="69">
        <v>67</v>
      </c>
      <c r="E1321" s="68" t="s">
        <v>2879</v>
      </c>
      <c r="F1321" s="21" t="s">
        <v>566</v>
      </c>
      <c r="G1321" s="15" t="s">
        <v>154</v>
      </c>
      <c r="H1321" s="15" t="s">
        <v>911</v>
      </c>
      <c r="I1321" s="69">
        <v>131</v>
      </c>
      <c r="J1321" s="13" t="s">
        <v>2672</v>
      </c>
      <c r="K1321" s="15" t="s">
        <v>903</v>
      </c>
      <c r="L1321" s="15" t="s">
        <v>2673</v>
      </c>
      <c r="M1321" s="15" t="s">
        <v>2672</v>
      </c>
      <c r="N1321" s="15" t="s">
        <v>2673</v>
      </c>
      <c r="O1321" s="15"/>
    </row>
    <row r="1322" spans="1:15" ht="18" customHeight="1" x14ac:dyDescent="0.3">
      <c r="A1322" s="29">
        <v>1321</v>
      </c>
      <c r="B1322" s="15" t="s">
        <v>219</v>
      </c>
      <c r="C1322" s="15" t="s">
        <v>29</v>
      </c>
      <c r="D1322" s="69">
        <v>67</v>
      </c>
      <c r="E1322" s="68" t="s">
        <v>2879</v>
      </c>
      <c r="F1322" s="21" t="s">
        <v>566</v>
      </c>
      <c r="G1322" s="15" t="s">
        <v>154</v>
      </c>
      <c r="H1322" s="15" t="s">
        <v>927</v>
      </c>
      <c r="I1322" s="69">
        <v>132</v>
      </c>
      <c r="J1322" s="13" t="s">
        <v>2672</v>
      </c>
      <c r="K1322" s="15" t="s">
        <v>903</v>
      </c>
      <c r="L1322" s="15" t="s">
        <v>2673</v>
      </c>
      <c r="M1322" s="15" t="s">
        <v>2672</v>
      </c>
      <c r="N1322" s="15" t="s">
        <v>2673</v>
      </c>
      <c r="O1322" s="15"/>
    </row>
    <row r="1323" spans="1:15" ht="18" customHeight="1" x14ac:dyDescent="0.3">
      <c r="A1323" s="29">
        <v>1322</v>
      </c>
      <c r="B1323" s="15" t="s">
        <v>219</v>
      </c>
      <c r="C1323" s="15" t="s">
        <v>29</v>
      </c>
      <c r="D1323" s="69">
        <v>67</v>
      </c>
      <c r="E1323" s="68" t="s">
        <v>3307</v>
      </c>
      <c r="F1323" s="24" t="s">
        <v>1837</v>
      </c>
      <c r="G1323" s="15" t="s">
        <v>164</v>
      </c>
      <c r="H1323" s="15" t="s">
        <v>901</v>
      </c>
      <c r="I1323" s="69">
        <v>97</v>
      </c>
      <c r="J1323" s="15" t="s">
        <v>2672</v>
      </c>
      <c r="K1323" s="15" t="s">
        <v>903</v>
      </c>
      <c r="L1323" s="15" t="s">
        <v>2673</v>
      </c>
      <c r="M1323" s="15" t="s">
        <v>2672</v>
      </c>
      <c r="N1323" s="15" t="s">
        <v>2673</v>
      </c>
      <c r="O1323" s="15"/>
    </row>
    <row r="1324" spans="1:15" ht="18" customHeight="1" x14ac:dyDescent="0.3">
      <c r="A1324" s="29">
        <v>1323</v>
      </c>
      <c r="B1324" s="15" t="s">
        <v>219</v>
      </c>
      <c r="C1324" s="15" t="s">
        <v>29</v>
      </c>
      <c r="D1324" s="69">
        <v>67</v>
      </c>
      <c r="E1324" s="68" t="s">
        <v>3307</v>
      </c>
      <c r="F1324" s="24" t="s">
        <v>1837</v>
      </c>
      <c r="G1324" s="15" t="s">
        <v>164</v>
      </c>
      <c r="H1324" s="15" t="s">
        <v>904</v>
      </c>
      <c r="I1324" s="69">
        <v>204</v>
      </c>
      <c r="J1324" s="15" t="s">
        <v>2672</v>
      </c>
      <c r="K1324" s="15" t="s">
        <v>903</v>
      </c>
      <c r="L1324" s="15" t="s">
        <v>2673</v>
      </c>
      <c r="M1324" s="15" t="s">
        <v>2672</v>
      </c>
      <c r="N1324" s="15" t="s">
        <v>2673</v>
      </c>
      <c r="O1324" s="15"/>
    </row>
    <row r="1325" spans="1:15" ht="18" customHeight="1" x14ac:dyDescent="0.3">
      <c r="A1325" s="29">
        <v>1324</v>
      </c>
      <c r="B1325" s="15" t="s">
        <v>219</v>
      </c>
      <c r="C1325" s="15" t="s">
        <v>29</v>
      </c>
      <c r="D1325" s="69">
        <v>67</v>
      </c>
      <c r="E1325" s="68" t="s">
        <v>3307</v>
      </c>
      <c r="F1325" s="24" t="s">
        <v>1120</v>
      </c>
      <c r="G1325" s="15" t="s">
        <v>164</v>
      </c>
      <c r="H1325" s="15" t="s">
        <v>905</v>
      </c>
      <c r="I1325" s="69">
        <v>180</v>
      </c>
      <c r="J1325" s="15" t="s">
        <v>2674</v>
      </c>
      <c r="K1325" s="15" t="s">
        <v>903</v>
      </c>
      <c r="L1325" s="15" t="s">
        <v>2673</v>
      </c>
      <c r="M1325" s="15" t="s">
        <v>2672</v>
      </c>
      <c r="N1325" s="15" t="s">
        <v>2673</v>
      </c>
      <c r="O1325" s="15"/>
    </row>
    <row r="1326" spans="1:15" ht="18" customHeight="1" x14ac:dyDescent="0.3">
      <c r="A1326" s="29">
        <v>1325</v>
      </c>
      <c r="B1326" s="15" t="s">
        <v>219</v>
      </c>
      <c r="C1326" s="15" t="s">
        <v>29</v>
      </c>
      <c r="D1326" s="69">
        <v>67</v>
      </c>
      <c r="E1326" s="68" t="s">
        <v>3307</v>
      </c>
      <c r="F1326" s="24" t="s">
        <v>1120</v>
      </c>
      <c r="G1326" s="15" t="s">
        <v>164</v>
      </c>
      <c r="H1326" s="15" t="s">
        <v>906</v>
      </c>
      <c r="I1326" s="69">
        <v>348</v>
      </c>
      <c r="J1326" s="15" t="s">
        <v>2672</v>
      </c>
      <c r="K1326" s="15" t="s">
        <v>903</v>
      </c>
      <c r="L1326" s="15" t="s">
        <v>2673</v>
      </c>
      <c r="M1326" s="15" t="s">
        <v>2672</v>
      </c>
      <c r="N1326" s="15" t="s">
        <v>2673</v>
      </c>
      <c r="O1326" s="15"/>
    </row>
    <row r="1327" spans="1:15" ht="18" customHeight="1" x14ac:dyDescent="0.3">
      <c r="A1327" s="29">
        <v>1326</v>
      </c>
      <c r="B1327" s="15" t="s">
        <v>219</v>
      </c>
      <c r="C1327" s="15" t="s">
        <v>29</v>
      </c>
      <c r="D1327" s="69">
        <v>67</v>
      </c>
      <c r="E1327" s="68" t="s">
        <v>3307</v>
      </c>
      <c r="F1327" s="24" t="s">
        <v>1120</v>
      </c>
      <c r="G1327" s="15" t="s">
        <v>164</v>
      </c>
      <c r="H1327" s="15" t="s">
        <v>907</v>
      </c>
      <c r="I1327" s="69">
        <v>187</v>
      </c>
      <c r="J1327" s="15" t="s">
        <v>2672</v>
      </c>
      <c r="K1327" s="15" t="s">
        <v>903</v>
      </c>
      <c r="L1327" s="15" t="s">
        <v>2673</v>
      </c>
      <c r="M1327" s="15" t="s">
        <v>2672</v>
      </c>
      <c r="N1327" s="15" t="s">
        <v>2673</v>
      </c>
      <c r="O1327" s="15"/>
    </row>
    <row r="1328" spans="1:15" ht="18" customHeight="1" x14ac:dyDescent="0.3">
      <c r="A1328" s="29">
        <v>1327</v>
      </c>
      <c r="B1328" s="15" t="s">
        <v>219</v>
      </c>
      <c r="C1328" s="15" t="s">
        <v>29</v>
      </c>
      <c r="D1328" s="69">
        <v>67</v>
      </c>
      <c r="E1328" s="68" t="s">
        <v>284</v>
      </c>
      <c r="F1328" s="32" t="s">
        <v>564</v>
      </c>
      <c r="G1328" s="15" t="s">
        <v>154</v>
      </c>
      <c r="H1328" s="15" t="s">
        <v>901</v>
      </c>
      <c r="I1328" s="69">
        <v>202</v>
      </c>
      <c r="J1328" s="15" t="s">
        <v>2672</v>
      </c>
      <c r="K1328" s="15" t="s">
        <v>903</v>
      </c>
      <c r="L1328" s="15" t="s">
        <v>2673</v>
      </c>
      <c r="M1328" s="15" t="s">
        <v>2672</v>
      </c>
      <c r="N1328" s="15" t="s">
        <v>2673</v>
      </c>
      <c r="O1328" s="15"/>
    </row>
    <row r="1329" spans="1:15" ht="18" customHeight="1" x14ac:dyDescent="0.3">
      <c r="A1329" s="29">
        <v>1328</v>
      </c>
      <c r="B1329" s="15" t="s">
        <v>219</v>
      </c>
      <c r="C1329" s="15" t="s">
        <v>29</v>
      </c>
      <c r="D1329" s="69">
        <v>67</v>
      </c>
      <c r="E1329" s="68" t="s">
        <v>284</v>
      </c>
      <c r="F1329" s="32" t="s">
        <v>564</v>
      </c>
      <c r="G1329" s="15" t="s">
        <v>154</v>
      </c>
      <c r="H1329" s="15" t="s">
        <v>904</v>
      </c>
      <c r="I1329" s="69">
        <v>128</v>
      </c>
      <c r="J1329" s="15" t="s">
        <v>2672</v>
      </c>
      <c r="K1329" s="15" t="s">
        <v>903</v>
      </c>
      <c r="L1329" s="15" t="s">
        <v>2673</v>
      </c>
      <c r="M1329" s="15" t="s">
        <v>2672</v>
      </c>
      <c r="N1329" s="15" t="s">
        <v>2673</v>
      </c>
      <c r="O1329" s="15"/>
    </row>
    <row r="1330" spans="1:15" ht="18" customHeight="1" x14ac:dyDescent="0.3">
      <c r="A1330" s="29">
        <v>1329</v>
      </c>
      <c r="B1330" s="15" t="s">
        <v>219</v>
      </c>
      <c r="C1330" s="15" t="s">
        <v>29</v>
      </c>
      <c r="D1330" s="69">
        <v>67</v>
      </c>
      <c r="E1330" s="68" t="s">
        <v>284</v>
      </c>
      <c r="F1330" s="32" t="s">
        <v>564</v>
      </c>
      <c r="G1330" s="15" t="s">
        <v>154</v>
      </c>
      <c r="H1330" s="15" t="s">
        <v>907</v>
      </c>
      <c r="I1330" s="69">
        <v>150</v>
      </c>
      <c r="J1330" s="15" t="s">
        <v>2674</v>
      </c>
      <c r="K1330" s="15" t="s">
        <v>903</v>
      </c>
      <c r="L1330" s="15" t="s">
        <v>2673</v>
      </c>
      <c r="M1330" s="15" t="s">
        <v>2672</v>
      </c>
      <c r="N1330" s="15" t="s">
        <v>2673</v>
      </c>
      <c r="O1330" s="15"/>
    </row>
    <row r="1331" spans="1:15" ht="18" customHeight="1" x14ac:dyDescent="0.3">
      <c r="A1331" s="29">
        <v>1330</v>
      </c>
      <c r="B1331" s="15" t="s">
        <v>219</v>
      </c>
      <c r="C1331" s="15" t="s">
        <v>29</v>
      </c>
      <c r="D1331" s="69">
        <v>67</v>
      </c>
      <c r="E1331" s="68" t="s">
        <v>284</v>
      </c>
      <c r="F1331" s="32" t="s">
        <v>564</v>
      </c>
      <c r="G1331" s="15" t="s">
        <v>154</v>
      </c>
      <c r="H1331" s="15" t="s">
        <v>2682</v>
      </c>
      <c r="I1331" s="69">
        <v>234</v>
      </c>
      <c r="J1331" s="15" t="s">
        <v>2672</v>
      </c>
      <c r="K1331" s="15" t="s">
        <v>2672</v>
      </c>
      <c r="L1331" s="15" t="s">
        <v>2673</v>
      </c>
      <c r="M1331" s="15" t="s">
        <v>2672</v>
      </c>
      <c r="N1331" s="15" t="s">
        <v>2673</v>
      </c>
      <c r="O1331" s="15"/>
    </row>
    <row r="1332" spans="1:15" ht="18" customHeight="1" x14ac:dyDescent="0.3">
      <c r="A1332" s="29">
        <v>1331</v>
      </c>
      <c r="B1332" s="15" t="s">
        <v>219</v>
      </c>
      <c r="C1332" s="15" t="s">
        <v>29</v>
      </c>
      <c r="D1332" s="69">
        <v>67</v>
      </c>
      <c r="E1332" s="68" t="s">
        <v>284</v>
      </c>
      <c r="F1332" s="32" t="s">
        <v>2880</v>
      </c>
      <c r="G1332" s="15" t="s">
        <v>154</v>
      </c>
      <c r="H1332" s="15" t="s">
        <v>905</v>
      </c>
      <c r="I1332" s="69">
        <v>176</v>
      </c>
      <c r="J1332" s="15" t="s">
        <v>2674</v>
      </c>
      <c r="K1332" s="15" t="s">
        <v>2674</v>
      </c>
      <c r="L1332" s="15" t="s">
        <v>1703</v>
      </c>
      <c r="M1332" s="15" t="s">
        <v>2672</v>
      </c>
      <c r="N1332" s="15" t="s">
        <v>2673</v>
      </c>
      <c r="O1332" s="15"/>
    </row>
    <row r="1333" spans="1:15" ht="18" customHeight="1" x14ac:dyDescent="0.3">
      <c r="A1333" s="29">
        <v>1332</v>
      </c>
      <c r="B1333" s="15" t="s">
        <v>219</v>
      </c>
      <c r="C1333" s="15" t="s">
        <v>29</v>
      </c>
      <c r="D1333" s="69">
        <v>67</v>
      </c>
      <c r="E1333" s="68" t="s">
        <v>284</v>
      </c>
      <c r="F1333" s="32" t="s">
        <v>2880</v>
      </c>
      <c r="G1333" s="15" t="s">
        <v>154</v>
      </c>
      <c r="H1333" s="15" t="s">
        <v>906</v>
      </c>
      <c r="I1333" s="69">
        <v>126</v>
      </c>
      <c r="J1333" s="15" t="s">
        <v>2672</v>
      </c>
      <c r="K1333" s="15" t="s">
        <v>2674</v>
      </c>
      <c r="L1333" s="15" t="s">
        <v>1703</v>
      </c>
      <c r="M1333" s="15" t="s">
        <v>2672</v>
      </c>
      <c r="N1333" s="15" t="s">
        <v>2673</v>
      </c>
      <c r="O1333" s="15"/>
    </row>
    <row r="1334" spans="1:15" ht="18" customHeight="1" x14ac:dyDescent="0.3">
      <c r="A1334" s="29">
        <v>1333</v>
      </c>
      <c r="B1334" s="15" t="s">
        <v>219</v>
      </c>
      <c r="C1334" s="15" t="s">
        <v>29</v>
      </c>
      <c r="D1334" s="69">
        <v>67</v>
      </c>
      <c r="E1334" s="68" t="s">
        <v>284</v>
      </c>
      <c r="F1334" s="32" t="s">
        <v>2880</v>
      </c>
      <c r="G1334" s="15" t="s">
        <v>154</v>
      </c>
      <c r="H1334" s="15" t="s">
        <v>909</v>
      </c>
      <c r="I1334" s="69">
        <v>130</v>
      </c>
      <c r="J1334" s="15" t="s">
        <v>2674</v>
      </c>
      <c r="K1334" s="15" t="s">
        <v>2674</v>
      </c>
      <c r="L1334" s="15" t="s">
        <v>1703</v>
      </c>
      <c r="M1334" s="15" t="s">
        <v>2672</v>
      </c>
      <c r="N1334" s="15" t="s">
        <v>2673</v>
      </c>
      <c r="O1334" s="15"/>
    </row>
    <row r="1335" spans="1:15" ht="18" customHeight="1" x14ac:dyDescent="0.3">
      <c r="A1335" s="29">
        <v>1334</v>
      </c>
      <c r="B1335" s="15" t="s">
        <v>219</v>
      </c>
      <c r="C1335" s="15" t="s">
        <v>29</v>
      </c>
      <c r="D1335" s="69">
        <v>67</v>
      </c>
      <c r="E1335" s="68" t="s">
        <v>284</v>
      </c>
      <c r="F1335" s="32" t="s">
        <v>2880</v>
      </c>
      <c r="G1335" s="15" t="s">
        <v>154</v>
      </c>
      <c r="H1335" s="15" t="s">
        <v>910</v>
      </c>
      <c r="I1335" s="69">
        <v>187</v>
      </c>
      <c r="J1335" s="15" t="s">
        <v>2672</v>
      </c>
      <c r="K1335" s="15" t="s">
        <v>2674</v>
      </c>
      <c r="L1335" s="15" t="s">
        <v>1703</v>
      </c>
      <c r="M1335" s="15" t="s">
        <v>2672</v>
      </c>
      <c r="N1335" s="15" t="s">
        <v>2673</v>
      </c>
      <c r="O1335" s="15"/>
    </row>
    <row r="1336" spans="1:15" ht="18" customHeight="1" x14ac:dyDescent="0.3">
      <c r="A1336" s="29">
        <v>1335</v>
      </c>
      <c r="B1336" s="15" t="s">
        <v>219</v>
      </c>
      <c r="C1336" s="15" t="s">
        <v>29</v>
      </c>
      <c r="D1336" s="69">
        <v>67</v>
      </c>
      <c r="E1336" s="68" t="s">
        <v>3308</v>
      </c>
      <c r="F1336" s="24" t="s">
        <v>560</v>
      </c>
      <c r="G1336" s="15" t="s">
        <v>154</v>
      </c>
      <c r="H1336" s="15" t="s">
        <v>901</v>
      </c>
      <c r="I1336" s="69">
        <v>159</v>
      </c>
      <c r="J1336" s="15" t="s">
        <v>2674</v>
      </c>
      <c r="K1336" s="15" t="s">
        <v>902</v>
      </c>
      <c r="L1336" s="15" t="s">
        <v>1069</v>
      </c>
      <c r="M1336" s="15" t="s">
        <v>2672</v>
      </c>
      <c r="N1336" s="15" t="s">
        <v>2673</v>
      </c>
      <c r="O1336" s="15"/>
    </row>
    <row r="1337" spans="1:15" ht="18" customHeight="1" x14ac:dyDescent="0.3">
      <c r="A1337" s="29">
        <v>1336</v>
      </c>
      <c r="B1337" s="15" t="s">
        <v>219</v>
      </c>
      <c r="C1337" s="15" t="s">
        <v>29</v>
      </c>
      <c r="D1337" s="69">
        <v>67</v>
      </c>
      <c r="E1337" s="68" t="s">
        <v>3308</v>
      </c>
      <c r="F1337" s="24" t="s">
        <v>560</v>
      </c>
      <c r="G1337" s="15" t="s">
        <v>154</v>
      </c>
      <c r="H1337" s="15" t="s">
        <v>904</v>
      </c>
      <c r="I1337" s="69">
        <v>172</v>
      </c>
      <c r="J1337" s="15" t="s">
        <v>2674</v>
      </c>
      <c r="K1337" s="15" t="s">
        <v>903</v>
      </c>
      <c r="L1337" s="15" t="s">
        <v>2673</v>
      </c>
      <c r="M1337" s="15" t="s">
        <v>2672</v>
      </c>
      <c r="N1337" s="15" t="s">
        <v>2673</v>
      </c>
      <c r="O1337" s="15"/>
    </row>
    <row r="1338" spans="1:15" ht="18" customHeight="1" x14ac:dyDescent="0.3">
      <c r="A1338" s="29">
        <v>1337</v>
      </c>
      <c r="B1338" s="15" t="s">
        <v>219</v>
      </c>
      <c r="C1338" s="15" t="s">
        <v>29</v>
      </c>
      <c r="D1338" s="69">
        <v>67</v>
      </c>
      <c r="E1338" s="68" t="s">
        <v>3308</v>
      </c>
      <c r="F1338" s="24" t="s">
        <v>560</v>
      </c>
      <c r="G1338" s="15" t="s">
        <v>154</v>
      </c>
      <c r="H1338" s="15" t="s">
        <v>905</v>
      </c>
      <c r="I1338" s="69">
        <v>154</v>
      </c>
      <c r="J1338" s="15" t="s">
        <v>2674</v>
      </c>
      <c r="K1338" s="15" t="s">
        <v>903</v>
      </c>
      <c r="L1338" s="15" t="s">
        <v>2673</v>
      </c>
      <c r="M1338" s="15" t="s">
        <v>2672</v>
      </c>
      <c r="N1338" s="15" t="s">
        <v>2673</v>
      </c>
      <c r="O1338" s="15"/>
    </row>
    <row r="1339" spans="1:15" ht="18" customHeight="1" x14ac:dyDescent="0.3">
      <c r="A1339" s="29">
        <v>1338</v>
      </c>
      <c r="B1339" s="15" t="s">
        <v>219</v>
      </c>
      <c r="C1339" s="15" t="s">
        <v>29</v>
      </c>
      <c r="D1339" s="69">
        <v>67</v>
      </c>
      <c r="E1339" s="68" t="s">
        <v>3308</v>
      </c>
      <c r="F1339" s="24" t="s">
        <v>560</v>
      </c>
      <c r="G1339" s="15" t="s">
        <v>154</v>
      </c>
      <c r="H1339" s="15" t="s">
        <v>906</v>
      </c>
      <c r="I1339" s="69">
        <v>159</v>
      </c>
      <c r="J1339" s="15" t="s">
        <v>2672</v>
      </c>
      <c r="K1339" s="15" t="s">
        <v>903</v>
      </c>
      <c r="L1339" s="15" t="s">
        <v>2673</v>
      </c>
      <c r="M1339" s="15" t="s">
        <v>2672</v>
      </c>
      <c r="N1339" s="15" t="s">
        <v>2673</v>
      </c>
      <c r="O1339" s="15"/>
    </row>
    <row r="1340" spans="1:15" ht="18" customHeight="1" x14ac:dyDescent="0.3">
      <c r="A1340" s="29">
        <v>1339</v>
      </c>
      <c r="B1340" s="15" t="s">
        <v>219</v>
      </c>
      <c r="C1340" s="15" t="s">
        <v>29</v>
      </c>
      <c r="D1340" s="69">
        <v>67</v>
      </c>
      <c r="E1340" s="68" t="s">
        <v>3308</v>
      </c>
      <c r="F1340" s="24" t="s">
        <v>560</v>
      </c>
      <c r="G1340" s="15" t="s">
        <v>154</v>
      </c>
      <c r="H1340" s="15" t="s">
        <v>907</v>
      </c>
      <c r="I1340" s="69">
        <v>172</v>
      </c>
      <c r="J1340" s="15" t="s">
        <v>2672</v>
      </c>
      <c r="K1340" s="15" t="s">
        <v>903</v>
      </c>
      <c r="L1340" s="15" t="s">
        <v>2673</v>
      </c>
      <c r="M1340" s="15" t="s">
        <v>2672</v>
      </c>
      <c r="N1340" s="15" t="s">
        <v>2673</v>
      </c>
      <c r="O1340" s="15"/>
    </row>
    <row r="1341" spans="1:15" ht="18" customHeight="1" x14ac:dyDescent="0.3">
      <c r="A1341" s="29">
        <v>1340</v>
      </c>
      <c r="B1341" s="15" t="s">
        <v>219</v>
      </c>
      <c r="C1341" s="15" t="s">
        <v>29</v>
      </c>
      <c r="D1341" s="69">
        <v>67</v>
      </c>
      <c r="E1341" s="68" t="s">
        <v>3308</v>
      </c>
      <c r="F1341" s="24" t="s">
        <v>560</v>
      </c>
      <c r="G1341" s="15" t="s">
        <v>154</v>
      </c>
      <c r="H1341" s="15" t="s">
        <v>908</v>
      </c>
      <c r="I1341" s="69">
        <v>154</v>
      </c>
      <c r="J1341" s="15" t="s">
        <v>2672</v>
      </c>
      <c r="K1341" s="15" t="s">
        <v>903</v>
      </c>
      <c r="L1341" s="15" t="s">
        <v>2673</v>
      </c>
      <c r="M1341" s="15" t="s">
        <v>2672</v>
      </c>
      <c r="N1341" s="15" t="s">
        <v>2673</v>
      </c>
      <c r="O1341" s="15"/>
    </row>
    <row r="1342" spans="1:15" ht="18" customHeight="1" x14ac:dyDescent="0.3">
      <c r="A1342" s="29">
        <v>1341</v>
      </c>
      <c r="B1342" s="15" t="s">
        <v>219</v>
      </c>
      <c r="C1342" s="15" t="s">
        <v>29</v>
      </c>
      <c r="D1342" s="69">
        <v>67</v>
      </c>
      <c r="E1342" s="68" t="s">
        <v>962</v>
      </c>
      <c r="F1342" s="21" t="s">
        <v>1841</v>
      </c>
      <c r="G1342" s="15" t="s">
        <v>154</v>
      </c>
      <c r="H1342" s="15" t="s">
        <v>901</v>
      </c>
      <c r="I1342" s="69">
        <v>121</v>
      </c>
      <c r="J1342" s="13" t="s">
        <v>2672</v>
      </c>
      <c r="K1342" s="15" t="s">
        <v>903</v>
      </c>
      <c r="L1342" s="15" t="s">
        <v>2673</v>
      </c>
      <c r="M1342" s="15" t="s">
        <v>2672</v>
      </c>
      <c r="N1342" s="15" t="s">
        <v>2673</v>
      </c>
      <c r="O1342" s="15"/>
    </row>
    <row r="1343" spans="1:15" ht="18" customHeight="1" x14ac:dyDescent="0.3">
      <c r="A1343" s="29">
        <v>1342</v>
      </c>
      <c r="B1343" s="15" t="s">
        <v>219</v>
      </c>
      <c r="C1343" s="15" t="s">
        <v>29</v>
      </c>
      <c r="D1343" s="69">
        <v>67</v>
      </c>
      <c r="E1343" s="68" t="s">
        <v>962</v>
      </c>
      <c r="F1343" s="21" t="s">
        <v>1841</v>
      </c>
      <c r="G1343" s="15" t="s">
        <v>154</v>
      </c>
      <c r="H1343" s="15" t="s">
        <v>904</v>
      </c>
      <c r="I1343" s="69">
        <v>57</v>
      </c>
      <c r="J1343" s="13" t="s">
        <v>2672</v>
      </c>
      <c r="K1343" s="15" t="s">
        <v>2674</v>
      </c>
      <c r="L1343" s="15" t="s">
        <v>2525</v>
      </c>
      <c r="M1343" s="15" t="s">
        <v>2672</v>
      </c>
      <c r="N1343" s="15" t="s">
        <v>2673</v>
      </c>
      <c r="O1343" s="15"/>
    </row>
    <row r="1344" spans="1:15" ht="18" customHeight="1" x14ac:dyDescent="0.3">
      <c r="A1344" s="29">
        <v>1343</v>
      </c>
      <c r="B1344" s="15" t="s">
        <v>219</v>
      </c>
      <c r="C1344" s="15" t="s">
        <v>29</v>
      </c>
      <c r="D1344" s="69">
        <v>67</v>
      </c>
      <c r="E1344" s="68" t="s">
        <v>962</v>
      </c>
      <c r="F1344" s="21" t="s">
        <v>1121</v>
      </c>
      <c r="G1344" s="15" t="s">
        <v>154</v>
      </c>
      <c r="H1344" s="15" t="s">
        <v>905</v>
      </c>
      <c r="I1344" s="69">
        <v>272</v>
      </c>
      <c r="J1344" s="13" t="s">
        <v>902</v>
      </c>
      <c r="K1344" s="15" t="s">
        <v>903</v>
      </c>
      <c r="L1344" s="15" t="s">
        <v>2673</v>
      </c>
      <c r="M1344" s="15" t="s">
        <v>2672</v>
      </c>
      <c r="N1344" s="15" t="s">
        <v>2673</v>
      </c>
      <c r="O1344" s="15"/>
    </row>
    <row r="1345" spans="1:15" ht="18" customHeight="1" x14ac:dyDescent="0.3">
      <c r="A1345" s="29">
        <v>1344</v>
      </c>
      <c r="B1345" s="15" t="s">
        <v>219</v>
      </c>
      <c r="C1345" s="15" t="s">
        <v>29</v>
      </c>
      <c r="D1345" s="69">
        <v>67</v>
      </c>
      <c r="E1345" s="68" t="s">
        <v>962</v>
      </c>
      <c r="F1345" s="21" t="s">
        <v>1121</v>
      </c>
      <c r="G1345" s="15" t="s">
        <v>154</v>
      </c>
      <c r="H1345" s="15" t="s">
        <v>906</v>
      </c>
      <c r="I1345" s="69">
        <v>57</v>
      </c>
      <c r="J1345" s="13" t="s">
        <v>2672</v>
      </c>
      <c r="K1345" s="15" t="s">
        <v>2674</v>
      </c>
      <c r="L1345" s="15" t="s">
        <v>2525</v>
      </c>
      <c r="M1345" s="15" t="s">
        <v>2672</v>
      </c>
      <c r="N1345" s="15" t="s">
        <v>2673</v>
      </c>
      <c r="O1345" s="15"/>
    </row>
    <row r="1346" spans="1:15" ht="18" customHeight="1" x14ac:dyDescent="0.3">
      <c r="A1346" s="29">
        <v>1345</v>
      </c>
      <c r="B1346" s="15" t="s">
        <v>219</v>
      </c>
      <c r="C1346" s="15" t="s">
        <v>29</v>
      </c>
      <c r="D1346" s="69">
        <v>67</v>
      </c>
      <c r="E1346" s="68" t="s">
        <v>962</v>
      </c>
      <c r="F1346" s="21" t="s">
        <v>1121</v>
      </c>
      <c r="G1346" s="15" t="s">
        <v>154</v>
      </c>
      <c r="H1346" s="15" t="s">
        <v>907</v>
      </c>
      <c r="I1346" s="69">
        <v>302</v>
      </c>
      <c r="J1346" s="13" t="s">
        <v>2672</v>
      </c>
      <c r="K1346" s="15" t="s">
        <v>903</v>
      </c>
      <c r="L1346" s="15" t="s">
        <v>2673</v>
      </c>
      <c r="M1346" s="15" t="s">
        <v>2672</v>
      </c>
      <c r="N1346" s="15" t="s">
        <v>2673</v>
      </c>
      <c r="O1346" s="15"/>
    </row>
    <row r="1347" spans="1:15" ht="18" customHeight="1" x14ac:dyDescent="0.3">
      <c r="A1347" s="29">
        <v>1346</v>
      </c>
      <c r="B1347" s="15" t="s">
        <v>219</v>
      </c>
      <c r="C1347" s="15" t="s">
        <v>29</v>
      </c>
      <c r="D1347" s="69">
        <v>67</v>
      </c>
      <c r="E1347" s="68" t="s">
        <v>962</v>
      </c>
      <c r="F1347" s="21" t="s">
        <v>1121</v>
      </c>
      <c r="G1347" s="15" t="s">
        <v>154</v>
      </c>
      <c r="H1347" s="15" t="s">
        <v>908</v>
      </c>
      <c r="I1347" s="69">
        <v>133</v>
      </c>
      <c r="J1347" s="13" t="s">
        <v>902</v>
      </c>
      <c r="K1347" s="15" t="s">
        <v>903</v>
      </c>
      <c r="L1347" s="15" t="s">
        <v>2673</v>
      </c>
      <c r="M1347" s="15" t="s">
        <v>2672</v>
      </c>
      <c r="N1347" s="15" t="s">
        <v>2673</v>
      </c>
      <c r="O1347" s="15"/>
    </row>
    <row r="1348" spans="1:15" ht="18" customHeight="1" x14ac:dyDescent="0.3">
      <c r="A1348" s="29">
        <v>1347</v>
      </c>
      <c r="B1348" s="15" t="s">
        <v>219</v>
      </c>
      <c r="C1348" s="15" t="s">
        <v>29</v>
      </c>
      <c r="D1348" s="69">
        <v>67</v>
      </c>
      <c r="E1348" s="68" t="s">
        <v>962</v>
      </c>
      <c r="F1348" s="21" t="s">
        <v>1121</v>
      </c>
      <c r="G1348" s="15" t="s">
        <v>154</v>
      </c>
      <c r="H1348" s="15" t="s">
        <v>909</v>
      </c>
      <c r="I1348" s="69">
        <v>125</v>
      </c>
      <c r="J1348" s="13" t="s">
        <v>2672</v>
      </c>
      <c r="K1348" s="15" t="s">
        <v>903</v>
      </c>
      <c r="L1348" s="15" t="s">
        <v>2673</v>
      </c>
      <c r="M1348" s="15" t="s">
        <v>2672</v>
      </c>
      <c r="N1348" s="15" t="s">
        <v>2673</v>
      </c>
      <c r="O1348" s="15"/>
    </row>
    <row r="1349" spans="1:15" ht="18" customHeight="1" x14ac:dyDescent="0.3">
      <c r="A1349" s="29">
        <v>1348</v>
      </c>
      <c r="B1349" s="15" t="s">
        <v>219</v>
      </c>
      <c r="C1349" s="15" t="s">
        <v>49</v>
      </c>
      <c r="D1349" s="69">
        <v>68</v>
      </c>
      <c r="E1349" s="68" t="s">
        <v>1842</v>
      </c>
      <c r="F1349" s="24" t="s">
        <v>2881</v>
      </c>
      <c r="G1349" s="15" t="s">
        <v>1538</v>
      </c>
      <c r="H1349" s="15" t="s">
        <v>905</v>
      </c>
      <c r="I1349" s="69">
        <v>158</v>
      </c>
      <c r="J1349" s="15" t="s">
        <v>2672</v>
      </c>
      <c r="K1349" s="15" t="s">
        <v>903</v>
      </c>
      <c r="L1349" s="15" t="s">
        <v>2673</v>
      </c>
      <c r="M1349" s="15" t="s">
        <v>2672</v>
      </c>
      <c r="N1349" s="15" t="s">
        <v>2673</v>
      </c>
      <c r="O1349" s="15"/>
    </row>
    <row r="1350" spans="1:15" ht="18" customHeight="1" x14ac:dyDescent="0.3">
      <c r="A1350" s="29">
        <v>1349</v>
      </c>
      <c r="B1350" s="15" t="s">
        <v>219</v>
      </c>
      <c r="C1350" s="15" t="s">
        <v>49</v>
      </c>
      <c r="D1350" s="69">
        <v>68</v>
      </c>
      <c r="E1350" s="68" t="s">
        <v>1842</v>
      </c>
      <c r="F1350" s="24" t="s">
        <v>1123</v>
      </c>
      <c r="G1350" s="15" t="s">
        <v>1538</v>
      </c>
      <c r="H1350" s="15" t="s">
        <v>906</v>
      </c>
      <c r="I1350" s="69">
        <v>173</v>
      </c>
      <c r="J1350" s="15" t="s">
        <v>2672</v>
      </c>
      <c r="K1350" s="15" t="s">
        <v>903</v>
      </c>
      <c r="L1350" s="15" t="s">
        <v>2673</v>
      </c>
      <c r="M1350" s="15" t="s">
        <v>2672</v>
      </c>
      <c r="N1350" s="15" t="s">
        <v>2673</v>
      </c>
      <c r="O1350" s="15"/>
    </row>
    <row r="1351" spans="1:15" ht="18" customHeight="1" x14ac:dyDescent="0.3">
      <c r="A1351" s="29">
        <v>1350</v>
      </c>
      <c r="B1351" s="15" t="s">
        <v>219</v>
      </c>
      <c r="C1351" s="15" t="s">
        <v>49</v>
      </c>
      <c r="D1351" s="69">
        <v>68</v>
      </c>
      <c r="E1351" s="68" t="s">
        <v>1842</v>
      </c>
      <c r="F1351" s="24" t="s">
        <v>1123</v>
      </c>
      <c r="G1351" s="15" t="s">
        <v>1538</v>
      </c>
      <c r="H1351" s="15" t="s">
        <v>907</v>
      </c>
      <c r="I1351" s="69">
        <v>206</v>
      </c>
      <c r="J1351" s="15" t="s">
        <v>2674</v>
      </c>
      <c r="K1351" s="15" t="s">
        <v>903</v>
      </c>
      <c r="L1351" s="15" t="s">
        <v>2673</v>
      </c>
      <c r="M1351" s="15" t="s">
        <v>2672</v>
      </c>
      <c r="N1351" s="15" t="s">
        <v>2673</v>
      </c>
      <c r="O1351" s="15"/>
    </row>
    <row r="1352" spans="1:15" ht="18" customHeight="1" x14ac:dyDescent="0.3">
      <c r="A1352" s="29">
        <v>1351</v>
      </c>
      <c r="B1352" s="15" t="s">
        <v>219</v>
      </c>
      <c r="C1352" s="15" t="s">
        <v>49</v>
      </c>
      <c r="D1352" s="69">
        <v>68</v>
      </c>
      <c r="E1352" s="68" t="s">
        <v>1842</v>
      </c>
      <c r="F1352" s="24" t="s">
        <v>571</v>
      </c>
      <c r="G1352" s="15" t="s">
        <v>1538</v>
      </c>
      <c r="H1352" s="15" t="s">
        <v>901</v>
      </c>
      <c r="I1352" s="69">
        <v>207</v>
      </c>
      <c r="J1352" s="15" t="s">
        <v>2672</v>
      </c>
      <c r="K1352" s="15" t="s">
        <v>903</v>
      </c>
      <c r="L1352" s="15" t="s">
        <v>2673</v>
      </c>
      <c r="M1352" s="15" t="s">
        <v>2672</v>
      </c>
      <c r="N1352" s="15" t="s">
        <v>2673</v>
      </c>
      <c r="O1352" s="15"/>
    </row>
    <row r="1353" spans="1:15" ht="18" customHeight="1" x14ac:dyDescent="0.3">
      <c r="A1353" s="29">
        <v>1352</v>
      </c>
      <c r="B1353" s="15" t="s">
        <v>219</v>
      </c>
      <c r="C1353" s="15" t="s">
        <v>49</v>
      </c>
      <c r="D1353" s="69">
        <v>68</v>
      </c>
      <c r="E1353" s="68" t="s">
        <v>1842</v>
      </c>
      <c r="F1353" s="24" t="s">
        <v>571</v>
      </c>
      <c r="G1353" s="15" t="s">
        <v>1538</v>
      </c>
      <c r="H1353" s="15" t="s">
        <v>904</v>
      </c>
      <c r="I1353" s="69">
        <v>179</v>
      </c>
      <c r="J1353" s="15" t="s">
        <v>2674</v>
      </c>
      <c r="K1353" s="15" t="s">
        <v>903</v>
      </c>
      <c r="L1353" s="15" t="s">
        <v>2673</v>
      </c>
      <c r="M1353" s="15" t="s">
        <v>2672</v>
      </c>
      <c r="N1353" s="15" t="s">
        <v>2673</v>
      </c>
      <c r="O1353" s="15"/>
    </row>
    <row r="1354" spans="1:15" ht="18" customHeight="1" x14ac:dyDescent="0.3">
      <c r="A1354" s="29">
        <v>1353</v>
      </c>
      <c r="B1354" s="15" t="s">
        <v>219</v>
      </c>
      <c r="C1354" s="15" t="s">
        <v>49</v>
      </c>
      <c r="D1354" s="69">
        <v>68</v>
      </c>
      <c r="E1354" s="68" t="s">
        <v>3309</v>
      </c>
      <c r="F1354" s="24" t="s">
        <v>1122</v>
      </c>
      <c r="G1354" s="15" t="s">
        <v>164</v>
      </c>
      <c r="H1354" s="15" t="s">
        <v>905</v>
      </c>
      <c r="I1354" s="69">
        <v>158</v>
      </c>
      <c r="J1354" s="15" t="s">
        <v>2674</v>
      </c>
      <c r="K1354" s="15" t="s">
        <v>903</v>
      </c>
      <c r="L1354" s="15" t="s">
        <v>2673</v>
      </c>
      <c r="M1354" s="15" t="s">
        <v>2672</v>
      </c>
      <c r="N1354" s="15" t="s">
        <v>2673</v>
      </c>
      <c r="O1354" s="15"/>
    </row>
    <row r="1355" spans="1:15" ht="18" customHeight="1" x14ac:dyDescent="0.3">
      <c r="A1355" s="29">
        <v>1354</v>
      </c>
      <c r="B1355" s="15" t="s">
        <v>219</v>
      </c>
      <c r="C1355" s="15" t="s">
        <v>49</v>
      </c>
      <c r="D1355" s="69">
        <v>68</v>
      </c>
      <c r="E1355" s="68" t="s">
        <v>3309</v>
      </c>
      <c r="F1355" s="24" t="s">
        <v>1122</v>
      </c>
      <c r="G1355" s="15" t="s">
        <v>164</v>
      </c>
      <c r="H1355" s="15" t="s">
        <v>906</v>
      </c>
      <c r="I1355" s="69">
        <v>228</v>
      </c>
      <c r="J1355" s="15" t="s">
        <v>2672</v>
      </c>
      <c r="K1355" s="15" t="s">
        <v>903</v>
      </c>
      <c r="L1355" s="15" t="s">
        <v>2673</v>
      </c>
      <c r="M1355" s="15" t="s">
        <v>2672</v>
      </c>
      <c r="N1355" s="15" t="s">
        <v>2673</v>
      </c>
      <c r="O1355" s="15"/>
    </row>
    <row r="1356" spans="1:15" ht="18" customHeight="1" x14ac:dyDescent="0.3">
      <c r="A1356" s="29">
        <v>1355</v>
      </c>
      <c r="B1356" s="15" t="s">
        <v>219</v>
      </c>
      <c r="C1356" s="15" t="s">
        <v>49</v>
      </c>
      <c r="D1356" s="69">
        <v>68</v>
      </c>
      <c r="E1356" s="68" t="s">
        <v>3309</v>
      </c>
      <c r="F1356" s="24" t="s">
        <v>1122</v>
      </c>
      <c r="G1356" s="15" t="s">
        <v>164</v>
      </c>
      <c r="H1356" s="15" t="s">
        <v>907</v>
      </c>
      <c r="I1356" s="69">
        <v>228</v>
      </c>
      <c r="J1356" s="15" t="s">
        <v>2674</v>
      </c>
      <c r="K1356" s="15" t="s">
        <v>903</v>
      </c>
      <c r="L1356" s="15" t="s">
        <v>2673</v>
      </c>
      <c r="M1356" s="15" t="s">
        <v>2672</v>
      </c>
      <c r="N1356" s="15" t="s">
        <v>2673</v>
      </c>
      <c r="O1356" s="15"/>
    </row>
    <row r="1357" spans="1:15" ht="18" customHeight="1" x14ac:dyDescent="0.3">
      <c r="A1357" s="29">
        <v>1356</v>
      </c>
      <c r="B1357" s="15" t="s">
        <v>219</v>
      </c>
      <c r="C1357" s="15" t="s">
        <v>49</v>
      </c>
      <c r="D1357" s="69">
        <v>68</v>
      </c>
      <c r="E1357" s="68" t="s">
        <v>3309</v>
      </c>
      <c r="F1357" s="24" t="s">
        <v>569</v>
      </c>
      <c r="G1357" s="15" t="s">
        <v>164</v>
      </c>
      <c r="H1357" s="15" t="s">
        <v>901</v>
      </c>
      <c r="I1357" s="69">
        <v>196</v>
      </c>
      <c r="J1357" s="15" t="s">
        <v>2672</v>
      </c>
      <c r="K1357" s="15" t="s">
        <v>903</v>
      </c>
      <c r="L1357" s="15" t="s">
        <v>2673</v>
      </c>
      <c r="M1357" s="15" t="s">
        <v>2672</v>
      </c>
      <c r="N1357" s="15" t="s">
        <v>2673</v>
      </c>
      <c r="O1357" s="15"/>
    </row>
    <row r="1358" spans="1:15" ht="18" customHeight="1" x14ac:dyDescent="0.3">
      <c r="A1358" s="29">
        <v>1357</v>
      </c>
      <c r="B1358" s="15" t="s">
        <v>219</v>
      </c>
      <c r="C1358" s="15" t="s">
        <v>49</v>
      </c>
      <c r="D1358" s="69">
        <v>68</v>
      </c>
      <c r="E1358" s="68" t="s">
        <v>3309</v>
      </c>
      <c r="F1358" s="24" t="s">
        <v>569</v>
      </c>
      <c r="G1358" s="15" t="s">
        <v>164</v>
      </c>
      <c r="H1358" s="15" t="s">
        <v>904</v>
      </c>
      <c r="I1358" s="69">
        <v>158</v>
      </c>
      <c r="J1358" s="15" t="s">
        <v>2672</v>
      </c>
      <c r="K1358" s="15" t="s">
        <v>903</v>
      </c>
      <c r="L1358" s="15" t="s">
        <v>2673</v>
      </c>
      <c r="M1358" s="15" t="s">
        <v>2672</v>
      </c>
      <c r="N1358" s="15" t="s">
        <v>2673</v>
      </c>
      <c r="O1358" s="15"/>
    </row>
    <row r="1359" spans="1:15" ht="18" customHeight="1" x14ac:dyDescent="0.3">
      <c r="A1359" s="29">
        <v>1358</v>
      </c>
      <c r="B1359" s="15" t="s">
        <v>1828</v>
      </c>
      <c r="C1359" s="15" t="s">
        <v>1845</v>
      </c>
      <c r="D1359" s="69">
        <v>68</v>
      </c>
      <c r="E1359" s="68" t="s">
        <v>1846</v>
      </c>
      <c r="F1359" s="51" t="s">
        <v>1847</v>
      </c>
      <c r="G1359" s="29" t="s">
        <v>1538</v>
      </c>
      <c r="H1359" s="15" t="s">
        <v>2851</v>
      </c>
      <c r="I1359" s="69">
        <v>168</v>
      </c>
      <c r="J1359" s="15" t="s">
        <v>2672</v>
      </c>
      <c r="K1359" s="15" t="s">
        <v>2674</v>
      </c>
      <c r="L1359" s="15" t="s">
        <v>2882</v>
      </c>
      <c r="M1359" s="15" t="s">
        <v>2672</v>
      </c>
      <c r="N1359" s="15" t="s">
        <v>2673</v>
      </c>
      <c r="O1359" s="15"/>
    </row>
    <row r="1360" spans="1:15" ht="18" customHeight="1" x14ac:dyDescent="0.3">
      <c r="A1360" s="29">
        <v>1359</v>
      </c>
      <c r="B1360" s="15" t="s">
        <v>1828</v>
      </c>
      <c r="C1360" s="15" t="s">
        <v>1845</v>
      </c>
      <c r="D1360" s="69">
        <v>68</v>
      </c>
      <c r="E1360" s="68" t="s">
        <v>1846</v>
      </c>
      <c r="F1360" s="51" t="s">
        <v>1847</v>
      </c>
      <c r="G1360" s="29" t="s">
        <v>1538</v>
      </c>
      <c r="H1360" s="15" t="s">
        <v>2883</v>
      </c>
      <c r="I1360" s="69">
        <v>16</v>
      </c>
      <c r="J1360" s="15" t="s">
        <v>2672</v>
      </c>
      <c r="K1360" s="15" t="s">
        <v>2674</v>
      </c>
      <c r="L1360" s="15" t="s">
        <v>2723</v>
      </c>
      <c r="M1360" s="15" t="s">
        <v>2672</v>
      </c>
      <c r="N1360" s="15" t="s">
        <v>2673</v>
      </c>
      <c r="O1360" s="15"/>
    </row>
    <row r="1361" spans="1:15" ht="18" customHeight="1" x14ac:dyDescent="0.3">
      <c r="A1361" s="29">
        <v>1360</v>
      </c>
      <c r="B1361" s="15" t="s">
        <v>1828</v>
      </c>
      <c r="C1361" s="15" t="s">
        <v>1845</v>
      </c>
      <c r="D1361" s="69">
        <v>68</v>
      </c>
      <c r="E1361" s="68" t="s">
        <v>1846</v>
      </c>
      <c r="F1361" s="51" t="s">
        <v>1847</v>
      </c>
      <c r="G1361" s="29" t="s">
        <v>1538</v>
      </c>
      <c r="H1361" s="15" t="s">
        <v>2812</v>
      </c>
      <c r="I1361" s="69">
        <v>109</v>
      </c>
      <c r="J1361" s="15" t="s">
        <v>2672</v>
      </c>
      <c r="K1361" s="15" t="s">
        <v>2674</v>
      </c>
      <c r="L1361" s="15" t="s">
        <v>398</v>
      </c>
      <c r="M1361" s="15" t="s">
        <v>2672</v>
      </c>
      <c r="N1361" s="15" t="s">
        <v>2673</v>
      </c>
      <c r="O1361" s="15"/>
    </row>
    <row r="1362" spans="1:15" ht="18" customHeight="1" x14ac:dyDescent="0.3">
      <c r="A1362" s="29">
        <v>1361</v>
      </c>
      <c r="B1362" s="15" t="s">
        <v>1828</v>
      </c>
      <c r="C1362" s="15" t="s">
        <v>1845</v>
      </c>
      <c r="D1362" s="69">
        <v>68</v>
      </c>
      <c r="E1362" s="68" t="s">
        <v>1846</v>
      </c>
      <c r="F1362" s="51" t="s">
        <v>1847</v>
      </c>
      <c r="G1362" s="29" t="s">
        <v>1538</v>
      </c>
      <c r="H1362" s="15" t="s">
        <v>1302</v>
      </c>
      <c r="I1362" s="69">
        <v>158</v>
      </c>
      <c r="J1362" s="15" t="s">
        <v>2672</v>
      </c>
      <c r="K1362" s="15" t="s">
        <v>2674</v>
      </c>
      <c r="L1362" s="15" t="s">
        <v>398</v>
      </c>
      <c r="M1362" s="15" t="s">
        <v>2672</v>
      </c>
      <c r="N1362" s="15" t="s">
        <v>2673</v>
      </c>
      <c r="O1362" s="15"/>
    </row>
    <row r="1363" spans="1:15" ht="18" customHeight="1" x14ac:dyDescent="0.3">
      <c r="A1363" s="29">
        <v>1362</v>
      </c>
      <c r="B1363" s="15" t="s">
        <v>1828</v>
      </c>
      <c r="C1363" s="15" t="s">
        <v>1845</v>
      </c>
      <c r="D1363" s="69">
        <v>68</v>
      </c>
      <c r="E1363" s="68" t="s">
        <v>1846</v>
      </c>
      <c r="F1363" s="51" t="s">
        <v>1847</v>
      </c>
      <c r="G1363" s="29" t="s">
        <v>1538</v>
      </c>
      <c r="H1363" s="15" t="s">
        <v>1303</v>
      </c>
      <c r="I1363" s="69">
        <v>134</v>
      </c>
      <c r="J1363" s="15" t="s">
        <v>2672</v>
      </c>
      <c r="K1363" s="15" t="s">
        <v>2674</v>
      </c>
      <c r="L1363" s="15" t="s">
        <v>398</v>
      </c>
      <c r="M1363" s="15" t="s">
        <v>2672</v>
      </c>
      <c r="N1363" s="15" t="s">
        <v>2673</v>
      </c>
      <c r="O1363" s="15"/>
    </row>
    <row r="1364" spans="1:15" ht="18" customHeight="1" x14ac:dyDescent="0.3">
      <c r="A1364" s="29">
        <v>1363</v>
      </c>
      <c r="B1364" s="15" t="s">
        <v>1828</v>
      </c>
      <c r="C1364" s="15" t="s">
        <v>1845</v>
      </c>
      <c r="D1364" s="69">
        <v>68</v>
      </c>
      <c r="E1364" s="68" t="s">
        <v>1846</v>
      </c>
      <c r="F1364" s="51" t="s">
        <v>1847</v>
      </c>
      <c r="G1364" s="29" t="s">
        <v>1538</v>
      </c>
      <c r="H1364" s="15" t="s">
        <v>1304</v>
      </c>
      <c r="I1364" s="69">
        <v>78</v>
      </c>
      <c r="J1364" s="15" t="s">
        <v>2672</v>
      </c>
      <c r="K1364" s="15" t="s">
        <v>2674</v>
      </c>
      <c r="L1364" s="15" t="s">
        <v>398</v>
      </c>
      <c r="M1364" s="15" t="s">
        <v>2672</v>
      </c>
      <c r="N1364" s="15" t="s">
        <v>2673</v>
      </c>
      <c r="O1364" s="15"/>
    </row>
    <row r="1365" spans="1:15" ht="18" customHeight="1" x14ac:dyDescent="0.3">
      <c r="A1365" s="29">
        <v>1364</v>
      </c>
      <c r="B1365" s="15" t="s">
        <v>1828</v>
      </c>
      <c r="C1365" s="15" t="s">
        <v>1845</v>
      </c>
      <c r="D1365" s="69">
        <v>68</v>
      </c>
      <c r="E1365" s="68" t="s">
        <v>1846</v>
      </c>
      <c r="F1365" s="51" t="s">
        <v>1847</v>
      </c>
      <c r="G1365" s="29" t="s">
        <v>1538</v>
      </c>
      <c r="H1365" s="15" t="s">
        <v>1731</v>
      </c>
      <c r="I1365" s="69">
        <v>313</v>
      </c>
      <c r="J1365" s="15" t="s">
        <v>2672</v>
      </c>
      <c r="K1365" s="15" t="s">
        <v>2674</v>
      </c>
      <c r="L1365" s="15" t="s">
        <v>2066</v>
      </c>
      <c r="M1365" s="15" t="s">
        <v>2672</v>
      </c>
      <c r="N1365" s="15" t="s">
        <v>2673</v>
      </c>
      <c r="O1365" s="15"/>
    </row>
    <row r="1366" spans="1:15" ht="18" customHeight="1" x14ac:dyDescent="0.3">
      <c r="A1366" s="29">
        <v>1365</v>
      </c>
      <c r="B1366" s="15" t="s">
        <v>1828</v>
      </c>
      <c r="C1366" s="15" t="s">
        <v>1845</v>
      </c>
      <c r="D1366" s="69">
        <v>68</v>
      </c>
      <c r="E1366" s="68" t="s">
        <v>1850</v>
      </c>
      <c r="F1366" s="32" t="s">
        <v>1851</v>
      </c>
      <c r="G1366" s="15" t="s">
        <v>1538</v>
      </c>
      <c r="H1366" s="15" t="s">
        <v>2685</v>
      </c>
      <c r="I1366" s="69">
        <v>159</v>
      </c>
      <c r="J1366" s="15" t="s">
        <v>2672</v>
      </c>
      <c r="K1366" s="15" t="s">
        <v>903</v>
      </c>
      <c r="L1366" s="15" t="s">
        <v>2673</v>
      </c>
      <c r="M1366" s="15" t="s">
        <v>2672</v>
      </c>
      <c r="N1366" s="15" t="s">
        <v>2673</v>
      </c>
      <c r="O1366" s="15"/>
    </row>
    <row r="1367" spans="1:15" ht="18" customHeight="1" x14ac:dyDescent="0.3">
      <c r="A1367" s="29">
        <v>1366</v>
      </c>
      <c r="B1367" s="15" t="s">
        <v>1828</v>
      </c>
      <c r="C1367" s="15" t="s">
        <v>1845</v>
      </c>
      <c r="D1367" s="69">
        <v>68</v>
      </c>
      <c r="E1367" s="68" t="s">
        <v>1850</v>
      </c>
      <c r="F1367" s="32" t="s">
        <v>1851</v>
      </c>
      <c r="G1367" s="15" t="s">
        <v>1538</v>
      </c>
      <c r="H1367" s="15" t="s">
        <v>2678</v>
      </c>
      <c r="I1367" s="69">
        <v>159</v>
      </c>
      <c r="J1367" s="15" t="s">
        <v>2672</v>
      </c>
      <c r="K1367" s="15" t="s">
        <v>903</v>
      </c>
      <c r="L1367" s="15" t="s">
        <v>2673</v>
      </c>
      <c r="M1367" s="15" t="s">
        <v>2672</v>
      </c>
      <c r="N1367" s="15" t="s">
        <v>2673</v>
      </c>
      <c r="O1367" s="15"/>
    </row>
    <row r="1368" spans="1:15" ht="18" customHeight="1" x14ac:dyDescent="0.3">
      <c r="A1368" s="29">
        <v>1367</v>
      </c>
      <c r="B1368" s="15" t="s">
        <v>1828</v>
      </c>
      <c r="C1368" s="15" t="s">
        <v>1845</v>
      </c>
      <c r="D1368" s="69">
        <v>68</v>
      </c>
      <c r="E1368" s="68" t="s">
        <v>1850</v>
      </c>
      <c r="F1368" s="32" t="s">
        <v>1851</v>
      </c>
      <c r="G1368" s="15" t="s">
        <v>1538</v>
      </c>
      <c r="H1368" s="15" t="s">
        <v>2679</v>
      </c>
      <c r="I1368" s="69">
        <v>158</v>
      </c>
      <c r="J1368" s="15" t="s">
        <v>2672</v>
      </c>
      <c r="K1368" s="15" t="s">
        <v>903</v>
      </c>
      <c r="L1368" s="15" t="s">
        <v>2673</v>
      </c>
      <c r="M1368" s="15" t="s">
        <v>2672</v>
      </c>
      <c r="N1368" s="15" t="s">
        <v>2673</v>
      </c>
      <c r="O1368" s="15"/>
    </row>
    <row r="1369" spans="1:15" ht="18" customHeight="1" x14ac:dyDescent="0.3">
      <c r="A1369" s="29">
        <v>1368</v>
      </c>
      <c r="B1369" s="15" t="s">
        <v>1828</v>
      </c>
      <c r="C1369" s="15" t="s">
        <v>1845</v>
      </c>
      <c r="D1369" s="69">
        <v>68</v>
      </c>
      <c r="E1369" s="68" t="s">
        <v>1850</v>
      </c>
      <c r="F1369" s="32" t="s">
        <v>1851</v>
      </c>
      <c r="G1369" s="15" t="s">
        <v>1538</v>
      </c>
      <c r="H1369" s="15" t="s">
        <v>2763</v>
      </c>
      <c r="I1369" s="69">
        <v>261</v>
      </c>
      <c r="J1369" s="15" t="s">
        <v>2672</v>
      </c>
      <c r="K1369" s="15" t="s">
        <v>2674</v>
      </c>
      <c r="L1369" s="15" t="s">
        <v>1852</v>
      </c>
      <c r="M1369" s="15" t="s">
        <v>2672</v>
      </c>
      <c r="N1369" s="15" t="s">
        <v>2673</v>
      </c>
      <c r="O1369" s="15"/>
    </row>
    <row r="1370" spans="1:15" ht="18" customHeight="1" x14ac:dyDescent="0.3">
      <c r="A1370" s="29">
        <v>1369</v>
      </c>
      <c r="B1370" s="15" t="s">
        <v>1828</v>
      </c>
      <c r="C1370" s="15" t="s">
        <v>1845</v>
      </c>
      <c r="D1370" s="69">
        <v>68</v>
      </c>
      <c r="E1370" s="68" t="s">
        <v>1850</v>
      </c>
      <c r="F1370" s="32" t="s">
        <v>1851</v>
      </c>
      <c r="G1370" s="15" t="s">
        <v>1538</v>
      </c>
      <c r="H1370" s="15" t="s">
        <v>2690</v>
      </c>
      <c r="I1370" s="69">
        <v>107</v>
      </c>
      <c r="J1370" s="15" t="s">
        <v>2672</v>
      </c>
      <c r="K1370" s="15" t="s">
        <v>2672</v>
      </c>
      <c r="L1370" s="15" t="s">
        <v>2673</v>
      </c>
      <c r="M1370" s="15" t="s">
        <v>2672</v>
      </c>
      <c r="N1370" s="15" t="s">
        <v>2673</v>
      </c>
      <c r="O1370" s="15"/>
    </row>
    <row r="1371" spans="1:15" ht="18" customHeight="1" x14ac:dyDescent="0.3">
      <c r="A1371" s="29">
        <v>1370</v>
      </c>
      <c r="B1371" s="15" t="s">
        <v>1828</v>
      </c>
      <c r="C1371" s="15" t="s">
        <v>1845</v>
      </c>
      <c r="D1371" s="69">
        <v>68</v>
      </c>
      <c r="E1371" s="68" t="s">
        <v>1850</v>
      </c>
      <c r="F1371" s="32" t="s">
        <v>1851</v>
      </c>
      <c r="G1371" s="15" t="s">
        <v>1538</v>
      </c>
      <c r="H1371" s="15" t="s">
        <v>2682</v>
      </c>
      <c r="I1371" s="69">
        <v>160</v>
      </c>
      <c r="J1371" s="15" t="s">
        <v>2672</v>
      </c>
      <c r="K1371" s="15" t="s">
        <v>2672</v>
      </c>
      <c r="L1371" s="15" t="s">
        <v>2673</v>
      </c>
      <c r="M1371" s="15" t="s">
        <v>2672</v>
      </c>
      <c r="N1371" s="15" t="s">
        <v>2673</v>
      </c>
      <c r="O1371" s="15"/>
    </row>
    <row r="1372" spans="1:15" ht="18" customHeight="1" x14ac:dyDescent="0.3">
      <c r="A1372" s="29">
        <v>1371</v>
      </c>
      <c r="B1372" s="15" t="s">
        <v>1828</v>
      </c>
      <c r="C1372" s="15" t="s">
        <v>1845</v>
      </c>
      <c r="D1372" s="69">
        <v>68</v>
      </c>
      <c r="E1372" s="68" t="s">
        <v>1850</v>
      </c>
      <c r="F1372" s="32" t="s">
        <v>1851</v>
      </c>
      <c r="G1372" s="15" t="s">
        <v>1538</v>
      </c>
      <c r="H1372" s="15" t="s">
        <v>2732</v>
      </c>
      <c r="I1372" s="69">
        <v>173</v>
      </c>
      <c r="J1372" s="15" t="s">
        <v>2672</v>
      </c>
      <c r="K1372" s="15" t="s">
        <v>2672</v>
      </c>
      <c r="L1372" s="15" t="s">
        <v>2673</v>
      </c>
      <c r="M1372" s="15" t="s">
        <v>2672</v>
      </c>
      <c r="N1372" s="15" t="s">
        <v>2673</v>
      </c>
      <c r="O1372" s="15"/>
    </row>
    <row r="1373" spans="1:15" ht="18" customHeight="1" x14ac:dyDescent="0.3">
      <c r="A1373" s="29">
        <v>1372</v>
      </c>
      <c r="B1373" s="15" t="s">
        <v>220</v>
      </c>
      <c r="C1373" s="15" t="s">
        <v>5</v>
      </c>
      <c r="D1373" s="69">
        <v>70</v>
      </c>
      <c r="E1373" s="68" t="s">
        <v>973</v>
      </c>
      <c r="F1373" s="21" t="s">
        <v>581</v>
      </c>
      <c r="G1373" s="15" t="s">
        <v>154</v>
      </c>
      <c r="H1373" s="15" t="s">
        <v>901</v>
      </c>
      <c r="I1373" s="69">
        <v>279</v>
      </c>
      <c r="J1373" s="13" t="s">
        <v>902</v>
      </c>
      <c r="K1373" s="15" t="s">
        <v>903</v>
      </c>
      <c r="L1373" s="15" t="s">
        <v>2673</v>
      </c>
      <c r="M1373" s="15" t="s">
        <v>2672</v>
      </c>
      <c r="N1373" s="15" t="s">
        <v>2673</v>
      </c>
      <c r="O1373" s="15"/>
    </row>
    <row r="1374" spans="1:15" ht="18" customHeight="1" x14ac:dyDescent="0.3">
      <c r="A1374" s="29">
        <v>1373</v>
      </c>
      <c r="B1374" s="15" t="s">
        <v>220</v>
      </c>
      <c r="C1374" s="15" t="s">
        <v>5</v>
      </c>
      <c r="D1374" s="69">
        <v>70</v>
      </c>
      <c r="E1374" s="68" t="s">
        <v>973</v>
      </c>
      <c r="F1374" s="21" t="s">
        <v>581</v>
      </c>
      <c r="G1374" s="15" t="s">
        <v>154</v>
      </c>
      <c r="H1374" s="15" t="s">
        <v>904</v>
      </c>
      <c r="I1374" s="69">
        <v>135</v>
      </c>
      <c r="J1374" s="13" t="s">
        <v>2672</v>
      </c>
      <c r="K1374" s="15" t="s">
        <v>903</v>
      </c>
      <c r="L1374" s="15" t="s">
        <v>2673</v>
      </c>
      <c r="M1374" s="15" t="s">
        <v>2672</v>
      </c>
      <c r="N1374" s="15" t="s">
        <v>2673</v>
      </c>
      <c r="O1374" s="15"/>
    </row>
    <row r="1375" spans="1:15" ht="18" customHeight="1" x14ac:dyDescent="0.3">
      <c r="A1375" s="29">
        <v>1374</v>
      </c>
      <c r="B1375" s="15" t="s">
        <v>220</v>
      </c>
      <c r="C1375" s="15" t="s">
        <v>5</v>
      </c>
      <c r="D1375" s="69">
        <v>70</v>
      </c>
      <c r="E1375" s="68" t="s">
        <v>973</v>
      </c>
      <c r="F1375" s="21" t="s">
        <v>581</v>
      </c>
      <c r="G1375" s="15" t="s">
        <v>154</v>
      </c>
      <c r="H1375" s="15" t="s">
        <v>905</v>
      </c>
      <c r="I1375" s="69">
        <v>155</v>
      </c>
      <c r="J1375" s="13" t="s">
        <v>902</v>
      </c>
      <c r="K1375" s="15" t="s">
        <v>903</v>
      </c>
      <c r="L1375" s="15" t="s">
        <v>2673</v>
      </c>
      <c r="M1375" s="15" t="s">
        <v>2672</v>
      </c>
      <c r="N1375" s="15" t="s">
        <v>2673</v>
      </c>
      <c r="O1375" s="15"/>
    </row>
    <row r="1376" spans="1:15" ht="18" customHeight="1" x14ac:dyDescent="0.3">
      <c r="A1376" s="29">
        <v>1375</v>
      </c>
      <c r="B1376" s="15" t="s">
        <v>220</v>
      </c>
      <c r="C1376" s="15" t="s">
        <v>5</v>
      </c>
      <c r="D1376" s="69">
        <v>70</v>
      </c>
      <c r="E1376" s="68" t="s">
        <v>973</v>
      </c>
      <c r="F1376" s="21" t="s">
        <v>581</v>
      </c>
      <c r="G1376" s="15" t="s">
        <v>154</v>
      </c>
      <c r="H1376" s="15" t="s">
        <v>906</v>
      </c>
      <c r="I1376" s="69">
        <v>155</v>
      </c>
      <c r="J1376" s="13" t="s">
        <v>2672</v>
      </c>
      <c r="K1376" s="15" t="s">
        <v>903</v>
      </c>
      <c r="L1376" s="15" t="s">
        <v>2673</v>
      </c>
      <c r="M1376" s="15" t="s">
        <v>2672</v>
      </c>
      <c r="N1376" s="15" t="s">
        <v>2673</v>
      </c>
      <c r="O1376" s="15"/>
    </row>
    <row r="1377" spans="1:15" ht="18" customHeight="1" x14ac:dyDescent="0.3">
      <c r="A1377" s="29">
        <v>1376</v>
      </c>
      <c r="B1377" s="15" t="s">
        <v>220</v>
      </c>
      <c r="C1377" s="15" t="s">
        <v>5</v>
      </c>
      <c r="D1377" s="69">
        <v>70</v>
      </c>
      <c r="E1377" s="68" t="s">
        <v>973</v>
      </c>
      <c r="F1377" s="21" t="s">
        <v>581</v>
      </c>
      <c r="G1377" s="15" t="s">
        <v>154</v>
      </c>
      <c r="H1377" s="15" t="s">
        <v>907</v>
      </c>
      <c r="I1377" s="69">
        <v>135</v>
      </c>
      <c r="J1377" s="13" t="s">
        <v>2672</v>
      </c>
      <c r="K1377" s="15" t="s">
        <v>903</v>
      </c>
      <c r="L1377" s="15" t="s">
        <v>2673</v>
      </c>
      <c r="M1377" s="15" t="s">
        <v>2672</v>
      </c>
      <c r="N1377" s="15" t="s">
        <v>2673</v>
      </c>
      <c r="O1377" s="15"/>
    </row>
    <row r="1378" spans="1:15" ht="18" customHeight="1" x14ac:dyDescent="0.3">
      <c r="A1378" s="29">
        <v>1377</v>
      </c>
      <c r="B1378" s="15" t="s">
        <v>220</v>
      </c>
      <c r="C1378" s="15" t="s">
        <v>5</v>
      </c>
      <c r="D1378" s="69">
        <v>70</v>
      </c>
      <c r="E1378" s="68" t="s">
        <v>973</v>
      </c>
      <c r="F1378" s="21" t="s">
        <v>581</v>
      </c>
      <c r="G1378" s="15" t="s">
        <v>154</v>
      </c>
      <c r="H1378" s="15" t="s">
        <v>908</v>
      </c>
      <c r="I1378" s="69">
        <v>132</v>
      </c>
      <c r="J1378" s="13" t="s">
        <v>2672</v>
      </c>
      <c r="K1378" s="15" t="s">
        <v>903</v>
      </c>
      <c r="L1378" s="15" t="s">
        <v>2673</v>
      </c>
      <c r="M1378" s="15" t="s">
        <v>2672</v>
      </c>
      <c r="N1378" s="15" t="s">
        <v>2673</v>
      </c>
      <c r="O1378" s="15"/>
    </row>
    <row r="1379" spans="1:15" ht="18" customHeight="1" x14ac:dyDescent="0.3">
      <c r="A1379" s="29">
        <v>1378</v>
      </c>
      <c r="B1379" s="15" t="s">
        <v>220</v>
      </c>
      <c r="C1379" s="15" t="s">
        <v>5</v>
      </c>
      <c r="D1379" s="69">
        <v>70</v>
      </c>
      <c r="E1379" s="68" t="s">
        <v>973</v>
      </c>
      <c r="F1379" s="21" t="s">
        <v>581</v>
      </c>
      <c r="G1379" s="15" t="s">
        <v>154</v>
      </c>
      <c r="H1379" s="15" t="s">
        <v>909</v>
      </c>
      <c r="I1379" s="69">
        <v>132</v>
      </c>
      <c r="J1379" s="13" t="s">
        <v>2672</v>
      </c>
      <c r="K1379" s="15" t="s">
        <v>903</v>
      </c>
      <c r="L1379" s="15" t="s">
        <v>2673</v>
      </c>
      <c r="M1379" s="15" t="s">
        <v>2672</v>
      </c>
      <c r="N1379" s="15" t="s">
        <v>2673</v>
      </c>
      <c r="O1379" s="15"/>
    </row>
    <row r="1380" spans="1:15" ht="18" customHeight="1" x14ac:dyDescent="0.3">
      <c r="A1380" s="29">
        <v>1379</v>
      </c>
      <c r="B1380" s="15" t="s">
        <v>220</v>
      </c>
      <c r="C1380" s="15" t="s">
        <v>5</v>
      </c>
      <c r="D1380" s="69">
        <v>70</v>
      </c>
      <c r="E1380" s="68" t="s">
        <v>301</v>
      </c>
      <c r="F1380" s="21" t="s">
        <v>578</v>
      </c>
      <c r="G1380" s="15" t="s">
        <v>154</v>
      </c>
      <c r="H1380" s="15" t="s">
        <v>901</v>
      </c>
      <c r="I1380" s="69">
        <v>143</v>
      </c>
      <c r="J1380" s="15" t="s">
        <v>2672</v>
      </c>
      <c r="K1380" s="15" t="s">
        <v>903</v>
      </c>
      <c r="L1380" s="15" t="s">
        <v>2673</v>
      </c>
      <c r="M1380" s="15" t="s">
        <v>2672</v>
      </c>
      <c r="N1380" s="15" t="s">
        <v>2673</v>
      </c>
      <c r="O1380" s="15"/>
    </row>
    <row r="1381" spans="1:15" ht="18" customHeight="1" x14ac:dyDescent="0.3">
      <c r="A1381" s="29">
        <v>1380</v>
      </c>
      <c r="B1381" s="15" t="s">
        <v>220</v>
      </c>
      <c r="C1381" s="15" t="s">
        <v>5</v>
      </c>
      <c r="D1381" s="69">
        <v>70</v>
      </c>
      <c r="E1381" s="68" t="s">
        <v>301</v>
      </c>
      <c r="F1381" s="21" t="s">
        <v>578</v>
      </c>
      <c r="G1381" s="15" t="s">
        <v>154</v>
      </c>
      <c r="H1381" s="15" t="s">
        <v>904</v>
      </c>
      <c r="I1381" s="69">
        <v>137</v>
      </c>
      <c r="J1381" s="15" t="s">
        <v>2672</v>
      </c>
      <c r="K1381" s="15" t="s">
        <v>903</v>
      </c>
      <c r="L1381" s="15" t="s">
        <v>2673</v>
      </c>
      <c r="M1381" s="15" t="s">
        <v>2672</v>
      </c>
      <c r="N1381" s="15" t="s">
        <v>2673</v>
      </c>
      <c r="O1381" s="15"/>
    </row>
    <row r="1382" spans="1:15" ht="18" customHeight="1" x14ac:dyDescent="0.3">
      <c r="A1382" s="29">
        <v>1381</v>
      </c>
      <c r="B1382" s="15" t="s">
        <v>220</v>
      </c>
      <c r="C1382" s="15" t="s">
        <v>5</v>
      </c>
      <c r="D1382" s="69">
        <v>70</v>
      </c>
      <c r="E1382" s="68" t="s">
        <v>301</v>
      </c>
      <c r="F1382" s="21" t="s">
        <v>578</v>
      </c>
      <c r="G1382" s="15" t="s">
        <v>154</v>
      </c>
      <c r="H1382" s="15" t="s">
        <v>906</v>
      </c>
      <c r="I1382" s="69">
        <v>143</v>
      </c>
      <c r="J1382" s="15" t="s">
        <v>2672</v>
      </c>
      <c r="K1382" s="15" t="s">
        <v>903</v>
      </c>
      <c r="L1382" s="15" t="s">
        <v>2673</v>
      </c>
      <c r="M1382" s="15" t="s">
        <v>2672</v>
      </c>
      <c r="N1382" s="15" t="s">
        <v>2673</v>
      </c>
      <c r="O1382" s="15"/>
    </row>
    <row r="1383" spans="1:15" ht="18" customHeight="1" x14ac:dyDescent="0.3">
      <c r="A1383" s="29">
        <v>1382</v>
      </c>
      <c r="B1383" s="15" t="s">
        <v>220</v>
      </c>
      <c r="C1383" s="15" t="s">
        <v>5</v>
      </c>
      <c r="D1383" s="69">
        <v>70</v>
      </c>
      <c r="E1383" s="68" t="s">
        <v>301</v>
      </c>
      <c r="F1383" s="21" t="s">
        <v>578</v>
      </c>
      <c r="G1383" s="15" t="s">
        <v>154</v>
      </c>
      <c r="H1383" s="15" t="s">
        <v>907</v>
      </c>
      <c r="I1383" s="69">
        <v>137</v>
      </c>
      <c r="J1383" s="15" t="s">
        <v>2674</v>
      </c>
      <c r="K1383" s="15" t="s">
        <v>903</v>
      </c>
      <c r="L1383" s="15" t="s">
        <v>2673</v>
      </c>
      <c r="M1383" s="15" t="s">
        <v>2672</v>
      </c>
      <c r="N1383" s="15" t="s">
        <v>2673</v>
      </c>
      <c r="O1383" s="15"/>
    </row>
    <row r="1384" spans="1:15" ht="18" customHeight="1" x14ac:dyDescent="0.3">
      <c r="A1384" s="29">
        <v>1383</v>
      </c>
      <c r="B1384" s="15" t="s">
        <v>220</v>
      </c>
      <c r="C1384" s="15" t="s">
        <v>5</v>
      </c>
      <c r="D1384" s="69">
        <v>70</v>
      </c>
      <c r="E1384" s="68" t="s">
        <v>301</v>
      </c>
      <c r="F1384" s="21" t="s">
        <v>578</v>
      </c>
      <c r="G1384" s="15" t="s">
        <v>154</v>
      </c>
      <c r="H1384" s="15" t="s">
        <v>909</v>
      </c>
      <c r="I1384" s="69">
        <v>143</v>
      </c>
      <c r="J1384" s="15" t="s">
        <v>2672</v>
      </c>
      <c r="K1384" s="15" t="s">
        <v>903</v>
      </c>
      <c r="L1384" s="15" t="s">
        <v>2673</v>
      </c>
      <c r="M1384" s="15" t="s">
        <v>2672</v>
      </c>
      <c r="N1384" s="15" t="s">
        <v>2673</v>
      </c>
      <c r="O1384" s="15"/>
    </row>
    <row r="1385" spans="1:15" ht="18" customHeight="1" x14ac:dyDescent="0.3">
      <c r="A1385" s="29">
        <v>1384</v>
      </c>
      <c r="B1385" s="15" t="s">
        <v>220</v>
      </c>
      <c r="C1385" s="15" t="s">
        <v>5</v>
      </c>
      <c r="D1385" s="69">
        <v>70</v>
      </c>
      <c r="E1385" s="68" t="s">
        <v>301</v>
      </c>
      <c r="F1385" s="21" t="s">
        <v>578</v>
      </c>
      <c r="G1385" s="15" t="s">
        <v>154</v>
      </c>
      <c r="H1385" s="15" t="s">
        <v>910</v>
      </c>
      <c r="I1385" s="69">
        <v>258</v>
      </c>
      <c r="J1385" s="15" t="s">
        <v>2672</v>
      </c>
      <c r="K1385" s="15" t="s">
        <v>903</v>
      </c>
      <c r="L1385" s="15" t="s">
        <v>2673</v>
      </c>
      <c r="M1385" s="15" t="s">
        <v>2672</v>
      </c>
      <c r="N1385" s="15" t="s">
        <v>2673</v>
      </c>
      <c r="O1385" s="15"/>
    </row>
    <row r="1386" spans="1:15" ht="18" customHeight="1" x14ac:dyDescent="0.3">
      <c r="A1386" s="29">
        <v>1385</v>
      </c>
      <c r="B1386" s="15" t="s">
        <v>220</v>
      </c>
      <c r="C1386" s="15" t="s">
        <v>5</v>
      </c>
      <c r="D1386" s="69">
        <v>70</v>
      </c>
      <c r="E1386" s="68" t="s">
        <v>301</v>
      </c>
      <c r="F1386" s="21" t="s">
        <v>2884</v>
      </c>
      <c r="G1386" s="15" t="s">
        <v>154</v>
      </c>
      <c r="H1386" s="15" t="s">
        <v>905</v>
      </c>
      <c r="I1386" s="69">
        <v>90</v>
      </c>
      <c r="J1386" s="15" t="s">
        <v>2672</v>
      </c>
      <c r="K1386" s="15" t="s">
        <v>2674</v>
      </c>
      <c r="L1386" s="15" t="s">
        <v>1703</v>
      </c>
      <c r="M1386" s="15" t="s">
        <v>2672</v>
      </c>
      <c r="N1386" s="15" t="s">
        <v>2673</v>
      </c>
      <c r="O1386" s="15"/>
    </row>
    <row r="1387" spans="1:15" ht="18" customHeight="1" x14ac:dyDescent="0.3">
      <c r="A1387" s="29">
        <v>1386</v>
      </c>
      <c r="B1387" s="15" t="s">
        <v>220</v>
      </c>
      <c r="C1387" s="15" t="s">
        <v>5</v>
      </c>
      <c r="D1387" s="69">
        <v>70</v>
      </c>
      <c r="E1387" s="68" t="s">
        <v>301</v>
      </c>
      <c r="F1387" s="21" t="s">
        <v>2884</v>
      </c>
      <c r="G1387" s="15" t="s">
        <v>154</v>
      </c>
      <c r="H1387" s="15" t="s">
        <v>908</v>
      </c>
      <c r="I1387" s="69">
        <v>90</v>
      </c>
      <c r="J1387" s="15" t="s">
        <v>2672</v>
      </c>
      <c r="K1387" s="15" t="s">
        <v>2674</v>
      </c>
      <c r="L1387" s="15" t="s">
        <v>1703</v>
      </c>
      <c r="M1387" s="15" t="s">
        <v>2672</v>
      </c>
      <c r="N1387" s="15" t="s">
        <v>2673</v>
      </c>
      <c r="O1387" s="15"/>
    </row>
    <row r="1388" spans="1:15" ht="18" customHeight="1" x14ac:dyDescent="0.3">
      <c r="A1388" s="29">
        <v>1387</v>
      </c>
      <c r="B1388" s="15" t="s">
        <v>220</v>
      </c>
      <c r="C1388" s="15" t="s">
        <v>33</v>
      </c>
      <c r="D1388" s="69">
        <v>71</v>
      </c>
      <c r="E1388" s="68" t="s">
        <v>2885</v>
      </c>
      <c r="F1388" s="21" t="s">
        <v>575</v>
      </c>
      <c r="G1388" s="15" t="s">
        <v>154</v>
      </c>
      <c r="H1388" s="15" t="s">
        <v>905</v>
      </c>
      <c r="I1388" s="69">
        <v>215</v>
      </c>
      <c r="J1388" s="13" t="s">
        <v>902</v>
      </c>
      <c r="K1388" s="15" t="s">
        <v>903</v>
      </c>
      <c r="L1388" s="15" t="s">
        <v>2673</v>
      </c>
      <c r="M1388" s="15" t="s">
        <v>2672</v>
      </c>
      <c r="N1388" s="15" t="s">
        <v>2673</v>
      </c>
      <c r="O1388" s="15" t="s">
        <v>1174</v>
      </c>
    </row>
    <row r="1389" spans="1:15" ht="18" customHeight="1" x14ac:dyDescent="0.3">
      <c r="A1389" s="29">
        <v>1388</v>
      </c>
      <c r="B1389" s="15" t="s">
        <v>220</v>
      </c>
      <c r="C1389" s="15" t="s">
        <v>33</v>
      </c>
      <c r="D1389" s="69">
        <v>71</v>
      </c>
      <c r="E1389" s="68" t="s">
        <v>2885</v>
      </c>
      <c r="F1389" s="21" t="s">
        <v>575</v>
      </c>
      <c r="G1389" s="15" t="s">
        <v>154</v>
      </c>
      <c r="H1389" s="15" t="s">
        <v>906</v>
      </c>
      <c r="I1389" s="69">
        <v>215</v>
      </c>
      <c r="J1389" s="13" t="s">
        <v>902</v>
      </c>
      <c r="K1389" s="15" t="s">
        <v>903</v>
      </c>
      <c r="L1389" s="15" t="s">
        <v>2673</v>
      </c>
      <c r="M1389" s="15" t="s">
        <v>2672</v>
      </c>
      <c r="N1389" s="15" t="s">
        <v>2673</v>
      </c>
      <c r="O1389" s="15"/>
    </row>
    <row r="1390" spans="1:15" ht="18" customHeight="1" x14ac:dyDescent="0.3">
      <c r="A1390" s="29">
        <v>1389</v>
      </c>
      <c r="B1390" s="15" t="s">
        <v>220</v>
      </c>
      <c r="C1390" s="15" t="s">
        <v>33</v>
      </c>
      <c r="D1390" s="69">
        <v>71</v>
      </c>
      <c r="E1390" s="68" t="s">
        <v>2885</v>
      </c>
      <c r="F1390" s="21" t="s">
        <v>575</v>
      </c>
      <c r="G1390" s="15" t="s">
        <v>154</v>
      </c>
      <c r="H1390" s="15" t="s">
        <v>907</v>
      </c>
      <c r="I1390" s="69">
        <v>104</v>
      </c>
      <c r="J1390" s="13" t="s">
        <v>2672</v>
      </c>
      <c r="K1390" s="15" t="s">
        <v>903</v>
      </c>
      <c r="L1390" s="15" t="s">
        <v>2673</v>
      </c>
      <c r="M1390" s="15" t="s">
        <v>2672</v>
      </c>
      <c r="N1390" s="15" t="s">
        <v>2673</v>
      </c>
      <c r="O1390" s="15"/>
    </row>
    <row r="1391" spans="1:15" ht="18" customHeight="1" x14ac:dyDescent="0.3">
      <c r="A1391" s="29">
        <v>1390</v>
      </c>
      <c r="B1391" s="15" t="s">
        <v>220</v>
      </c>
      <c r="C1391" s="15" t="s">
        <v>33</v>
      </c>
      <c r="D1391" s="69">
        <v>71</v>
      </c>
      <c r="E1391" s="68" t="s">
        <v>2885</v>
      </c>
      <c r="F1391" s="21" t="s">
        <v>575</v>
      </c>
      <c r="G1391" s="15" t="s">
        <v>154</v>
      </c>
      <c r="H1391" s="15" t="s">
        <v>908</v>
      </c>
      <c r="I1391" s="69">
        <v>104</v>
      </c>
      <c r="J1391" s="13" t="s">
        <v>2672</v>
      </c>
      <c r="K1391" s="15" t="s">
        <v>903</v>
      </c>
      <c r="L1391" s="15" t="s">
        <v>2673</v>
      </c>
      <c r="M1391" s="15" t="s">
        <v>2672</v>
      </c>
      <c r="N1391" s="15" t="s">
        <v>2673</v>
      </c>
      <c r="O1391" s="15"/>
    </row>
    <row r="1392" spans="1:15" ht="18" customHeight="1" x14ac:dyDescent="0.3">
      <c r="A1392" s="29">
        <v>1391</v>
      </c>
      <c r="B1392" s="15" t="s">
        <v>220</v>
      </c>
      <c r="C1392" s="15" t="s">
        <v>33</v>
      </c>
      <c r="D1392" s="69">
        <v>71</v>
      </c>
      <c r="E1392" s="68" t="s">
        <v>2885</v>
      </c>
      <c r="F1392" s="21" t="s">
        <v>575</v>
      </c>
      <c r="G1392" s="15" t="s">
        <v>154</v>
      </c>
      <c r="H1392" s="15" t="s">
        <v>909</v>
      </c>
      <c r="I1392" s="69">
        <v>104</v>
      </c>
      <c r="J1392" s="13" t="s">
        <v>2672</v>
      </c>
      <c r="K1392" s="15" t="s">
        <v>903</v>
      </c>
      <c r="L1392" s="15" t="s">
        <v>2673</v>
      </c>
      <c r="M1392" s="15" t="s">
        <v>2672</v>
      </c>
      <c r="N1392" s="15" t="s">
        <v>2673</v>
      </c>
      <c r="O1392" s="15"/>
    </row>
    <row r="1393" spans="1:15" ht="18" customHeight="1" x14ac:dyDescent="0.3">
      <c r="A1393" s="29">
        <v>1392</v>
      </c>
      <c r="B1393" s="15" t="s">
        <v>220</v>
      </c>
      <c r="C1393" s="15" t="s">
        <v>33</v>
      </c>
      <c r="D1393" s="69">
        <v>71</v>
      </c>
      <c r="E1393" s="68" t="s">
        <v>2885</v>
      </c>
      <c r="F1393" s="21" t="s">
        <v>575</v>
      </c>
      <c r="G1393" s="15" t="s">
        <v>154</v>
      </c>
      <c r="H1393" s="15" t="s">
        <v>911</v>
      </c>
      <c r="I1393" s="69">
        <v>273</v>
      </c>
      <c r="J1393" s="13" t="s">
        <v>902</v>
      </c>
      <c r="K1393" s="15" t="s">
        <v>903</v>
      </c>
      <c r="L1393" s="15" t="s">
        <v>2673</v>
      </c>
      <c r="M1393" s="15" t="s">
        <v>2672</v>
      </c>
      <c r="N1393" s="15" t="s">
        <v>2673</v>
      </c>
      <c r="O1393" s="15"/>
    </row>
    <row r="1394" spans="1:15" ht="18" customHeight="1" x14ac:dyDescent="0.3">
      <c r="A1394" s="29">
        <v>1393</v>
      </c>
      <c r="B1394" s="15" t="s">
        <v>220</v>
      </c>
      <c r="C1394" s="15" t="s">
        <v>33</v>
      </c>
      <c r="D1394" s="69">
        <v>71</v>
      </c>
      <c r="E1394" s="68" t="s">
        <v>2885</v>
      </c>
      <c r="F1394" s="21" t="s">
        <v>1214</v>
      </c>
      <c r="G1394" s="15" t="s">
        <v>154</v>
      </c>
      <c r="H1394" s="15" t="s">
        <v>901</v>
      </c>
      <c r="I1394" s="69">
        <v>182</v>
      </c>
      <c r="J1394" s="13" t="s">
        <v>2672</v>
      </c>
      <c r="K1394" s="15" t="s">
        <v>903</v>
      </c>
      <c r="L1394" s="15" t="s">
        <v>336</v>
      </c>
      <c r="M1394" s="15" t="s">
        <v>2672</v>
      </c>
      <c r="N1394" s="15" t="s">
        <v>2673</v>
      </c>
      <c r="O1394" s="15"/>
    </row>
    <row r="1395" spans="1:15" ht="18" customHeight="1" x14ac:dyDescent="0.3">
      <c r="A1395" s="29">
        <v>1394</v>
      </c>
      <c r="B1395" s="15" t="s">
        <v>220</v>
      </c>
      <c r="C1395" s="15" t="s">
        <v>33</v>
      </c>
      <c r="D1395" s="69">
        <v>71</v>
      </c>
      <c r="E1395" s="68" t="s">
        <v>2885</v>
      </c>
      <c r="F1395" s="21" t="s">
        <v>1214</v>
      </c>
      <c r="G1395" s="15" t="s">
        <v>154</v>
      </c>
      <c r="H1395" s="15" t="s">
        <v>904</v>
      </c>
      <c r="I1395" s="69">
        <v>215</v>
      </c>
      <c r="J1395" s="13" t="s">
        <v>2672</v>
      </c>
      <c r="K1395" s="15" t="s">
        <v>903</v>
      </c>
      <c r="L1395" s="15" t="s">
        <v>336</v>
      </c>
      <c r="M1395" s="15" t="s">
        <v>2672</v>
      </c>
      <c r="N1395" s="15" t="s">
        <v>2673</v>
      </c>
      <c r="O1395" s="15"/>
    </row>
    <row r="1396" spans="1:15" ht="18" customHeight="1" x14ac:dyDescent="0.3">
      <c r="A1396" s="29">
        <v>1395</v>
      </c>
      <c r="B1396" s="15" t="s">
        <v>220</v>
      </c>
      <c r="C1396" s="15" t="s">
        <v>33</v>
      </c>
      <c r="D1396" s="69">
        <v>71</v>
      </c>
      <c r="E1396" s="68" t="s">
        <v>2885</v>
      </c>
      <c r="F1396" s="21" t="s">
        <v>1214</v>
      </c>
      <c r="G1396" s="15" t="s">
        <v>154</v>
      </c>
      <c r="H1396" s="15" t="s">
        <v>910</v>
      </c>
      <c r="I1396" s="69">
        <v>68</v>
      </c>
      <c r="J1396" s="13" t="s">
        <v>902</v>
      </c>
      <c r="K1396" s="15" t="s">
        <v>2674</v>
      </c>
      <c r="L1396" s="15" t="s">
        <v>1577</v>
      </c>
      <c r="M1396" s="15" t="s">
        <v>2672</v>
      </c>
      <c r="N1396" s="15" t="s">
        <v>2673</v>
      </c>
      <c r="O1396" s="15"/>
    </row>
    <row r="1397" spans="1:15" ht="18" customHeight="1" x14ac:dyDescent="0.3">
      <c r="A1397" s="29">
        <v>1396</v>
      </c>
      <c r="B1397" s="15" t="s">
        <v>220</v>
      </c>
      <c r="C1397" s="15" t="s">
        <v>33</v>
      </c>
      <c r="D1397" s="69">
        <v>71</v>
      </c>
      <c r="E1397" s="68" t="s">
        <v>3310</v>
      </c>
      <c r="F1397" s="24" t="s">
        <v>573</v>
      </c>
      <c r="G1397" s="15" t="s">
        <v>154</v>
      </c>
      <c r="H1397" s="15" t="s">
        <v>987</v>
      </c>
      <c r="I1397" s="69">
        <v>192</v>
      </c>
      <c r="J1397" s="15" t="s">
        <v>2674</v>
      </c>
      <c r="K1397" s="15" t="s">
        <v>903</v>
      </c>
      <c r="L1397" s="15" t="s">
        <v>2673</v>
      </c>
      <c r="M1397" s="15" t="s">
        <v>2672</v>
      </c>
      <c r="N1397" s="15" t="s">
        <v>2673</v>
      </c>
      <c r="O1397" s="15"/>
    </row>
    <row r="1398" spans="1:15" ht="18" customHeight="1" x14ac:dyDescent="0.3">
      <c r="A1398" s="29">
        <v>1397</v>
      </c>
      <c r="B1398" s="15" t="s">
        <v>220</v>
      </c>
      <c r="C1398" s="15" t="s">
        <v>33</v>
      </c>
      <c r="D1398" s="69">
        <v>71</v>
      </c>
      <c r="E1398" s="68" t="s">
        <v>3310</v>
      </c>
      <c r="F1398" s="24" t="s">
        <v>573</v>
      </c>
      <c r="G1398" s="15" t="s">
        <v>154</v>
      </c>
      <c r="H1398" s="15" t="s">
        <v>988</v>
      </c>
      <c r="I1398" s="69">
        <v>279</v>
      </c>
      <c r="J1398" s="15" t="s">
        <v>2672</v>
      </c>
      <c r="K1398" s="15" t="s">
        <v>903</v>
      </c>
      <c r="L1398" s="15" t="s">
        <v>2673</v>
      </c>
      <c r="M1398" s="15" t="s">
        <v>2672</v>
      </c>
      <c r="N1398" s="15" t="s">
        <v>2673</v>
      </c>
      <c r="O1398" s="15"/>
    </row>
    <row r="1399" spans="1:15" ht="18" customHeight="1" x14ac:dyDescent="0.3">
      <c r="A1399" s="29">
        <v>1398</v>
      </c>
      <c r="B1399" s="15" t="s">
        <v>220</v>
      </c>
      <c r="C1399" s="15" t="s">
        <v>33</v>
      </c>
      <c r="D1399" s="69">
        <v>71</v>
      </c>
      <c r="E1399" s="68" t="s">
        <v>3310</v>
      </c>
      <c r="F1399" s="24" t="s">
        <v>573</v>
      </c>
      <c r="G1399" s="15" t="s">
        <v>154</v>
      </c>
      <c r="H1399" s="15" t="s">
        <v>989</v>
      </c>
      <c r="I1399" s="69">
        <v>292</v>
      </c>
      <c r="J1399" s="15" t="s">
        <v>2672</v>
      </c>
      <c r="K1399" s="15" t="s">
        <v>903</v>
      </c>
      <c r="L1399" s="15" t="s">
        <v>2673</v>
      </c>
      <c r="M1399" s="15" t="s">
        <v>2672</v>
      </c>
      <c r="N1399" s="15" t="s">
        <v>2673</v>
      </c>
      <c r="O1399" s="15"/>
    </row>
    <row r="1400" spans="1:15" ht="18" customHeight="1" x14ac:dyDescent="0.3">
      <c r="A1400" s="29">
        <v>1399</v>
      </c>
      <c r="B1400" s="15" t="s">
        <v>220</v>
      </c>
      <c r="C1400" s="15" t="s">
        <v>33</v>
      </c>
      <c r="D1400" s="69">
        <v>71</v>
      </c>
      <c r="E1400" s="68" t="s">
        <v>3310</v>
      </c>
      <c r="F1400" s="24" t="s">
        <v>573</v>
      </c>
      <c r="G1400" s="15" t="s">
        <v>154</v>
      </c>
      <c r="H1400" s="15" t="s">
        <v>990</v>
      </c>
      <c r="I1400" s="69">
        <v>146</v>
      </c>
      <c r="J1400" s="15" t="s">
        <v>2674</v>
      </c>
      <c r="K1400" s="15" t="s">
        <v>903</v>
      </c>
      <c r="L1400" s="15" t="s">
        <v>2673</v>
      </c>
      <c r="M1400" s="15" t="s">
        <v>2672</v>
      </c>
      <c r="N1400" s="15" t="s">
        <v>2673</v>
      </c>
      <c r="O1400" s="15"/>
    </row>
    <row r="1401" spans="1:15" ht="18" customHeight="1" x14ac:dyDescent="0.3">
      <c r="A1401" s="29">
        <v>1400</v>
      </c>
      <c r="B1401" s="15" t="s">
        <v>220</v>
      </c>
      <c r="C1401" s="15" t="s">
        <v>33</v>
      </c>
      <c r="D1401" s="69">
        <v>71</v>
      </c>
      <c r="E1401" s="68" t="s">
        <v>3310</v>
      </c>
      <c r="F1401" s="24" t="s">
        <v>573</v>
      </c>
      <c r="G1401" s="15" t="s">
        <v>154</v>
      </c>
      <c r="H1401" s="15" t="s">
        <v>991</v>
      </c>
      <c r="I1401" s="69">
        <v>146</v>
      </c>
      <c r="J1401" s="15" t="s">
        <v>2674</v>
      </c>
      <c r="K1401" s="15" t="s">
        <v>903</v>
      </c>
      <c r="L1401" s="15" t="s">
        <v>2673</v>
      </c>
      <c r="M1401" s="15" t="s">
        <v>2672</v>
      </c>
      <c r="N1401" s="15" t="s">
        <v>2673</v>
      </c>
      <c r="O1401" s="15"/>
    </row>
    <row r="1402" spans="1:15" ht="18" customHeight="1" x14ac:dyDescent="0.3">
      <c r="A1402" s="29">
        <v>1401</v>
      </c>
      <c r="B1402" s="15" t="s">
        <v>220</v>
      </c>
      <c r="C1402" s="15" t="s">
        <v>33</v>
      </c>
      <c r="D1402" s="69">
        <v>71</v>
      </c>
      <c r="E1402" s="68" t="s">
        <v>3310</v>
      </c>
      <c r="F1402" s="24" t="s">
        <v>573</v>
      </c>
      <c r="G1402" s="15" t="s">
        <v>154</v>
      </c>
      <c r="H1402" s="15" t="s">
        <v>992</v>
      </c>
      <c r="I1402" s="69">
        <v>292</v>
      </c>
      <c r="J1402" s="15" t="s">
        <v>2672</v>
      </c>
      <c r="K1402" s="15" t="s">
        <v>903</v>
      </c>
      <c r="L1402" s="15" t="s">
        <v>2673</v>
      </c>
      <c r="M1402" s="15" t="s">
        <v>2672</v>
      </c>
      <c r="N1402" s="15" t="s">
        <v>2673</v>
      </c>
      <c r="O1402" s="15"/>
    </row>
    <row r="1403" spans="1:15" ht="18" customHeight="1" x14ac:dyDescent="0.3">
      <c r="A1403" s="29">
        <v>1402</v>
      </c>
      <c r="B1403" s="15" t="s">
        <v>220</v>
      </c>
      <c r="C1403" s="15" t="s">
        <v>33</v>
      </c>
      <c r="D1403" s="69">
        <v>71</v>
      </c>
      <c r="E1403" s="68" t="s">
        <v>3310</v>
      </c>
      <c r="F1403" s="24" t="s">
        <v>573</v>
      </c>
      <c r="G1403" s="15" t="s">
        <v>154</v>
      </c>
      <c r="H1403" s="15" t="s">
        <v>993</v>
      </c>
      <c r="I1403" s="69">
        <v>223</v>
      </c>
      <c r="J1403" s="15" t="s">
        <v>2674</v>
      </c>
      <c r="K1403" s="15" t="s">
        <v>903</v>
      </c>
      <c r="L1403" s="15" t="s">
        <v>2673</v>
      </c>
      <c r="M1403" s="15" t="s">
        <v>2672</v>
      </c>
      <c r="N1403" s="15" t="s">
        <v>2673</v>
      </c>
      <c r="O1403" s="15"/>
    </row>
    <row r="1404" spans="1:15" ht="18" customHeight="1" x14ac:dyDescent="0.3">
      <c r="A1404" s="29">
        <v>1403</v>
      </c>
      <c r="B1404" s="15" t="s">
        <v>220</v>
      </c>
      <c r="C1404" s="15" t="s">
        <v>33</v>
      </c>
      <c r="D1404" s="69">
        <v>71</v>
      </c>
      <c r="E1404" s="68" t="s">
        <v>3310</v>
      </c>
      <c r="F1404" s="24" t="s">
        <v>2886</v>
      </c>
      <c r="G1404" s="15" t="s">
        <v>154</v>
      </c>
      <c r="H1404" s="15" t="s">
        <v>1250</v>
      </c>
      <c r="I1404" s="69">
        <v>216</v>
      </c>
      <c r="J1404" s="15" t="s">
        <v>2672</v>
      </c>
      <c r="K1404" s="15" t="s">
        <v>902</v>
      </c>
      <c r="L1404" s="15" t="s">
        <v>1069</v>
      </c>
      <c r="M1404" s="15" t="s">
        <v>2672</v>
      </c>
      <c r="N1404" s="15" t="s">
        <v>2673</v>
      </c>
      <c r="O1404" s="15"/>
    </row>
    <row r="1405" spans="1:15" ht="18" customHeight="1" x14ac:dyDescent="0.3">
      <c r="A1405" s="29">
        <v>1404</v>
      </c>
      <c r="B1405" s="15" t="s">
        <v>220</v>
      </c>
      <c r="C1405" s="15" t="s">
        <v>33</v>
      </c>
      <c r="D1405" s="69">
        <v>71</v>
      </c>
      <c r="E1405" s="68" t="s">
        <v>3310</v>
      </c>
      <c r="F1405" s="24" t="s">
        <v>2886</v>
      </c>
      <c r="G1405" s="15" t="s">
        <v>154</v>
      </c>
      <c r="H1405" s="15" t="s">
        <v>2712</v>
      </c>
      <c r="I1405" s="69">
        <v>31</v>
      </c>
      <c r="J1405" s="15" t="s">
        <v>2674</v>
      </c>
      <c r="K1405" s="15" t="s">
        <v>902</v>
      </c>
      <c r="L1405" s="15" t="s">
        <v>2713</v>
      </c>
      <c r="M1405" s="15" t="s">
        <v>2672</v>
      </c>
      <c r="N1405" s="15" t="s">
        <v>2673</v>
      </c>
      <c r="O1405" s="15"/>
    </row>
    <row r="1406" spans="1:15" ht="18" customHeight="1" x14ac:dyDescent="0.3">
      <c r="A1406" s="29">
        <v>1405</v>
      </c>
      <c r="B1406" s="15" t="s">
        <v>220</v>
      </c>
      <c r="C1406" s="15" t="s">
        <v>33</v>
      </c>
      <c r="D1406" s="69">
        <v>71</v>
      </c>
      <c r="E1406" s="68" t="s">
        <v>3310</v>
      </c>
      <c r="F1406" s="24" t="s">
        <v>2886</v>
      </c>
      <c r="G1406" s="15" t="s">
        <v>154</v>
      </c>
      <c r="H1406" s="15" t="s">
        <v>1251</v>
      </c>
      <c r="I1406" s="69">
        <v>168</v>
      </c>
      <c r="J1406" s="15" t="s">
        <v>2674</v>
      </c>
      <c r="K1406" s="15" t="s">
        <v>902</v>
      </c>
      <c r="L1406" s="15" t="s">
        <v>208</v>
      </c>
      <c r="M1406" s="15" t="s">
        <v>2672</v>
      </c>
      <c r="N1406" s="15" t="s">
        <v>2673</v>
      </c>
      <c r="O1406" s="15"/>
    </row>
    <row r="1407" spans="1:15" ht="18" customHeight="1" x14ac:dyDescent="0.3">
      <c r="A1407" s="29">
        <v>1406</v>
      </c>
      <c r="B1407" s="15" t="s">
        <v>220</v>
      </c>
      <c r="C1407" s="15" t="s">
        <v>33</v>
      </c>
      <c r="D1407" s="69">
        <v>71</v>
      </c>
      <c r="E1407" s="68" t="s">
        <v>3310</v>
      </c>
      <c r="F1407" s="24" t="s">
        <v>2886</v>
      </c>
      <c r="G1407" s="15" t="s">
        <v>154</v>
      </c>
      <c r="H1407" s="15" t="s">
        <v>2887</v>
      </c>
      <c r="I1407" s="69">
        <v>502</v>
      </c>
      <c r="J1407" s="15" t="s">
        <v>2674</v>
      </c>
      <c r="K1407" s="15" t="s">
        <v>902</v>
      </c>
      <c r="L1407" s="15" t="s">
        <v>207</v>
      </c>
      <c r="M1407" s="15" t="s">
        <v>2672</v>
      </c>
      <c r="N1407" s="15" t="s">
        <v>2673</v>
      </c>
      <c r="O1407" s="15"/>
    </row>
    <row r="1408" spans="1:15" ht="18" customHeight="1" x14ac:dyDescent="0.3">
      <c r="A1408" s="29">
        <v>1407</v>
      </c>
      <c r="B1408" s="15" t="s">
        <v>220</v>
      </c>
      <c r="C1408" s="15" t="s">
        <v>1856</v>
      </c>
      <c r="D1408" s="69">
        <v>72</v>
      </c>
      <c r="E1408" s="68" t="s">
        <v>3311</v>
      </c>
      <c r="F1408" s="24" t="s">
        <v>1858</v>
      </c>
      <c r="G1408" s="15" t="s">
        <v>1553</v>
      </c>
      <c r="H1408" s="15" t="s">
        <v>2685</v>
      </c>
      <c r="I1408" s="69">
        <v>57</v>
      </c>
      <c r="J1408" s="15" t="s">
        <v>2672</v>
      </c>
      <c r="K1408" s="15" t="s">
        <v>903</v>
      </c>
      <c r="L1408" s="15" t="s">
        <v>2673</v>
      </c>
      <c r="M1408" s="15" t="s">
        <v>2672</v>
      </c>
      <c r="N1408" s="15" t="s">
        <v>2673</v>
      </c>
      <c r="O1408" s="15"/>
    </row>
    <row r="1409" spans="1:15" ht="18" customHeight="1" x14ac:dyDescent="0.3">
      <c r="A1409" s="29">
        <v>1408</v>
      </c>
      <c r="B1409" s="15" t="s">
        <v>220</v>
      </c>
      <c r="C1409" s="15" t="s">
        <v>1856</v>
      </c>
      <c r="D1409" s="69">
        <v>72</v>
      </c>
      <c r="E1409" s="68" t="s">
        <v>3311</v>
      </c>
      <c r="F1409" s="24" t="s">
        <v>1858</v>
      </c>
      <c r="G1409" s="15" t="s">
        <v>1553</v>
      </c>
      <c r="H1409" s="15" t="s">
        <v>2678</v>
      </c>
      <c r="I1409" s="69">
        <v>63</v>
      </c>
      <c r="J1409" s="15" t="s">
        <v>2672</v>
      </c>
      <c r="K1409" s="15" t="s">
        <v>903</v>
      </c>
      <c r="L1409" s="15" t="s">
        <v>2673</v>
      </c>
      <c r="M1409" s="15" t="s">
        <v>2672</v>
      </c>
      <c r="N1409" s="15" t="s">
        <v>2673</v>
      </c>
      <c r="O1409" s="15"/>
    </row>
    <row r="1410" spans="1:15" ht="18" customHeight="1" x14ac:dyDescent="0.3">
      <c r="A1410" s="29">
        <v>1409</v>
      </c>
      <c r="B1410" s="15" t="s">
        <v>220</v>
      </c>
      <c r="C1410" s="15" t="s">
        <v>1856</v>
      </c>
      <c r="D1410" s="69">
        <v>72</v>
      </c>
      <c r="E1410" s="68" t="s">
        <v>3311</v>
      </c>
      <c r="F1410" s="24" t="s">
        <v>1858</v>
      </c>
      <c r="G1410" s="15" t="s">
        <v>1553</v>
      </c>
      <c r="H1410" s="15" t="s">
        <v>2679</v>
      </c>
      <c r="I1410" s="69">
        <v>79</v>
      </c>
      <c r="J1410" s="15" t="s">
        <v>2672</v>
      </c>
      <c r="K1410" s="15" t="s">
        <v>903</v>
      </c>
      <c r="L1410" s="15" t="s">
        <v>2673</v>
      </c>
      <c r="M1410" s="15" t="s">
        <v>2672</v>
      </c>
      <c r="N1410" s="15" t="s">
        <v>2673</v>
      </c>
      <c r="O1410" s="15"/>
    </row>
    <row r="1411" spans="1:15" ht="18" customHeight="1" x14ac:dyDescent="0.3">
      <c r="A1411" s="29">
        <v>1410</v>
      </c>
      <c r="B1411" s="15" t="s">
        <v>220</v>
      </c>
      <c r="C1411" s="15" t="s">
        <v>1856</v>
      </c>
      <c r="D1411" s="69">
        <v>72</v>
      </c>
      <c r="E1411" s="68" t="s">
        <v>3311</v>
      </c>
      <c r="F1411" s="24" t="s">
        <v>1858</v>
      </c>
      <c r="G1411" s="15" t="s">
        <v>1553</v>
      </c>
      <c r="H1411" s="15" t="s">
        <v>2680</v>
      </c>
      <c r="I1411" s="69">
        <v>92</v>
      </c>
      <c r="J1411" s="15" t="s">
        <v>2672</v>
      </c>
      <c r="K1411" s="15" t="s">
        <v>903</v>
      </c>
      <c r="L1411" s="15" t="s">
        <v>2673</v>
      </c>
      <c r="M1411" s="15" t="s">
        <v>2672</v>
      </c>
      <c r="N1411" s="15" t="s">
        <v>2673</v>
      </c>
      <c r="O1411" s="15"/>
    </row>
    <row r="1412" spans="1:15" ht="18" customHeight="1" x14ac:dyDescent="0.3">
      <c r="A1412" s="29">
        <v>1411</v>
      </c>
      <c r="B1412" s="15" t="s">
        <v>220</v>
      </c>
      <c r="C1412" s="15" t="s">
        <v>1856</v>
      </c>
      <c r="D1412" s="69">
        <v>72</v>
      </c>
      <c r="E1412" s="68" t="s">
        <v>3311</v>
      </c>
      <c r="F1412" s="24" t="s">
        <v>1858</v>
      </c>
      <c r="G1412" s="15" t="s">
        <v>1553</v>
      </c>
      <c r="H1412" s="15" t="s">
        <v>2690</v>
      </c>
      <c r="I1412" s="69">
        <v>92</v>
      </c>
      <c r="J1412" s="15" t="s">
        <v>2672</v>
      </c>
      <c r="K1412" s="15" t="s">
        <v>903</v>
      </c>
      <c r="L1412" s="15" t="s">
        <v>2673</v>
      </c>
      <c r="M1412" s="15" t="s">
        <v>2672</v>
      </c>
      <c r="N1412" s="15" t="s">
        <v>2673</v>
      </c>
      <c r="O1412" s="15"/>
    </row>
    <row r="1413" spans="1:15" ht="18" customHeight="1" x14ac:dyDescent="0.3">
      <c r="A1413" s="29">
        <v>1412</v>
      </c>
      <c r="B1413" s="15" t="s">
        <v>220</v>
      </c>
      <c r="C1413" s="15" t="s">
        <v>1856</v>
      </c>
      <c r="D1413" s="69">
        <v>72</v>
      </c>
      <c r="E1413" s="68" t="s">
        <v>3311</v>
      </c>
      <c r="F1413" s="24" t="s">
        <v>1858</v>
      </c>
      <c r="G1413" s="15" t="s">
        <v>1553</v>
      </c>
      <c r="H1413" s="15" t="s">
        <v>2682</v>
      </c>
      <c r="I1413" s="69">
        <v>29</v>
      </c>
      <c r="J1413" s="15" t="s">
        <v>2672</v>
      </c>
      <c r="K1413" s="15" t="s">
        <v>903</v>
      </c>
      <c r="L1413" s="15" t="s">
        <v>2673</v>
      </c>
      <c r="M1413" s="15" t="s">
        <v>2672</v>
      </c>
      <c r="N1413" s="15" t="s">
        <v>2673</v>
      </c>
      <c r="O1413" s="15"/>
    </row>
    <row r="1414" spans="1:15" ht="18" customHeight="1" x14ac:dyDescent="0.3">
      <c r="A1414" s="29">
        <v>1413</v>
      </c>
      <c r="B1414" s="13" t="s">
        <v>220</v>
      </c>
      <c r="C1414" s="13" t="s">
        <v>30</v>
      </c>
      <c r="D1414" s="13">
        <v>72</v>
      </c>
      <c r="E1414" s="63" t="s">
        <v>326</v>
      </c>
      <c r="F1414" s="21" t="s">
        <v>1860</v>
      </c>
      <c r="G1414" s="15" t="s">
        <v>2673</v>
      </c>
      <c r="H1414" s="15" t="s">
        <v>2685</v>
      </c>
      <c r="I1414" s="69">
        <v>105</v>
      </c>
      <c r="J1414" s="15" t="s">
        <v>2672</v>
      </c>
      <c r="K1414" s="15" t="s">
        <v>2672</v>
      </c>
      <c r="L1414" s="15" t="s">
        <v>2673</v>
      </c>
      <c r="M1414" s="15" t="s">
        <v>2672</v>
      </c>
      <c r="N1414" s="15" t="s">
        <v>2673</v>
      </c>
      <c r="O1414" s="15"/>
    </row>
    <row r="1415" spans="1:15" ht="18" customHeight="1" x14ac:dyDescent="0.3">
      <c r="A1415" s="29">
        <v>1414</v>
      </c>
      <c r="B1415" s="13" t="s">
        <v>220</v>
      </c>
      <c r="C1415" s="13" t="s">
        <v>30</v>
      </c>
      <c r="D1415" s="13">
        <v>72</v>
      </c>
      <c r="E1415" s="63" t="s">
        <v>326</v>
      </c>
      <c r="F1415" s="21" t="s">
        <v>1860</v>
      </c>
      <c r="G1415" s="15" t="s">
        <v>2673</v>
      </c>
      <c r="H1415" s="15" t="s">
        <v>2678</v>
      </c>
      <c r="I1415" s="69">
        <v>105</v>
      </c>
      <c r="J1415" s="15" t="s">
        <v>2672</v>
      </c>
      <c r="K1415" s="15" t="s">
        <v>2672</v>
      </c>
      <c r="L1415" s="15" t="s">
        <v>2673</v>
      </c>
      <c r="M1415" s="15" t="s">
        <v>2672</v>
      </c>
      <c r="N1415" s="15" t="s">
        <v>2673</v>
      </c>
      <c r="O1415" s="15"/>
    </row>
    <row r="1416" spans="1:15" ht="18" customHeight="1" x14ac:dyDescent="0.3">
      <c r="A1416" s="29">
        <v>1415</v>
      </c>
      <c r="B1416" s="15" t="s">
        <v>220</v>
      </c>
      <c r="C1416" s="15" t="s">
        <v>34</v>
      </c>
      <c r="D1416" s="69">
        <v>73</v>
      </c>
      <c r="E1416" s="68" t="s">
        <v>3313</v>
      </c>
      <c r="F1416" s="24" t="s">
        <v>1864</v>
      </c>
      <c r="G1416" s="15" t="s">
        <v>154</v>
      </c>
      <c r="H1416" s="15" t="s">
        <v>901</v>
      </c>
      <c r="I1416" s="69">
        <v>142</v>
      </c>
      <c r="J1416" s="15" t="s">
        <v>2672</v>
      </c>
      <c r="K1416" s="15" t="s">
        <v>903</v>
      </c>
      <c r="L1416" s="15" t="s">
        <v>2673</v>
      </c>
      <c r="M1416" s="15" t="s">
        <v>2672</v>
      </c>
      <c r="N1416" s="15" t="s">
        <v>2673</v>
      </c>
      <c r="O1416" s="15"/>
    </row>
    <row r="1417" spans="1:15" ht="18" customHeight="1" x14ac:dyDescent="0.3">
      <c r="A1417" s="29">
        <v>1416</v>
      </c>
      <c r="B1417" s="15" t="s">
        <v>220</v>
      </c>
      <c r="C1417" s="15" t="s">
        <v>34</v>
      </c>
      <c r="D1417" s="69">
        <v>73</v>
      </c>
      <c r="E1417" s="68" t="s">
        <v>3313</v>
      </c>
      <c r="F1417" s="24" t="s">
        <v>1864</v>
      </c>
      <c r="G1417" s="15" t="s">
        <v>154</v>
      </c>
      <c r="H1417" s="15" t="s">
        <v>904</v>
      </c>
      <c r="I1417" s="69">
        <v>69</v>
      </c>
      <c r="J1417" s="15" t="s">
        <v>2672</v>
      </c>
      <c r="K1417" s="15" t="s">
        <v>903</v>
      </c>
      <c r="L1417" s="15" t="s">
        <v>2673</v>
      </c>
      <c r="M1417" s="15" t="s">
        <v>2672</v>
      </c>
      <c r="N1417" s="15" t="s">
        <v>2673</v>
      </c>
      <c r="O1417" s="15"/>
    </row>
    <row r="1418" spans="1:15" ht="18" customHeight="1" x14ac:dyDescent="0.3">
      <c r="A1418" s="29">
        <v>1417</v>
      </c>
      <c r="B1418" s="15" t="s">
        <v>220</v>
      </c>
      <c r="C1418" s="15" t="s">
        <v>34</v>
      </c>
      <c r="D1418" s="69">
        <v>73</v>
      </c>
      <c r="E1418" s="68" t="s">
        <v>3313</v>
      </c>
      <c r="F1418" s="24" t="s">
        <v>1147</v>
      </c>
      <c r="G1418" s="15" t="s">
        <v>154</v>
      </c>
      <c r="H1418" s="15" t="s">
        <v>905</v>
      </c>
      <c r="I1418" s="69">
        <v>69</v>
      </c>
      <c r="J1418" s="15" t="s">
        <v>2674</v>
      </c>
      <c r="K1418" s="15" t="s">
        <v>903</v>
      </c>
      <c r="L1418" s="15" t="s">
        <v>2673</v>
      </c>
      <c r="M1418" s="15" t="s">
        <v>2672</v>
      </c>
      <c r="N1418" s="15" t="s">
        <v>2673</v>
      </c>
      <c r="O1418" s="15"/>
    </row>
    <row r="1419" spans="1:15" ht="18" customHeight="1" x14ac:dyDescent="0.3">
      <c r="A1419" s="29">
        <v>1418</v>
      </c>
      <c r="B1419" s="15" t="s">
        <v>220</v>
      </c>
      <c r="C1419" s="15" t="s">
        <v>34</v>
      </c>
      <c r="D1419" s="69">
        <v>73</v>
      </c>
      <c r="E1419" s="68" t="s">
        <v>3313</v>
      </c>
      <c r="F1419" s="24" t="s">
        <v>1147</v>
      </c>
      <c r="G1419" s="15" t="s">
        <v>154</v>
      </c>
      <c r="H1419" s="15" t="s">
        <v>906</v>
      </c>
      <c r="I1419" s="69">
        <v>83</v>
      </c>
      <c r="J1419" s="15" t="s">
        <v>2674</v>
      </c>
      <c r="K1419" s="15" t="s">
        <v>903</v>
      </c>
      <c r="L1419" s="15" t="s">
        <v>2673</v>
      </c>
      <c r="M1419" s="15" t="s">
        <v>2672</v>
      </c>
      <c r="N1419" s="15" t="s">
        <v>2673</v>
      </c>
      <c r="O1419" s="15"/>
    </row>
    <row r="1420" spans="1:15" ht="18" customHeight="1" x14ac:dyDescent="0.3">
      <c r="A1420" s="29">
        <v>1419</v>
      </c>
      <c r="B1420" s="15" t="s">
        <v>220</v>
      </c>
      <c r="C1420" s="15" t="s">
        <v>34</v>
      </c>
      <c r="D1420" s="69">
        <v>73</v>
      </c>
      <c r="E1420" s="68" t="s">
        <v>3314</v>
      </c>
      <c r="F1420" s="24" t="s">
        <v>577</v>
      </c>
      <c r="G1420" s="15" t="s">
        <v>154</v>
      </c>
      <c r="H1420" s="15" t="s">
        <v>901</v>
      </c>
      <c r="I1420" s="69">
        <v>174</v>
      </c>
      <c r="J1420" s="15" t="s">
        <v>2674</v>
      </c>
      <c r="K1420" s="15" t="s">
        <v>903</v>
      </c>
      <c r="L1420" s="15" t="s">
        <v>2673</v>
      </c>
      <c r="M1420" s="15" t="s">
        <v>2672</v>
      </c>
      <c r="N1420" s="15" t="s">
        <v>2673</v>
      </c>
      <c r="O1420" s="15"/>
    </row>
    <row r="1421" spans="1:15" ht="18" customHeight="1" x14ac:dyDescent="0.3">
      <c r="A1421" s="29">
        <v>1420</v>
      </c>
      <c r="B1421" s="15" t="s">
        <v>220</v>
      </c>
      <c r="C1421" s="15" t="s">
        <v>34</v>
      </c>
      <c r="D1421" s="69">
        <v>73</v>
      </c>
      <c r="E1421" s="68" t="s">
        <v>3314</v>
      </c>
      <c r="F1421" s="24" t="s">
        <v>577</v>
      </c>
      <c r="G1421" s="15" t="s">
        <v>154</v>
      </c>
      <c r="H1421" s="15" t="s">
        <v>905</v>
      </c>
      <c r="I1421" s="69">
        <v>146</v>
      </c>
      <c r="J1421" s="15" t="s">
        <v>2672</v>
      </c>
      <c r="K1421" s="15" t="s">
        <v>903</v>
      </c>
      <c r="L1421" s="15" t="s">
        <v>2673</v>
      </c>
      <c r="M1421" s="15" t="s">
        <v>2672</v>
      </c>
      <c r="N1421" s="15" t="s">
        <v>2673</v>
      </c>
      <c r="O1421" s="15"/>
    </row>
    <row r="1422" spans="1:15" ht="18" customHeight="1" x14ac:dyDescent="0.3">
      <c r="A1422" s="29">
        <v>1421</v>
      </c>
      <c r="B1422" s="15" t="s">
        <v>220</v>
      </c>
      <c r="C1422" s="15" t="s">
        <v>34</v>
      </c>
      <c r="D1422" s="69">
        <v>73</v>
      </c>
      <c r="E1422" s="68" t="s">
        <v>3314</v>
      </c>
      <c r="F1422" s="24" t="s">
        <v>577</v>
      </c>
      <c r="G1422" s="15" t="s">
        <v>154</v>
      </c>
      <c r="H1422" s="15" t="s">
        <v>906</v>
      </c>
      <c r="I1422" s="69">
        <v>171</v>
      </c>
      <c r="J1422" s="15" t="s">
        <v>2672</v>
      </c>
      <c r="K1422" s="15" t="s">
        <v>903</v>
      </c>
      <c r="L1422" s="15" t="s">
        <v>2673</v>
      </c>
      <c r="M1422" s="15" t="s">
        <v>2672</v>
      </c>
      <c r="N1422" s="15" t="s">
        <v>2673</v>
      </c>
      <c r="O1422" s="15"/>
    </row>
    <row r="1423" spans="1:15" ht="18" customHeight="1" x14ac:dyDescent="0.3">
      <c r="A1423" s="29">
        <v>1422</v>
      </c>
      <c r="B1423" s="15" t="s">
        <v>220</v>
      </c>
      <c r="C1423" s="15" t="s">
        <v>34</v>
      </c>
      <c r="D1423" s="69">
        <v>73</v>
      </c>
      <c r="E1423" s="68" t="s">
        <v>3314</v>
      </c>
      <c r="F1423" s="24" t="s">
        <v>577</v>
      </c>
      <c r="G1423" s="15" t="s">
        <v>154</v>
      </c>
      <c r="H1423" s="15" t="s">
        <v>907</v>
      </c>
      <c r="I1423" s="69">
        <v>131</v>
      </c>
      <c r="J1423" s="15" t="s">
        <v>2674</v>
      </c>
      <c r="K1423" s="15" t="s">
        <v>903</v>
      </c>
      <c r="L1423" s="15" t="s">
        <v>2673</v>
      </c>
      <c r="M1423" s="15" t="s">
        <v>2672</v>
      </c>
      <c r="N1423" s="15" t="s">
        <v>2673</v>
      </c>
      <c r="O1423" s="15"/>
    </row>
    <row r="1424" spans="1:15" ht="18" customHeight="1" x14ac:dyDescent="0.3">
      <c r="A1424" s="29">
        <v>1423</v>
      </c>
      <c r="B1424" s="15" t="s">
        <v>220</v>
      </c>
      <c r="C1424" s="15" t="s">
        <v>34</v>
      </c>
      <c r="D1424" s="69">
        <v>73</v>
      </c>
      <c r="E1424" s="68" t="s">
        <v>3314</v>
      </c>
      <c r="F1424" s="24" t="s">
        <v>577</v>
      </c>
      <c r="G1424" s="15" t="s">
        <v>154</v>
      </c>
      <c r="H1424" s="15" t="s">
        <v>908</v>
      </c>
      <c r="I1424" s="69">
        <v>142</v>
      </c>
      <c r="J1424" s="15" t="s">
        <v>2672</v>
      </c>
      <c r="K1424" s="15" t="s">
        <v>903</v>
      </c>
      <c r="L1424" s="15" t="s">
        <v>2673</v>
      </c>
      <c r="M1424" s="15" t="s">
        <v>2672</v>
      </c>
      <c r="N1424" s="15" t="s">
        <v>2673</v>
      </c>
      <c r="O1424" s="15"/>
    </row>
    <row r="1425" spans="1:15" ht="18" customHeight="1" x14ac:dyDescent="0.3">
      <c r="A1425" s="29">
        <v>1424</v>
      </c>
      <c r="B1425" s="15" t="s">
        <v>220</v>
      </c>
      <c r="C1425" s="15" t="s">
        <v>34</v>
      </c>
      <c r="D1425" s="69">
        <v>73</v>
      </c>
      <c r="E1425" s="68" t="s">
        <v>3314</v>
      </c>
      <c r="F1425" s="24" t="s">
        <v>2888</v>
      </c>
      <c r="G1425" s="15" t="s">
        <v>154</v>
      </c>
      <c r="H1425" s="15" t="s">
        <v>909</v>
      </c>
      <c r="I1425" s="69">
        <v>142</v>
      </c>
      <c r="J1425" s="15" t="s">
        <v>2672</v>
      </c>
      <c r="K1425" s="15" t="s">
        <v>903</v>
      </c>
      <c r="L1425" s="15" t="s">
        <v>2673</v>
      </c>
      <c r="M1425" s="15" t="s">
        <v>2672</v>
      </c>
      <c r="N1425" s="15" t="s">
        <v>2673</v>
      </c>
      <c r="O1425" s="15"/>
    </row>
    <row r="1426" spans="1:15" ht="18" customHeight="1" x14ac:dyDescent="0.3">
      <c r="A1426" s="29">
        <v>1425</v>
      </c>
      <c r="B1426" s="15" t="s">
        <v>220</v>
      </c>
      <c r="C1426" s="15" t="s">
        <v>34</v>
      </c>
      <c r="D1426" s="69">
        <v>73</v>
      </c>
      <c r="E1426" s="68" t="s">
        <v>3314</v>
      </c>
      <c r="F1426" s="24" t="s">
        <v>2888</v>
      </c>
      <c r="G1426" s="15" t="s">
        <v>154</v>
      </c>
      <c r="H1426" s="15" t="s">
        <v>904</v>
      </c>
      <c r="I1426" s="69">
        <v>160</v>
      </c>
      <c r="J1426" s="15" t="s">
        <v>2674</v>
      </c>
      <c r="K1426" s="15" t="s">
        <v>902</v>
      </c>
      <c r="L1426" s="15" t="s">
        <v>1069</v>
      </c>
      <c r="M1426" s="15" t="s">
        <v>2672</v>
      </c>
      <c r="N1426" s="15" t="s">
        <v>2673</v>
      </c>
      <c r="O1426" s="15"/>
    </row>
    <row r="1427" spans="1:15" ht="18" customHeight="1" x14ac:dyDescent="0.3">
      <c r="A1427" s="29">
        <v>1426</v>
      </c>
      <c r="B1427" s="15" t="s">
        <v>220</v>
      </c>
      <c r="C1427" s="15" t="s">
        <v>50</v>
      </c>
      <c r="D1427" s="69">
        <v>74</v>
      </c>
      <c r="E1427" s="68" t="s">
        <v>1029</v>
      </c>
      <c r="F1427" s="24" t="s">
        <v>1869</v>
      </c>
      <c r="G1427" s="15" t="s">
        <v>2673</v>
      </c>
      <c r="H1427" s="15" t="s">
        <v>901</v>
      </c>
      <c r="I1427" s="69">
        <v>103</v>
      </c>
      <c r="J1427" s="15" t="s">
        <v>2674</v>
      </c>
      <c r="K1427" s="15" t="s">
        <v>903</v>
      </c>
      <c r="L1427" s="15" t="s">
        <v>2673</v>
      </c>
      <c r="M1427" s="15" t="s">
        <v>2672</v>
      </c>
      <c r="N1427" s="15" t="s">
        <v>2673</v>
      </c>
      <c r="O1427" s="15"/>
    </row>
    <row r="1428" spans="1:15" ht="18" customHeight="1" x14ac:dyDescent="0.3">
      <c r="A1428" s="29">
        <v>1427</v>
      </c>
      <c r="B1428" s="15" t="s">
        <v>220</v>
      </c>
      <c r="C1428" s="15" t="s">
        <v>50</v>
      </c>
      <c r="D1428" s="69">
        <v>74</v>
      </c>
      <c r="E1428" s="68" t="s">
        <v>1029</v>
      </c>
      <c r="F1428" s="24" t="s">
        <v>1869</v>
      </c>
      <c r="G1428" s="15" t="s">
        <v>2673</v>
      </c>
      <c r="H1428" s="15" t="s">
        <v>904</v>
      </c>
      <c r="I1428" s="69">
        <v>198</v>
      </c>
      <c r="J1428" s="15" t="s">
        <v>2674</v>
      </c>
      <c r="K1428" s="15" t="s">
        <v>903</v>
      </c>
      <c r="L1428" s="15" t="s">
        <v>2673</v>
      </c>
      <c r="M1428" s="15" t="s">
        <v>2672</v>
      </c>
      <c r="N1428" s="15" t="s">
        <v>2673</v>
      </c>
      <c r="O1428" s="15"/>
    </row>
    <row r="1429" spans="1:15" ht="18" customHeight="1" x14ac:dyDescent="0.3">
      <c r="A1429" s="29">
        <v>1428</v>
      </c>
      <c r="B1429" s="15" t="s">
        <v>51</v>
      </c>
      <c r="C1429" s="15" t="s">
        <v>1872</v>
      </c>
      <c r="D1429" s="69">
        <v>75</v>
      </c>
      <c r="E1429" s="68" t="s">
        <v>1873</v>
      </c>
      <c r="F1429" s="24" t="s">
        <v>1874</v>
      </c>
      <c r="G1429" s="15" t="s">
        <v>1538</v>
      </c>
      <c r="H1429" s="15" t="s">
        <v>2685</v>
      </c>
      <c r="I1429" s="69">
        <v>136</v>
      </c>
      <c r="J1429" s="15" t="s">
        <v>2672</v>
      </c>
      <c r="K1429" s="15" t="s">
        <v>903</v>
      </c>
      <c r="L1429" s="15" t="s">
        <v>2673</v>
      </c>
      <c r="M1429" s="15" t="s">
        <v>2672</v>
      </c>
      <c r="N1429" s="15" t="s">
        <v>2673</v>
      </c>
      <c r="O1429" s="15"/>
    </row>
    <row r="1430" spans="1:15" ht="18" customHeight="1" x14ac:dyDescent="0.3">
      <c r="A1430" s="29">
        <v>1429</v>
      </c>
      <c r="B1430" s="15" t="s">
        <v>51</v>
      </c>
      <c r="C1430" s="15" t="s">
        <v>1872</v>
      </c>
      <c r="D1430" s="69">
        <v>75</v>
      </c>
      <c r="E1430" s="68" t="s">
        <v>1873</v>
      </c>
      <c r="F1430" s="24" t="s">
        <v>1874</v>
      </c>
      <c r="G1430" s="15" t="s">
        <v>1538</v>
      </c>
      <c r="H1430" s="15" t="s">
        <v>2678</v>
      </c>
      <c r="I1430" s="69">
        <v>122</v>
      </c>
      <c r="J1430" s="15" t="s">
        <v>2672</v>
      </c>
      <c r="K1430" s="15" t="s">
        <v>903</v>
      </c>
      <c r="L1430" s="15" t="s">
        <v>2673</v>
      </c>
      <c r="M1430" s="15" t="s">
        <v>2672</v>
      </c>
      <c r="N1430" s="15" t="s">
        <v>2673</v>
      </c>
      <c r="O1430" s="15"/>
    </row>
    <row r="1431" spans="1:15" ht="18" customHeight="1" x14ac:dyDescent="0.3">
      <c r="A1431" s="29">
        <v>1430</v>
      </c>
      <c r="B1431" s="15" t="s">
        <v>51</v>
      </c>
      <c r="C1431" s="15" t="s">
        <v>1872</v>
      </c>
      <c r="D1431" s="69">
        <v>75</v>
      </c>
      <c r="E1431" s="68" t="s">
        <v>1873</v>
      </c>
      <c r="F1431" s="24" t="s">
        <v>1874</v>
      </c>
      <c r="G1431" s="15" t="s">
        <v>1538</v>
      </c>
      <c r="H1431" s="15" t="s">
        <v>2679</v>
      </c>
      <c r="I1431" s="69">
        <v>120</v>
      </c>
      <c r="J1431" s="15" t="s">
        <v>2672</v>
      </c>
      <c r="K1431" s="15" t="s">
        <v>903</v>
      </c>
      <c r="L1431" s="15" t="s">
        <v>2673</v>
      </c>
      <c r="M1431" s="15" t="s">
        <v>2672</v>
      </c>
      <c r="N1431" s="15" t="s">
        <v>2673</v>
      </c>
      <c r="O1431" s="15"/>
    </row>
    <row r="1432" spans="1:15" ht="18" customHeight="1" x14ac:dyDescent="0.3">
      <c r="A1432" s="29">
        <v>1431</v>
      </c>
      <c r="B1432" s="15" t="s">
        <v>51</v>
      </c>
      <c r="C1432" s="15" t="s">
        <v>1872</v>
      </c>
      <c r="D1432" s="69">
        <v>75</v>
      </c>
      <c r="E1432" s="68" t="s">
        <v>1873</v>
      </c>
      <c r="F1432" s="24" t="s">
        <v>1874</v>
      </c>
      <c r="G1432" s="15" t="s">
        <v>1538</v>
      </c>
      <c r="H1432" s="15" t="s">
        <v>2680</v>
      </c>
      <c r="I1432" s="69">
        <v>182</v>
      </c>
      <c r="J1432" s="15" t="s">
        <v>2672</v>
      </c>
      <c r="K1432" s="15" t="s">
        <v>903</v>
      </c>
      <c r="L1432" s="15" t="s">
        <v>2673</v>
      </c>
      <c r="M1432" s="15" t="s">
        <v>2672</v>
      </c>
      <c r="N1432" s="15" t="s">
        <v>2673</v>
      </c>
      <c r="O1432" s="15"/>
    </row>
    <row r="1433" spans="1:15" ht="18" customHeight="1" x14ac:dyDescent="0.3">
      <c r="A1433" s="29">
        <v>1432</v>
      </c>
      <c r="B1433" s="15" t="s">
        <v>51</v>
      </c>
      <c r="C1433" s="15" t="s">
        <v>1872</v>
      </c>
      <c r="D1433" s="69">
        <v>75</v>
      </c>
      <c r="E1433" s="68" t="s">
        <v>1873</v>
      </c>
      <c r="F1433" s="24" t="s">
        <v>1874</v>
      </c>
      <c r="G1433" s="15" t="s">
        <v>1538</v>
      </c>
      <c r="H1433" s="15" t="s">
        <v>2690</v>
      </c>
      <c r="I1433" s="69">
        <v>199</v>
      </c>
      <c r="J1433" s="15" t="s">
        <v>2672</v>
      </c>
      <c r="K1433" s="15" t="s">
        <v>903</v>
      </c>
      <c r="L1433" s="15" t="s">
        <v>2673</v>
      </c>
      <c r="M1433" s="15" t="s">
        <v>2672</v>
      </c>
      <c r="N1433" s="15" t="s">
        <v>2673</v>
      </c>
      <c r="O1433" s="15"/>
    </row>
    <row r="1434" spans="1:15" ht="18" customHeight="1" x14ac:dyDescent="0.3">
      <c r="A1434" s="29">
        <v>1433</v>
      </c>
      <c r="B1434" s="15" t="s">
        <v>51</v>
      </c>
      <c r="C1434" s="15" t="s">
        <v>936</v>
      </c>
      <c r="D1434" s="69">
        <v>75</v>
      </c>
      <c r="E1434" s="68" t="s">
        <v>3315</v>
      </c>
      <c r="F1434" s="24" t="s">
        <v>1146</v>
      </c>
      <c r="G1434" s="15" t="s">
        <v>154</v>
      </c>
      <c r="H1434" s="15" t="s">
        <v>905</v>
      </c>
      <c r="I1434" s="69">
        <v>109</v>
      </c>
      <c r="J1434" s="15" t="s">
        <v>2674</v>
      </c>
      <c r="K1434" s="15" t="s">
        <v>903</v>
      </c>
      <c r="L1434" s="15" t="s">
        <v>2673</v>
      </c>
      <c r="M1434" s="15" t="s">
        <v>2672</v>
      </c>
      <c r="N1434" s="15" t="s">
        <v>2673</v>
      </c>
      <c r="O1434" s="15"/>
    </row>
    <row r="1435" spans="1:15" ht="18" customHeight="1" x14ac:dyDescent="0.3">
      <c r="A1435" s="29">
        <v>1434</v>
      </c>
      <c r="B1435" s="15" t="s">
        <v>51</v>
      </c>
      <c r="C1435" s="15" t="s">
        <v>936</v>
      </c>
      <c r="D1435" s="69">
        <v>75</v>
      </c>
      <c r="E1435" s="68" t="s">
        <v>3315</v>
      </c>
      <c r="F1435" s="24" t="s">
        <v>1146</v>
      </c>
      <c r="G1435" s="15" t="s">
        <v>154</v>
      </c>
      <c r="H1435" s="15" t="s">
        <v>906</v>
      </c>
      <c r="I1435" s="69">
        <v>159</v>
      </c>
      <c r="J1435" s="15" t="s">
        <v>2672</v>
      </c>
      <c r="K1435" s="15" t="s">
        <v>903</v>
      </c>
      <c r="L1435" s="15" t="s">
        <v>2673</v>
      </c>
      <c r="M1435" s="15" t="s">
        <v>2672</v>
      </c>
      <c r="N1435" s="15" t="s">
        <v>2673</v>
      </c>
      <c r="O1435" s="15"/>
    </row>
    <row r="1436" spans="1:15" ht="18" customHeight="1" x14ac:dyDescent="0.3">
      <c r="A1436" s="29">
        <v>1435</v>
      </c>
      <c r="B1436" s="15" t="s">
        <v>51</v>
      </c>
      <c r="C1436" s="15" t="s">
        <v>936</v>
      </c>
      <c r="D1436" s="69">
        <v>75</v>
      </c>
      <c r="E1436" s="68" t="s">
        <v>3315</v>
      </c>
      <c r="F1436" s="24" t="s">
        <v>1146</v>
      </c>
      <c r="G1436" s="15" t="s">
        <v>154</v>
      </c>
      <c r="H1436" s="15" t="s">
        <v>907</v>
      </c>
      <c r="I1436" s="69">
        <v>268</v>
      </c>
      <c r="J1436" s="15" t="s">
        <v>2674</v>
      </c>
      <c r="K1436" s="15" t="s">
        <v>903</v>
      </c>
      <c r="L1436" s="15" t="s">
        <v>2673</v>
      </c>
      <c r="M1436" s="15" t="s">
        <v>2672</v>
      </c>
      <c r="N1436" s="15" t="s">
        <v>2673</v>
      </c>
      <c r="O1436" s="15"/>
    </row>
    <row r="1437" spans="1:15" ht="18" customHeight="1" x14ac:dyDescent="0.3">
      <c r="A1437" s="29">
        <v>1436</v>
      </c>
      <c r="B1437" s="15" t="s">
        <v>51</v>
      </c>
      <c r="C1437" s="15" t="s">
        <v>936</v>
      </c>
      <c r="D1437" s="69">
        <v>75</v>
      </c>
      <c r="E1437" s="68" t="s">
        <v>3315</v>
      </c>
      <c r="F1437" s="24" t="s">
        <v>1146</v>
      </c>
      <c r="G1437" s="15" t="s">
        <v>154</v>
      </c>
      <c r="H1437" s="15" t="s">
        <v>908</v>
      </c>
      <c r="I1437" s="69">
        <v>172</v>
      </c>
      <c r="J1437" s="15" t="s">
        <v>2672</v>
      </c>
      <c r="K1437" s="15" t="s">
        <v>902</v>
      </c>
      <c r="L1437" s="15" t="s">
        <v>1069</v>
      </c>
      <c r="M1437" s="15" t="s">
        <v>2672</v>
      </c>
      <c r="N1437" s="15" t="s">
        <v>2673</v>
      </c>
      <c r="O1437" s="15"/>
    </row>
    <row r="1438" spans="1:15" ht="18" customHeight="1" x14ac:dyDescent="0.3">
      <c r="A1438" s="29">
        <v>1437</v>
      </c>
      <c r="B1438" s="15" t="s">
        <v>51</v>
      </c>
      <c r="C1438" s="15" t="s">
        <v>936</v>
      </c>
      <c r="D1438" s="69">
        <v>75</v>
      </c>
      <c r="E1438" s="68" t="s">
        <v>3315</v>
      </c>
      <c r="F1438" s="24" t="s">
        <v>1146</v>
      </c>
      <c r="G1438" s="15" t="s">
        <v>154</v>
      </c>
      <c r="H1438" s="15" t="s">
        <v>909</v>
      </c>
      <c r="I1438" s="69">
        <v>172</v>
      </c>
      <c r="J1438" s="15" t="s">
        <v>2674</v>
      </c>
      <c r="K1438" s="15" t="s">
        <v>903</v>
      </c>
      <c r="L1438" s="15" t="s">
        <v>2673</v>
      </c>
      <c r="M1438" s="15" t="s">
        <v>2672</v>
      </c>
      <c r="N1438" s="15" t="s">
        <v>2673</v>
      </c>
      <c r="O1438" s="15"/>
    </row>
    <row r="1439" spans="1:15" ht="18" customHeight="1" x14ac:dyDescent="0.3">
      <c r="A1439" s="29">
        <v>1438</v>
      </c>
      <c r="B1439" s="15" t="s">
        <v>51</v>
      </c>
      <c r="C1439" s="15" t="s">
        <v>936</v>
      </c>
      <c r="D1439" s="69">
        <v>75</v>
      </c>
      <c r="E1439" s="68" t="s">
        <v>3315</v>
      </c>
      <c r="F1439" s="24" t="s">
        <v>584</v>
      </c>
      <c r="G1439" s="15" t="s">
        <v>154</v>
      </c>
      <c r="H1439" s="15" t="s">
        <v>901</v>
      </c>
      <c r="I1439" s="69">
        <v>104</v>
      </c>
      <c r="J1439" s="15" t="s">
        <v>2672</v>
      </c>
      <c r="K1439" s="15" t="s">
        <v>903</v>
      </c>
      <c r="L1439" s="15" t="s">
        <v>2673</v>
      </c>
      <c r="M1439" s="15" t="s">
        <v>2672</v>
      </c>
      <c r="N1439" s="15" t="s">
        <v>2673</v>
      </c>
      <c r="O1439" s="15"/>
    </row>
    <row r="1440" spans="1:15" ht="18" customHeight="1" x14ac:dyDescent="0.3">
      <c r="A1440" s="29">
        <v>1439</v>
      </c>
      <c r="B1440" s="15" t="s">
        <v>51</v>
      </c>
      <c r="C1440" s="15" t="s">
        <v>936</v>
      </c>
      <c r="D1440" s="69">
        <v>75</v>
      </c>
      <c r="E1440" s="68" t="s">
        <v>3315</v>
      </c>
      <c r="F1440" s="24" t="s">
        <v>584</v>
      </c>
      <c r="G1440" s="15" t="s">
        <v>154</v>
      </c>
      <c r="H1440" s="15" t="s">
        <v>904</v>
      </c>
      <c r="I1440" s="69">
        <v>110</v>
      </c>
      <c r="J1440" s="15" t="s">
        <v>2672</v>
      </c>
      <c r="K1440" s="15" t="s">
        <v>903</v>
      </c>
      <c r="L1440" s="15" t="s">
        <v>2673</v>
      </c>
      <c r="M1440" s="15" t="s">
        <v>2672</v>
      </c>
      <c r="N1440" s="15" t="s">
        <v>2673</v>
      </c>
      <c r="O1440" s="15"/>
    </row>
    <row r="1441" spans="1:15" ht="18" customHeight="1" x14ac:dyDescent="0.3">
      <c r="A1441" s="29">
        <v>1440</v>
      </c>
      <c r="B1441" s="15" t="s">
        <v>51</v>
      </c>
      <c r="C1441" s="15" t="s">
        <v>1872</v>
      </c>
      <c r="D1441" s="69">
        <v>75</v>
      </c>
      <c r="E1441" s="68" t="s">
        <v>1876</v>
      </c>
      <c r="F1441" s="24" t="s">
        <v>1877</v>
      </c>
      <c r="G1441" s="15" t="s">
        <v>1538</v>
      </c>
      <c r="H1441" s="15" t="s">
        <v>2685</v>
      </c>
      <c r="I1441" s="69">
        <v>138</v>
      </c>
      <c r="J1441" s="15" t="s">
        <v>2672</v>
      </c>
      <c r="K1441" s="15" t="s">
        <v>2674</v>
      </c>
      <c r="L1441" s="15" t="s">
        <v>1703</v>
      </c>
      <c r="M1441" s="15" t="s">
        <v>2672</v>
      </c>
      <c r="N1441" s="15" t="s">
        <v>2673</v>
      </c>
      <c r="O1441" s="15"/>
    </row>
    <row r="1442" spans="1:15" ht="18" customHeight="1" x14ac:dyDescent="0.3">
      <c r="A1442" s="29">
        <v>1441</v>
      </c>
      <c r="B1442" s="15" t="s">
        <v>51</v>
      </c>
      <c r="C1442" s="15" t="s">
        <v>1872</v>
      </c>
      <c r="D1442" s="69">
        <v>75</v>
      </c>
      <c r="E1442" s="68" t="s">
        <v>1876</v>
      </c>
      <c r="F1442" s="24" t="s">
        <v>1877</v>
      </c>
      <c r="G1442" s="15" t="s">
        <v>1538</v>
      </c>
      <c r="H1442" s="15" t="s">
        <v>2678</v>
      </c>
      <c r="I1442" s="69">
        <v>83</v>
      </c>
      <c r="J1442" s="15" t="s">
        <v>2672</v>
      </c>
      <c r="K1442" s="15" t="s">
        <v>2674</v>
      </c>
      <c r="L1442" s="15" t="s">
        <v>1703</v>
      </c>
      <c r="M1442" s="15" t="s">
        <v>2672</v>
      </c>
      <c r="N1442" s="15" t="s">
        <v>2673</v>
      </c>
      <c r="O1442" s="15"/>
    </row>
    <row r="1443" spans="1:15" ht="18" customHeight="1" x14ac:dyDescent="0.3">
      <c r="A1443" s="29">
        <v>1442</v>
      </c>
      <c r="B1443" s="15" t="s">
        <v>51</v>
      </c>
      <c r="C1443" s="15" t="s">
        <v>1872</v>
      </c>
      <c r="D1443" s="69">
        <v>75</v>
      </c>
      <c r="E1443" s="68" t="s">
        <v>1876</v>
      </c>
      <c r="F1443" s="24" t="s">
        <v>1877</v>
      </c>
      <c r="G1443" s="15" t="s">
        <v>1538</v>
      </c>
      <c r="H1443" s="15" t="s">
        <v>2679</v>
      </c>
      <c r="I1443" s="69">
        <v>102</v>
      </c>
      <c r="J1443" s="15" t="s">
        <v>2672</v>
      </c>
      <c r="K1443" s="15" t="s">
        <v>2674</v>
      </c>
      <c r="L1443" s="15" t="s">
        <v>1703</v>
      </c>
      <c r="M1443" s="15" t="s">
        <v>2672</v>
      </c>
      <c r="N1443" s="15" t="s">
        <v>2673</v>
      </c>
      <c r="O1443" s="15"/>
    </row>
    <row r="1444" spans="1:15" ht="18" customHeight="1" x14ac:dyDescent="0.3">
      <c r="A1444" s="29">
        <v>1443</v>
      </c>
      <c r="B1444" s="15" t="s">
        <v>51</v>
      </c>
      <c r="C1444" s="15" t="s">
        <v>1872</v>
      </c>
      <c r="D1444" s="69">
        <v>75</v>
      </c>
      <c r="E1444" s="68" t="s">
        <v>1876</v>
      </c>
      <c r="F1444" s="24" t="s">
        <v>1877</v>
      </c>
      <c r="G1444" s="15" t="s">
        <v>1538</v>
      </c>
      <c r="H1444" s="15" t="s">
        <v>2680</v>
      </c>
      <c r="I1444" s="69">
        <v>99</v>
      </c>
      <c r="J1444" s="15" t="s">
        <v>2672</v>
      </c>
      <c r="K1444" s="15" t="s">
        <v>2674</v>
      </c>
      <c r="L1444" s="15" t="s">
        <v>1703</v>
      </c>
      <c r="M1444" s="15" t="s">
        <v>2672</v>
      </c>
      <c r="N1444" s="15" t="s">
        <v>2673</v>
      </c>
      <c r="O1444" s="15"/>
    </row>
    <row r="1445" spans="1:15" ht="18" customHeight="1" x14ac:dyDescent="0.3">
      <c r="A1445" s="29">
        <v>1444</v>
      </c>
      <c r="B1445" s="15" t="s">
        <v>51</v>
      </c>
      <c r="C1445" s="15" t="s">
        <v>1872</v>
      </c>
      <c r="D1445" s="69">
        <v>75</v>
      </c>
      <c r="E1445" s="68" t="s">
        <v>1876</v>
      </c>
      <c r="F1445" s="24" t="s">
        <v>1877</v>
      </c>
      <c r="G1445" s="15" t="s">
        <v>1538</v>
      </c>
      <c r="H1445" s="15" t="s">
        <v>2690</v>
      </c>
      <c r="I1445" s="69">
        <v>138</v>
      </c>
      <c r="J1445" s="15" t="s">
        <v>2672</v>
      </c>
      <c r="K1445" s="15" t="s">
        <v>2674</v>
      </c>
      <c r="L1445" s="15" t="s">
        <v>1703</v>
      </c>
      <c r="M1445" s="15" t="s">
        <v>2672</v>
      </c>
      <c r="N1445" s="15" t="s">
        <v>2673</v>
      </c>
      <c r="O1445" s="15"/>
    </row>
    <row r="1446" spans="1:15" ht="18" customHeight="1" x14ac:dyDescent="0.3">
      <c r="A1446" s="29">
        <v>1445</v>
      </c>
      <c r="B1446" s="15" t="s">
        <v>51</v>
      </c>
      <c r="C1446" s="15" t="s">
        <v>1872</v>
      </c>
      <c r="D1446" s="69">
        <v>75</v>
      </c>
      <c r="E1446" s="68" t="s">
        <v>1876</v>
      </c>
      <c r="F1446" s="24" t="s">
        <v>1877</v>
      </c>
      <c r="G1446" s="15" t="s">
        <v>1538</v>
      </c>
      <c r="H1446" s="15" t="s">
        <v>2682</v>
      </c>
      <c r="I1446" s="69">
        <v>122</v>
      </c>
      <c r="J1446" s="15" t="s">
        <v>2672</v>
      </c>
      <c r="K1446" s="15" t="s">
        <v>2674</v>
      </c>
      <c r="L1446" s="15" t="s">
        <v>1703</v>
      </c>
      <c r="M1446" s="15" t="s">
        <v>2672</v>
      </c>
      <c r="N1446" s="15" t="s">
        <v>2673</v>
      </c>
      <c r="O1446" s="15"/>
    </row>
    <row r="1447" spans="1:15" ht="18" customHeight="1" x14ac:dyDescent="0.3">
      <c r="A1447" s="29">
        <v>1446</v>
      </c>
      <c r="B1447" s="15" t="s">
        <v>51</v>
      </c>
      <c r="C1447" s="15" t="s">
        <v>1879</v>
      </c>
      <c r="D1447" s="69">
        <v>75</v>
      </c>
      <c r="E1447" s="68" t="s">
        <v>1880</v>
      </c>
      <c r="F1447" s="21" t="s">
        <v>585</v>
      </c>
      <c r="G1447" s="15" t="s">
        <v>164</v>
      </c>
      <c r="H1447" s="15" t="s">
        <v>901</v>
      </c>
      <c r="I1447" s="69">
        <v>137</v>
      </c>
      <c r="J1447" s="15" t="s">
        <v>2674</v>
      </c>
      <c r="K1447" s="15" t="s">
        <v>903</v>
      </c>
      <c r="L1447" s="15" t="s">
        <v>2673</v>
      </c>
      <c r="M1447" s="15" t="s">
        <v>2672</v>
      </c>
      <c r="N1447" s="15" t="s">
        <v>2673</v>
      </c>
      <c r="O1447" s="15"/>
    </row>
    <row r="1448" spans="1:15" ht="18" customHeight="1" x14ac:dyDescent="0.3">
      <c r="A1448" s="29">
        <v>1447</v>
      </c>
      <c r="B1448" s="15" t="s">
        <v>51</v>
      </c>
      <c r="C1448" s="15" t="s">
        <v>1879</v>
      </c>
      <c r="D1448" s="69">
        <v>75</v>
      </c>
      <c r="E1448" s="68" t="s">
        <v>1880</v>
      </c>
      <c r="F1448" s="21" t="s">
        <v>585</v>
      </c>
      <c r="G1448" s="15" t="s">
        <v>164</v>
      </c>
      <c r="H1448" s="15" t="s">
        <v>904</v>
      </c>
      <c r="I1448" s="69">
        <v>115</v>
      </c>
      <c r="J1448" s="15" t="s">
        <v>2672</v>
      </c>
      <c r="K1448" s="15" t="s">
        <v>903</v>
      </c>
      <c r="L1448" s="15" t="s">
        <v>2673</v>
      </c>
      <c r="M1448" s="15" t="s">
        <v>2672</v>
      </c>
      <c r="N1448" s="15" t="s">
        <v>2673</v>
      </c>
      <c r="O1448" s="15"/>
    </row>
    <row r="1449" spans="1:15" ht="18" customHeight="1" x14ac:dyDescent="0.3">
      <c r="A1449" s="29">
        <v>1448</v>
      </c>
      <c r="B1449" s="15" t="s">
        <v>51</v>
      </c>
      <c r="C1449" s="15" t="s">
        <v>1879</v>
      </c>
      <c r="D1449" s="69">
        <v>75</v>
      </c>
      <c r="E1449" s="68" t="s">
        <v>1880</v>
      </c>
      <c r="F1449" s="21" t="s">
        <v>585</v>
      </c>
      <c r="G1449" s="15" t="s">
        <v>164</v>
      </c>
      <c r="H1449" s="15" t="s">
        <v>905</v>
      </c>
      <c r="I1449" s="69">
        <v>105</v>
      </c>
      <c r="J1449" s="15" t="s">
        <v>2672</v>
      </c>
      <c r="K1449" s="15" t="s">
        <v>903</v>
      </c>
      <c r="L1449" s="15" t="s">
        <v>2673</v>
      </c>
      <c r="M1449" s="15" t="s">
        <v>2672</v>
      </c>
      <c r="N1449" s="15" t="s">
        <v>2673</v>
      </c>
      <c r="O1449" s="15"/>
    </row>
    <row r="1450" spans="1:15" ht="18" customHeight="1" x14ac:dyDescent="0.3">
      <c r="A1450" s="29">
        <v>1449</v>
      </c>
      <c r="B1450" s="15" t="s">
        <v>51</v>
      </c>
      <c r="C1450" s="15" t="s">
        <v>1879</v>
      </c>
      <c r="D1450" s="69">
        <v>75</v>
      </c>
      <c r="E1450" s="68" t="s">
        <v>1880</v>
      </c>
      <c r="F1450" s="21" t="s">
        <v>585</v>
      </c>
      <c r="G1450" s="15" t="s">
        <v>164</v>
      </c>
      <c r="H1450" s="15" t="s">
        <v>906</v>
      </c>
      <c r="I1450" s="69">
        <v>219</v>
      </c>
      <c r="J1450" s="15" t="s">
        <v>2674</v>
      </c>
      <c r="K1450" s="15" t="s">
        <v>903</v>
      </c>
      <c r="L1450" s="15" t="s">
        <v>2673</v>
      </c>
      <c r="M1450" s="15" t="s">
        <v>2672</v>
      </c>
      <c r="N1450" s="15" t="s">
        <v>2673</v>
      </c>
      <c r="O1450" s="15"/>
    </row>
    <row r="1451" spans="1:15" ht="18" customHeight="1" x14ac:dyDescent="0.3">
      <c r="A1451" s="29">
        <v>1450</v>
      </c>
      <c r="B1451" s="15" t="s">
        <v>51</v>
      </c>
      <c r="C1451" s="15" t="s">
        <v>1879</v>
      </c>
      <c r="D1451" s="69">
        <v>75</v>
      </c>
      <c r="E1451" s="68" t="s">
        <v>1880</v>
      </c>
      <c r="F1451" s="21" t="s">
        <v>585</v>
      </c>
      <c r="G1451" s="15" t="s">
        <v>164</v>
      </c>
      <c r="H1451" s="15" t="s">
        <v>907</v>
      </c>
      <c r="I1451" s="69">
        <v>173</v>
      </c>
      <c r="J1451" s="15" t="s">
        <v>2672</v>
      </c>
      <c r="K1451" s="15" t="s">
        <v>903</v>
      </c>
      <c r="L1451" s="15" t="s">
        <v>2673</v>
      </c>
      <c r="M1451" s="15" t="s">
        <v>2672</v>
      </c>
      <c r="N1451" s="15" t="s">
        <v>2673</v>
      </c>
      <c r="O1451" s="15"/>
    </row>
    <row r="1452" spans="1:15" ht="18" customHeight="1" x14ac:dyDescent="0.3">
      <c r="A1452" s="29">
        <v>1451</v>
      </c>
      <c r="B1452" s="15" t="s">
        <v>52</v>
      </c>
      <c r="C1452" s="15" t="s">
        <v>53</v>
      </c>
      <c r="D1452" s="69">
        <v>76</v>
      </c>
      <c r="E1452" s="68" t="s">
        <v>294</v>
      </c>
      <c r="F1452" s="21" t="s">
        <v>636</v>
      </c>
      <c r="G1452" s="15" t="s">
        <v>164</v>
      </c>
      <c r="H1452" s="15" t="s">
        <v>901</v>
      </c>
      <c r="I1452" s="69">
        <v>297</v>
      </c>
      <c r="J1452" s="15" t="s">
        <v>2672</v>
      </c>
      <c r="K1452" s="15" t="s">
        <v>903</v>
      </c>
      <c r="L1452" s="15" t="s">
        <v>2673</v>
      </c>
      <c r="M1452" s="15" t="s">
        <v>2672</v>
      </c>
      <c r="N1452" s="15" t="s">
        <v>2673</v>
      </c>
      <c r="O1452" s="15"/>
    </row>
    <row r="1453" spans="1:15" ht="18" customHeight="1" x14ac:dyDescent="0.3">
      <c r="A1453" s="29">
        <v>1452</v>
      </c>
      <c r="B1453" s="15" t="s">
        <v>52</v>
      </c>
      <c r="C1453" s="15" t="s">
        <v>53</v>
      </c>
      <c r="D1453" s="69">
        <v>76</v>
      </c>
      <c r="E1453" s="68" t="s">
        <v>294</v>
      </c>
      <c r="F1453" s="21" t="s">
        <v>636</v>
      </c>
      <c r="G1453" s="15" t="s">
        <v>164</v>
      </c>
      <c r="H1453" s="15" t="s">
        <v>904</v>
      </c>
      <c r="I1453" s="69">
        <v>223</v>
      </c>
      <c r="J1453" s="15" t="s">
        <v>2672</v>
      </c>
      <c r="K1453" s="15" t="s">
        <v>903</v>
      </c>
      <c r="L1453" s="15" t="s">
        <v>2673</v>
      </c>
      <c r="M1453" s="15" t="s">
        <v>2672</v>
      </c>
      <c r="N1453" s="15" t="s">
        <v>2673</v>
      </c>
      <c r="O1453" s="15"/>
    </row>
    <row r="1454" spans="1:15" ht="18" customHeight="1" x14ac:dyDescent="0.3">
      <c r="A1454" s="29">
        <v>1453</v>
      </c>
      <c r="B1454" s="15" t="s">
        <v>52</v>
      </c>
      <c r="C1454" s="15" t="s">
        <v>53</v>
      </c>
      <c r="D1454" s="69">
        <v>76</v>
      </c>
      <c r="E1454" s="68" t="s">
        <v>294</v>
      </c>
      <c r="F1454" s="21" t="s">
        <v>636</v>
      </c>
      <c r="G1454" s="15" t="s">
        <v>164</v>
      </c>
      <c r="H1454" s="15" t="s">
        <v>905</v>
      </c>
      <c r="I1454" s="69">
        <v>193</v>
      </c>
      <c r="J1454" s="15" t="s">
        <v>2672</v>
      </c>
      <c r="K1454" s="15" t="s">
        <v>903</v>
      </c>
      <c r="L1454" s="15" t="s">
        <v>2673</v>
      </c>
      <c r="M1454" s="15" t="s">
        <v>2672</v>
      </c>
      <c r="N1454" s="15" t="s">
        <v>2673</v>
      </c>
      <c r="O1454" s="15"/>
    </row>
    <row r="1455" spans="1:15" ht="18" customHeight="1" x14ac:dyDescent="0.3">
      <c r="A1455" s="29">
        <v>1454</v>
      </c>
      <c r="B1455" s="15" t="s">
        <v>52</v>
      </c>
      <c r="C1455" s="15" t="s">
        <v>53</v>
      </c>
      <c r="D1455" s="69">
        <v>76</v>
      </c>
      <c r="E1455" s="68" t="s">
        <v>294</v>
      </c>
      <c r="F1455" s="21" t="s">
        <v>636</v>
      </c>
      <c r="G1455" s="15" t="s">
        <v>164</v>
      </c>
      <c r="H1455" s="15" t="s">
        <v>906</v>
      </c>
      <c r="I1455" s="69">
        <v>193</v>
      </c>
      <c r="J1455" s="15" t="s">
        <v>2672</v>
      </c>
      <c r="K1455" s="15" t="s">
        <v>903</v>
      </c>
      <c r="L1455" s="15" t="s">
        <v>2673</v>
      </c>
      <c r="M1455" s="15" t="s">
        <v>2672</v>
      </c>
      <c r="N1455" s="15" t="s">
        <v>2673</v>
      </c>
      <c r="O1455" s="15"/>
    </row>
    <row r="1456" spans="1:15" ht="18" customHeight="1" x14ac:dyDescent="0.3">
      <c r="A1456" s="29">
        <v>1455</v>
      </c>
      <c r="B1456" s="15" t="s">
        <v>52</v>
      </c>
      <c r="C1456" s="15" t="s">
        <v>53</v>
      </c>
      <c r="D1456" s="69">
        <v>76</v>
      </c>
      <c r="E1456" s="68" t="s">
        <v>294</v>
      </c>
      <c r="F1456" s="21" t="s">
        <v>636</v>
      </c>
      <c r="G1456" s="15" t="s">
        <v>164</v>
      </c>
      <c r="H1456" s="15" t="s">
        <v>907</v>
      </c>
      <c r="I1456" s="69">
        <v>223</v>
      </c>
      <c r="J1456" s="15" t="s">
        <v>2674</v>
      </c>
      <c r="K1456" s="15" t="s">
        <v>903</v>
      </c>
      <c r="L1456" s="15" t="s">
        <v>2673</v>
      </c>
      <c r="M1456" s="15" t="s">
        <v>2672</v>
      </c>
      <c r="N1456" s="15" t="s">
        <v>2673</v>
      </c>
      <c r="O1456" s="15"/>
    </row>
    <row r="1457" spans="1:15" ht="18" customHeight="1" x14ac:dyDescent="0.3">
      <c r="A1457" s="29">
        <v>1456</v>
      </c>
      <c r="B1457" s="15" t="s">
        <v>52</v>
      </c>
      <c r="C1457" s="15" t="s">
        <v>53</v>
      </c>
      <c r="D1457" s="69">
        <v>76</v>
      </c>
      <c r="E1457" s="68" t="s">
        <v>1884</v>
      </c>
      <c r="F1457" s="21" t="s">
        <v>1885</v>
      </c>
      <c r="G1457" s="15" t="s">
        <v>154</v>
      </c>
      <c r="H1457" s="15" t="s">
        <v>901</v>
      </c>
      <c r="I1457" s="69">
        <v>184</v>
      </c>
      <c r="J1457" s="13" t="s">
        <v>902</v>
      </c>
      <c r="K1457" s="15" t="s">
        <v>903</v>
      </c>
      <c r="L1457" s="15" t="s">
        <v>2673</v>
      </c>
      <c r="M1457" s="15" t="s">
        <v>2672</v>
      </c>
      <c r="N1457" s="15" t="s">
        <v>2673</v>
      </c>
      <c r="O1457" s="15"/>
    </row>
    <row r="1458" spans="1:15" ht="18" customHeight="1" x14ac:dyDescent="0.3">
      <c r="A1458" s="29">
        <v>1457</v>
      </c>
      <c r="B1458" s="15" t="s">
        <v>52</v>
      </c>
      <c r="C1458" s="15" t="s">
        <v>53</v>
      </c>
      <c r="D1458" s="69">
        <v>76</v>
      </c>
      <c r="E1458" s="68" t="s">
        <v>1884</v>
      </c>
      <c r="F1458" s="21" t="s">
        <v>1885</v>
      </c>
      <c r="G1458" s="15" t="s">
        <v>154</v>
      </c>
      <c r="H1458" s="15" t="s">
        <v>904</v>
      </c>
      <c r="I1458" s="69">
        <v>135</v>
      </c>
      <c r="J1458" s="13" t="s">
        <v>2672</v>
      </c>
      <c r="K1458" s="15" t="s">
        <v>903</v>
      </c>
      <c r="L1458" s="15" t="s">
        <v>2673</v>
      </c>
      <c r="M1458" s="15" t="s">
        <v>2672</v>
      </c>
      <c r="N1458" s="15" t="s">
        <v>2673</v>
      </c>
      <c r="O1458" s="15"/>
    </row>
    <row r="1459" spans="1:15" ht="18" customHeight="1" x14ac:dyDescent="0.3">
      <c r="A1459" s="29">
        <v>1458</v>
      </c>
      <c r="B1459" s="15" t="s">
        <v>52</v>
      </c>
      <c r="C1459" s="15" t="s">
        <v>53</v>
      </c>
      <c r="D1459" s="69">
        <v>76</v>
      </c>
      <c r="E1459" s="68" t="s">
        <v>1884</v>
      </c>
      <c r="F1459" s="21" t="s">
        <v>1089</v>
      </c>
      <c r="G1459" s="15" t="s">
        <v>154</v>
      </c>
      <c r="H1459" s="15" t="s">
        <v>905</v>
      </c>
      <c r="I1459" s="69">
        <v>135</v>
      </c>
      <c r="J1459" s="13" t="s">
        <v>2672</v>
      </c>
      <c r="K1459" s="15" t="s">
        <v>903</v>
      </c>
      <c r="L1459" s="15" t="s">
        <v>2673</v>
      </c>
      <c r="M1459" s="15" t="s">
        <v>2672</v>
      </c>
      <c r="N1459" s="15" t="s">
        <v>2673</v>
      </c>
      <c r="O1459" s="15"/>
    </row>
    <row r="1460" spans="1:15" ht="18" customHeight="1" x14ac:dyDescent="0.3">
      <c r="A1460" s="29">
        <v>1459</v>
      </c>
      <c r="B1460" s="15" t="s">
        <v>52</v>
      </c>
      <c r="C1460" s="15" t="s">
        <v>53</v>
      </c>
      <c r="D1460" s="69">
        <v>76</v>
      </c>
      <c r="E1460" s="68" t="s">
        <v>1884</v>
      </c>
      <c r="F1460" s="21" t="s">
        <v>1089</v>
      </c>
      <c r="G1460" s="15" t="s">
        <v>154</v>
      </c>
      <c r="H1460" s="15" t="s">
        <v>906</v>
      </c>
      <c r="I1460" s="69">
        <v>142</v>
      </c>
      <c r="J1460" s="13" t="s">
        <v>902</v>
      </c>
      <c r="K1460" s="15" t="s">
        <v>903</v>
      </c>
      <c r="L1460" s="15" t="s">
        <v>2673</v>
      </c>
      <c r="M1460" s="15" t="s">
        <v>2672</v>
      </c>
      <c r="N1460" s="15" t="s">
        <v>2673</v>
      </c>
      <c r="O1460" s="15"/>
    </row>
    <row r="1461" spans="1:15" ht="18" customHeight="1" x14ac:dyDescent="0.3">
      <c r="A1461" s="29">
        <v>1460</v>
      </c>
      <c r="B1461" s="15" t="s">
        <v>52</v>
      </c>
      <c r="C1461" s="15" t="s">
        <v>53</v>
      </c>
      <c r="D1461" s="69">
        <v>76</v>
      </c>
      <c r="E1461" s="68" t="s">
        <v>1884</v>
      </c>
      <c r="F1461" s="21" t="s">
        <v>1089</v>
      </c>
      <c r="G1461" s="15" t="s">
        <v>154</v>
      </c>
      <c r="H1461" s="15" t="s">
        <v>907</v>
      </c>
      <c r="I1461" s="69">
        <v>126</v>
      </c>
      <c r="J1461" s="13" t="s">
        <v>2672</v>
      </c>
      <c r="K1461" s="15" t="s">
        <v>903</v>
      </c>
      <c r="L1461" s="15" t="s">
        <v>2673</v>
      </c>
      <c r="M1461" s="15" t="s">
        <v>2672</v>
      </c>
      <c r="N1461" s="15" t="s">
        <v>2673</v>
      </c>
      <c r="O1461" s="15"/>
    </row>
    <row r="1462" spans="1:15" ht="18" customHeight="1" x14ac:dyDescent="0.3">
      <c r="A1462" s="29">
        <v>1461</v>
      </c>
      <c r="B1462" s="15" t="s">
        <v>52</v>
      </c>
      <c r="C1462" s="15" t="s">
        <v>53</v>
      </c>
      <c r="D1462" s="69">
        <v>76</v>
      </c>
      <c r="E1462" s="68" t="s">
        <v>1884</v>
      </c>
      <c r="F1462" s="21" t="s">
        <v>1089</v>
      </c>
      <c r="G1462" s="15" t="s">
        <v>154</v>
      </c>
      <c r="H1462" s="15" t="s">
        <v>908</v>
      </c>
      <c r="I1462" s="69">
        <v>69</v>
      </c>
      <c r="J1462" s="13" t="s">
        <v>2672</v>
      </c>
      <c r="K1462" s="15" t="s">
        <v>903</v>
      </c>
      <c r="L1462" s="15" t="s">
        <v>2673</v>
      </c>
      <c r="M1462" s="15" t="s">
        <v>2672</v>
      </c>
      <c r="N1462" s="15" t="s">
        <v>2673</v>
      </c>
      <c r="O1462" s="15"/>
    </row>
    <row r="1463" spans="1:15" ht="18" customHeight="1" x14ac:dyDescent="0.3">
      <c r="A1463" s="29">
        <v>1462</v>
      </c>
      <c r="B1463" s="15" t="s">
        <v>52</v>
      </c>
      <c r="C1463" s="15" t="s">
        <v>53</v>
      </c>
      <c r="D1463" s="69">
        <v>76</v>
      </c>
      <c r="E1463" s="68" t="s">
        <v>256</v>
      </c>
      <c r="F1463" s="21" t="s">
        <v>643</v>
      </c>
      <c r="G1463" s="15" t="s">
        <v>154</v>
      </c>
      <c r="H1463" s="15" t="s">
        <v>901</v>
      </c>
      <c r="I1463" s="69">
        <v>418</v>
      </c>
      <c r="J1463" s="13" t="s">
        <v>902</v>
      </c>
      <c r="K1463" s="15" t="s">
        <v>2674</v>
      </c>
      <c r="L1463" s="15" t="s">
        <v>2747</v>
      </c>
      <c r="M1463" s="15" t="s">
        <v>2672</v>
      </c>
      <c r="N1463" s="15" t="s">
        <v>2673</v>
      </c>
      <c r="O1463" s="15" t="s">
        <v>2748</v>
      </c>
    </row>
    <row r="1464" spans="1:15" ht="18" customHeight="1" x14ac:dyDescent="0.3">
      <c r="A1464" s="29">
        <v>1463</v>
      </c>
      <c r="B1464" s="15" t="s">
        <v>52</v>
      </c>
      <c r="C1464" s="15" t="s">
        <v>53</v>
      </c>
      <c r="D1464" s="69">
        <v>76</v>
      </c>
      <c r="E1464" s="68" t="s">
        <v>256</v>
      </c>
      <c r="F1464" s="21" t="s">
        <v>643</v>
      </c>
      <c r="G1464" s="15" t="s">
        <v>154</v>
      </c>
      <c r="H1464" s="15" t="s">
        <v>2678</v>
      </c>
      <c r="I1464" s="69">
        <v>424</v>
      </c>
      <c r="J1464" s="13" t="s">
        <v>902</v>
      </c>
      <c r="K1464" s="15" t="s">
        <v>903</v>
      </c>
      <c r="L1464" s="15" t="s">
        <v>2673</v>
      </c>
      <c r="M1464" s="15" t="s">
        <v>2672</v>
      </c>
      <c r="N1464" s="15" t="s">
        <v>2673</v>
      </c>
      <c r="O1464" s="15" t="s">
        <v>3441</v>
      </c>
    </row>
    <row r="1465" spans="1:15" ht="18" customHeight="1" x14ac:dyDescent="0.3">
      <c r="A1465" s="29">
        <v>1464</v>
      </c>
      <c r="B1465" s="15" t="s">
        <v>52</v>
      </c>
      <c r="C1465" s="15" t="s">
        <v>53</v>
      </c>
      <c r="D1465" s="69">
        <v>76</v>
      </c>
      <c r="E1465" s="68" t="s">
        <v>256</v>
      </c>
      <c r="F1465" s="21" t="s">
        <v>643</v>
      </c>
      <c r="G1465" s="15" t="s">
        <v>154</v>
      </c>
      <c r="H1465" s="15" t="s">
        <v>905</v>
      </c>
      <c r="I1465" s="69">
        <v>162</v>
      </c>
      <c r="J1465" s="13" t="s">
        <v>2672</v>
      </c>
      <c r="K1465" s="15" t="s">
        <v>903</v>
      </c>
      <c r="L1465" s="15" t="s">
        <v>2673</v>
      </c>
      <c r="M1465" s="15" t="s">
        <v>2672</v>
      </c>
      <c r="N1465" s="15" t="s">
        <v>2673</v>
      </c>
      <c r="O1465" s="15"/>
    </row>
    <row r="1466" spans="1:15" ht="18" customHeight="1" x14ac:dyDescent="0.3">
      <c r="A1466" s="29">
        <v>1465</v>
      </c>
      <c r="B1466" s="15" t="s">
        <v>52</v>
      </c>
      <c r="C1466" s="15" t="s">
        <v>53</v>
      </c>
      <c r="D1466" s="69">
        <v>76</v>
      </c>
      <c r="E1466" s="68" t="s">
        <v>256</v>
      </c>
      <c r="F1466" s="21" t="s">
        <v>643</v>
      </c>
      <c r="G1466" s="15" t="s">
        <v>154</v>
      </c>
      <c r="H1466" s="15" t="s">
        <v>906</v>
      </c>
      <c r="I1466" s="69">
        <v>240</v>
      </c>
      <c r="J1466" s="13" t="s">
        <v>902</v>
      </c>
      <c r="K1466" s="15" t="s">
        <v>903</v>
      </c>
      <c r="L1466" s="15" t="s">
        <v>2673</v>
      </c>
      <c r="M1466" s="15" t="s">
        <v>2672</v>
      </c>
      <c r="N1466" s="15" t="s">
        <v>2673</v>
      </c>
      <c r="O1466" s="15"/>
    </row>
    <row r="1467" spans="1:15" ht="18" customHeight="1" x14ac:dyDescent="0.3">
      <c r="A1467" s="29">
        <v>1466</v>
      </c>
      <c r="B1467" s="15" t="s">
        <v>52</v>
      </c>
      <c r="C1467" s="15" t="s">
        <v>53</v>
      </c>
      <c r="D1467" s="69">
        <v>76</v>
      </c>
      <c r="E1467" s="68" t="s">
        <v>256</v>
      </c>
      <c r="F1467" s="21" t="s">
        <v>643</v>
      </c>
      <c r="G1467" s="15" t="s">
        <v>154</v>
      </c>
      <c r="H1467" s="15" t="s">
        <v>907</v>
      </c>
      <c r="I1467" s="69">
        <v>131</v>
      </c>
      <c r="J1467" s="13" t="s">
        <v>2672</v>
      </c>
      <c r="K1467" s="15" t="s">
        <v>903</v>
      </c>
      <c r="L1467" s="15" t="s">
        <v>2673</v>
      </c>
      <c r="M1467" s="15" t="s">
        <v>2672</v>
      </c>
      <c r="N1467" s="15" t="s">
        <v>2673</v>
      </c>
      <c r="O1467" s="15"/>
    </row>
    <row r="1468" spans="1:15" ht="18" customHeight="1" x14ac:dyDescent="0.3">
      <c r="A1468" s="29">
        <v>1467</v>
      </c>
      <c r="B1468" s="15" t="s">
        <v>52</v>
      </c>
      <c r="C1468" s="15" t="s">
        <v>53</v>
      </c>
      <c r="D1468" s="69">
        <v>76</v>
      </c>
      <c r="E1468" s="68" t="s">
        <v>256</v>
      </c>
      <c r="F1468" s="21" t="s">
        <v>643</v>
      </c>
      <c r="G1468" s="15" t="s">
        <v>154</v>
      </c>
      <c r="H1468" s="15" t="s">
        <v>908</v>
      </c>
      <c r="I1468" s="69">
        <v>200</v>
      </c>
      <c r="J1468" s="13" t="s">
        <v>2672</v>
      </c>
      <c r="K1468" s="15" t="s">
        <v>2674</v>
      </c>
      <c r="L1468" s="15" t="s">
        <v>2889</v>
      </c>
      <c r="M1468" s="15" t="s">
        <v>2672</v>
      </c>
      <c r="N1468" s="15" t="s">
        <v>2673</v>
      </c>
      <c r="O1468" s="15"/>
    </row>
    <row r="1469" spans="1:15" ht="18" customHeight="1" x14ac:dyDescent="0.3">
      <c r="A1469" s="29">
        <v>1468</v>
      </c>
      <c r="B1469" s="15" t="s">
        <v>52</v>
      </c>
      <c r="C1469" s="15" t="s">
        <v>53</v>
      </c>
      <c r="D1469" s="69">
        <v>76</v>
      </c>
      <c r="E1469" s="68" t="s">
        <v>256</v>
      </c>
      <c r="F1469" s="21" t="s">
        <v>643</v>
      </c>
      <c r="G1469" s="15" t="s">
        <v>154</v>
      </c>
      <c r="H1469" s="15" t="s">
        <v>909</v>
      </c>
      <c r="I1469" s="69">
        <v>144</v>
      </c>
      <c r="J1469" s="13" t="s">
        <v>902</v>
      </c>
      <c r="K1469" s="15" t="s">
        <v>2674</v>
      </c>
      <c r="L1469" s="15" t="s">
        <v>1577</v>
      </c>
      <c r="M1469" s="15" t="s">
        <v>2672</v>
      </c>
      <c r="N1469" s="15" t="s">
        <v>2673</v>
      </c>
      <c r="O1469" s="15"/>
    </row>
    <row r="1470" spans="1:15" ht="18" customHeight="1" x14ac:dyDescent="0.3">
      <c r="A1470" s="29">
        <v>1469</v>
      </c>
      <c r="B1470" s="15" t="s">
        <v>52</v>
      </c>
      <c r="C1470" s="15" t="s">
        <v>53</v>
      </c>
      <c r="D1470" s="69">
        <v>76</v>
      </c>
      <c r="E1470" s="68" t="s">
        <v>256</v>
      </c>
      <c r="F1470" s="21" t="s">
        <v>643</v>
      </c>
      <c r="G1470" s="15" t="s">
        <v>154</v>
      </c>
      <c r="H1470" s="15" t="s">
        <v>910</v>
      </c>
      <c r="I1470" s="69">
        <v>176</v>
      </c>
      <c r="J1470" s="13" t="s">
        <v>2672</v>
      </c>
      <c r="K1470" s="15" t="s">
        <v>903</v>
      </c>
      <c r="L1470" s="15" t="s">
        <v>2673</v>
      </c>
      <c r="M1470" s="15" t="s">
        <v>2672</v>
      </c>
      <c r="N1470" s="15" t="s">
        <v>2673</v>
      </c>
      <c r="O1470" s="15"/>
    </row>
    <row r="1471" spans="1:15" ht="18" customHeight="1" x14ac:dyDescent="0.3">
      <c r="A1471" s="29">
        <v>1470</v>
      </c>
      <c r="B1471" s="15" t="s">
        <v>52</v>
      </c>
      <c r="C1471" s="15" t="s">
        <v>53</v>
      </c>
      <c r="D1471" s="69">
        <v>76</v>
      </c>
      <c r="E1471" s="68" t="s">
        <v>1888</v>
      </c>
      <c r="F1471" s="21" t="s">
        <v>1889</v>
      </c>
      <c r="G1471" s="13" t="s">
        <v>1553</v>
      </c>
      <c r="H1471" s="15" t="s">
        <v>2851</v>
      </c>
      <c r="I1471" s="69">
        <v>86</v>
      </c>
      <c r="J1471" s="15" t="s">
        <v>2672</v>
      </c>
      <c r="K1471" s="15" t="s">
        <v>902</v>
      </c>
      <c r="L1471" s="15" t="s">
        <v>1703</v>
      </c>
      <c r="M1471" s="15" t="s">
        <v>2672</v>
      </c>
      <c r="N1471" s="15" t="s">
        <v>2673</v>
      </c>
      <c r="O1471" s="15"/>
    </row>
    <row r="1472" spans="1:15" ht="18" customHeight="1" x14ac:dyDescent="0.3">
      <c r="A1472" s="29">
        <v>1471</v>
      </c>
      <c r="B1472" s="15" t="s">
        <v>52</v>
      </c>
      <c r="C1472" s="15" t="s">
        <v>53</v>
      </c>
      <c r="D1472" s="69">
        <v>76</v>
      </c>
      <c r="E1472" s="68" t="s">
        <v>1888</v>
      </c>
      <c r="F1472" s="21" t="s">
        <v>1889</v>
      </c>
      <c r="G1472" s="13" t="s">
        <v>1553</v>
      </c>
      <c r="H1472" s="15" t="s">
        <v>2767</v>
      </c>
      <c r="I1472" s="69">
        <v>94</v>
      </c>
      <c r="J1472" s="15" t="s">
        <v>2672</v>
      </c>
      <c r="K1472" s="15" t="s">
        <v>902</v>
      </c>
      <c r="L1472" s="15" t="s">
        <v>1703</v>
      </c>
      <c r="M1472" s="15" t="s">
        <v>2672</v>
      </c>
      <c r="N1472" s="15" t="s">
        <v>2673</v>
      </c>
      <c r="O1472" s="15"/>
    </row>
    <row r="1473" spans="1:15" ht="18" customHeight="1" x14ac:dyDescent="0.3">
      <c r="A1473" s="29">
        <v>1472</v>
      </c>
      <c r="B1473" s="15" t="s">
        <v>52</v>
      </c>
      <c r="C1473" s="15" t="s">
        <v>53</v>
      </c>
      <c r="D1473" s="69">
        <v>76</v>
      </c>
      <c r="E1473" s="68" t="s">
        <v>1888</v>
      </c>
      <c r="F1473" s="21" t="s">
        <v>1889</v>
      </c>
      <c r="G1473" s="13" t="s">
        <v>1553</v>
      </c>
      <c r="H1473" s="15" t="s">
        <v>1301</v>
      </c>
      <c r="I1473" s="69">
        <v>97</v>
      </c>
      <c r="J1473" s="15" t="s">
        <v>2672</v>
      </c>
      <c r="K1473" s="15" t="s">
        <v>902</v>
      </c>
      <c r="L1473" s="15" t="s">
        <v>1703</v>
      </c>
      <c r="M1473" s="15" t="s">
        <v>2672</v>
      </c>
      <c r="N1473" s="15" t="s">
        <v>2673</v>
      </c>
      <c r="O1473" s="15"/>
    </row>
    <row r="1474" spans="1:15" ht="18" customHeight="1" x14ac:dyDescent="0.3">
      <c r="A1474" s="29">
        <v>1473</v>
      </c>
      <c r="B1474" s="15" t="s">
        <v>52</v>
      </c>
      <c r="C1474" s="15" t="s">
        <v>53</v>
      </c>
      <c r="D1474" s="69">
        <v>76</v>
      </c>
      <c r="E1474" s="68" t="s">
        <v>1888</v>
      </c>
      <c r="F1474" s="21" t="s">
        <v>1889</v>
      </c>
      <c r="G1474" s="13" t="s">
        <v>1553</v>
      </c>
      <c r="H1474" s="15" t="s">
        <v>1302</v>
      </c>
      <c r="I1474" s="69">
        <v>85</v>
      </c>
      <c r="J1474" s="15" t="s">
        <v>2672</v>
      </c>
      <c r="K1474" s="15" t="s">
        <v>902</v>
      </c>
      <c r="L1474" s="15" t="s">
        <v>1703</v>
      </c>
      <c r="M1474" s="15" t="s">
        <v>2672</v>
      </c>
      <c r="N1474" s="15" t="s">
        <v>2673</v>
      </c>
      <c r="O1474" s="15"/>
    </row>
    <row r="1475" spans="1:15" ht="18" customHeight="1" x14ac:dyDescent="0.3">
      <c r="A1475" s="29">
        <v>1474</v>
      </c>
      <c r="B1475" s="15" t="s">
        <v>52</v>
      </c>
      <c r="C1475" s="15" t="s">
        <v>53</v>
      </c>
      <c r="D1475" s="69">
        <v>76</v>
      </c>
      <c r="E1475" s="68" t="s">
        <v>1888</v>
      </c>
      <c r="F1475" s="21" t="s">
        <v>1889</v>
      </c>
      <c r="G1475" s="13" t="s">
        <v>1553</v>
      </c>
      <c r="H1475" s="15" t="s">
        <v>1303</v>
      </c>
      <c r="I1475" s="69">
        <v>97</v>
      </c>
      <c r="J1475" s="15" t="s">
        <v>2672</v>
      </c>
      <c r="K1475" s="15" t="s">
        <v>902</v>
      </c>
      <c r="L1475" s="15" t="s">
        <v>1703</v>
      </c>
      <c r="M1475" s="15" t="s">
        <v>2672</v>
      </c>
      <c r="N1475" s="15" t="s">
        <v>2673</v>
      </c>
      <c r="O1475" s="15"/>
    </row>
    <row r="1476" spans="1:15" ht="18" customHeight="1" x14ac:dyDescent="0.3">
      <c r="A1476" s="29">
        <v>1475</v>
      </c>
      <c r="B1476" s="15" t="s">
        <v>1882</v>
      </c>
      <c r="C1476" s="15" t="s">
        <v>1883</v>
      </c>
      <c r="D1476" s="69">
        <v>76</v>
      </c>
      <c r="E1476" s="68" t="s">
        <v>3316</v>
      </c>
      <c r="F1476" s="16" t="s">
        <v>1892</v>
      </c>
      <c r="G1476" s="15" t="s">
        <v>1538</v>
      </c>
      <c r="H1476" s="15" t="s">
        <v>2685</v>
      </c>
      <c r="I1476" s="69">
        <v>294</v>
      </c>
      <c r="J1476" s="15" t="s">
        <v>2672</v>
      </c>
      <c r="K1476" s="15" t="s">
        <v>2672</v>
      </c>
      <c r="L1476" s="15" t="s">
        <v>2673</v>
      </c>
      <c r="M1476" s="15" t="s">
        <v>2672</v>
      </c>
      <c r="N1476" s="15" t="s">
        <v>2673</v>
      </c>
      <c r="O1476" s="15"/>
    </row>
    <row r="1477" spans="1:15" ht="18" customHeight="1" x14ac:dyDescent="0.3">
      <c r="A1477" s="29">
        <v>1476</v>
      </c>
      <c r="B1477" s="15" t="s">
        <v>1882</v>
      </c>
      <c r="C1477" s="15" t="s">
        <v>1883</v>
      </c>
      <c r="D1477" s="69">
        <v>76</v>
      </c>
      <c r="E1477" s="68" t="s">
        <v>3316</v>
      </c>
      <c r="F1477" s="16" t="s">
        <v>1892</v>
      </c>
      <c r="G1477" s="15" t="s">
        <v>1538</v>
      </c>
      <c r="H1477" s="15" t="s">
        <v>2678</v>
      </c>
      <c r="I1477" s="69">
        <v>235</v>
      </c>
      <c r="J1477" s="15" t="s">
        <v>2672</v>
      </c>
      <c r="K1477" s="15" t="s">
        <v>2672</v>
      </c>
      <c r="L1477" s="15" t="s">
        <v>2673</v>
      </c>
      <c r="M1477" s="15" t="s">
        <v>2672</v>
      </c>
      <c r="N1477" s="15" t="s">
        <v>2673</v>
      </c>
      <c r="O1477" s="15"/>
    </row>
    <row r="1478" spans="1:15" ht="18" customHeight="1" x14ac:dyDescent="0.3">
      <c r="A1478" s="29">
        <v>1477</v>
      </c>
      <c r="B1478" s="15" t="s">
        <v>1882</v>
      </c>
      <c r="C1478" s="15" t="s">
        <v>1883</v>
      </c>
      <c r="D1478" s="69">
        <v>76</v>
      </c>
      <c r="E1478" s="68" t="s">
        <v>3316</v>
      </c>
      <c r="F1478" s="16" t="s">
        <v>1892</v>
      </c>
      <c r="G1478" s="15" t="s">
        <v>1538</v>
      </c>
      <c r="H1478" s="15" t="s">
        <v>2679</v>
      </c>
      <c r="I1478" s="69">
        <v>273</v>
      </c>
      <c r="J1478" s="15" t="s">
        <v>2672</v>
      </c>
      <c r="K1478" s="15" t="s">
        <v>2672</v>
      </c>
      <c r="L1478" s="15" t="s">
        <v>2673</v>
      </c>
      <c r="M1478" s="15" t="s">
        <v>2672</v>
      </c>
      <c r="N1478" s="15" t="s">
        <v>2673</v>
      </c>
      <c r="O1478" s="15"/>
    </row>
    <row r="1479" spans="1:15" ht="18" customHeight="1" x14ac:dyDescent="0.3">
      <c r="A1479" s="29">
        <v>1478</v>
      </c>
      <c r="B1479" s="15" t="s">
        <v>1882</v>
      </c>
      <c r="C1479" s="15" t="s">
        <v>1883</v>
      </c>
      <c r="D1479" s="69">
        <v>76</v>
      </c>
      <c r="E1479" s="68" t="s">
        <v>3316</v>
      </c>
      <c r="F1479" s="16" t="s">
        <v>1892</v>
      </c>
      <c r="G1479" s="15" t="s">
        <v>1538</v>
      </c>
      <c r="H1479" s="15" t="s">
        <v>2680</v>
      </c>
      <c r="I1479" s="69">
        <v>250</v>
      </c>
      <c r="J1479" s="15" t="s">
        <v>2672</v>
      </c>
      <c r="K1479" s="15" t="s">
        <v>2672</v>
      </c>
      <c r="L1479" s="15" t="s">
        <v>2673</v>
      </c>
      <c r="M1479" s="15" t="s">
        <v>2672</v>
      </c>
      <c r="N1479" s="15" t="s">
        <v>2673</v>
      </c>
      <c r="O1479" s="15"/>
    </row>
    <row r="1480" spans="1:15" ht="18" customHeight="1" x14ac:dyDescent="0.3">
      <c r="A1480" s="29">
        <v>1479</v>
      </c>
      <c r="B1480" s="15" t="s">
        <v>1882</v>
      </c>
      <c r="C1480" s="15" t="s">
        <v>1883</v>
      </c>
      <c r="D1480" s="69">
        <v>76</v>
      </c>
      <c r="E1480" s="68" t="s">
        <v>3316</v>
      </c>
      <c r="F1480" s="16" t="s">
        <v>1892</v>
      </c>
      <c r="G1480" s="15" t="s">
        <v>1538</v>
      </c>
      <c r="H1480" s="15" t="s">
        <v>2711</v>
      </c>
      <c r="I1480" s="69">
        <v>144</v>
      </c>
      <c r="J1480" s="15" t="s">
        <v>2674</v>
      </c>
      <c r="K1480" s="15" t="s">
        <v>2674</v>
      </c>
      <c r="L1480" s="15" t="s">
        <v>1797</v>
      </c>
      <c r="M1480" s="15" t="s">
        <v>2672</v>
      </c>
      <c r="N1480" s="15" t="s">
        <v>2673</v>
      </c>
      <c r="O1480" s="15"/>
    </row>
    <row r="1481" spans="1:15" ht="18" customHeight="1" x14ac:dyDescent="0.3">
      <c r="A1481" s="29">
        <v>1480</v>
      </c>
      <c r="B1481" s="15" t="s">
        <v>1882</v>
      </c>
      <c r="C1481" s="15" t="s">
        <v>1883</v>
      </c>
      <c r="D1481" s="69">
        <v>76</v>
      </c>
      <c r="E1481" s="68" t="s">
        <v>3316</v>
      </c>
      <c r="F1481" s="16" t="s">
        <v>1892</v>
      </c>
      <c r="G1481" s="15" t="s">
        <v>1538</v>
      </c>
      <c r="H1481" s="15" t="s">
        <v>2714</v>
      </c>
      <c r="I1481" s="69">
        <v>282</v>
      </c>
      <c r="J1481" s="15" t="s">
        <v>2674</v>
      </c>
      <c r="K1481" s="15" t="s">
        <v>2674</v>
      </c>
      <c r="L1481" s="15" t="s">
        <v>2715</v>
      </c>
      <c r="M1481" s="15" t="s">
        <v>2672</v>
      </c>
      <c r="N1481" s="15" t="s">
        <v>2673</v>
      </c>
      <c r="O1481" s="15"/>
    </row>
    <row r="1482" spans="1:15" ht="18" customHeight="1" x14ac:dyDescent="0.3">
      <c r="A1482" s="29">
        <v>1481</v>
      </c>
      <c r="B1482" s="15" t="s">
        <v>52</v>
      </c>
      <c r="C1482" s="15" t="s">
        <v>53</v>
      </c>
      <c r="D1482" s="69">
        <v>76</v>
      </c>
      <c r="E1482" s="68" t="s">
        <v>948</v>
      </c>
      <c r="F1482" s="21" t="s">
        <v>642</v>
      </c>
      <c r="G1482" s="15" t="s">
        <v>154</v>
      </c>
      <c r="H1482" s="15" t="s">
        <v>901</v>
      </c>
      <c r="I1482" s="69">
        <v>74</v>
      </c>
      <c r="J1482" s="13" t="s">
        <v>2672</v>
      </c>
      <c r="K1482" s="15" t="s">
        <v>903</v>
      </c>
      <c r="L1482" s="15" t="s">
        <v>2673</v>
      </c>
      <c r="M1482" s="15" t="s">
        <v>2672</v>
      </c>
      <c r="N1482" s="15" t="s">
        <v>2673</v>
      </c>
      <c r="O1482" s="15"/>
    </row>
    <row r="1483" spans="1:15" ht="18" customHeight="1" x14ac:dyDescent="0.3">
      <c r="A1483" s="29">
        <v>1482</v>
      </c>
      <c r="B1483" s="15" t="s">
        <v>52</v>
      </c>
      <c r="C1483" s="15" t="s">
        <v>53</v>
      </c>
      <c r="D1483" s="69">
        <v>76</v>
      </c>
      <c r="E1483" s="68" t="s">
        <v>948</v>
      </c>
      <c r="F1483" s="21" t="s">
        <v>642</v>
      </c>
      <c r="G1483" s="15" t="s">
        <v>154</v>
      </c>
      <c r="H1483" s="15" t="s">
        <v>904</v>
      </c>
      <c r="I1483" s="69">
        <v>156</v>
      </c>
      <c r="J1483" s="13" t="s">
        <v>902</v>
      </c>
      <c r="K1483" s="15" t="s">
        <v>903</v>
      </c>
      <c r="L1483" s="15" t="s">
        <v>2673</v>
      </c>
      <c r="M1483" s="15" t="s">
        <v>2672</v>
      </c>
      <c r="N1483" s="15" t="s">
        <v>2673</v>
      </c>
      <c r="O1483" s="15"/>
    </row>
    <row r="1484" spans="1:15" ht="18" customHeight="1" x14ac:dyDescent="0.3">
      <c r="A1484" s="29">
        <v>1483</v>
      </c>
      <c r="B1484" s="15" t="s">
        <v>52</v>
      </c>
      <c r="C1484" s="15" t="s">
        <v>53</v>
      </c>
      <c r="D1484" s="69">
        <v>76</v>
      </c>
      <c r="E1484" s="68" t="s">
        <v>948</v>
      </c>
      <c r="F1484" s="21" t="s">
        <v>642</v>
      </c>
      <c r="G1484" s="15" t="s">
        <v>154</v>
      </c>
      <c r="H1484" s="15" t="s">
        <v>905</v>
      </c>
      <c r="I1484" s="69">
        <v>120</v>
      </c>
      <c r="J1484" s="13" t="s">
        <v>2672</v>
      </c>
      <c r="K1484" s="15" t="s">
        <v>903</v>
      </c>
      <c r="L1484" s="15" t="s">
        <v>2673</v>
      </c>
      <c r="M1484" s="15" t="s">
        <v>2672</v>
      </c>
      <c r="N1484" s="15" t="s">
        <v>2673</v>
      </c>
      <c r="O1484" s="15"/>
    </row>
    <row r="1485" spans="1:15" ht="18" customHeight="1" x14ac:dyDescent="0.3">
      <c r="A1485" s="29">
        <v>1484</v>
      </c>
      <c r="B1485" s="15" t="s">
        <v>52</v>
      </c>
      <c r="C1485" s="15" t="s">
        <v>53</v>
      </c>
      <c r="D1485" s="69">
        <v>76</v>
      </c>
      <c r="E1485" s="68" t="s">
        <v>948</v>
      </c>
      <c r="F1485" s="21" t="s">
        <v>642</v>
      </c>
      <c r="G1485" s="15" t="s">
        <v>154</v>
      </c>
      <c r="H1485" s="15" t="s">
        <v>906</v>
      </c>
      <c r="I1485" s="69">
        <v>203</v>
      </c>
      <c r="J1485" s="13" t="s">
        <v>2672</v>
      </c>
      <c r="K1485" s="15" t="s">
        <v>903</v>
      </c>
      <c r="L1485" s="15" t="s">
        <v>2673</v>
      </c>
      <c r="M1485" s="15" t="s">
        <v>2672</v>
      </c>
      <c r="N1485" s="15" t="s">
        <v>2673</v>
      </c>
      <c r="O1485" s="15"/>
    </row>
    <row r="1486" spans="1:15" ht="18" customHeight="1" x14ac:dyDescent="0.3">
      <c r="A1486" s="29">
        <v>1485</v>
      </c>
      <c r="B1486" s="15" t="s">
        <v>52</v>
      </c>
      <c r="C1486" s="15" t="s">
        <v>53</v>
      </c>
      <c r="D1486" s="69">
        <v>76</v>
      </c>
      <c r="E1486" s="68" t="s">
        <v>948</v>
      </c>
      <c r="F1486" s="21" t="s">
        <v>642</v>
      </c>
      <c r="G1486" s="15" t="s">
        <v>154</v>
      </c>
      <c r="H1486" s="15" t="s">
        <v>907</v>
      </c>
      <c r="I1486" s="69">
        <v>118</v>
      </c>
      <c r="J1486" s="13" t="s">
        <v>2672</v>
      </c>
      <c r="K1486" s="15" t="s">
        <v>903</v>
      </c>
      <c r="L1486" s="15" t="s">
        <v>2673</v>
      </c>
      <c r="M1486" s="15" t="s">
        <v>2672</v>
      </c>
      <c r="N1486" s="15" t="s">
        <v>2673</v>
      </c>
      <c r="O1486" s="15"/>
    </row>
    <row r="1487" spans="1:15" ht="18" customHeight="1" x14ac:dyDescent="0.3">
      <c r="A1487" s="29">
        <v>1486</v>
      </c>
      <c r="B1487" s="15" t="s">
        <v>52</v>
      </c>
      <c r="C1487" s="15" t="s">
        <v>53</v>
      </c>
      <c r="D1487" s="69">
        <v>76</v>
      </c>
      <c r="E1487" s="68" t="s">
        <v>948</v>
      </c>
      <c r="F1487" s="21" t="s">
        <v>642</v>
      </c>
      <c r="G1487" s="15" t="s">
        <v>154</v>
      </c>
      <c r="H1487" s="15" t="s">
        <v>908</v>
      </c>
      <c r="I1487" s="69">
        <v>218</v>
      </c>
      <c r="J1487" s="13" t="s">
        <v>902</v>
      </c>
      <c r="K1487" s="15" t="s">
        <v>903</v>
      </c>
      <c r="L1487" s="15" t="s">
        <v>2673</v>
      </c>
      <c r="M1487" s="15" t="s">
        <v>2672</v>
      </c>
      <c r="N1487" s="15" t="s">
        <v>2673</v>
      </c>
      <c r="O1487" s="15"/>
    </row>
    <row r="1488" spans="1:15" ht="18" customHeight="1" x14ac:dyDescent="0.3">
      <c r="A1488" s="29">
        <v>1487</v>
      </c>
      <c r="B1488" s="15" t="s">
        <v>52</v>
      </c>
      <c r="C1488" s="15" t="s">
        <v>53</v>
      </c>
      <c r="D1488" s="69">
        <v>76</v>
      </c>
      <c r="E1488" s="68" t="s">
        <v>300</v>
      </c>
      <c r="F1488" s="21" t="s">
        <v>639</v>
      </c>
      <c r="G1488" s="15" t="s">
        <v>154</v>
      </c>
      <c r="H1488" s="15" t="s">
        <v>904</v>
      </c>
      <c r="I1488" s="69">
        <v>221</v>
      </c>
      <c r="J1488" s="15" t="s">
        <v>2672</v>
      </c>
      <c r="K1488" s="15" t="s">
        <v>903</v>
      </c>
      <c r="L1488" s="15" t="s">
        <v>2673</v>
      </c>
      <c r="M1488" s="15" t="s">
        <v>2672</v>
      </c>
      <c r="N1488" s="15" t="s">
        <v>2673</v>
      </c>
      <c r="O1488" s="15"/>
    </row>
    <row r="1489" spans="1:15" ht="18" customHeight="1" x14ac:dyDescent="0.3">
      <c r="A1489" s="29">
        <v>1488</v>
      </c>
      <c r="B1489" s="15" t="s">
        <v>52</v>
      </c>
      <c r="C1489" s="15" t="s">
        <v>53</v>
      </c>
      <c r="D1489" s="69">
        <v>76</v>
      </c>
      <c r="E1489" s="68" t="s">
        <v>300</v>
      </c>
      <c r="F1489" s="21" t="s">
        <v>639</v>
      </c>
      <c r="G1489" s="15" t="s">
        <v>154</v>
      </c>
      <c r="H1489" s="15" t="s">
        <v>905</v>
      </c>
      <c r="I1489" s="69">
        <v>197</v>
      </c>
      <c r="J1489" s="15" t="s">
        <v>2672</v>
      </c>
      <c r="K1489" s="15" t="s">
        <v>903</v>
      </c>
      <c r="L1489" s="15" t="s">
        <v>2673</v>
      </c>
      <c r="M1489" s="15" t="s">
        <v>2672</v>
      </c>
      <c r="N1489" s="15" t="s">
        <v>2673</v>
      </c>
      <c r="O1489" s="15"/>
    </row>
    <row r="1490" spans="1:15" ht="18" customHeight="1" x14ac:dyDescent="0.3">
      <c r="A1490" s="29">
        <v>1489</v>
      </c>
      <c r="B1490" s="15" t="s">
        <v>52</v>
      </c>
      <c r="C1490" s="15" t="s">
        <v>53</v>
      </c>
      <c r="D1490" s="69">
        <v>76</v>
      </c>
      <c r="E1490" s="68" t="s">
        <v>300</v>
      </c>
      <c r="F1490" s="21" t="s">
        <v>639</v>
      </c>
      <c r="G1490" s="15" t="s">
        <v>154</v>
      </c>
      <c r="H1490" s="15" t="s">
        <v>906</v>
      </c>
      <c r="I1490" s="69">
        <v>135</v>
      </c>
      <c r="J1490" s="15" t="s">
        <v>2672</v>
      </c>
      <c r="K1490" s="15" t="s">
        <v>903</v>
      </c>
      <c r="L1490" s="15" t="s">
        <v>2673</v>
      </c>
      <c r="M1490" s="15" t="s">
        <v>2672</v>
      </c>
      <c r="N1490" s="15" t="s">
        <v>2673</v>
      </c>
      <c r="O1490" s="15"/>
    </row>
    <row r="1491" spans="1:15" ht="18" customHeight="1" x14ac:dyDescent="0.3">
      <c r="A1491" s="29">
        <v>1490</v>
      </c>
      <c r="B1491" s="15" t="s">
        <v>52</v>
      </c>
      <c r="C1491" s="15" t="s">
        <v>53</v>
      </c>
      <c r="D1491" s="69">
        <v>76</v>
      </c>
      <c r="E1491" s="68" t="s">
        <v>300</v>
      </c>
      <c r="F1491" s="21" t="s">
        <v>639</v>
      </c>
      <c r="G1491" s="15" t="s">
        <v>154</v>
      </c>
      <c r="H1491" s="15" t="s">
        <v>907</v>
      </c>
      <c r="I1491" s="69">
        <v>176</v>
      </c>
      <c r="J1491" s="15" t="s">
        <v>2674</v>
      </c>
      <c r="K1491" s="15" t="s">
        <v>903</v>
      </c>
      <c r="L1491" s="15" t="s">
        <v>2673</v>
      </c>
      <c r="M1491" s="15" t="s">
        <v>2672</v>
      </c>
      <c r="N1491" s="15" t="s">
        <v>2673</v>
      </c>
      <c r="O1491" s="15"/>
    </row>
    <row r="1492" spans="1:15" ht="18" customHeight="1" x14ac:dyDescent="0.3">
      <c r="A1492" s="29">
        <v>1491</v>
      </c>
      <c r="B1492" s="15" t="s">
        <v>52</v>
      </c>
      <c r="C1492" s="15" t="s">
        <v>53</v>
      </c>
      <c r="D1492" s="69">
        <v>76</v>
      </c>
      <c r="E1492" s="68" t="s">
        <v>300</v>
      </c>
      <c r="F1492" s="21" t="s">
        <v>639</v>
      </c>
      <c r="G1492" s="15" t="s">
        <v>154</v>
      </c>
      <c r="H1492" s="15" t="s">
        <v>908</v>
      </c>
      <c r="I1492" s="69">
        <v>209</v>
      </c>
      <c r="J1492" s="15" t="s">
        <v>2672</v>
      </c>
      <c r="K1492" s="15" t="s">
        <v>903</v>
      </c>
      <c r="L1492" s="15" t="s">
        <v>2673</v>
      </c>
      <c r="M1492" s="15" t="s">
        <v>2672</v>
      </c>
      <c r="N1492" s="15" t="s">
        <v>2673</v>
      </c>
      <c r="O1492" s="15"/>
    </row>
    <row r="1493" spans="1:15" ht="18" customHeight="1" x14ac:dyDescent="0.3">
      <c r="A1493" s="29">
        <v>1492</v>
      </c>
      <c r="B1493" s="15" t="s">
        <v>52</v>
      </c>
      <c r="C1493" s="15" t="s">
        <v>53</v>
      </c>
      <c r="D1493" s="69">
        <v>76</v>
      </c>
      <c r="E1493" s="68" t="s">
        <v>300</v>
      </c>
      <c r="F1493" s="21" t="s">
        <v>639</v>
      </c>
      <c r="G1493" s="15" t="s">
        <v>154</v>
      </c>
      <c r="H1493" s="15" t="s">
        <v>909</v>
      </c>
      <c r="I1493" s="69">
        <v>135</v>
      </c>
      <c r="J1493" s="15" t="s">
        <v>2672</v>
      </c>
      <c r="K1493" s="15" t="s">
        <v>903</v>
      </c>
      <c r="L1493" s="15" t="s">
        <v>2673</v>
      </c>
      <c r="M1493" s="15" t="s">
        <v>2672</v>
      </c>
      <c r="N1493" s="15" t="s">
        <v>2673</v>
      </c>
      <c r="O1493" s="15"/>
    </row>
    <row r="1494" spans="1:15" ht="18" customHeight="1" x14ac:dyDescent="0.3">
      <c r="A1494" s="29">
        <v>1493</v>
      </c>
      <c r="B1494" s="15" t="s">
        <v>52</v>
      </c>
      <c r="C1494" s="15" t="s">
        <v>53</v>
      </c>
      <c r="D1494" s="69">
        <v>76</v>
      </c>
      <c r="E1494" s="68" t="s">
        <v>300</v>
      </c>
      <c r="F1494" s="21" t="s">
        <v>639</v>
      </c>
      <c r="G1494" s="15" t="s">
        <v>154</v>
      </c>
      <c r="H1494" s="15" t="s">
        <v>910</v>
      </c>
      <c r="I1494" s="69">
        <v>135</v>
      </c>
      <c r="J1494" s="15" t="s">
        <v>2672</v>
      </c>
      <c r="K1494" s="15" t="s">
        <v>903</v>
      </c>
      <c r="L1494" s="15" t="s">
        <v>2673</v>
      </c>
      <c r="M1494" s="15" t="s">
        <v>2672</v>
      </c>
      <c r="N1494" s="15" t="s">
        <v>2673</v>
      </c>
      <c r="O1494" s="15"/>
    </row>
    <row r="1495" spans="1:15" ht="18" customHeight="1" x14ac:dyDescent="0.3">
      <c r="A1495" s="29">
        <v>1494</v>
      </c>
      <c r="B1495" s="15" t="s">
        <v>52</v>
      </c>
      <c r="C1495" s="15" t="s">
        <v>53</v>
      </c>
      <c r="D1495" s="69">
        <v>76</v>
      </c>
      <c r="E1495" s="68" t="s">
        <v>300</v>
      </c>
      <c r="F1495" s="21" t="s">
        <v>639</v>
      </c>
      <c r="G1495" s="15" t="s">
        <v>154</v>
      </c>
      <c r="H1495" s="15" t="s">
        <v>911</v>
      </c>
      <c r="I1495" s="69">
        <v>135</v>
      </c>
      <c r="J1495" s="15" t="s">
        <v>2672</v>
      </c>
      <c r="K1495" s="15" t="s">
        <v>903</v>
      </c>
      <c r="L1495" s="15" t="s">
        <v>2673</v>
      </c>
      <c r="M1495" s="15" t="s">
        <v>2672</v>
      </c>
      <c r="N1495" s="15" t="s">
        <v>2673</v>
      </c>
      <c r="O1495" s="15"/>
    </row>
    <row r="1496" spans="1:15" ht="18" customHeight="1" x14ac:dyDescent="0.3">
      <c r="A1496" s="29">
        <v>1495</v>
      </c>
      <c r="B1496" s="15" t="s">
        <v>52</v>
      </c>
      <c r="C1496" s="15" t="s">
        <v>53</v>
      </c>
      <c r="D1496" s="69">
        <v>76</v>
      </c>
      <c r="E1496" s="68" t="s">
        <v>300</v>
      </c>
      <c r="F1496" s="21" t="s">
        <v>2890</v>
      </c>
      <c r="G1496" s="15" t="s">
        <v>154</v>
      </c>
      <c r="H1496" s="15" t="s">
        <v>2891</v>
      </c>
      <c r="I1496" s="69">
        <v>9</v>
      </c>
      <c r="J1496" s="15" t="s">
        <v>2672</v>
      </c>
      <c r="K1496" s="15" t="s">
        <v>902</v>
      </c>
      <c r="L1496" s="15" t="s">
        <v>2892</v>
      </c>
      <c r="M1496" s="15" t="s">
        <v>2672</v>
      </c>
      <c r="N1496" s="15" t="s">
        <v>2673</v>
      </c>
      <c r="O1496" s="15" t="s">
        <v>2893</v>
      </c>
    </row>
    <row r="1497" spans="1:15" ht="18" customHeight="1" x14ac:dyDescent="0.3">
      <c r="A1497" s="29">
        <v>1496</v>
      </c>
      <c r="B1497" s="15" t="s">
        <v>52</v>
      </c>
      <c r="C1497" s="15" t="s">
        <v>53</v>
      </c>
      <c r="D1497" s="69">
        <v>76</v>
      </c>
      <c r="E1497" s="68" t="s">
        <v>300</v>
      </c>
      <c r="F1497" s="21" t="s">
        <v>2890</v>
      </c>
      <c r="G1497" s="15" t="s">
        <v>154</v>
      </c>
      <c r="H1497" s="15" t="s">
        <v>2894</v>
      </c>
      <c r="I1497" s="69">
        <v>9</v>
      </c>
      <c r="J1497" s="15" t="s">
        <v>2672</v>
      </c>
      <c r="K1497" s="15" t="s">
        <v>902</v>
      </c>
      <c r="L1497" s="15" t="s">
        <v>2892</v>
      </c>
      <c r="M1497" s="15" t="s">
        <v>2672</v>
      </c>
      <c r="N1497" s="15" t="s">
        <v>2673</v>
      </c>
      <c r="O1497" s="15" t="s">
        <v>2893</v>
      </c>
    </row>
    <row r="1498" spans="1:15" ht="18" customHeight="1" x14ac:dyDescent="0.3">
      <c r="A1498" s="29">
        <v>1497</v>
      </c>
      <c r="B1498" s="15" t="s">
        <v>52</v>
      </c>
      <c r="C1498" s="15" t="s">
        <v>53</v>
      </c>
      <c r="D1498" s="69">
        <v>76</v>
      </c>
      <c r="E1498" s="68" t="s">
        <v>300</v>
      </c>
      <c r="F1498" s="21" t="s">
        <v>2890</v>
      </c>
      <c r="G1498" s="15" t="s">
        <v>154</v>
      </c>
      <c r="H1498" s="15" t="s">
        <v>2763</v>
      </c>
      <c r="I1498" s="69">
        <v>458</v>
      </c>
      <c r="J1498" s="15" t="s">
        <v>2674</v>
      </c>
      <c r="K1498" s="15" t="s">
        <v>902</v>
      </c>
      <c r="L1498" s="15" t="s">
        <v>1852</v>
      </c>
      <c r="M1498" s="15" t="s">
        <v>2672</v>
      </c>
      <c r="N1498" s="15" t="s">
        <v>2673</v>
      </c>
      <c r="O1498" s="15" t="s">
        <v>1174</v>
      </c>
    </row>
    <row r="1499" spans="1:15" ht="18" customHeight="1" x14ac:dyDescent="0.3">
      <c r="A1499" s="29">
        <v>1498</v>
      </c>
      <c r="B1499" s="15" t="s">
        <v>52</v>
      </c>
      <c r="C1499" s="15" t="s">
        <v>53</v>
      </c>
      <c r="D1499" s="69">
        <v>76</v>
      </c>
      <c r="E1499" s="68" t="s">
        <v>3317</v>
      </c>
      <c r="F1499" s="16" t="s">
        <v>634</v>
      </c>
      <c r="G1499" s="15" t="s">
        <v>154</v>
      </c>
      <c r="H1499" s="15" t="s">
        <v>901</v>
      </c>
      <c r="I1499" s="69">
        <v>222</v>
      </c>
      <c r="J1499" s="15" t="s">
        <v>2674</v>
      </c>
      <c r="K1499" s="15" t="s">
        <v>903</v>
      </c>
      <c r="L1499" s="15" t="s">
        <v>2673</v>
      </c>
      <c r="M1499" s="15" t="s">
        <v>2672</v>
      </c>
      <c r="N1499" s="15" t="s">
        <v>2673</v>
      </c>
      <c r="O1499" s="15"/>
    </row>
    <row r="1500" spans="1:15" ht="18" customHeight="1" x14ac:dyDescent="0.3">
      <c r="A1500" s="29">
        <v>1499</v>
      </c>
      <c r="B1500" s="15" t="s">
        <v>52</v>
      </c>
      <c r="C1500" s="15" t="s">
        <v>53</v>
      </c>
      <c r="D1500" s="69">
        <v>76</v>
      </c>
      <c r="E1500" s="68" t="s">
        <v>3317</v>
      </c>
      <c r="F1500" s="16" t="s">
        <v>634</v>
      </c>
      <c r="G1500" s="15" t="s">
        <v>154</v>
      </c>
      <c r="H1500" s="15" t="s">
        <v>904</v>
      </c>
      <c r="I1500" s="69">
        <v>159</v>
      </c>
      <c r="J1500" s="15" t="s">
        <v>2674</v>
      </c>
      <c r="K1500" s="15" t="s">
        <v>903</v>
      </c>
      <c r="L1500" s="15" t="s">
        <v>2673</v>
      </c>
      <c r="M1500" s="15" t="s">
        <v>2672</v>
      </c>
      <c r="N1500" s="15" t="s">
        <v>2673</v>
      </c>
      <c r="O1500" s="15"/>
    </row>
    <row r="1501" spans="1:15" ht="18" customHeight="1" x14ac:dyDescent="0.3">
      <c r="A1501" s="29">
        <v>1500</v>
      </c>
      <c r="B1501" s="15" t="s">
        <v>52</v>
      </c>
      <c r="C1501" s="15" t="s">
        <v>53</v>
      </c>
      <c r="D1501" s="69">
        <v>76</v>
      </c>
      <c r="E1501" s="68" t="s">
        <v>3317</v>
      </c>
      <c r="F1501" s="16" t="s">
        <v>634</v>
      </c>
      <c r="G1501" s="15" t="s">
        <v>154</v>
      </c>
      <c r="H1501" s="15" t="s">
        <v>905</v>
      </c>
      <c r="I1501" s="69">
        <v>133</v>
      </c>
      <c r="J1501" s="15" t="s">
        <v>2674</v>
      </c>
      <c r="K1501" s="15" t="s">
        <v>903</v>
      </c>
      <c r="L1501" s="15" t="s">
        <v>2673</v>
      </c>
      <c r="M1501" s="15" t="s">
        <v>2672</v>
      </c>
      <c r="N1501" s="15" t="s">
        <v>2673</v>
      </c>
      <c r="O1501" s="15"/>
    </row>
    <row r="1502" spans="1:15" ht="18" customHeight="1" x14ac:dyDescent="0.3">
      <c r="A1502" s="29">
        <v>1501</v>
      </c>
      <c r="B1502" s="15" t="s">
        <v>52</v>
      </c>
      <c r="C1502" s="15" t="s">
        <v>53</v>
      </c>
      <c r="D1502" s="69">
        <v>76</v>
      </c>
      <c r="E1502" s="68" t="s">
        <v>3317</v>
      </c>
      <c r="F1502" s="16" t="s">
        <v>634</v>
      </c>
      <c r="G1502" s="15" t="s">
        <v>154</v>
      </c>
      <c r="H1502" s="15" t="s">
        <v>906</v>
      </c>
      <c r="I1502" s="69">
        <v>128</v>
      </c>
      <c r="J1502" s="15" t="s">
        <v>2672</v>
      </c>
      <c r="K1502" s="15" t="s">
        <v>903</v>
      </c>
      <c r="L1502" s="15" t="s">
        <v>2673</v>
      </c>
      <c r="M1502" s="15" t="s">
        <v>2672</v>
      </c>
      <c r="N1502" s="15" t="s">
        <v>2673</v>
      </c>
      <c r="O1502" s="15"/>
    </row>
    <row r="1503" spans="1:15" ht="18" customHeight="1" x14ac:dyDescent="0.3">
      <c r="A1503" s="29">
        <v>1502</v>
      </c>
      <c r="B1503" s="15" t="s">
        <v>52</v>
      </c>
      <c r="C1503" s="15" t="s">
        <v>53</v>
      </c>
      <c r="D1503" s="69">
        <v>76</v>
      </c>
      <c r="E1503" s="68" t="s">
        <v>3317</v>
      </c>
      <c r="F1503" s="16" t="s">
        <v>634</v>
      </c>
      <c r="G1503" s="15" t="s">
        <v>154</v>
      </c>
      <c r="H1503" s="15" t="s">
        <v>907</v>
      </c>
      <c r="I1503" s="69">
        <v>128</v>
      </c>
      <c r="J1503" s="15" t="s">
        <v>2672</v>
      </c>
      <c r="K1503" s="15" t="s">
        <v>903</v>
      </c>
      <c r="L1503" s="15" t="s">
        <v>2673</v>
      </c>
      <c r="M1503" s="15" t="s">
        <v>2672</v>
      </c>
      <c r="N1503" s="15" t="s">
        <v>2673</v>
      </c>
      <c r="O1503" s="15"/>
    </row>
    <row r="1504" spans="1:15" ht="18" customHeight="1" x14ac:dyDescent="0.3">
      <c r="A1504" s="29">
        <v>1503</v>
      </c>
      <c r="B1504" s="15" t="s">
        <v>52</v>
      </c>
      <c r="C1504" s="15" t="s">
        <v>53</v>
      </c>
      <c r="D1504" s="69">
        <v>76</v>
      </c>
      <c r="E1504" s="68" t="s">
        <v>3317</v>
      </c>
      <c r="F1504" s="16" t="s">
        <v>634</v>
      </c>
      <c r="G1504" s="15" t="s">
        <v>154</v>
      </c>
      <c r="H1504" s="15" t="s">
        <v>908</v>
      </c>
      <c r="I1504" s="69">
        <v>133</v>
      </c>
      <c r="J1504" s="15" t="s">
        <v>2672</v>
      </c>
      <c r="K1504" s="15" t="s">
        <v>903</v>
      </c>
      <c r="L1504" s="15" t="s">
        <v>2673</v>
      </c>
      <c r="M1504" s="15" t="s">
        <v>2672</v>
      </c>
      <c r="N1504" s="15" t="s">
        <v>2673</v>
      </c>
      <c r="O1504" s="15"/>
    </row>
    <row r="1505" spans="1:15" ht="18" customHeight="1" x14ac:dyDescent="0.3">
      <c r="A1505" s="29">
        <v>1504</v>
      </c>
      <c r="B1505" s="15" t="s">
        <v>52</v>
      </c>
      <c r="C1505" s="15" t="s">
        <v>53</v>
      </c>
      <c r="D1505" s="69">
        <v>76</v>
      </c>
      <c r="E1505" s="68" t="s">
        <v>3317</v>
      </c>
      <c r="F1505" s="16" t="s">
        <v>634</v>
      </c>
      <c r="G1505" s="15" t="s">
        <v>154</v>
      </c>
      <c r="H1505" s="15" t="s">
        <v>909</v>
      </c>
      <c r="I1505" s="69">
        <v>159</v>
      </c>
      <c r="J1505" s="15" t="s">
        <v>2672</v>
      </c>
      <c r="K1505" s="15" t="s">
        <v>903</v>
      </c>
      <c r="L1505" s="15" t="s">
        <v>2673</v>
      </c>
      <c r="M1505" s="15" t="s">
        <v>2672</v>
      </c>
      <c r="N1505" s="15" t="s">
        <v>2673</v>
      </c>
      <c r="O1505" s="15"/>
    </row>
    <row r="1506" spans="1:15" ht="18" customHeight="1" x14ac:dyDescent="0.3">
      <c r="A1506" s="29">
        <v>1505</v>
      </c>
      <c r="B1506" s="15" t="s">
        <v>52</v>
      </c>
      <c r="C1506" s="15" t="s">
        <v>53</v>
      </c>
      <c r="D1506" s="69">
        <v>76</v>
      </c>
      <c r="E1506" s="68" t="s">
        <v>3317</v>
      </c>
      <c r="F1506" s="16" t="s">
        <v>634</v>
      </c>
      <c r="G1506" s="15" t="s">
        <v>154</v>
      </c>
      <c r="H1506" s="15" t="s">
        <v>910</v>
      </c>
      <c r="I1506" s="69">
        <v>206</v>
      </c>
      <c r="J1506" s="15" t="s">
        <v>2674</v>
      </c>
      <c r="K1506" s="15" t="s">
        <v>903</v>
      </c>
      <c r="L1506" s="15" t="s">
        <v>2673</v>
      </c>
      <c r="M1506" s="15" t="s">
        <v>2672</v>
      </c>
      <c r="N1506" s="15" t="s">
        <v>2673</v>
      </c>
      <c r="O1506" s="15"/>
    </row>
    <row r="1507" spans="1:15" ht="18" customHeight="1" x14ac:dyDescent="0.3">
      <c r="A1507" s="29">
        <v>1506</v>
      </c>
      <c r="B1507" s="15" t="s">
        <v>1882</v>
      </c>
      <c r="C1507" s="15" t="s">
        <v>1883</v>
      </c>
      <c r="D1507" s="69">
        <v>76</v>
      </c>
      <c r="E1507" s="68" t="s">
        <v>1896</v>
      </c>
      <c r="F1507" s="24" t="s">
        <v>1897</v>
      </c>
      <c r="G1507" s="15" t="s">
        <v>1538</v>
      </c>
      <c r="H1507" s="15" t="s">
        <v>2685</v>
      </c>
      <c r="I1507" s="69">
        <v>178</v>
      </c>
      <c r="J1507" s="13" t="s">
        <v>902</v>
      </c>
      <c r="K1507" s="15" t="s">
        <v>903</v>
      </c>
      <c r="L1507" s="15" t="s">
        <v>2673</v>
      </c>
      <c r="M1507" s="15" t="s">
        <v>2672</v>
      </c>
      <c r="N1507" s="15" t="s">
        <v>2673</v>
      </c>
      <c r="O1507" s="15"/>
    </row>
    <row r="1508" spans="1:15" ht="18" customHeight="1" x14ac:dyDescent="0.3">
      <c r="A1508" s="29">
        <v>1507</v>
      </c>
      <c r="B1508" s="15" t="s">
        <v>1882</v>
      </c>
      <c r="C1508" s="15" t="s">
        <v>1883</v>
      </c>
      <c r="D1508" s="69">
        <v>76</v>
      </c>
      <c r="E1508" s="68" t="s">
        <v>1896</v>
      </c>
      <c r="F1508" s="24" t="s">
        <v>1897</v>
      </c>
      <c r="G1508" s="15" t="s">
        <v>1538</v>
      </c>
      <c r="H1508" s="15" t="s">
        <v>2678</v>
      </c>
      <c r="I1508" s="69">
        <v>131</v>
      </c>
      <c r="J1508" s="13" t="s">
        <v>2672</v>
      </c>
      <c r="K1508" s="15" t="s">
        <v>903</v>
      </c>
      <c r="L1508" s="15" t="s">
        <v>2673</v>
      </c>
      <c r="M1508" s="15" t="s">
        <v>2672</v>
      </c>
      <c r="N1508" s="15" t="s">
        <v>2673</v>
      </c>
      <c r="O1508" s="15"/>
    </row>
    <row r="1509" spans="1:15" ht="18" customHeight="1" x14ac:dyDescent="0.3">
      <c r="A1509" s="29">
        <v>1508</v>
      </c>
      <c r="B1509" s="15" t="s">
        <v>1882</v>
      </c>
      <c r="C1509" s="15" t="s">
        <v>1883</v>
      </c>
      <c r="D1509" s="69">
        <v>76</v>
      </c>
      <c r="E1509" s="68" t="s">
        <v>1896</v>
      </c>
      <c r="F1509" s="24" t="s">
        <v>1897</v>
      </c>
      <c r="G1509" s="15" t="s">
        <v>1538</v>
      </c>
      <c r="H1509" s="15" t="s">
        <v>2679</v>
      </c>
      <c r="I1509" s="69">
        <v>131</v>
      </c>
      <c r="J1509" s="13" t="s">
        <v>2672</v>
      </c>
      <c r="K1509" s="15" t="s">
        <v>903</v>
      </c>
      <c r="L1509" s="15" t="s">
        <v>2673</v>
      </c>
      <c r="M1509" s="15" t="s">
        <v>2672</v>
      </c>
      <c r="N1509" s="15" t="s">
        <v>2673</v>
      </c>
      <c r="O1509" s="15"/>
    </row>
    <row r="1510" spans="1:15" ht="18" customHeight="1" x14ac:dyDescent="0.3">
      <c r="A1510" s="29">
        <v>1509</v>
      </c>
      <c r="B1510" s="15" t="s">
        <v>1882</v>
      </c>
      <c r="C1510" s="15" t="s">
        <v>1883</v>
      </c>
      <c r="D1510" s="69">
        <v>76</v>
      </c>
      <c r="E1510" s="68" t="s">
        <v>1896</v>
      </c>
      <c r="F1510" s="24" t="s">
        <v>1897</v>
      </c>
      <c r="G1510" s="15" t="s">
        <v>1538</v>
      </c>
      <c r="H1510" s="15" t="s">
        <v>2680</v>
      </c>
      <c r="I1510" s="69">
        <v>131</v>
      </c>
      <c r="J1510" s="13" t="s">
        <v>902</v>
      </c>
      <c r="K1510" s="15" t="s">
        <v>903</v>
      </c>
      <c r="L1510" s="15" t="s">
        <v>2673</v>
      </c>
      <c r="M1510" s="15" t="s">
        <v>2672</v>
      </c>
      <c r="N1510" s="15" t="s">
        <v>2673</v>
      </c>
      <c r="O1510" s="15"/>
    </row>
    <row r="1511" spans="1:15" ht="18" customHeight="1" x14ac:dyDescent="0.3">
      <c r="A1511" s="29">
        <v>1510</v>
      </c>
      <c r="B1511" s="15" t="s">
        <v>1882</v>
      </c>
      <c r="C1511" s="15" t="s">
        <v>1883</v>
      </c>
      <c r="D1511" s="69">
        <v>76</v>
      </c>
      <c r="E1511" s="68" t="s">
        <v>1896</v>
      </c>
      <c r="F1511" s="24" t="s">
        <v>1897</v>
      </c>
      <c r="G1511" s="15" t="s">
        <v>1538</v>
      </c>
      <c r="H1511" s="15" t="s">
        <v>2690</v>
      </c>
      <c r="I1511" s="69">
        <v>69</v>
      </c>
      <c r="J1511" s="13" t="s">
        <v>2672</v>
      </c>
      <c r="K1511" s="15" t="s">
        <v>903</v>
      </c>
      <c r="L1511" s="15" t="s">
        <v>2673</v>
      </c>
      <c r="M1511" s="15" t="s">
        <v>2672</v>
      </c>
      <c r="N1511" s="15" t="s">
        <v>2673</v>
      </c>
      <c r="O1511" s="15"/>
    </row>
    <row r="1512" spans="1:15" ht="18" customHeight="1" x14ac:dyDescent="0.3">
      <c r="A1512" s="29">
        <v>1511</v>
      </c>
      <c r="B1512" s="15" t="s">
        <v>52</v>
      </c>
      <c r="C1512" s="15" t="s">
        <v>53</v>
      </c>
      <c r="D1512" s="69">
        <v>76</v>
      </c>
      <c r="E1512" s="68" t="s">
        <v>3318</v>
      </c>
      <c r="F1512" s="16" t="s">
        <v>633</v>
      </c>
      <c r="G1512" s="15" t="s">
        <v>154</v>
      </c>
      <c r="H1512" s="15" t="s">
        <v>904</v>
      </c>
      <c r="I1512" s="69">
        <v>224</v>
      </c>
      <c r="J1512" s="15" t="s">
        <v>2672</v>
      </c>
      <c r="K1512" s="15" t="s">
        <v>903</v>
      </c>
      <c r="L1512" s="15" t="s">
        <v>2673</v>
      </c>
      <c r="M1512" s="15" t="s">
        <v>2672</v>
      </c>
      <c r="N1512" s="15" t="s">
        <v>2673</v>
      </c>
      <c r="O1512" s="15"/>
    </row>
    <row r="1513" spans="1:15" ht="18" customHeight="1" x14ac:dyDescent="0.3">
      <c r="A1513" s="29">
        <v>1512</v>
      </c>
      <c r="B1513" s="15" t="s">
        <v>52</v>
      </c>
      <c r="C1513" s="15" t="s">
        <v>53</v>
      </c>
      <c r="D1513" s="69">
        <v>76</v>
      </c>
      <c r="E1513" s="68" t="s">
        <v>3318</v>
      </c>
      <c r="F1513" s="16" t="s">
        <v>633</v>
      </c>
      <c r="G1513" s="15" t="s">
        <v>154</v>
      </c>
      <c r="H1513" s="15" t="s">
        <v>905</v>
      </c>
      <c r="I1513" s="69">
        <v>130</v>
      </c>
      <c r="J1513" s="15" t="s">
        <v>2672</v>
      </c>
      <c r="K1513" s="15" t="s">
        <v>2672</v>
      </c>
      <c r="L1513" s="15" t="s">
        <v>2673</v>
      </c>
      <c r="M1513" s="15" t="s">
        <v>2672</v>
      </c>
      <c r="N1513" s="15" t="s">
        <v>2673</v>
      </c>
      <c r="O1513" s="15"/>
    </row>
    <row r="1514" spans="1:15" ht="18" customHeight="1" x14ac:dyDescent="0.3">
      <c r="A1514" s="29">
        <v>1513</v>
      </c>
      <c r="B1514" s="15" t="s">
        <v>52</v>
      </c>
      <c r="C1514" s="15" t="s">
        <v>53</v>
      </c>
      <c r="D1514" s="69">
        <v>76</v>
      </c>
      <c r="E1514" s="68" t="s">
        <v>3318</v>
      </c>
      <c r="F1514" s="16" t="s">
        <v>633</v>
      </c>
      <c r="G1514" s="15" t="s">
        <v>154</v>
      </c>
      <c r="H1514" s="15" t="s">
        <v>907</v>
      </c>
      <c r="I1514" s="69">
        <v>195</v>
      </c>
      <c r="J1514" s="15" t="s">
        <v>2674</v>
      </c>
      <c r="K1514" s="15" t="s">
        <v>903</v>
      </c>
      <c r="L1514" s="15" t="s">
        <v>2673</v>
      </c>
      <c r="M1514" s="15" t="s">
        <v>2672</v>
      </c>
      <c r="N1514" s="15" t="s">
        <v>2673</v>
      </c>
      <c r="O1514" s="15"/>
    </row>
    <row r="1515" spans="1:15" ht="18" customHeight="1" x14ac:dyDescent="0.3">
      <c r="A1515" s="29">
        <v>1514</v>
      </c>
      <c r="B1515" s="15" t="s">
        <v>52</v>
      </c>
      <c r="C1515" s="15" t="s">
        <v>53</v>
      </c>
      <c r="D1515" s="69">
        <v>76</v>
      </c>
      <c r="E1515" s="68" t="s">
        <v>3318</v>
      </c>
      <c r="F1515" s="16" t="s">
        <v>633</v>
      </c>
      <c r="G1515" s="15" t="s">
        <v>154</v>
      </c>
      <c r="H1515" s="15" t="s">
        <v>908</v>
      </c>
      <c r="I1515" s="69">
        <v>180</v>
      </c>
      <c r="J1515" s="15" t="s">
        <v>2672</v>
      </c>
      <c r="K1515" s="15" t="s">
        <v>903</v>
      </c>
      <c r="L1515" s="15" t="s">
        <v>2673</v>
      </c>
      <c r="M1515" s="15" t="s">
        <v>2672</v>
      </c>
      <c r="N1515" s="15" t="s">
        <v>2673</v>
      </c>
      <c r="O1515" s="15"/>
    </row>
    <row r="1516" spans="1:15" ht="18" customHeight="1" x14ac:dyDescent="0.3">
      <c r="A1516" s="29">
        <v>1515</v>
      </c>
      <c r="B1516" s="15" t="s">
        <v>52</v>
      </c>
      <c r="C1516" s="15" t="s">
        <v>53</v>
      </c>
      <c r="D1516" s="69">
        <v>76</v>
      </c>
      <c r="E1516" s="68" t="s">
        <v>3318</v>
      </c>
      <c r="F1516" s="16" t="s">
        <v>633</v>
      </c>
      <c r="G1516" s="15" t="s">
        <v>154</v>
      </c>
      <c r="H1516" s="15" t="s">
        <v>909</v>
      </c>
      <c r="I1516" s="69">
        <v>223</v>
      </c>
      <c r="J1516" s="15" t="s">
        <v>2674</v>
      </c>
      <c r="K1516" s="15" t="s">
        <v>903</v>
      </c>
      <c r="L1516" s="15" t="s">
        <v>2673</v>
      </c>
      <c r="M1516" s="15" t="s">
        <v>2672</v>
      </c>
      <c r="N1516" s="15" t="s">
        <v>2673</v>
      </c>
      <c r="O1516" s="15"/>
    </row>
    <row r="1517" spans="1:15" ht="18" customHeight="1" x14ac:dyDescent="0.3">
      <c r="A1517" s="29">
        <v>1516</v>
      </c>
      <c r="B1517" s="15" t="s">
        <v>52</v>
      </c>
      <c r="C1517" s="15" t="s">
        <v>53</v>
      </c>
      <c r="D1517" s="69">
        <v>76</v>
      </c>
      <c r="E1517" s="68" t="s">
        <v>3318</v>
      </c>
      <c r="F1517" s="16" t="s">
        <v>633</v>
      </c>
      <c r="G1517" s="15" t="s">
        <v>154</v>
      </c>
      <c r="H1517" s="15" t="s">
        <v>910</v>
      </c>
      <c r="I1517" s="69">
        <v>130</v>
      </c>
      <c r="J1517" s="15" t="s">
        <v>2672</v>
      </c>
      <c r="K1517" s="15" t="s">
        <v>903</v>
      </c>
      <c r="L1517" s="15" t="s">
        <v>2673</v>
      </c>
      <c r="M1517" s="15" t="s">
        <v>2672</v>
      </c>
      <c r="N1517" s="15" t="s">
        <v>2673</v>
      </c>
      <c r="O1517" s="15"/>
    </row>
    <row r="1518" spans="1:15" ht="18" customHeight="1" x14ac:dyDescent="0.3">
      <c r="A1518" s="29">
        <v>1517</v>
      </c>
      <c r="B1518" s="15" t="s">
        <v>52</v>
      </c>
      <c r="C1518" s="15" t="s">
        <v>53</v>
      </c>
      <c r="D1518" s="69">
        <v>76</v>
      </c>
      <c r="E1518" s="68" t="s">
        <v>3318</v>
      </c>
      <c r="F1518" s="16" t="s">
        <v>2895</v>
      </c>
      <c r="G1518" s="15" t="s">
        <v>154</v>
      </c>
      <c r="H1518" s="15" t="s">
        <v>2711</v>
      </c>
      <c r="I1518" s="69">
        <v>108</v>
      </c>
      <c r="J1518" s="15" t="s">
        <v>2674</v>
      </c>
      <c r="K1518" s="15" t="s">
        <v>902</v>
      </c>
      <c r="L1518" s="15" t="s">
        <v>208</v>
      </c>
      <c r="M1518" s="15" t="s">
        <v>2672</v>
      </c>
      <c r="N1518" s="15" t="s">
        <v>2673</v>
      </c>
      <c r="O1518" s="15"/>
    </row>
    <row r="1519" spans="1:15" ht="18" customHeight="1" x14ac:dyDescent="0.3">
      <c r="A1519" s="29">
        <v>1518</v>
      </c>
      <c r="B1519" s="15" t="s">
        <v>52</v>
      </c>
      <c r="C1519" s="15" t="s">
        <v>53</v>
      </c>
      <c r="D1519" s="69">
        <v>76</v>
      </c>
      <c r="E1519" s="68" t="s">
        <v>3318</v>
      </c>
      <c r="F1519" s="16" t="s">
        <v>2895</v>
      </c>
      <c r="G1519" s="15" t="s">
        <v>154</v>
      </c>
      <c r="H1519" s="15" t="s">
        <v>2726</v>
      </c>
      <c r="I1519" s="69">
        <v>61</v>
      </c>
      <c r="J1519" s="15" t="s">
        <v>2674</v>
      </c>
      <c r="K1519" s="15" t="s">
        <v>2674</v>
      </c>
      <c r="L1519" s="15" t="s">
        <v>2727</v>
      </c>
      <c r="M1519" s="15" t="s">
        <v>2672</v>
      </c>
      <c r="N1519" s="15" t="s">
        <v>2673</v>
      </c>
      <c r="O1519" s="15"/>
    </row>
    <row r="1520" spans="1:15" ht="18" customHeight="1" x14ac:dyDescent="0.3">
      <c r="A1520" s="29">
        <v>1519</v>
      </c>
      <c r="B1520" s="15" t="s">
        <v>52</v>
      </c>
      <c r="C1520" s="15" t="s">
        <v>53</v>
      </c>
      <c r="D1520" s="69">
        <v>76</v>
      </c>
      <c r="E1520" s="68" t="s">
        <v>3319</v>
      </c>
      <c r="F1520" s="24" t="s">
        <v>635</v>
      </c>
      <c r="G1520" s="15" t="s">
        <v>154</v>
      </c>
      <c r="H1520" s="15" t="s">
        <v>904</v>
      </c>
      <c r="I1520" s="69">
        <v>292</v>
      </c>
      <c r="J1520" s="15" t="s">
        <v>2674</v>
      </c>
      <c r="K1520" s="15" t="s">
        <v>903</v>
      </c>
      <c r="L1520" s="15" t="s">
        <v>2673</v>
      </c>
      <c r="M1520" s="15" t="s">
        <v>2672</v>
      </c>
      <c r="N1520" s="15" t="s">
        <v>2673</v>
      </c>
      <c r="O1520" s="15"/>
    </row>
    <row r="1521" spans="1:15" ht="18" customHeight="1" x14ac:dyDescent="0.3">
      <c r="A1521" s="29">
        <v>1520</v>
      </c>
      <c r="B1521" s="15" t="s">
        <v>52</v>
      </c>
      <c r="C1521" s="15" t="s">
        <v>53</v>
      </c>
      <c r="D1521" s="69">
        <v>76</v>
      </c>
      <c r="E1521" s="68" t="s">
        <v>3319</v>
      </c>
      <c r="F1521" s="24" t="s">
        <v>635</v>
      </c>
      <c r="G1521" s="15" t="s">
        <v>154</v>
      </c>
      <c r="H1521" s="15" t="s">
        <v>905</v>
      </c>
      <c r="I1521" s="69">
        <v>280</v>
      </c>
      <c r="J1521" s="15" t="s">
        <v>2672</v>
      </c>
      <c r="K1521" s="15" t="s">
        <v>903</v>
      </c>
      <c r="L1521" s="15" t="s">
        <v>2673</v>
      </c>
      <c r="M1521" s="15" t="s">
        <v>2672</v>
      </c>
      <c r="N1521" s="15" t="s">
        <v>2673</v>
      </c>
      <c r="O1521" s="15"/>
    </row>
    <row r="1522" spans="1:15" ht="18" customHeight="1" x14ac:dyDescent="0.3">
      <c r="A1522" s="29">
        <v>1521</v>
      </c>
      <c r="B1522" s="15" t="s">
        <v>52</v>
      </c>
      <c r="C1522" s="15" t="s">
        <v>53</v>
      </c>
      <c r="D1522" s="69">
        <v>76</v>
      </c>
      <c r="E1522" s="68" t="s">
        <v>3319</v>
      </c>
      <c r="F1522" s="24" t="s">
        <v>635</v>
      </c>
      <c r="G1522" s="15" t="s">
        <v>154</v>
      </c>
      <c r="H1522" s="15" t="s">
        <v>907</v>
      </c>
      <c r="I1522" s="69">
        <v>267</v>
      </c>
      <c r="J1522" s="15" t="s">
        <v>2674</v>
      </c>
      <c r="K1522" s="15" t="s">
        <v>903</v>
      </c>
      <c r="L1522" s="15" t="s">
        <v>2673</v>
      </c>
      <c r="M1522" s="15" t="s">
        <v>2672</v>
      </c>
      <c r="N1522" s="15" t="s">
        <v>2673</v>
      </c>
      <c r="O1522" s="15"/>
    </row>
    <row r="1523" spans="1:15" ht="18" customHeight="1" x14ac:dyDescent="0.3">
      <c r="A1523" s="29">
        <v>1522</v>
      </c>
      <c r="B1523" s="15" t="s">
        <v>52</v>
      </c>
      <c r="C1523" s="15" t="s">
        <v>53</v>
      </c>
      <c r="D1523" s="69">
        <v>76</v>
      </c>
      <c r="E1523" s="68" t="s">
        <v>3319</v>
      </c>
      <c r="F1523" s="24" t="s">
        <v>635</v>
      </c>
      <c r="G1523" s="15" t="s">
        <v>154</v>
      </c>
      <c r="H1523" s="15" t="s">
        <v>909</v>
      </c>
      <c r="I1523" s="69">
        <v>276</v>
      </c>
      <c r="J1523" s="15" t="s">
        <v>2672</v>
      </c>
      <c r="K1523" s="15" t="s">
        <v>903</v>
      </c>
      <c r="L1523" s="15" t="s">
        <v>2673</v>
      </c>
      <c r="M1523" s="15" t="s">
        <v>2672</v>
      </c>
      <c r="N1523" s="15" t="s">
        <v>2673</v>
      </c>
      <c r="O1523" s="15"/>
    </row>
    <row r="1524" spans="1:15" ht="18" customHeight="1" x14ac:dyDescent="0.3">
      <c r="A1524" s="29">
        <v>1523</v>
      </c>
      <c r="B1524" s="15" t="s">
        <v>52</v>
      </c>
      <c r="C1524" s="15" t="s">
        <v>53</v>
      </c>
      <c r="D1524" s="69">
        <v>76</v>
      </c>
      <c r="E1524" s="68" t="s">
        <v>3319</v>
      </c>
      <c r="F1524" s="24" t="s">
        <v>635</v>
      </c>
      <c r="G1524" s="15" t="s">
        <v>154</v>
      </c>
      <c r="H1524" s="15" t="s">
        <v>910</v>
      </c>
      <c r="I1524" s="69">
        <v>250</v>
      </c>
      <c r="J1524" s="15" t="s">
        <v>2674</v>
      </c>
      <c r="K1524" s="15" t="s">
        <v>903</v>
      </c>
      <c r="L1524" s="15" t="s">
        <v>2673</v>
      </c>
      <c r="M1524" s="15" t="s">
        <v>2672</v>
      </c>
      <c r="N1524" s="15" t="s">
        <v>2673</v>
      </c>
      <c r="O1524" s="15"/>
    </row>
    <row r="1525" spans="1:15" ht="18" customHeight="1" x14ac:dyDescent="0.3">
      <c r="A1525" s="29">
        <v>1524</v>
      </c>
      <c r="B1525" s="15" t="s">
        <v>52</v>
      </c>
      <c r="C1525" s="15" t="s">
        <v>53</v>
      </c>
      <c r="D1525" s="69">
        <v>76</v>
      </c>
      <c r="E1525" s="68" t="s">
        <v>3319</v>
      </c>
      <c r="F1525" s="24" t="s">
        <v>2896</v>
      </c>
      <c r="G1525" s="15" t="s">
        <v>154</v>
      </c>
      <c r="H1525" s="15" t="s">
        <v>906</v>
      </c>
      <c r="I1525" s="69">
        <v>232</v>
      </c>
      <c r="J1525" s="15" t="s">
        <v>2674</v>
      </c>
      <c r="K1525" s="15" t="s">
        <v>902</v>
      </c>
      <c r="L1525" s="15" t="s">
        <v>208</v>
      </c>
      <c r="M1525" s="15" t="s">
        <v>2672</v>
      </c>
      <c r="N1525" s="15" t="s">
        <v>2673</v>
      </c>
      <c r="O1525" s="15"/>
    </row>
    <row r="1526" spans="1:15" ht="18" customHeight="1" x14ac:dyDescent="0.3">
      <c r="A1526" s="29">
        <v>1525</v>
      </c>
      <c r="B1526" s="15" t="s">
        <v>52</v>
      </c>
      <c r="C1526" s="15" t="s">
        <v>53</v>
      </c>
      <c r="D1526" s="69">
        <v>76</v>
      </c>
      <c r="E1526" s="68" t="s">
        <v>3319</v>
      </c>
      <c r="F1526" s="24" t="s">
        <v>2896</v>
      </c>
      <c r="G1526" s="15" t="s">
        <v>154</v>
      </c>
      <c r="H1526" s="15" t="s">
        <v>908</v>
      </c>
      <c r="I1526" s="69">
        <v>234</v>
      </c>
      <c r="J1526" s="15" t="s">
        <v>2672</v>
      </c>
      <c r="K1526" s="15" t="s">
        <v>902</v>
      </c>
      <c r="L1526" s="15" t="s">
        <v>1069</v>
      </c>
      <c r="M1526" s="15" t="s">
        <v>2672</v>
      </c>
      <c r="N1526" s="15" t="s">
        <v>2673</v>
      </c>
      <c r="O1526" s="15"/>
    </row>
    <row r="1527" spans="1:15" ht="18" customHeight="1" x14ac:dyDescent="0.3">
      <c r="A1527" s="29">
        <v>1526</v>
      </c>
      <c r="B1527" s="15" t="s">
        <v>52</v>
      </c>
      <c r="C1527" s="15" t="s">
        <v>53</v>
      </c>
      <c r="D1527" s="69">
        <v>76</v>
      </c>
      <c r="E1527" s="68" t="s">
        <v>3319</v>
      </c>
      <c r="F1527" s="24" t="s">
        <v>2896</v>
      </c>
      <c r="G1527" s="15" t="s">
        <v>154</v>
      </c>
      <c r="H1527" s="15" t="s">
        <v>2714</v>
      </c>
      <c r="I1527" s="69">
        <v>358</v>
      </c>
      <c r="J1527" s="15" t="s">
        <v>2674</v>
      </c>
      <c r="K1527" s="15" t="s">
        <v>902</v>
      </c>
      <c r="L1527" s="15" t="s">
        <v>207</v>
      </c>
      <c r="M1527" s="15" t="s">
        <v>2672</v>
      </c>
      <c r="N1527" s="15" t="s">
        <v>2673</v>
      </c>
      <c r="O1527" s="15"/>
    </row>
    <row r="1528" spans="1:15" ht="18" customHeight="1" x14ac:dyDescent="0.3">
      <c r="A1528" s="29">
        <v>1527</v>
      </c>
      <c r="B1528" s="15" t="s">
        <v>52</v>
      </c>
      <c r="C1528" s="15" t="s">
        <v>53</v>
      </c>
      <c r="D1528" s="69">
        <v>76</v>
      </c>
      <c r="E1528" s="68" t="s">
        <v>916</v>
      </c>
      <c r="F1528" s="21" t="s">
        <v>1090</v>
      </c>
      <c r="G1528" s="15" t="s">
        <v>164</v>
      </c>
      <c r="H1528" s="15" t="s">
        <v>2812</v>
      </c>
      <c r="I1528" s="69">
        <v>49</v>
      </c>
      <c r="J1528" s="15" t="s">
        <v>2672</v>
      </c>
      <c r="K1528" s="15" t="s">
        <v>2674</v>
      </c>
      <c r="L1528" s="15" t="s">
        <v>1703</v>
      </c>
      <c r="M1528" s="15" t="s">
        <v>2672</v>
      </c>
      <c r="N1528" s="15" t="s">
        <v>2673</v>
      </c>
      <c r="O1528" s="15"/>
    </row>
    <row r="1529" spans="1:15" ht="18" customHeight="1" x14ac:dyDescent="0.3">
      <c r="A1529" s="29">
        <v>1528</v>
      </c>
      <c r="B1529" s="15" t="s">
        <v>52</v>
      </c>
      <c r="C1529" s="15" t="s">
        <v>53</v>
      </c>
      <c r="D1529" s="69">
        <v>76</v>
      </c>
      <c r="E1529" s="68" t="s">
        <v>916</v>
      </c>
      <c r="F1529" s="21" t="s">
        <v>1090</v>
      </c>
      <c r="G1529" s="15" t="s">
        <v>164</v>
      </c>
      <c r="H1529" s="15" t="s">
        <v>2897</v>
      </c>
      <c r="I1529" s="69">
        <v>79</v>
      </c>
      <c r="J1529" s="15" t="s">
        <v>2672</v>
      </c>
      <c r="K1529" s="15" t="s">
        <v>2674</v>
      </c>
      <c r="L1529" s="15" t="s">
        <v>1703</v>
      </c>
      <c r="M1529" s="15" t="s">
        <v>2672</v>
      </c>
      <c r="N1529" s="15" t="s">
        <v>2673</v>
      </c>
      <c r="O1529" s="15"/>
    </row>
    <row r="1530" spans="1:15" ht="18" customHeight="1" x14ac:dyDescent="0.3">
      <c r="A1530" s="29">
        <v>1529</v>
      </c>
      <c r="B1530" s="15" t="s">
        <v>52</v>
      </c>
      <c r="C1530" s="15" t="s">
        <v>53</v>
      </c>
      <c r="D1530" s="69">
        <v>76</v>
      </c>
      <c r="E1530" s="68" t="s">
        <v>916</v>
      </c>
      <c r="F1530" s="21" t="s">
        <v>638</v>
      </c>
      <c r="G1530" s="15" t="s">
        <v>164</v>
      </c>
      <c r="H1530" s="15" t="s">
        <v>2898</v>
      </c>
      <c r="I1530" s="69">
        <v>51</v>
      </c>
      <c r="J1530" s="15" t="s">
        <v>2672</v>
      </c>
      <c r="K1530" s="15" t="s">
        <v>2674</v>
      </c>
      <c r="L1530" s="15" t="s">
        <v>1703</v>
      </c>
      <c r="M1530" s="15" t="s">
        <v>2672</v>
      </c>
      <c r="N1530" s="15" t="s">
        <v>2673</v>
      </c>
      <c r="O1530" s="15"/>
    </row>
    <row r="1531" spans="1:15" ht="18" customHeight="1" x14ac:dyDescent="0.3">
      <c r="A1531" s="29">
        <v>1530</v>
      </c>
      <c r="B1531" s="15" t="s">
        <v>52</v>
      </c>
      <c r="C1531" s="15" t="s">
        <v>53</v>
      </c>
      <c r="D1531" s="69">
        <v>76</v>
      </c>
      <c r="E1531" s="68" t="s">
        <v>916</v>
      </c>
      <c r="F1531" s="21" t="s">
        <v>638</v>
      </c>
      <c r="G1531" s="15" t="s">
        <v>164</v>
      </c>
      <c r="H1531" s="15" t="s">
        <v>2767</v>
      </c>
      <c r="I1531" s="69">
        <v>69</v>
      </c>
      <c r="J1531" s="15" t="s">
        <v>2674</v>
      </c>
      <c r="K1531" s="15" t="s">
        <v>2674</v>
      </c>
      <c r="L1531" s="15" t="s">
        <v>1703</v>
      </c>
      <c r="M1531" s="15" t="s">
        <v>2672</v>
      </c>
      <c r="N1531" s="15" t="s">
        <v>2673</v>
      </c>
      <c r="O1531" s="15"/>
    </row>
    <row r="1532" spans="1:15" ht="18" customHeight="1" x14ac:dyDescent="0.3">
      <c r="A1532" s="29">
        <v>1531</v>
      </c>
      <c r="B1532" s="15" t="s">
        <v>52</v>
      </c>
      <c r="C1532" s="15" t="s">
        <v>54</v>
      </c>
      <c r="D1532" s="69">
        <v>81</v>
      </c>
      <c r="E1532" s="68" t="s">
        <v>3320</v>
      </c>
      <c r="F1532" s="24" t="s">
        <v>1088</v>
      </c>
      <c r="G1532" s="15" t="s">
        <v>154</v>
      </c>
      <c r="H1532" s="15" t="s">
        <v>905</v>
      </c>
      <c r="I1532" s="69">
        <v>108</v>
      </c>
      <c r="J1532" s="15" t="s">
        <v>2672</v>
      </c>
      <c r="K1532" s="15" t="s">
        <v>903</v>
      </c>
      <c r="L1532" s="15" t="s">
        <v>2673</v>
      </c>
      <c r="M1532" s="15" t="s">
        <v>2672</v>
      </c>
      <c r="N1532" s="15" t="s">
        <v>2673</v>
      </c>
      <c r="O1532" s="15"/>
    </row>
    <row r="1533" spans="1:15" ht="18" customHeight="1" x14ac:dyDescent="0.3">
      <c r="A1533" s="29">
        <v>1532</v>
      </c>
      <c r="B1533" s="15" t="s">
        <v>52</v>
      </c>
      <c r="C1533" s="15" t="s">
        <v>54</v>
      </c>
      <c r="D1533" s="69">
        <v>81</v>
      </c>
      <c r="E1533" s="68" t="s">
        <v>3320</v>
      </c>
      <c r="F1533" s="24" t="s">
        <v>1088</v>
      </c>
      <c r="G1533" s="15" t="s">
        <v>154</v>
      </c>
      <c r="H1533" s="15" t="s">
        <v>906</v>
      </c>
      <c r="I1533" s="69">
        <v>108</v>
      </c>
      <c r="J1533" s="15" t="s">
        <v>2674</v>
      </c>
      <c r="K1533" s="15" t="s">
        <v>903</v>
      </c>
      <c r="L1533" s="15" t="s">
        <v>2673</v>
      </c>
      <c r="M1533" s="15" t="s">
        <v>2672</v>
      </c>
      <c r="N1533" s="15" t="s">
        <v>2673</v>
      </c>
      <c r="O1533" s="15"/>
    </row>
    <row r="1534" spans="1:15" ht="18" customHeight="1" x14ac:dyDescent="0.3">
      <c r="A1534" s="29">
        <v>1533</v>
      </c>
      <c r="B1534" s="15" t="s">
        <v>52</v>
      </c>
      <c r="C1534" s="15" t="s">
        <v>54</v>
      </c>
      <c r="D1534" s="69">
        <v>81</v>
      </c>
      <c r="E1534" s="68" t="s">
        <v>3320</v>
      </c>
      <c r="F1534" s="24" t="s">
        <v>632</v>
      </c>
      <c r="G1534" s="15" t="s">
        <v>154</v>
      </c>
      <c r="H1534" s="15" t="s">
        <v>901</v>
      </c>
      <c r="I1534" s="69">
        <v>108</v>
      </c>
      <c r="J1534" s="15" t="s">
        <v>2672</v>
      </c>
      <c r="K1534" s="15" t="s">
        <v>903</v>
      </c>
      <c r="L1534" s="15" t="s">
        <v>2673</v>
      </c>
      <c r="M1534" s="15" t="s">
        <v>2672</v>
      </c>
      <c r="N1534" s="15" t="s">
        <v>2673</v>
      </c>
      <c r="O1534" s="15"/>
    </row>
    <row r="1535" spans="1:15" ht="18" customHeight="1" x14ac:dyDescent="0.3">
      <c r="A1535" s="29">
        <v>1534</v>
      </c>
      <c r="B1535" s="15" t="s">
        <v>52</v>
      </c>
      <c r="C1535" s="15" t="s">
        <v>54</v>
      </c>
      <c r="D1535" s="69">
        <v>81</v>
      </c>
      <c r="E1535" s="68" t="s">
        <v>3320</v>
      </c>
      <c r="F1535" s="24" t="s">
        <v>632</v>
      </c>
      <c r="G1535" s="15" t="s">
        <v>154</v>
      </c>
      <c r="H1535" s="15" t="s">
        <v>904</v>
      </c>
      <c r="I1535" s="69">
        <v>131</v>
      </c>
      <c r="J1535" s="15" t="s">
        <v>2674</v>
      </c>
      <c r="K1535" s="15" t="s">
        <v>903</v>
      </c>
      <c r="L1535" s="15" t="s">
        <v>2673</v>
      </c>
      <c r="M1535" s="15" t="s">
        <v>2672</v>
      </c>
      <c r="N1535" s="15" t="s">
        <v>2673</v>
      </c>
      <c r="O1535" s="15"/>
    </row>
    <row r="1536" spans="1:15" ht="18" customHeight="1" x14ac:dyDescent="0.3">
      <c r="A1536" s="29">
        <v>1535</v>
      </c>
      <c r="B1536" s="15" t="s">
        <v>52</v>
      </c>
      <c r="C1536" s="15" t="s">
        <v>54</v>
      </c>
      <c r="D1536" s="69">
        <v>81</v>
      </c>
      <c r="E1536" s="68" t="s">
        <v>3321</v>
      </c>
      <c r="F1536" s="24" t="s">
        <v>625</v>
      </c>
      <c r="G1536" s="15" t="s">
        <v>154</v>
      </c>
      <c r="H1536" s="15" t="s">
        <v>901</v>
      </c>
      <c r="I1536" s="69">
        <v>151</v>
      </c>
      <c r="J1536" s="15" t="s">
        <v>2672</v>
      </c>
      <c r="K1536" s="15" t="s">
        <v>903</v>
      </c>
      <c r="L1536" s="15" t="s">
        <v>2673</v>
      </c>
      <c r="M1536" s="15" t="s">
        <v>2672</v>
      </c>
      <c r="N1536" s="15" t="s">
        <v>2673</v>
      </c>
      <c r="O1536" s="15"/>
    </row>
    <row r="1537" spans="1:15" ht="18" customHeight="1" x14ac:dyDescent="0.3">
      <c r="A1537" s="29">
        <v>1536</v>
      </c>
      <c r="B1537" s="15" t="s">
        <v>52</v>
      </c>
      <c r="C1537" s="15" t="s">
        <v>54</v>
      </c>
      <c r="D1537" s="69">
        <v>81</v>
      </c>
      <c r="E1537" s="68" t="s">
        <v>3321</v>
      </c>
      <c r="F1537" s="24" t="s">
        <v>625</v>
      </c>
      <c r="G1537" s="15" t="s">
        <v>154</v>
      </c>
      <c r="H1537" s="15" t="s">
        <v>904</v>
      </c>
      <c r="I1537" s="69">
        <v>201</v>
      </c>
      <c r="J1537" s="15" t="s">
        <v>2674</v>
      </c>
      <c r="K1537" s="15" t="s">
        <v>903</v>
      </c>
      <c r="L1537" s="15" t="s">
        <v>2673</v>
      </c>
      <c r="M1537" s="15" t="s">
        <v>2672</v>
      </c>
      <c r="N1537" s="15" t="s">
        <v>2673</v>
      </c>
      <c r="O1537" s="15"/>
    </row>
    <row r="1538" spans="1:15" ht="18" customHeight="1" x14ac:dyDescent="0.3">
      <c r="A1538" s="29">
        <v>1537</v>
      </c>
      <c r="B1538" s="15" t="s">
        <v>52</v>
      </c>
      <c r="C1538" s="15" t="s">
        <v>54</v>
      </c>
      <c r="D1538" s="69">
        <v>81</v>
      </c>
      <c r="E1538" s="68" t="s">
        <v>3321</v>
      </c>
      <c r="F1538" s="24" t="s">
        <v>625</v>
      </c>
      <c r="G1538" s="15" t="s">
        <v>154</v>
      </c>
      <c r="H1538" s="15" t="s">
        <v>905</v>
      </c>
      <c r="I1538" s="69">
        <v>161</v>
      </c>
      <c r="J1538" s="15" t="s">
        <v>2672</v>
      </c>
      <c r="K1538" s="15" t="s">
        <v>903</v>
      </c>
      <c r="L1538" s="15" t="s">
        <v>2673</v>
      </c>
      <c r="M1538" s="15" t="s">
        <v>2672</v>
      </c>
      <c r="N1538" s="15" t="s">
        <v>2673</v>
      </c>
      <c r="O1538" s="15"/>
    </row>
    <row r="1539" spans="1:15" ht="18" customHeight="1" x14ac:dyDescent="0.3">
      <c r="A1539" s="29">
        <v>1538</v>
      </c>
      <c r="B1539" s="15" t="s">
        <v>52</v>
      </c>
      <c r="C1539" s="15" t="s">
        <v>54</v>
      </c>
      <c r="D1539" s="69">
        <v>81</v>
      </c>
      <c r="E1539" s="68" t="s">
        <v>3321</v>
      </c>
      <c r="F1539" s="24" t="s">
        <v>625</v>
      </c>
      <c r="G1539" s="15" t="s">
        <v>154</v>
      </c>
      <c r="H1539" s="15" t="s">
        <v>906</v>
      </c>
      <c r="I1539" s="69">
        <v>166</v>
      </c>
      <c r="J1539" s="15" t="s">
        <v>2674</v>
      </c>
      <c r="K1539" s="15" t="s">
        <v>903</v>
      </c>
      <c r="L1539" s="15" t="s">
        <v>2673</v>
      </c>
      <c r="M1539" s="15" t="s">
        <v>2672</v>
      </c>
      <c r="N1539" s="15" t="s">
        <v>2673</v>
      </c>
      <c r="O1539" s="15"/>
    </row>
    <row r="1540" spans="1:15" ht="18" customHeight="1" x14ac:dyDescent="0.3">
      <c r="A1540" s="29">
        <v>1539</v>
      </c>
      <c r="B1540" s="15" t="s">
        <v>52</v>
      </c>
      <c r="C1540" s="15" t="s">
        <v>54</v>
      </c>
      <c r="D1540" s="69">
        <v>81</v>
      </c>
      <c r="E1540" s="68" t="s">
        <v>3321</v>
      </c>
      <c r="F1540" s="24" t="s">
        <v>625</v>
      </c>
      <c r="G1540" s="15" t="s">
        <v>154</v>
      </c>
      <c r="H1540" s="15" t="s">
        <v>907</v>
      </c>
      <c r="I1540" s="69">
        <v>162</v>
      </c>
      <c r="J1540" s="15" t="s">
        <v>2674</v>
      </c>
      <c r="K1540" s="15" t="s">
        <v>903</v>
      </c>
      <c r="L1540" s="15" t="s">
        <v>2673</v>
      </c>
      <c r="M1540" s="15" t="s">
        <v>2672</v>
      </c>
      <c r="N1540" s="15" t="s">
        <v>2673</v>
      </c>
      <c r="O1540" s="15"/>
    </row>
    <row r="1541" spans="1:15" ht="18" customHeight="1" x14ac:dyDescent="0.3">
      <c r="A1541" s="29">
        <v>1540</v>
      </c>
      <c r="B1541" s="15" t="s">
        <v>52</v>
      </c>
      <c r="C1541" s="15" t="s">
        <v>54</v>
      </c>
      <c r="D1541" s="69">
        <v>81</v>
      </c>
      <c r="E1541" s="68" t="s">
        <v>3321</v>
      </c>
      <c r="F1541" s="24" t="s">
        <v>625</v>
      </c>
      <c r="G1541" s="15" t="s">
        <v>154</v>
      </c>
      <c r="H1541" s="15" t="s">
        <v>908</v>
      </c>
      <c r="I1541" s="69">
        <v>156</v>
      </c>
      <c r="J1541" s="15" t="s">
        <v>2674</v>
      </c>
      <c r="K1541" s="15" t="s">
        <v>903</v>
      </c>
      <c r="L1541" s="15" t="s">
        <v>2673</v>
      </c>
      <c r="M1541" s="15" t="s">
        <v>2672</v>
      </c>
      <c r="N1541" s="15" t="s">
        <v>2673</v>
      </c>
      <c r="O1541" s="15"/>
    </row>
    <row r="1542" spans="1:15" ht="18" customHeight="1" x14ac:dyDescent="0.3">
      <c r="A1542" s="29">
        <v>1541</v>
      </c>
      <c r="B1542" s="15" t="s">
        <v>52</v>
      </c>
      <c r="C1542" s="15" t="s">
        <v>54</v>
      </c>
      <c r="D1542" s="69">
        <v>81</v>
      </c>
      <c r="E1542" s="68" t="s">
        <v>3321</v>
      </c>
      <c r="F1542" s="24" t="s">
        <v>625</v>
      </c>
      <c r="G1542" s="15" t="s">
        <v>154</v>
      </c>
      <c r="H1542" s="15" t="s">
        <v>909</v>
      </c>
      <c r="I1542" s="69">
        <v>180</v>
      </c>
      <c r="J1542" s="15" t="s">
        <v>2672</v>
      </c>
      <c r="K1542" s="15" t="s">
        <v>903</v>
      </c>
      <c r="L1542" s="15" t="s">
        <v>2673</v>
      </c>
      <c r="M1542" s="15" t="s">
        <v>2672</v>
      </c>
      <c r="N1542" s="15" t="s">
        <v>2673</v>
      </c>
      <c r="O1542" s="15"/>
    </row>
    <row r="1543" spans="1:15" ht="18" customHeight="1" x14ac:dyDescent="0.3">
      <c r="A1543" s="29">
        <v>1542</v>
      </c>
      <c r="B1543" s="15" t="s">
        <v>52</v>
      </c>
      <c r="C1543" s="15" t="s">
        <v>54</v>
      </c>
      <c r="D1543" s="69">
        <v>81</v>
      </c>
      <c r="E1543" s="68" t="s">
        <v>3321</v>
      </c>
      <c r="F1543" s="24" t="s">
        <v>625</v>
      </c>
      <c r="G1543" s="15" t="s">
        <v>154</v>
      </c>
      <c r="H1543" s="15" t="s">
        <v>910</v>
      </c>
      <c r="I1543" s="69">
        <v>149</v>
      </c>
      <c r="J1543" s="15" t="s">
        <v>2674</v>
      </c>
      <c r="K1543" s="15" t="s">
        <v>903</v>
      </c>
      <c r="L1543" s="15" t="s">
        <v>2673</v>
      </c>
      <c r="M1543" s="15" t="s">
        <v>2672</v>
      </c>
      <c r="N1543" s="15" t="s">
        <v>2673</v>
      </c>
      <c r="O1543" s="15"/>
    </row>
    <row r="1544" spans="1:15" ht="18" customHeight="1" x14ac:dyDescent="0.3">
      <c r="A1544" s="29">
        <v>1543</v>
      </c>
      <c r="B1544" s="15" t="s">
        <v>52</v>
      </c>
      <c r="C1544" s="15" t="s">
        <v>54</v>
      </c>
      <c r="D1544" s="69">
        <v>81</v>
      </c>
      <c r="E1544" s="68" t="s">
        <v>3322</v>
      </c>
      <c r="F1544" s="24" t="s">
        <v>626</v>
      </c>
      <c r="G1544" s="15" t="s">
        <v>154</v>
      </c>
      <c r="H1544" s="15" t="s">
        <v>901</v>
      </c>
      <c r="I1544" s="69">
        <v>206</v>
      </c>
      <c r="J1544" s="15" t="s">
        <v>2674</v>
      </c>
      <c r="K1544" s="15" t="s">
        <v>903</v>
      </c>
      <c r="L1544" s="15" t="s">
        <v>2673</v>
      </c>
      <c r="M1544" s="15" t="s">
        <v>2672</v>
      </c>
      <c r="N1544" s="15" t="s">
        <v>2673</v>
      </c>
      <c r="O1544" s="15"/>
    </row>
    <row r="1545" spans="1:15" ht="18" customHeight="1" x14ac:dyDescent="0.3">
      <c r="A1545" s="29">
        <v>1544</v>
      </c>
      <c r="B1545" s="15" t="s">
        <v>52</v>
      </c>
      <c r="C1545" s="15" t="s">
        <v>54</v>
      </c>
      <c r="D1545" s="69">
        <v>81</v>
      </c>
      <c r="E1545" s="68" t="s">
        <v>3322</v>
      </c>
      <c r="F1545" s="24" t="s">
        <v>626</v>
      </c>
      <c r="G1545" s="15" t="s">
        <v>154</v>
      </c>
      <c r="H1545" s="15" t="s">
        <v>904</v>
      </c>
      <c r="I1545" s="69">
        <v>214</v>
      </c>
      <c r="J1545" s="15" t="s">
        <v>2674</v>
      </c>
      <c r="K1545" s="15" t="s">
        <v>902</v>
      </c>
      <c r="L1545" s="15" t="s">
        <v>1069</v>
      </c>
      <c r="M1545" s="15" t="s">
        <v>2672</v>
      </c>
      <c r="N1545" s="15" t="s">
        <v>2673</v>
      </c>
      <c r="O1545" s="15"/>
    </row>
    <row r="1546" spans="1:15" ht="18" customHeight="1" x14ac:dyDescent="0.3">
      <c r="A1546" s="29">
        <v>1545</v>
      </c>
      <c r="B1546" s="15" t="s">
        <v>52</v>
      </c>
      <c r="C1546" s="15" t="s">
        <v>54</v>
      </c>
      <c r="D1546" s="69">
        <v>81</v>
      </c>
      <c r="E1546" s="68" t="s">
        <v>3322</v>
      </c>
      <c r="F1546" s="24" t="s">
        <v>626</v>
      </c>
      <c r="G1546" s="15" t="s">
        <v>154</v>
      </c>
      <c r="H1546" s="15" t="s">
        <v>905</v>
      </c>
      <c r="I1546" s="69">
        <v>203</v>
      </c>
      <c r="J1546" s="15" t="s">
        <v>2672</v>
      </c>
      <c r="K1546" s="15" t="s">
        <v>903</v>
      </c>
      <c r="L1546" s="15" t="s">
        <v>2673</v>
      </c>
      <c r="M1546" s="15" t="s">
        <v>2672</v>
      </c>
      <c r="N1546" s="15" t="s">
        <v>2673</v>
      </c>
      <c r="O1546" s="15"/>
    </row>
    <row r="1547" spans="1:15" ht="18" customHeight="1" x14ac:dyDescent="0.3">
      <c r="A1547" s="29">
        <v>1546</v>
      </c>
      <c r="B1547" s="15" t="s">
        <v>52</v>
      </c>
      <c r="C1547" s="15" t="s">
        <v>54</v>
      </c>
      <c r="D1547" s="69">
        <v>81</v>
      </c>
      <c r="E1547" s="68" t="s">
        <v>3322</v>
      </c>
      <c r="F1547" s="24" t="s">
        <v>626</v>
      </c>
      <c r="G1547" s="15" t="s">
        <v>154</v>
      </c>
      <c r="H1547" s="15" t="s">
        <v>906</v>
      </c>
      <c r="I1547" s="69">
        <v>180</v>
      </c>
      <c r="J1547" s="15" t="s">
        <v>2672</v>
      </c>
      <c r="K1547" s="15" t="s">
        <v>903</v>
      </c>
      <c r="L1547" s="15" t="s">
        <v>2673</v>
      </c>
      <c r="M1547" s="15" t="s">
        <v>2672</v>
      </c>
      <c r="N1547" s="15" t="s">
        <v>2673</v>
      </c>
      <c r="O1547" s="15"/>
    </row>
    <row r="1548" spans="1:15" ht="18" customHeight="1" x14ac:dyDescent="0.3">
      <c r="A1548" s="29">
        <v>1547</v>
      </c>
      <c r="B1548" s="15" t="s">
        <v>52</v>
      </c>
      <c r="C1548" s="15" t="s">
        <v>54</v>
      </c>
      <c r="D1548" s="69">
        <v>81</v>
      </c>
      <c r="E1548" s="68" t="s">
        <v>3322</v>
      </c>
      <c r="F1548" s="24" t="s">
        <v>626</v>
      </c>
      <c r="G1548" s="15" t="s">
        <v>154</v>
      </c>
      <c r="H1548" s="15" t="s">
        <v>2785</v>
      </c>
      <c r="I1548" s="69">
        <v>34</v>
      </c>
      <c r="J1548" s="15" t="s">
        <v>2672</v>
      </c>
      <c r="K1548" s="15" t="s">
        <v>2674</v>
      </c>
      <c r="L1548" s="15" t="s">
        <v>2785</v>
      </c>
      <c r="M1548" s="15" t="s">
        <v>2672</v>
      </c>
      <c r="N1548" s="15" t="s">
        <v>2673</v>
      </c>
      <c r="O1548" s="15" t="s">
        <v>2899</v>
      </c>
    </row>
    <row r="1549" spans="1:15" ht="18" customHeight="1" x14ac:dyDescent="0.3">
      <c r="A1549" s="29">
        <v>1548</v>
      </c>
      <c r="B1549" s="15" t="s">
        <v>52</v>
      </c>
      <c r="C1549" s="15" t="s">
        <v>54</v>
      </c>
      <c r="D1549" s="69">
        <v>81</v>
      </c>
      <c r="E1549" s="68" t="s">
        <v>3322</v>
      </c>
      <c r="F1549" s="24" t="s">
        <v>626</v>
      </c>
      <c r="G1549" s="15" t="s">
        <v>154</v>
      </c>
      <c r="H1549" s="15" t="s">
        <v>2711</v>
      </c>
      <c r="I1549" s="69">
        <v>148</v>
      </c>
      <c r="J1549" s="15" t="s">
        <v>2674</v>
      </c>
      <c r="K1549" s="15" t="s">
        <v>902</v>
      </c>
      <c r="L1549" s="15" t="s">
        <v>208</v>
      </c>
      <c r="M1549" s="15" t="s">
        <v>2672</v>
      </c>
      <c r="N1549" s="15" t="s">
        <v>2673</v>
      </c>
      <c r="O1549" s="15"/>
    </row>
    <row r="1550" spans="1:15" ht="18" customHeight="1" x14ac:dyDescent="0.3">
      <c r="A1550" s="29">
        <v>1549</v>
      </c>
      <c r="B1550" s="15" t="s">
        <v>52</v>
      </c>
      <c r="C1550" s="15" t="s">
        <v>54</v>
      </c>
      <c r="D1550" s="69">
        <v>81</v>
      </c>
      <c r="E1550" s="68" t="s">
        <v>3322</v>
      </c>
      <c r="F1550" s="24" t="s">
        <v>626</v>
      </c>
      <c r="G1550" s="15" t="s">
        <v>154</v>
      </c>
      <c r="H1550" s="15" t="s">
        <v>2714</v>
      </c>
      <c r="I1550" s="69">
        <v>297</v>
      </c>
      <c r="J1550" s="15" t="s">
        <v>2674</v>
      </c>
      <c r="K1550" s="15" t="s">
        <v>902</v>
      </c>
      <c r="L1550" s="15" t="s">
        <v>207</v>
      </c>
      <c r="M1550" s="15" t="s">
        <v>2672</v>
      </c>
      <c r="N1550" s="15" t="s">
        <v>2673</v>
      </c>
      <c r="O1550" s="15"/>
    </row>
    <row r="1551" spans="1:15" ht="18" customHeight="1" x14ac:dyDescent="0.3">
      <c r="A1551" s="29">
        <v>1550</v>
      </c>
      <c r="B1551" s="15" t="s">
        <v>52</v>
      </c>
      <c r="C1551" s="15" t="s">
        <v>54</v>
      </c>
      <c r="D1551" s="69">
        <v>81</v>
      </c>
      <c r="E1551" s="68" t="s">
        <v>290</v>
      </c>
      <c r="F1551" s="21" t="s">
        <v>630</v>
      </c>
      <c r="G1551" s="15" t="s">
        <v>154</v>
      </c>
      <c r="H1551" s="15" t="s">
        <v>901</v>
      </c>
      <c r="I1551" s="69">
        <v>118</v>
      </c>
      <c r="J1551" s="15" t="s">
        <v>2674</v>
      </c>
      <c r="K1551" s="15" t="s">
        <v>903</v>
      </c>
      <c r="L1551" s="15" t="s">
        <v>2673</v>
      </c>
      <c r="M1551" s="15" t="s">
        <v>2672</v>
      </c>
      <c r="N1551" s="15" t="s">
        <v>2673</v>
      </c>
      <c r="O1551" s="15"/>
    </row>
    <row r="1552" spans="1:15" ht="18" customHeight="1" x14ac:dyDescent="0.3">
      <c r="A1552" s="29">
        <v>1551</v>
      </c>
      <c r="B1552" s="15" t="s">
        <v>52</v>
      </c>
      <c r="C1552" s="15" t="s">
        <v>54</v>
      </c>
      <c r="D1552" s="69">
        <v>81</v>
      </c>
      <c r="E1552" s="68" t="s">
        <v>290</v>
      </c>
      <c r="F1552" s="21" t="s">
        <v>630</v>
      </c>
      <c r="G1552" s="15" t="s">
        <v>154</v>
      </c>
      <c r="H1552" s="15" t="s">
        <v>904</v>
      </c>
      <c r="I1552" s="69">
        <v>153</v>
      </c>
      <c r="J1552" s="15" t="s">
        <v>2672</v>
      </c>
      <c r="K1552" s="15" t="s">
        <v>903</v>
      </c>
      <c r="L1552" s="15" t="s">
        <v>2673</v>
      </c>
      <c r="M1552" s="15" t="s">
        <v>2672</v>
      </c>
      <c r="N1552" s="15" t="s">
        <v>2673</v>
      </c>
      <c r="O1552" s="15"/>
    </row>
    <row r="1553" spans="1:15" ht="18" customHeight="1" x14ac:dyDescent="0.3">
      <c r="A1553" s="29">
        <v>1552</v>
      </c>
      <c r="B1553" s="15" t="s">
        <v>52</v>
      </c>
      <c r="C1553" s="15" t="s">
        <v>54</v>
      </c>
      <c r="D1553" s="69">
        <v>81</v>
      </c>
      <c r="E1553" s="68" t="s">
        <v>290</v>
      </c>
      <c r="F1553" s="21" t="s">
        <v>630</v>
      </c>
      <c r="G1553" s="15" t="s">
        <v>154</v>
      </c>
      <c r="H1553" s="15" t="s">
        <v>905</v>
      </c>
      <c r="I1553" s="69">
        <v>110</v>
      </c>
      <c r="J1553" s="15" t="s">
        <v>2672</v>
      </c>
      <c r="K1553" s="15" t="s">
        <v>903</v>
      </c>
      <c r="L1553" s="15" t="s">
        <v>2673</v>
      </c>
      <c r="M1553" s="15" t="s">
        <v>2672</v>
      </c>
      <c r="N1553" s="15" t="s">
        <v>2673</v>
      </c>
      <c r="O1553" s="15"/>
    </row>
    <row r="1554" spans="1:15" ht="18" customHeight="1" x14ac:dyDescent="0.3">
      <c r="A1554" s="29">
        <v>1553</v>
      </c>
      <c r="B1554" s="15" t="s">
        <v>52</v>
      </c>
      <c r="C1554" s="15" t="s">
        <v>54</v>
      </c>
      <c r="D1554" s="69">
        <v>81</v>
      </c>
      <c r="E1554" s="68" t="s">
        <v>290</v>
      </c>
      <c r="F1554" s="21" t="s">
        <v>630</v>
      </c>
      <c r="G1554" s="15" t="s">
        <v>154</v>
      </c>
      <c r="H1554" s="15" t="s">
        <v>906</v>
      </c>
      <c r="I1554" s="69">
        <v>155</v>
      </c>
      <c r="J1554" s="15" t="s">
        <v>2674</v>
      </c>
      <c r="K1554" s="15" t="s">
        <v>903</v>
      </c>
      <c r="L1554" s="15" t="s">
        <v>2673</v>
      </c>
      <c r="M1554" s="15" t="s">
        <v>2672</v>
      </c>
      <c r="N1554" s="15" t="s">
        <v>2673</v>
      </c>
      <c r="O1554" s="15"/>
    </row>
    <row r="1555" spans="1:15" ht="18" customHeight="1" x14ac:dyDescent="0.3">
      <c r="A1555" s="29">
        <v>1554</v>
      </c>
      <c r="B1555" s="15" t="s">
        <v>52</v>
      </c>
      <c r="C1555" s="15" t="s">
        <v>54</v>
      </c>
      <c r="D1555" s="69">
        <v>81</v>
      </c>
      <c r="E1555" s="68" t="s">
        <v>290</v>
      </c>
      <c r="F1555" s="21" t="s">
        <v>630</v>
      </c>
      <c r="G1555" s="15" t="s">
        <v>154</v>
      </c>
      <c r="H1555" s="15" t="s">
        <v>2690</v>
      </c>
      <c r="I1555" s="69">
        <v>227</v>
      </c>
      <c r="J1555" s="15" t="s">
        <v>2674</v>
      </c>
      <c r="K1555" s="15" t="s">
        <v>2672</v>
      </c>
      <c r="L1555" s="15" t="s">
        <v>2673</v>
      </c>
      <c r="M1555" s="15" t="s">
        <v>2672</v>
      </c>
      <c r="N1555" s="15" t="s">
        <v>2673</v>
      </c>
      <c r="O1555" s="15"/>
    </row>
    <row r="1556" spans="1:15" ht="18" customHeight="1" x14ac:dyDescent="0.3">
      <c r="A1556" s="29">
        <v>1555</v>
      </c>
      <c r="B1556" s="15" t="s">
        <v>52</v>
      </c>
      <c r="C1556" s="15" t="s">
        <v>54</v>
      </c>
      <c r="D1556" s="69">
        <v>81</v>
      </c>
      <c r="E1556" s="68" t="s">
        <v>290</v>
      </c>
      <c r="F1556" s="21" t="s">
        <v>2900</v>
      </c>
      <c r="G1556" s="15" t="s">
        <v>154</v>
      </c>
      <c r="H1556" s="15" t="s">
        <v>1315</v>
      </c>
      <c r="I1556" s="69">
        <v>22</v>
      </c>
      <c r="J1556" s="15" t="s">
        <v>2672</v>
      </c>
      <c r="K1556" s="15" t="s">
        <v>902</v>
      </c>
      <c r="L1556" s="15" t="s">
        <v>2723</v>
      </c>
      <c r="M1556" s="15" t="s">
        <v>2672</v>
      </c>
      <c r="N1556" s="15" t="s">
        <v>2673</v>
      </c>
      <c r="O1556" s="15"/>
    </row>
    <row r="1557" spans="1:15" ht="18" customHeight="1" x14ac:dyDescent="0.3">
      <c r="A1557" s="29">
        <v>1556</v>
      </c>
      <c r="B1557" s="15" t="s">
        <v>52</v>
      </c>
      <c r="C1557" s="15" t="s">
        <v>54</v>
      </c>
      <c r="D1557" s="69">
        <v>81</v>
      </c>
      <c r="E1557" s="68" t="s">
        <v>251</v>
      </c>
      <c r="F1557" s="21" t="s">
        <v>628</v>
      </c>
      <c r="G1557" s="15" t="s">
        <v>154</v>
      </c>
      <c r="H1557" s="15" t="s">
        <v>901</v>
      </c>
      <c r="I1557" s="69">
        <v>185</v>
      </c>
      <c r="J1557" s="13" t="s">
        <v>2672</v>
      </c>
      <c r="K1557" s="15" t="s">
        <v>903</v>
      </c>
      <c r="L1557" s="15" t="s">
        <v>2673</v>
      </c>
      <c r="M1557" s="15" t="s">
        <v>2672</v>
      </c>
      <c r="N1557" s="15" t="s">
        <v>2673</v>
      </c>
      <c r="O1557" s="15"/>
    </row>
    <row r="1558" spans="1:15" ht="18" customHeight="1" x14ac:dyDescent="0.3">
      <c r="A1558" s="29">
        <v>1557</v>
      </c>
      <c r="B1558" s="15" t="s">
        <v>52</v>
      </c>
      <c r="C1558" s="15" t="s">
        <v>54</v>
      </c>
      <c r="D1558" s="69">
        <v>81</v>
      </c>
      <c r="E1558" s="68" t="s">
        <v>251</v>
      </c>
      <c r="F1558" s="21" t="s">
        <v>628</v>
      </c>
      <c r="G1558" s="15" t="s">
        <v>154</v>
      </c>
      <c r="H1558" s="15" t="s">
        <v>904</v>
      </c>
      <c r="I1558" s="69">
        <v>106</v>
      </c>
      <c r="J1558" s="13" t="s">
        <v>2672</v>
      </c>
      <c r="K1558" s="15" t="s">
        <v>903</v>
      </c>
      <c r="L1558" s="15" t="s">
        <v>2673</v>
      </c>
      <c r="M1558" s="15" t="s">
        <v>2672</v>
      </c>
      <c r="N1558" s="15" t="s">
        <v>2673</v>
      </c>
      <c r="O1558" s="15"/>
    </row>
    <row r="1559" spans="1:15" ht="18" customHeight="1" x14ac:dyDescent="0.3">
      <c r="A1559" s="29">
        <v>1558</v>
      </c>
      <c r="B1559" s="15" t="s">
        <v>52</v>
      </c>
      <c r="C1559" s="15" t="s">
        <v>54</v>
      </c>
      <c r="D1559" s="69">
        <v>81</v>
      </c>
      <c r="E1559" s="68" t="s">
        <v>251</v>
      </c>
      <c r="F1559" s="21" t="s">
        <v>628</v>
      </c>
      <c r="G1559" s="15" t="s">
        <v>154</v>
      </c>
      <c r="H1559" s="15" t="s">
        <v>905</v>
      </c>
      <c r="I1559" s="69">
        <v>196</v>
      </c>
      <c r="J1559" s="13" t="s">
        <v>902</v>
      </c>
      <c r="K1559" s="15" t="s">
        <v>903</v>
      </c>
      <c r="L1559" s="15" t="s">
        <v>2673</v>
      </c>
      <c r="M1559" s="15" t="s">
        <v>2672</v>
      </c>
      <c r="N1559" s="15" t="s">
        <v>2673</v>
      </c>
      <c r="O1559" s="15"/>
    </row>
    <row r="1560" spans="1:15" ht="18" customHeight="1" x14ac:dyDescent="0.3">
      <c r="A1560" s="29">
        <v>1559</v>
      </c>
      <c r="B1560" s="15" t="s">
        <v>52</v>
      </c>
      <c r="C1560" s="15" t="s">
        <v>54</v>
      </c>
      <c r="D1560" s="69">
        <v>81</v>
      </c>
      <c r="E1560" s="68" t="s">
        <v>251</v>
      </c>
      <c r="F1560" s="21" t="s">
        <v>628</v>
      </c>
      <c r="G1560" s="15" t="s">
        <v>154</v>
      </c>
      <c r="H1560" s="15" t="s">
        <v>906</v>
      </c>
      <c r="I1560" s="69">
        <v>106</v>
      </c>
      <c r="J1560" s="13" t="s">
        <v>2672</v>
      </c>
      <c r="K1560" s="15" t="s">
        <v>903</v>
      </c>
      <c r="L1560" s="15" t="s">
        <v>2673</v>
      </c>
      <c r="M1560" s="15" t="s">
        <v>2672</v>
      </c>
      <c r="N1560" s="15" t="s">
        <v>2673</v>
      </c>
      <c r="O1560" s="15"/>
    </row>
    <row r="1561" spans="1:15" ht="18" customHeight="1" x14ac:dyDescent="0.3">
      <c r="A1561" s="29">
        <v>1560</v>
      </c>
      <c r="B1561" s="15" t="s">
        <v>52</v>
      </c>
      <c r="C1561" s="15" t="s">
        <v>54</v>
      </c>
      <c r="D1561" s="69">
        <v>81</v>
      </c>
      <c r="E1561" s="68" t="s">
        <v>251</v>
      </c>
      <c r="F1561" s="21" t="s">
        <v>628</v>
      </c>
      <c r="G1561" s="15" t="s">
        <v>154</v>
      </c>
      <c r="H1561" s="15" t="s">
        <v>907</v>
      </c>
      <c r="I1561" s="69">
        <v>158</v>
      </c>
      <c r="J1561" s="13" t="s">
        <v>2672</v>
      </c>
      <c r="K1561" s="15" t="s">
        <v>903</v>
      </c>
      <c r="L1561" s="15" t="s">
        <v>2673</v>
      </c>
      <c r="M1561" s="15" t="s">
        <v>2672</v>
      </c>
      <c r="N1561" s="15" t="s">
        <v>2673</v>
      </c>
      <c r="O1561" s="15"/>
    </row>
    <row r="1562" spans="1:15" ht="18" customHeight="1" x14ac:dyDescent="0.3">
      <c r="A1562" s="29">
        <v>1561</v>
      </c>
      <c r="B1562" s="15" t="s">
        <v>52</v>
      </c>
      <c r="C1562" s="15" t="s">
        <v>54</v>
      </c>
      <c r="D1562" s="69">
        <v>81</v>
      </c>
      <c r="E1562" s="68" t="s">
        <v>251</v>
      </c>
      <c r="F1562" s="21" t="s">
        <v>628</v>
      </c>
      <c r="G1562" s="15" t="s">
        <v>154</v>
      </c>
      <c r="H1562" s="15" t="s">
        <v>908</v>
      </c>
      <c r="I1562" s="69">
        <v>265</v>
      </c>
      <c r="J1562" s="13" t="s">
        <v>902</v>
      </c>
      <c r="K1562" s="15" t="s">
        <v>903</v>
      </c>
      <c r="L1562" s="15" t="s">
        <v>2673</v>
      </c>
      <c r="M1562" s="15" t="s">
        <v>2672</v>
      </c>
      <c r="N1562" s="15" t="s">
        <v>2673</v>
      </c>
      <c r="O1562" s="15"/>
    </row>
    <row r="1563" spans="1:15" ht="18" customHeight="1" x14ac:dyDescent="0.3">
      <c r="A1563" s="29">
        <v>1562</v>
      </c>
      <c r="B1563" s="15" t="s">
        <v>52</v>
      </c>
      <c r="C1563" s="15" t="s">
        <v>54</v>
      </c>
      <c r="D1563" s="69">
        <v>81</v>
      </c>
      <c r="E1563" s="68" t="s">
        <v>251</v>
      </c>
      <c r="F1563" s="21" t="s">
        <v>628</v>
      </c>
      <c r="G1563" s="15" t="s">
        <v>154</v>
      </c>
      <c r="H1563" s="15" t="s">
        <v>909</v>
      </c>
      <c r="I1563" s="69">
        <v>83</v>
      </c>
      <c r="J1563" s="13" t="s">
        <v>2672</v>
      </c>
      <c r="K1563" s="15" t="s">
        <v>2674</v>
      </c>
      <c r="L1563" s="15" t="s">
        <v>2525</v>
      </c>
      <c r="M1563" s="15" t="s">
        <v>2672</v>
      </c>
      <c r="N1563" s="15" t="s">
        <v>2673</v>
      </c>
      <c r="O1563" s="15"/>
    </row>
    <row r="1564" spans="1:15" ht="18" customHeight="1" x14ac:dyDescent="0.3">
      <c r="A1564" s="29">
        <v>1563</v>
      </c>
      <c r="B1564" s="15" t="s">
        <v>52</v>
      </c>
      <c r="C1564" s="15" t="s">
        <v>54</v>
      </c>
      <c r="D1564" s="69">
        <v>81</v>
      </c>
      <c r="E1564" s="68" t="s">
        <v>251</v>
      </c>
      <c r="F1564" s="21" t="s">
        <v>628</v>
      </c>
      <c r="G1564" s="15" t="s">
        <v>154</v>
      </c>
      <c r="H1564" s="15" t="s">
        <v>910</v>
      </c>
      <c r="I1564" s="69">
        <v>98</v>
      </c>
      <c r="J1564" s="13" t="s">
        <v>902</v>
      </c>
      <c r="K1564" s="15" t="s">
        <v>903</v>
      </c>
      <c r="L1564" s="15" t="s">
        <v>2673</v>
      </c>
      <c r="M1564" s="15" t="s">
        <v>2672</v>
      </c>
      <c r="N1564" s="15" t="s">
        <v>2673</v>
      </c>
      <c r="O1564" s="15"/>
    </row>
    <row r="1565" spans="1:15" ht="18" customHeight="1" x14ac:dyDescent="0.3">
      <c r="A1565" s="29">
        <v>1564</v>
      </c>
      <c r="B1565" s="15" t="s">
        <v>52</v>
      </c>
      <c r="C1565" s="15" t="s">
        <v>54</v>
      </c>
      <c r="D1565" s="69">
        <v>81</v>
      </c>
      <c r="E1565" s="68" t="s">
        <v>251</v>
      </c>
      <c r="F1565" s="21" t="s">
        <v>628</v>
      </c>
      <c r="G1565" s="15" t="s">
        <v>154</v>
      </c>
      <c r="H1565" s="15" t="s">
        <v>911</v>
      </c>
      <c r="I1565" s="69">
        <v>37</v>
      </c>
      <c r="J1565" s="13" t="s">
        <v>902</v>
      </c>
      <c r="K1565" s="15" t="s">
        <v>2674</v>
      </c>
      <c r="L1565" s="15" t="s">
        <v>2525</v>
      </c>
      <c r="M1565" s="15" t="s">
        <v>2672</v>
      </c>
      <c r="N1565" s="15" t="s">
        <v>2673</v>
      </c>
      <c r="O1565" s="15"/>
    </row>
    <row r="1566" spans="1:15" ht="18" customHeight="1" x14ac:dyDescent="0.3">
      <c r="A1566" s="29">
        <v>1565</v>
      </c>
      <c r="B1566" s="15" t="s">
        <v>52</v>
      </c>
      <c r="C1566" s="15" t="s">
        <v>54</v>
      </c>
      <c r="D1566" s="69">
        <v>81</v>
      </c>
      <c r="E1566" s="68" t="s">
        <v>265</v>
      </c>
      <c r="F1566" s="21" t="s">
        <v>629</v>
      </c>
      <c r="G1566" s="15" t="s">
        <v>154</v>
      </c>
      <c r="H1566" s="15" t="s">
        <v>901</v>
      </c>
      <c r="I1566" s="69">
        <v>107</v>
      </c>
      <c r="J1566" s="13" t="s">
        <v>2672</v>
      </c>
      <c r="K1566" s="15" t="s">
        <v>903</v>
      </c>
      <c r="L1566" s="15" t="s">
        <v>2673</v>
      </c>
      <c r="M1566" s="15" t="s">
        <v>2672</v>
      </c>
      <c r="N1566" s="15" t="s">
        <v>2673</v>
      </c>
      <c r="O1566" s="15"/>
    </row>
    <row r="1567" spans="1:15" ht="18" customHeight="1" x14ac:dyDescent="0.3">
      <c r="A1567" s="29">
        <v>1566</v>
      </c>
      <c r="B1567" s="15" t="s">
        <v>52</v>
      </c>
      <c r="C1567" s="15" t="s">
        <v>54</v>
      </c>
      <c r="D1567" s="69">
        <v>81</v>
      </c>
      <c r="E1567" s="68" t="s">
        <v>265</v>
      </c>
      <c r="F1567" s="21" t="s">
        <v>629</v>
      </c>
      <c r="G1567" s="15" t="s">
        <v>154</v>
      </c>
      <c r="H1567" s="15" t="s">
        <v>904</v>
      </c>
      <c r="I1567" s="69">
        <v>302</v>
      </c>
      <c r="J1567" s="13" t="s">
        <v>2672</v>
      </c>
      <c r="K1567" s="15" t="s">
        <v>903</v>
      </c>
      <c r="L1567" s="15" t="s">
        <v>2673</v>
      </c>
      <c r="M1567" s="15" t="s">
        <v>2672</v>
      </c>
      <c r="N1567" s="15" t="s">
        <v>2673</v>
      </c>
      <c r="O1567" s="15"/>
    </row>
    <row r="1568" spans="1:15" ht="18" customHeight="1" x14ac:dyDescent="0.3">
      <c r="A1568" s="29">
        <v>1567</v>
      </c>
      <c r="B1568" s="15" t="s">
        <v>52</v>
      </c>
      <c r="C1568" s="15" t="s">
        <v>54</v>
      </c>
      <c r="D1568" s="69">
        <v>81</v>
      </c>
      <c r="E1568" s="68" t="s">
        <v>265</v>
      </c>
      <c r="F1568" s="21" t="s">
        <v>629</v>
      </c>
      <c r="G1568" s="15" t="s">
        <v>154</v>
      </c>
      <c r="H1568" s="15" t="s">
        <v>905</v>
      </c>
      <c r="I1568" s="69">
        <v>186</v>
      </c>
      <c r="J1568" s="13" t="s">
        <v>902</v>
      </c>
      <c r="K1568" s="15" t="s">
        <v>903</v>
      </c>
      <c r="L1568" s="15" t="s">
        <v>2673</v>
      </c>
      <c r="M1568" s="15" t="s">
        <v>2672</v>
      </c>
      <c r="N1568" s="15" t="s">
        <v>2673</v>
      </c>
      <c r="O1568" s="15"/>
    </row>
    <row r="1569" spans="1:15" ht="18" customHeight="1" x14ac:dyDescent="0.3">
      <c r="A1569" s="29">
        <v>1568</v>
      </c>
      <c r="B1569" s="15" t="s">
        <v>52</v>
      </c>
      <c r="C1569" s="15" t="s">
        <v>54</v>
      </c>
      <c r="D1569" s="69">
        <v>81</v>
      </c>
      <c r="E1569" s="68" t="s">
        <v>265</v>
      </c>
      <c r="F1569" s="21" t="s">
        <v>629</v>
      </c>
      <c r="G1569" s="15" t="s">
        <v>154</v>
      </c>
      <c r="H1569" s="15" t="s">
        <v>906</v>
      </c>
      <c r="I1569" s="69">
        <v>87</v>
      </c>
      <c r="J1569" s="13" t="s">
        <v>2672</v>
      </c>
      <c r="K1569" s="15" t="s">
        <v>903</v>
      </c>
      <c r="L1569" s="15" t="s">
        <v>2673</v>
      </c>
      <c r="M1569" s="15" t="s">
        <v>2672</v>
      </c>
      <c r="N1569" s="15" t="s">
        <v>2673</v>
      </c>
      <c r="O1569" s="15"/>
    </row>
    <row r="1570" spans="1:15" ht="18" customHeight="1" x14ac:dyDescent="0.3">
      <c r="A1570" s="29">
        <v>1569</v>
      </c>
      <c r="B1570" s="15" t="s">
        <v>52</v>
      </c>
      <c r="C1570" s="15" t="s">
        <v>54</v>
      </c>
      <c r="D1570" s="69">
        <v>81</v>
      </c>
      <c r="E1570" s="68" t="s">
        <v>265</v>
      </c>
      <c r="F1570" s="21" t="s">
        <v>629</v>
      </c>
      <c r="G1570" s="15" t="s">
        <v>154</v>
      </c>
      <c r="H1570" s="15" t="s">
        <v>907</v>
      </c>
      <c r="I1570" s="69">
        <v>105</v>
      </c>
      <c r="J1570" s="13" t="s">
        <v>2672</v>
      </c>
      <c r="K1570" s="15" t="s">
        <v>903</v>
      </c>
      <c r="L1570" s="15" t="s">
        <v>2673</v>
      </c>
      <c r="M1570" s="15" t="s">
        <v>2672</v>
      </c>
      <c r="N1570" s="15" t="s">
        <v>2673</v>
      </c>
      <c r="O1570" s="15"/>
    </row>
    <row r="1571" spans="1:15" ht="18" customHeight="1" x14ac:dyDescent="0.3">
      <c r="A1571" s="29">
        <v>1570</v>
      </c>
      <c r="B1571" s="15" t="s">
        <v>52</v>
      </c>
      <c r="C1571" s="15" t="s">
        <v>54</v>
      </c>
      <c r="D1571" s="69">
        <v>81</v>
      </c>
      <c r="E1571" s="68" t="s">
        <v>265</v>
      </c>
      <c r="F1571" s="21" t="s">
        <v>629</v>
      </c>
      <c r="G1571" s="15" t="s">
        <v>154</v>
      </c>
      <c r="H1571" s="15" t="s">
        <v>908</v>
      </c>
      <c r="I1571" s="69">
        <v>117</v>
      </c>
      <c r="J1571" s="13" t="s">
        <v>902</v>
      </c>
      <c r="K1571" s="15" t="s">
        <v>903</v>
      </c>
      <c r="L1571" s="15" t="s">
        <v>2673</v>
      </c>
      <c r="M1571" s="15" t="s">
        <v>2672</v>
      </c>
      <c r="N1571" s="15" t="s">
        <v>2673</v>
      </c>
      <c r="O1571" s="15"/>
    </row>
    <row r="1572" spans="1:15" ht="18" customHeight="1" x14ac:dyDescent="0.3">
      <c r="A1572" s="29">
        <v>1571</v>
      </c>
      <c r="B1572" s="15" t="s">
        <v>52</v>
      </c>
      <c r="C1572" s="15" t="s">
        <v>54</v>
      </c>
      <c r="D1572" s="69">
        <v>81</v>
      </c>
      <c r="E1572" s="68" t="s">
        <v>265</v>
      </c>
      <c r="F1572" s="21" t="s">
        <v>629</v>
      </c>
      <c r="G1572" s="15" t="s">
        <v>154</v>
      </c>
      <c r="H1572" s="15" t="s">
        <v>909</v>
      </c>
      <c r="I1572" s="69">
        <v>97</v>
      </c>
      <c r="J1572" s="13" t="s">
        <v>2672</v>
      </c>
      <c r="K1572" s="15" t="s">
        <v>903</v>
      </c>
      <c r="L1572" s="15" t="s">
        <v>2673</v>
      </c>
      <c r="M1572" s="15" t="s">
        <v>2672</v>
      </c>
      <c r="N1572" s="15" t="s">
        <v>2673</v>
      </c>
      <c r="O1572" s="15"/>
    </row>
    <row r="1573" spans="1:15" ht="18" customHeight="1" x14ac:dyDescent="0.3">
      <c r="A1573" s="29">
        <v>1572</v>
      </c>
      <c r="B1573" s="15" t="s">
        <v>52</v>
      </c>
      <c r="C1573" s="15" t="s">
        <v>54</v>
      </c>
      <c r="D1573" s="69">
        <v>81</v>
      </c>
      <c r="E1573" s="68" t="s">
        <v>1909</v>
      </c>
      <c r="F1573" s="51" t="s">
        <v>1910</v>
      </c>
      <c r="G1573" s="29" t="s">
        <v>1538</v>
      </c>
      <c r="H1573" s="15" t="s">
        <v>2685</v>
      </c>
      <c r="I1573" s="69">
        <v>188</v>
      </c>
      <c r="J1573" s="13" t="s">
        <v>2672</v>
      </c>
      <c r="K1573" s="15" t="s">
        <v>903</v>
      </c>
      <c r="L1573" s="15" t="s">
        <v>2673</v>
      </c>
      <c r="M1573" s="15" t="s">
        <v>2672</v>
      </c>
      <c r="N1573" s="15" t="s">
        <v>2673</v>
      </c>
      <c r="O1573" s="15"/>
    </row>
    <row r="1574" spans="1:15" ht="18" customHeight="1" x14ac:dyDescent="0.3">
      <c r="A1574" s="29">
        <v>1573</v>
      </c>
      <c r="B1574" s="15" t="s">
        <v>52</v>
      </c>
      <c r="C1574" s="15" t="s">
        <v>54</v>
      </c>
      <c r="D1574" s="69">
        <v>81</v>
      </c>
      <c r="E1574" s="68" t="s">
        <v>1909</v>
      </c>
      <c r="F1574" s="51" t="s">
        <v>1910</v>
      </c>
      <c r="G1574" s="29" t="s">
        <v>1538</v>
      </c>
      <c r="H1574" s="15" t="s">
        <v>2901</v>
      </c>
      <c r="I1574" s="69">
        <v>55</v>
      </c>
      <c r="J1574" s="13" t="s">
        <v>2672</v>
      </c>
      <c r="K1574" s="15" t="s">
        <v>2674</v>
      </c>
      <c r="L1574" s="15" t="s">
        <v>2525</v>
      </c>
      <c r="M1574" s="15" t="s">
        <v>2672</v>
      </c>
      <c r="N1574" s="15" t="s">
        <v>2673</v>
      </c>
      <c r="O1574" s="15"/>
    </row>
    <row r="1575" spans="1:15" ht="18" customHeight="1" x14ac:dyDescent="0.3">
      <c r="A1575" s="29">
        <v>1574</v>
      </c>
      <c r="B1575" s="15" t="s">
        <v>52</v>
      </c>
      <c r="C1575" s="15" t="s">
        <v>54</v>
      </c>
      <c r="D1575" s="69">
        <v>81</v>
      </c>
      <c r="E1575" s="68" t="s">
        <v>1909</v>
      </c>
      <c r="F1575" s="51" t="s">
        <v>1910</v>
      </c>
      <c r="G1575" s="29" t="s">
        <v>1538</v>
      </c>
      <c r="H1575" s="15" t="s">
        <v>2902</v>
      </c>
      <c r="I1575" s="69">
        <v>52</v>
      </c>
      <c r="J1575" s="13" t="s">
        <v>2672</v>
      </c>
      <c r="K1575" s="15" t="s">
        <v>2674</v>
      </c>
      <c r="L1575" s="15" t="s">
        <v>2525</v>
      </c>
      <c r="M1575" s="15" t="s">
        <v>2672</v>
      </c>
      <c r="N1575" s="15" t="s">
        <v>2673</v>
      </c>
      <c r="O1575" s="15"/>
    </row>
    <row r="1576" spans="1:15" ht="18" customHeight="1" x14ac:dyDescent="0.3">
      <c r="A1576" s="29">
        <v>1575</v>
      </c>
      <c r="B1576" s="15" t="s">
        <v>52</v>
      </c>
      <c r="C1576" s="15" t="s">
        <v>54</v>
      </c>
      <c r="D1576" s="69">
        <v>81</v>
      </c>
      <c r="E1576" s="68" t="s">
        <v>1909</v>
      </c>
      <c r="F1576" s="51" t="s">
        <v>1910</v>
      </c>
      <c r="G1576" s="29" t="s">
        <v>1538</v>
      </c>
      <c r="H1576" s="15" t="s">
        <v>2680</v>
      </c>
      <c r="I1576" s="69">
        <v>188</v>
      </c>
      <c r="J1576" s="13" t="s">
        <v>2672</v>
      </c>
      <c r="K1576" s="15" t="s">
        <v>903</v>
      </c>
      <c r="L1576" s="15" t="s">
        <v>2673</v>
      </c>
      <c r="M1576" s="15" t="s">
        <v>2672</v>
      </c>
      <c r="N1576" s="15" t="s">
        <v>2673</v>
      </c>
      <c r="O1576" s="15"/>
    </row>
    <row r="1577" spans="1:15" ht="18" customHeight="1" x14ac:dyDescent="0.3">
      <c r="A1577" s="29">
        <v>1576</v>
      </c>
      <c r="B1577" s="15" t="s">
        <v>52</v>
      </c>
      <c r="C1577" s="15" t="s">
        <v>54</v>
      </c>
      <c r="D1577" s="69">
        <v>81</v>
      </c>
      <c r="E1577" s="68" t="s">
        <v>1909</v>
      </c>
      <c r="F1577" s="51" t="s">
        <v>1910</v>
      </c>
      <c r="G1577" s="29" t="s">
        <v>1538</v>
      </c>
      <c r="H1577" s="15" t="s">
        <v>2690</v>
      </c>
      <c r="I1577" s="69">
        <v>140</v>
      </c>
      <c r="J1577" s="13" t="s">
        <v>2672</v>
      </c>
      <c r="K1577" s="15" t="s">
        <v>903</v>
      </c>
      <c r="L1577" s="15" t="s">
        <v>2673</v>
      </c>
      <c r="M1577" s="15" t="s">
        <v>2672</v>
      </c>
      <c r="N1577" s="15" t="s">
        <v>2673</v>
      </c>
      <c r="O1577" s="15"/>
    </row>
    <row r="1578" spans="1:15" ht="18" customHeight="1" x14ac:dyDescent="0.3">
      <c r="A1578" s="29">
        <v>1577</v>
      </c>
      <c r="B1578" s="15" t="s">
        <v>52</v>
      </c>
      <c r="C1578" s="15" t="s">
        <v>54</v>
      </c>
      <c r="D1578" s="69">
        <v>81</v>
      </c>
      <c r="E1578" s="68" t="s">
        <v>1909</v>
      </c>
      <c r="F1578" s="51" t="s">
        <v>1910</v>
      </c>
      <c r="G1578" s="29" t="s">
        <v>1538</v>
      </c>
      <c r="H1578" s="15" t="s">
        <v>2682</v>
      </c>
      <c r="I1578" s="69">
        <v>216</v>
      </c>
      <c r="J1578" s="13" t="s">
        <v>902</v>
      </c>
      <c r="K1578" s="15" t="s">
        <v>903</v>
      </c>
      <c r="L1578" s="15" t="s">
        <v>2673</v>
      </c>
      <c r="M1578" s="15" t="s">
        <v>2672</v>
      </c>
      <c r="N1578" s="15" t="s">
        <v>2673</v>
      </c>
      <c r="O1578" s="15"/>
    </row>
    <row r="1579" spans="1:15" ht="18" customHeight="1" x14ac:dyDescent="0.3">
      <c r="A1579" s="29">
        <v>1578</v>
      </c>
      <c r="B1579" s="15" t="s">
        <v>52</v>
      </c>
      <c r="C1579" s="15" t="s">
        <v>54</v>
      </c>
      <c r="D1579" s="69">
        <v>81</v>
      </c>
      <c r="E1579" s="68" t="s">
        <v>1909</v>
      </c>
      <c r="F1579" s="51" t="s">
        <v>1910</v>
      </c>
      <c r="G1579" s="29" t="s">
        <v>1538</v>
      </c>
      <c r="H1579" s="15" t="s">
        <v>2732</v>
      </c>
      <c r="I1579" s="69">
        <v>248</v>
      </c>
      <c r="J1579" s="13" t="s">
        <v>902</v>
      </c>
      <c r="K1579" s="15" t="s">
        <v>903</v>
      </c>
      <c r="L1579" s="15" t="s">
        <v>2673</v>
      </c>
      <c r="M1579" s="15" t="s">
        <v>2672</v>
      </c>
      <c r="N1579" s="15" t="s">
        <v>2673</v>
      </c>
      <c r="O1579" s="15"/>
    </row>
    <row r="1580" spans="1:15" ht="18" customHeight="1" x14ac:dyDescent="0.3">
      <c r="A1580" s="29">
        <v>1579</v>
      </c>
      <c r="B1580" s="15" t="s">
        <v>52</v>
      </c>
      <c r="C1580" s="15" t="s">
        <v>54</v>
      </c>
      <c r="D1580" s="69">
        <v>81</v>
      </c>
      <c r="E1580" s="68" t="s">
        <v>3323</v>
      </c>
      <c r="F1580" s="21" t="s">
        <v>2903</v>
      </c>
      <c r="G1580" s="15" t="s">
        <v>164</v>
      </c>
      <c r="H1580" s="15" t="s">
        <v>901</v>
      </c>
      <c r="I1580" s="69">
        <v>102</v>
      </c>
      <c r="J1580" s="15" t="s">
        <v>2672</v>
      </c>
      <c r="K1580" s="15" t="s">
        <v>903</v>
      </c>
      <c r="L1580" s="15" t="s">
        <v>2673</v>
      </c>
      <c r="M1580" s="15" t="s">
        <v>2672</v>
      </c>
      <c r="N1580" s="15" t="s">
        <v>2673</v>
      </c>
      <c r="O1580" s="15"/>
    </row>
    <row r="1581" spans="1:15" ht="18" customHeight="1" x14ac:dyDescent="0.3">
      <c r="A1581" s="29">
        <v>1580</v>
      </c>
      <c r="B1581" s="15" t="s">
        <v>52</v>
      </c>
      <c r="C1581" s="15" t="s">
        <v>54</v>
      </c>
      <c r="D1581" s="69">
        <v>81</v>
      </c>
      <c r="E1581" s="68" t="s">
        <v>3323</v>
      </c>
      <c r="F1581" s="21" t="s">
        <v>627</v>
      </c>
      <c r="G1581" s="15" t="s">
        <v>164</v>
      </c>
      <c r="H1581" s="15" t="s">
        <v>904</v>
      </c>
      <c r="I1581" s="69">
        <v>84</v>
      </c>
      <c r="J1581" s="15" t="s">
        <v>2672</v>
      </c>
      <c r="K1581" s="15" t="s">
        <v>903</v>
      </c>
      <c r="L1581" s="15" t="s">
        <v>2673</v>
      </c>
      <c r="M1581" s="15" t="s">
        <v>2672</v>
      </c>
      <c r="N1581" s="15" t="s">
        <v>2673</v>
      </c>
      <c r="O1581" s="15"/>
    </row>
    <row r="1582" spans="1:15" ht="18" customHeight="1" x14ac:dyDescent="0.3">
      <c r="A1582" s="29">
        <v>1581</v>
      </c>
      <c r="B1582" s="15" t="s">
        <v>52</v>
      </c>
      <c r="C1582" s="15" t="s">
        <v>54</v>
      </c>
      <c r="D1582" s="69">
        <v>81</v>
      </c>
      <c r="E1582" s="68" t="s">
        <v>3323</v>
      </c>
      <c r="F1582" s="21" t="s">
        <v>627</v>
      </c>
      <c r="G1582" s="15" t="s">
        <v>164</v>
      </c>
      <c r="H1582" s="15" t="s">
        <v>905</v>
      </c>
      <c r="I1582" s="69">
        <v>170</v>
      </c>
      <c r="J1582" s="15" t="s">
        <v>2672</v>
      </c>
      <c r="K1582" s="15" t="s">
        <v>903</v>
      </c>
      <c r="L1582" s="15" t="s">
        <v>2673</v>
      </c>
      <c r="M1582" s="15" t="s">
        <v>2672</v>
      </c>
      <c r="N1582" s="15" t="s">
        <v>2673</v>
      </c>
      <c r="O1582" s="15"/>
    </row>
    <row r="1583" spans="1:15" ht="18" customHeight="1" x14ac:dyDescent="0.3">
      <c r="A1583" s="29">
        <v>1582</v>
      </c>
      <c r="B1583" s="15" t="s">
        <v>52</v>
      </c>
      <c r="C1583" s="15" t="s">
        <v>54</v>
      </c>
      <c r="D1583" s="69">
        <v>81</v>
      </c>
      <c r="E1583" s="68" t="s">
        <v>3323</v>
      </c>
      <c r="F1583" s="21" t="s">
        <v>627</v>
      </c>
      <c r="G1583" s="15" t="s">
        <v>164</v>
      </c>
      <c r="H1583" s="15" t="s">
        <v>906</v>
      </c>
      <c r="I1583" s="69">
        <v>96</v>
      </c>
      <c r="J1583" s="15" t="s">
        <v>2672</v>
      </c>
      <c r="K1583" s="15" t="s">
        <v>903</v>
      </c>
      <c r="L1583" s="15" t="s">
        <v>2673</v>
      </c>
      <c r="M1583" s="15" t="s">
        <v>2672</v>
      </c>
      <c r="N1583" s="15" t="s">
        <v>2673</v>
      </c>
      <c r="O1583" s="15"/>
    </row>
    <row r="1584" spans="1:15" ht="18" customHeight="1" x14ac:dyDescent="0.3">
      <c r="A1584" s="29">
        <v>1583</v>
      </c>
      <c r="B1584" s="15" t="s">
        <v>52</v>
      </c>
      <c r="C1584" s="15" t="s">
        <v>54</v>
      </c>
      <c r="D1584" s="69">
        <v>81</v>
      </c>
      <c r="E1584" s="68" t="s">
        <v>3323</v>
      </c>
      <c r="F1584" s="21" t="s">
        <v>627</v>
      </c>
      <c r="G1584" s="15" t="s">
        <v>164</v>
      </c>
      <c r="H1584" s="15" t="s">
        <v>907</v>
      </c>
      <c r="I1584" s="69">
        <v>89</v>
      </c>
      <c r="J1584" s="15" t="s">
        <v>2672</v>
      </c>
      <c r="K1584" s="15" t="s">
        <v>903</v>
      </c>
      <c r="L1584" s="15" t="s">
        <v>2673</v>
      </c>
      <c r="M1584" s="15" t="s">
        <v>2672</v>
      </c>
      <c r="N1584" s="15" t="s">
        <v>2673</v>
      </c>
      <c r="O1584" s="15"/>
    </row>
    <row r="1585" spans="1:15" ht="18" customHeight="1" x14ac:dyDescent="0.3">
      <c r="A1585" s="29">
        <v>1584</v>
      </c>
      <c r="B1585" s="15" t="s">
        <v>52</v>
      </c>
      <c r="C1585" s="15" t="s">
        <v>54</v>
      </c>
      <c r="D1585" s="69">
        <v>81</v>
      </c>
      <c r="E1585" s="68" t="s">
        <v>3323</v>
      </c>
      <c r="F1585" s="21" t="s">
        <v>627</v>
      </c>
      <c r="G1585" s="15" t="s">
        <v>164</v>
      </c>
      <c r="H1585" s="15" t="s">
        <v>908</v>
      </c>
      <c r="I1585" s="69">
        <v>173</v>
      </c>
      <c r="J1585" s="15" t="s">
        <v>2672</v>
      </c>
      <c r="K1585" s="15" t="s">
        <v>903</v>
      </c>
      <c r="L1585" s="15" t="s">
        <v>2673</v>
      </c>
      <c r="M1585" s="15" t="s">
        <v>2672</v>
      </c>
      <c r="N1585" s="15" t="s">
        <v>2673</v>
      </c>
      <c r="O1585" s="15"/>
    </row>
    <row r="1586" spans="1:15" ht="18" customHeight="1" x14ac:dyDescent="0.3">
      <c r="A1586" s="29">
        <v>1585</v>
      </c>
      <c r="B1586" s="15" t="s">
        <v>52</v>
      </c>
      <c r="C1586" s="15" t="s">
        <v>55</v>
      </c>
      <c r="D1586" s="69">
        <v>85</v>
      </c>
      <c r="E1586" s="68" t="s">
        <v>266</v>
      </c>
      <c r="F1586" s="14" t="s">
        <v>683</v>
      </c>
      <c r="G1586" s="15" t="s">
        <v>154</v>
      </c>
      <c r="H1586" s="15" t="s">
        <v>901</v>
      </c>
      <c r="I1586" s="69">
        <v>96</v>
      </c>
      <c r="J1586" s="13" t="s">
        <v>902</v>
      </c>
      <c r="K1586" s="15" t="s">
        <v>903</v>
      </c>
      <c r="L1586" s="15" t="s">
        <v>2673</v>
      </c>
      <c r="M1586" s="15" t="s">
        <v>2672</v>
      </c>
      <c r="N1586" s="15" t="s">
        <v>2673</v>
      </c>
      <c r="O1586" s="15"/>
    </row>
    <row r="1587" spans="1:15" ht="18" customHeight="1" x14ac:dyDescent="0.3">
      <c r="A1587" s="29">
        <v>1586</v>
      </c>
      <c r="B1587" s="15" t="s">
        <v>52</v>
      </c>
      <c r="C1587" s="15" t="s">
        <v>55</v>
      </c>
      <c r="D1587" s="69">
        <v>85</v>
      </c>
      <c r="E1587" s="68" t="s">
        <v>266</v>
      </c>
      <c r="F1587" s="14" t="s">
        <v>683</v>
      </c>
      <c r="G1587" s="15" t="s">
        <v>154</v>
      </c>
      <c r="H1587" s="15" t="s">
        <v>904</v>
      </c>
      <c r="I1587" s="69">
        <v>96</v>
      </c>
      <c r="J1587" s="13" t="s">
        <v>2672</v>
      </c>
      <c r="K1587" s="15" t="s">
        <v>903</v>
      </c>
      <c r="L1587" s="15" t="s">
        <v>2673</v>
      </c>
      <c r="M1587" s="15" t="s">
        <v>2672</v>
      </c>
      <c r="N1587" s="15" t="s">
        <v>2673</v>
      </c>
      <c r="O1587" s="15"/>
    </row>
    <row r="1588" spans="1:15" ht="18" customHeight="1" x14ac:dyDescent="0.3">
      <c r="A1588" s="29">
        <v>1587</v>
      </c>
      <c r="B1588" s="15" t="s">
        <v>52</v>
      </c>
      <c r="C1588" s="15" t="s">
        <v>55</v>
      </c>
      <c r="D1588" s="69">
        <v>85</v>
      </c>
      <c r="E1588" s="68" t="s">
        <v>266</v>
      </c>
      <c r="F1588" s="14" t="s">
        <v>683</v>
      </c>
      <c r="G1588" s="15" t="s">
        <v>154</v>
      </c>
      <c r="H1588" s="15" t="s">
        <v>905</v>
      </c>
      <c r="I1588" s="69">
        <v>168</v>
      </c>
      <c r="J1588" s="13" t="s">
        <v>2672</v>
      </c>
      <c r="K1588" s="15" t="s">
        <v>903</v>
      </c>
      <c r="L1588" s="15" t="s">
        <v>2673</v>
      </c>
      <c r="M1588" s="15" t="s">
        <v>2672</v>
      </c>
      <c r="N1588" s="15" t="s">
        <v>2673</v>
      </c>
      <c r="O1588" s="15"/>
    </row>
    <row r="1589" spans="1:15" ht="18" customHeight="1" x14ac:dyDescent="0.3">
      <c r="A1589" s="29">
        <v>1588</v>
      </c>
      <c r="B1589" s="15" t="s">
        <v>52</v>
      </c>
      <c r="C1589" s="15" t="s">
        <v>55</v>
      </c>
      <c r="D1589" s="69">
        <v>85</v>
      </c>
      <c r="E1589" s="68" t="s">
        <v>266</v>
      </c>
      <c r="F1589" s="14" t="s">
        <v>683</v>
      </c>
      <c r="G1589" s="15" t="s">
        <v>154</v>
      </c>
      <c r="H1589" s="15" t="s">
        <v>906</v>
      </c>
      <c r="I1589" s="69">
        <v>90</v>
      </c>
      <c r="J1589" s="13" t="s">
        <v>2672</v>
      </c>
      <c r="K1589" s="15" t="s">
        <v>903</v>
      </c>
      <c r="L1589" s="15" t="s">
        <v>2673</v>
      </c>
      <c r="M1589" s="15" t="s">
        <v>2672</v>
      </c>
      <c r="N1589" s="15" t="s">
        <v>2673</v>
      </c>
      <c r="O1589" s="15"/>
    </row>
    <row r="1590" spans="1:15" ht="18" customHeight="1" x14ac:dyDescent="0.3">
      <c r="A1590" s="29">
        <v>1589</v>
      </c>
      <c r="B1590" s="15" t="s">
        <v>52</v>
      </c>
      <c r="C1590" s="15" t="s">
        <v>55</v>
      </c>
      <c r="D1590" s="69">
        <v>85</v>
      </c>
      <c r="E1590" s="68" t="s">
        <v>266</v>
      </c>
      <c r="F1590" s="14" t="s">
        <v>683</v>
      </c>
      <c r="G1590" s="15" t="s">
        <v>154</v>
      </c>
      <c r="H1590" s="15" t="s">
        <v>907</v>
      </c>
      <c r="I1590" s="69">
        <v>100</v>
      </c>
      <c r="J1590" s="13" t="s">
        <v>2672</v>
      </c>
      <c r="K1590" s="15" t="s">
        <v>903</v>
      </c>
      <c r="L1590" s="15" t="s">
        <v>2673</v>
      </c>
      <c r="M1590" s="15" t="s">
        <v>2672</v>
      </c>
      <c r="N1590" s="15" t="s">
        <v>2673</v>
      </c>
      <c r="O1590" s="15"/>
    </row>
    <row r="1591" spans="1:15" ht="18" customHeight="1" x14ac:dyDescent="0.3">
      <c r="A1591" s="29">
        <v>1590</v>
      </c>
      <c r="B1591" s="15" t="s">
        <v>52</v>
      </c>
      <c r="C1591" s="15" t="s">
        <v>55</v>
      </c>
      <c r="D1591" s="69">
        <v>85</v>
      </c>
      <c r="E1591" s="68" t="s">
        <v>266</v>
      </c>
      <c r="F1591" s="14" t="s">
        <v>683</v>
      </c>
      <c r="G1591" s="15" t="s">
        <v>154</v>
      </c>
      <c r="H1591" s="15" t="s">
        <v>908</v>
      </c>
      <c r="I1591" s="69">
        <v>152</v>
      </c>
      <c r="J1591" s="13" t="s">
        <v>2672</v>
      </c>
      <c r="K1591" s="15" t="s">
        <v>903</v>
      </c>
      <c r="L1591" s="15" t="s">
        <v>2673</v>
      </c>
      <c r="M1591" s="15" t="s">
        <v>2672</v>
      </c>
      <c r="N1591" s="15" t="s">
        <v>2673</v>
      </c>
      <c r="O1591" s="15"/>
    </row>
    <row r="1592" spans="1:15" ht="18" customHeight="1" x14ac:dyDescent="0.3">
      <c r="A1592" s="29">
        <v>1591</v>
      </c>
      <c r="B1592" s="15" t="s">
        <v>52</v>
      </c>
      <c r="C1592" s="15" t="s">
        <v>55</v>
      </c>
      <c r="D1592" s="69">
        <v>85</v>
      </c>
      <c r="E1592" s="68" t="s">
        <v>266</v>
      </c>
      <c r="F1592" s="14" t="s">
        <v>683</v>
      </c>
      <c r="G1592" s="15" t="s">
        <v>154</v>
      </c>
      <c r="H1592" s="15" t="s">
        <v>909</v>
      </c>
      <c r="I1592" s="69">
        <v>200</v>
      </c>
      <c r="J1592" s="13" t="s">
        <v>902</v>
      </c>
      <c r="K1592" s="15" t="s">
        <v>903</v>
      </c>
      <c r="L1592" s="15" t="s">
        <v>2673</v>
      </c>
      <c r="M1592" s="15" t="s">
        <v>2672</v>
      </c>
      <c r="N1592" s="15" t="s">
        <v>2673</v>
      </c>
      <c r="O1592" s="15"/>
    </row>
    <row r="1593" spans="1:15" ht="18" customHeight="1" x14ac:dyDescent="0.3">
      <c r="A1593" s="29">
        <v>1592</v>
      </c>
      <c r="B1593" s="15" t="s">
        <v>52</v>
      </c>
      <c r="C1593" s="15" t="s">
        <v>55</v>
      </c>
      <c r="D1593" s="69">
        <v>85</v>
      </c>
      <c r="E1593" s="68" t="s">
        <v>3324</v>
      </c>
      <c r="F1593" s="24" t="s">
        <v>1099</v>
      </c>
      <c r="G1593" s="15" t="s">
        <v>154</v>
      </c>
      <c r="H1593" s="15" t="s">
        <v>905</v>
      </c>
      <c r="I1593" s="69">
        <v>158</v>
      </c>
      <c r="J1593" s="15" t="s">
        <v>2672</v>
      </c>
      <c r="K1593" s="15" t="s">
        <v>903</v>
      </c>
      <c r="L1593" s="15" t="s">
        <v>2673</v>
      </c>
      <c r="M1593" s="15" t="s">
        <v>2672</v>
      </c>
      <c r="N1593" s="15" t="s">
        <v>2673</v>
      </c>
      <c r="O1593" s="15"/>
    </row>
    <row r="1594" spans="1:15" ht="18" customHeight="1" x14ac:dyDescent="0.3">
      <c r="A1594" s="29">
        <v>1593</v>
      </c>
      <c r="B1594" s="15" t="s">
        <v>52</v>
      </c>
      <c r="C1594" s="15" t="s">
        <v>55</v>
      </c>
      <c r="D1594" s="69">
        <v>85</v>
      </c>
      <c r="E1594" s="68" t="s">
        <v>3324</v>
      </c>
      <c r="F1594" s="24" t="s">
        <v>1099</v>
      </c>
      <c r="G1594" s="15" t="s">
        <v>154</v>
      </c>
      <c r="H1594" s="15" t="s">
        <v>906</v>
      </c>
      <c r="I1594" s="69">
        <v>116</v>
      </c>
      <c r="J1594" s="15" t="s">
        <v>2672</v>
      </c>
      <c r="K1594" s="15" t="s">
        <v>903</v>
      </c>
      <c r="L1594" s="15" t="s">
        <v>2673</v>
      </c>
      <c r="M1594" s="15" t="s">
        <v>2672</v>
      </c>
      <c r="N1594" s="15" t="s">
        <v>2673</v>
      </c>
      <c r="O1594" s="15"/>
    </row>
    <row r="1595" spans="1:15" ht="18" customHeight="1" x14ac:dyDescent="0.3">
      <c r="A1595" s="29">
        <v>1594</v>
      </c>
      <c r="B1595" s="15" t="s">
        <v>52</v>
      </c>
      <c r="C1595" s="15" t="s">
        <v>55</v>
      </c>
      <c r="D1595" s="69">
        <v>85</v>
      </c>
      <c r="E1595" s="68" t="s">
        <v>3324</v>
      </c>
      <c r="F1595" s="24" t="s">
        <v>1099</v>
      </c>
      <c r="G1595" s="15" t="s">
        <v>154</v>
      </c>
      <c r="H1595" s="15" t="s">
        <v>907</v>
      </c>
      <c r="I1595" s="69">
        <v>130</v>
      </c>
      <c r="J1595" s="15" t="s">
        <v>2672</v>
      </c>
      <c r="K1595" s="15" t="s">
        <v>903</v>
      </c>
      <c r="L1595" s="15" t="s">
        <v>2673</v>
      </c>
      <c r="M1595" s="15" t="s">
        <v>2672</v>
      </c>
      <c r="N1595" s="15" t="s">
        <v>2673</v>
      </c>
      <c r="O1595" s="15"/>
    </row>
    <row r="1596" spans="1:15" ht="18" customHeight="1" x14ac:dyDescent="0.3">
      <c r="A1596" s="29">
        <v>1595</v>
      </c>
      <c r="B1596" s="15" t="s">
        <v>52</v>
      </c>
      <c r="C1596" s="15" t="s">
        <v>55</v>
      </c>
      <c r="D1596" s="69">
        <v>85</v>
      </c>
      <c r="E1596" s="68" t="s">
        <v>3324</v>
      </c>
      <c r="F1596" s="24" t="s">
        <v>1099</v>
      </c>
      <c r="G1596" s="15" t="s">
        <v>154</v>
      </c>
      <c r="H1596" s="15" t="s">
        <v>908</v>
      </c>
      <c r="I1596" s="69">
        <v>158</v>
      </c>
      <c r="J1596" s="15" t="s">
        <v>2672</v>
      </c>
      <c r="K1596" s="15" t="s">
        <v>903</v>
      </c>
      <c r="L1596" s="15" t="s">
        <v>2673</v>
      </c>
      <c r="M1596" s="15" t="s">
        <v>2672</v>
      </c>
      <c r="N1596" s="15" t="s">
        <v>2673</v>
      </c>
      <c r="O1596" s="15"/>
    </row>
    <row r="1597" spans="1:15" ht="18" customHeight="1" x14ac:dyDescent="0.3">
      <c r="A1597" s="29">
        <v>1596</v>
      </c>
      <c r="B1597" s="15" t="s">
        <v>52</v>
      </c>
      <c r="C1597" s="15" t="s">
        <v>55</v>
      </c>
      <c r="D1597" s="69">
        <v>85</v>
      </c>
      <c r="E1597" s="68" t="s">
        <v>3324</v>
      </c>
      <c r="F1597" s="24" t="s">
        <v>1099</v>
      </c>
      <c r="G1597" s="15" t="s">
        <v>154</v>
      </c>
      <c r="H1597" s="15" t="s">
        <v>909</v>
      </c>
      <c r="I1597" s="69">
        <v>158</v>
      </c>
      <c r="J1597" s="15" t="s">
        <v>2674</v>
      </c>
      <c r="K1597" s="15" t="s">
        <v>903</v>
      </c>
      <c r="L1597" s="15" t="s">
        <v>2673</v>
      </c>
      <c r="M1597" s="15" t="s">
        <v>2672</v>
      </c>
      <c r="N1597" s="15" t="s">
        <v>2673</v>
      </c>
      <c r="O1597" s="15"/>
    </row>
    <row r="1598" spans="1:15" ht="18" customHeight="1" x14ac:dyDescent="0.3">
      <c r="A1598" s="29">
        <v>1597</v>
      </c>
      <c r="B1598" s="15" t="s">
        <v>52</v>
      </c>
      <c r="C1598" s="15" t="s">
        <v>55</v>
      </c>
      <c r="D1598" s="69">
        <v>85</v>
      </c>
      <c r="E1598" s="68" t="s">
        <v>3324</v>
      </c>
      <c r="F1598" s="24" t="s">
        <v>1099</v>
      </c>
      <c r="G1598" s="15" t="s">
        <v>154</v>
      </c>
      <c r="H1598" s="15" t="s">
        <v>910</v>
      </c>
      <c r="I1598" s="69">
        <v>159</v>
      </c>
      <c r="J1598" s="15" t="s">
        <v>2674</v>
      </c>
      <c r="K1598" s="15" t="s">
        <v>903</v>
      </c>
      <c r="L1598" s="15" t="s">
        <v>2673</v>
      </c>
      <c r="M1598" s="15" t="s">
        <v>2672</v>
      </c>
      <c r="N1598" s="15" t="s">
        <v>2673</v>
      </c>
      <c r="O1598" s="15"/>
    </row>
    <row r="1599" spans="1:15" ht="18" customHeight="1" x14ac:dyDescent="0.3">
      <c r="A1599" s="29">
        <v>1598</v>
      </c>
      <c r="B1599" s="15" t="s">
        <v>52</v>
      </c>
      <c r="C1599" s="15" t="s">
        <v>55</v>
      </c>
      <c r="D1599" s="69">
        <v>85</v>
      </c>
      <c r="E1599" s="68" t="s">
        <v>3324</v>
      </c>
      <c r="F1599" s="24" t="s">
        <v>1099</v>
      </c>
      <c r="G1599" s="15" t="s">
        <v>154</v>
      </c>
      <c r="H1599" s="15" t="s">
        <v>911</v>
      </c>
      <c r="I1599" s="69">
        <v>208</v>
      </c>
      <c r="J1599" s="15" t="s">
        <v>2672</v>
      </c>
      <c r="K1599" s="15" t="s">
        <v>903</v>
      </c>
      <c r="L1599" s="15" t="s">
        <v>2673</v>
      </c>
      <c r="M1599" s="15" t="s">
        <v>2672</v>
      </c>
      <c r="N1599" s="15" t="s">
        <v>2673</v>
      </c>
      <c r="O1599" s="15"/>
    </row>
    <row r="1600" spans="1:15" ht="18" customHeight="1" x14ac:dyDescent="0.3">
      <c r="A1600" s="29">
        <v>1599</v>
      </c>
      <c r="B1600" s="15" t="s">
        <v>52</v>
      </c>
      <c r="C1600" s="15" t="s">
        <v>55</v>
      </c>
      <c r="D1600" s="69">
        <v>85</v>
      </c>
      <c r="E1600" s="68" t="s">
        <v>3324</v>
      </c>
      <c r="F1600" s="24" t="s">
        <v>682</v>
      </c>
      <c r="G1600" s="15" t="s">
        <v>154</v>
      </c>
      <c r="H1600" s="15" t="s">
        <v>901</v>
      </c>
      <c r="I1600" s="69">
        <v>117</v>
      </c>
      <c r="J1600" s="15" t="s">
        <v>2672</v>
      </c>
      <c r="K1600" s="15" t="s">
        <v>2672</v>
      </c>
      <c r="L1600" s="15" t="s">
        <v>2673</v>
      </c>
      <c r="M1600" s="15" t="s">
        <v>2672</v>
      </c>
      <c r="N1600" s="15" t="s">
        <v>2673</v>
      </c>
      <c r="O1600" s="15"/>
    </row>
    <row r="1601" spans="1:15" ht="18" customHeight="1" x14ac:dyDescent="0.3">
      <c r="A1601" s="29">
        <v>1600</v>
      </c>
      <c r="B1601" s="15" t="s">
        <v>52</v>
      </c>
      <c r="C1601" s="15" t="s">
        <v>55</v>
      </c>
      <c r="D1601" s="69">
        <v>85</v>
      </c>
      <c r="E1601" s="68" t="s">
        <v>3324</v>
      </c>
      <c r="F1601" s="24" t="s">
        <v>682</v>
      </c>
      <c r="G1601" s="15" t="s">
        <v>154</v>
      </c>
      <c r="H1601" s="15" t="s">
        <v>904</v>
      </c>
      <c r="I1601" s="69">
        <v>158</v>
      </c>
      <c r="J1601" s="15" t="s">
        <v>2672</v>
      </c>
      <c r="K1601" s="15" t="s">
        <v>903</v>
      </c>
      <c r="L1601" s="15" t="s">
        <v>2673</v>
      </c>
      <c r="M1601" s="15" t="s">
        <v>2672</v>
      </c>
      <c r="N1601" s="15" t="s">
        <v>2673</v>
      </c>
      <c r="O1601" s="15"/>
    </row>
    <row r="1602" spans="1:15" ht="18" customHeight="1" x14ac:dyDescent="0.3">
      <c r="A1602" s="29">
        <v>1601</v>
      </c>
      <c r="B1602" s="15" t="s">
        <v>52</v>
      </c>
      <c r="C1602" s="15" t="s">
        <v>55</v>
      </c>
      <c r="D1602" s="69">
        <v>85</v>
      </c>
      <c r="E1602" s="68" t="s">
        <v>2904</v>
      </c>
      <c r="F1602" s="16" t="s">
        <v>685</v>
      </c>
      <c r="G1602" s="15" t="s">
        <v>154</v>
      </c>
      <c r="H1602" s="15" t="s">
        <v>901</v>
      </c>
      <c r="I1602" s="69">
        <v>146</v>
      </c>
      <c r="J1602" s="15" t="s">
        <v>2674</v>
      </c>
      <c r="K1602" s="15" t="s">
        <v>903</v>
      </c>
      <c r="L1602" s="15" t="s">
        <v>2673</v>
      </c>
      <c r="M1602" s="15" t="s">
        <v>2672</v>
      </c>
      <c r="N1602" s="15" t="s">
        <v>2673</v>
      </c>
      <c r="O1602" s="15"/>
    </row>
    <row r="1603" spans="1:15" ht="18" customHeight="1" x14ac:dyDescent="0.3">
      <c r="A1603" s="29">
        <v>1602</v>
      </c>
      <c r="B1603" s="15" t="s">
        <v>52</v>
      </c>
      <c r="C1603" s="15" t="s">
        <v>55</v>
      </c>
      <c r="D1603" s="69">
        <v>85</v>
      </c>
      <c r="E1603" s="68" t="s">
        <v>2904</v>
      </c>
      <c r="F1603" s="16" t="s">
        <v>685</v>
      </c>
      <c r="G1603" s="15" t="s">
        <v>154</v>
      </c>
      <c r="H1603" s="15" t="s">
        <v>904</v>
      </c>
      <c r="I1603" s="69">
        <v>154</v>
      </c>
      <c r="J1603" s="15" t="s">
        <v>2672</v>
      </c>
      <c r="K1603" s="15" t="s">
        <v>903</v>
      </c>
      <c r="L1603" s="15" t="s">
        <v>2673</v>
      </c>
      <c r="M1603" s="15" t="s">
        <v>2672</v>
      </c>
      <c r="N1603" s="15" t="s">
        <v>2673</v>
      </c>
      <c r="O1603" s="15"/>
    </row>
    <row r="1604" spans="1:15" ht="18" customHeight="1" x14ac:dyDescent="0.3">
      <c r="A1604" s="29">
        <v>1603</v>
      </c>
      <c r="B1604" s="15" t="s">
        <v>52</v>
      </c>
      <c r="C1604" s="15" t="s">
        <v>55</v>
      </c>
      <c r="D1604" s="69">
        <v>85</v>
      </c>
      <c r="E1604" s="68" t="s">
        <v>2904</v>
      </c>
      <c r="F1604" s="16" t="s">
        <v>685</v>
      </c>
      <c r="G1604" s="15" t="s">
        <v>154</v>
      </c>
      <c r="H1604" s="15" t="s">
        <v>905</v>
      </c>
      <c r="I1604" s="69">
        <v>191</v>
      </c>
      <c r="J1604" s="15" t="s">
        <v>2674</v>
      </c>
      <c r="K1604" s="15" t="s">
        <v>903</v>
      </c>
      <c r="L1604" s="15" t="s">
        <v>2673</v>
      </c>
      <c r="M1604" s="15" t="s">
        <v>2672</v>
      </c>
      <c r="N1604" s="15" t="s">
        <v>2673</v>
      </c>
      <c r="O1604" s="15"/>
    </row>
    <row r="1605" spans="1:15" ht="18" customHeight="1" x14ac:dyDescent="0.3">
      <c r="A1605" s="29">
        <v>1604</v>
      </c>
      <c r="B1605" s="15" t="s">
        <v>52</v>
      </c>
      <c r="C1605" s="15" t="s">
        <v>55</v>
      </c>
      <c r="D1605" s="69">
        <v>85</v>
      </c>
      <c r="E1605" s="68" t="s">
        <v>2904</v>
      </c>
      <c r="F1605" s="16" t="s">
        <v>685</v>
      </c>
      <c r="G1605" s="15" t="s">
        <v>154</v>
      </c>
      <c r="H1605" s="15" t="s">
        <v>906</v>
      </c>
      <c r="I1605" s="69">
        <v>148</v>
      </c>
      <c r="J1605" s="15" t="s">
        <v>2672</v>
      </c>
      <c r="K1605" s="15" t="s">
        <v>903</v>
      </c>
      <c r="L1605" s="15" t="s">
        <v>2673</v>
      </c>
      <c r="M1605" s="15" t="s">
        <v>2672</v>
      </c>
      <c r="N1605" s="15" t="s">
        <v>2673</v>
      </c>
      <c r="O1605" s="15"/>
    </row>
    <row r="1606" spans="1:15" ht="18" customHeight="1" x14ac:dyDescent="0.3">
      <c r="A1606" s="29">
        <v>1605</v>
      </c>
      <c r="B1606" s="15" t="s">
        <v>52</v>
      </c>
      <c r="C1606" s="15" t="s">
        <v>55</v>
      </c>
      <c r="D1606" s="69">
        <v>85</v>
      </c>
      <c r="E1606" s="68" t="s">
        <v>2904</v>
      </c>
      <c r="F1606" s="16" t="s">
        <v>685</v>
      </c>
      <c r="G1606" s="15" t="s">
        <v>154</v>
      </c>
      <c r="H1606" s="15" t="s">
        <v>907</v>
      </c>
      <c r="I1606" s="69">
        <v>165</v>
      </c>
      <c r="J1606" s="15" t="s">
        <v>2672</v>
      </c>
      <c r="K1606" s="15" t="s">
        <v>903</v>
      </c>
      <c r="L1606" s="15" t="s">
        <v>2673</v>
      </c>
      <c r="M1606" s="15" t="s">
        <v>2672</v>
      </c>
      <c r="N1606" s="15" t="s">
        <v>2673</v>
      </c>
      <c r="O1606" s="15"/>
    </row>
    <row r="1607" spans="1:15" ht="18" customHeight="1" x14ac:dyDescent="0.3">
      <c r="A1607" s="29">
        <v>1606</v>
      </c>
      <c r="B1607" s="15" t="s">
        <v>52</v>
      </c>
      <c r="C1607" s="15" t="s">
        <v>55</v>
      </c>
      <c r="D1607" s="69">
        <v>85</v>
      </c>
      <c r="E1607" s="68" t="s">
        <v>2904</v>
      </c>
      <c r="F1607" s="16" t="s">
        <v>685</v>
      </c>
      <c r="G1607" s="15" t="s">
        <v>154</v>
      </c>
      <c r="H1607" s="15" t="s">
        <v>908</v>
      </c>
      <c r="I1607" s="69">
        <v>294</v>
      </c>
      <c r="J1607" s="15" t="s">
        <v>2672</v>
      </c>
      <c r="K1607" s="15" t="s">
        <v>903</v>
      </c>
      <c r="L1607" s="15" t="s">
        <v>2673</v>
      </c>
      <c r="M1607" s="15" t="s">
        <v>2672</v>
      </c>
      <c r="N1607" s="15" t="s">
        <v>2673</v>
      </c>
      <c r="O1607" s="15"/>
    </row>
    <row r="1608" spans="1:15" ht="18" customHeight="1" x14ac:dyDescent="0.3">
      <c r="A1608" s="29">
        <v>1607</v>
      </c>
      <c r="B1608" s="15" t="s">
        <v>52</v>
      </c>
      <c r="C1608" s="15" t="s">
        <v>55</v>
      </c>
      <c r="D1608" s="69">
        <v>85</v>
      </c>
      <c r="E1608" s="68" t="s">
        <v>3325</v>
      </c>
      <c r="F1608" s="24" t="s">
        <v>681</v>
      </c>
      <c r="G1608" s="15" t="s">
        <v>154</v>
      </c>
      <c r="H1608" s="15" t="s">
        <v>901</v>
      </c>
      <c r="I1608" s="69">
        <v>216</v>
      </c>
      <c r="J1608" s="15" t="s">
        <v>2674</v>
      </c>
      <c r="K1608" s="15" t="s">
        <v>903</v>
      </c>
      <c r="L1608" s="15" t="s">
        <v>2673</v>
      </c>
      <c r="M1608" s="15" t="s">
        <v>2672</v>
      </c>
      <c r="N1608" s="15" t="s">
        <v>2673</v>
      </c>
      <c r="O1608" s="15"/>
    </row>
    <row r="1609" spans="1:15" ht="18" customHeight="1" x14ac:dyDescent="0.3">
      <c r="A1609" s="29">
        <v>1608</v>
      </c>
      <c r="B1609" s="15" t="s">
        <v>52</v>
      </c>
      <c r="C1609" s="15" t="s">
        <v>55</v>
      </c>
      <c r="D1609" s="69">
        <v>85</v>
      </c>
      <c r="E1609" s="68" t="s">
        <v>3325</v>
      </c>
      <c r="F1609" s="24" t="s">
        <v>681</v>
      </c>
      <c r="G1609" s="15" t="s">
        <v>154</v>
      </c>
      <c r="H1609" s="15" t="s">
        <v>905</v>
      </c>
      <c r="I1609" s="69">
        <v>154</v>
      </c>
      <c r="J1609" s="15" t="s">
        <v>2672</v>
      </c>
      <c r="K1609" s="15" t="s">
        <v>903</v>
      </c>
      <c r="L1609" s="15" t="s">
        <v>2673</v>
      </c>
      <c r="M1609" s="15" t="s">
        <v>2672</v>
      </c>
      <c r="N1609" s="15" t="s">
        <v>2673</v>
      </c>
      <c r="O1609" s="15"/>
    </row>
    <row r="1610" spans="1:15" ht="18" customHeight="1" x14ac:dyDescent="0.3">
      <c r="A1610" s="29">
        <v>1609</v>
      </c>
      <c r="B1610" s="15" t="s">
        <v>52</v>
      </c>
      <c r="C1610" s="15" t="s">
        <v>55</v>
      </c>
      <c r="D1610" s="69">
        <v>85</v>
      </c>
      <c r="E1610" s="68" t="s">
        <v>3325</v>
      </c>
      <c r="F1610" s="24" t="s">
        <v>681</v>
      </c>
      <c r="G1610" s="15" t="s">
        <v>154</v>
      </c>
      <c r="H1610" s="15" t="s">
        <v>906</v>
      </c>
      <c r="I1610" s="69">
        <v>154</v>
      </c>
      <c r="J1610" s="15" t="s">
        <v>2672</v>
      </c>
      <c r="K1610" s="15" t="s">
        <v>903</v>
      </c>
      <c r="L1610" s="15" t="s">
        <v>2673</v>
      </c>
      <c r="M1610" s="15" t="s">
        <v>2672</v>
      </c>
      <c r="N1610" s="15" t="s">
        <v>2673</v>
      </c>
      <c r="O1610" s="15"/>
    </row>
    <row r="1611" spans="1:15" ht="18" customHeight="1" x14ac:dyDescent="0.3">
      <c r="A1611" s="29">
        <v>1610</v>
      </c>
      <c r="B1611" s="15" t="s">
        <v>52</v>
      </c>
      <c r="C1611" s="15" t="s">
        <v>55</v>
      </c>
      <c r="D1611" s="69">
        <v>85</v>
      </c>
      <c r="E1611" s="68" t="s">
        <v>3325</v>
      </c>
      <c r="F1611" s="24" t="s">
        <v>681</v>
      </c>
      <c r="G1611" s="15" t="s">
        <v>154</v>
      </c>
      <c r="H1611" s="15" t="s">
        <v>907</v>
      </c>
      <c r="I1611" s="69">
        <v>165</v>
      </c>
      <c r="J1611" s="15" t="s">
        <v>2672</v>
      </c>
      <c r="K1611" s="15" t="s">
        <v>903</v>
      </c>
      <c r="L1611" s="15" t="s">
        <v>2673</v>
      </c>
      <c r="M1611" s="15" t="s">
        <v>2672</v>
      </c>
      <c r="N1611" s="15" t="s">
        <v>2673</v>
      </c>
      <c r="O1611" s="15"/>
    </row>
    <row r="1612" spans="1:15" ht="18" customHeight="1" x14ac:dyDescent="0.3">
      <c r="A1612" s="29">
        <v>1611</v>
      </c>
      <c r="B1612" s="15" t="s">
        <v>52</v>
      </c>
      <c r="C1612" s="15" t="s">
        <v>55</v>
      </c>
      <c r="D1612" s="69">
        <v>85</v>
      </c>
      <c r="E1612" s="68" t="s">
        <v>3325</v>
      </c>
      <c r="F1612" s="24" t="s">
        <v>681</v>
      </c>
      <c r="G1612" s="15" t="s">
        <v>154</v>
      </c>
      <c r="H1612" s="15" t="s">
        <v>908</v>
      </c>
      <c r="I1612" s="69">
        <v>152</v>
      </c>
      <c r="J1612" s="15" t="s">
        <v>2674</v>
      </c>
      <c r="K1612" s="15" t="s">
        <v>903</v>
      </c>
      <c r="L1612" s="15" t="s">
        <v>2673</v>
      </c>
      <c r="M1612" s="15" t="s">
        <v>2672</v>
      </c>
      <c r="N1612" s="15" t="s">
        <v>2673</v>
      </c>
      <c r="O1612" s="15"/>
    </row>
    <row r="1613" spans="1:15" ht="18" customHeight="1" x14ac:dyDescent="0.3">
      <c r="A1613" s="29">
        <v>1612</v>
      </c>
      <c r="B1613" s="15" t="s">
        <v>52</v>
      </c>
      <c r="C1613" s="15" t="s">
        <v>55</v>
      </c>
      <c r="D1613" s="69">
        <v>85</v>
      </c>
      <c r="E1613" s="68" t="s">
        <v>3325</v>
      </c>
      <c r="F1613" s="24" t="s">
        <v>681</v>
      </c>
      <c r="G1613" s="15" t="s">
        <v>154</v>
      </c>
      <c r="H1613" s="15" t="s">
        <v>910</v>
      </c>
      <c r="I1613" s="69">
        <v>195</v>
      </c>
      <c r="J1613" s="15" t="s">
        <v>2672</v>
      </c>
      <c r="K1613" s="15" t="s">
        <v>903</v>
      </c>
      <c r="L1613" s="15" t="s">
        <v>2673</v>
      </c>
      <c r="M1613" s="15" t="s">
        <v>2672</v>
      </c>
      <c r="N1613" s="15" t="s">
        <v>2673</v>
      </c>
      <c r="O1613" s="15"/>
    </row>
    <row r="1614" spans="1:15" ht="18" customHeight="1" x14ac:dyDescent="0.3">
      <c r="A1614" s="29">
        <v>1613</v>
      </c>
      <c r="B1614" s="15" t="s">
        <v>52</v>
      </c>
      <c r="C1614" s="15" t="s">
        <v>55</v>
      </c>
      <c r="D1614" s="69">
        <v>85</v>
      </c>
      <c r="E1614" s="68" t="s">
        <v>3325</v>
      </c>
      <c r="F1614" s="24" t="s">
        <v>2905</v>
      </c>
      <c r="G1614" s="15" t="s">
        <v>154</v>
      </c>
      <c r="H1614" s="15" t="s">
        <v>909</v>
      </c>
      <c r="I1614" s="69">
        <v>195</v>
      </c>
      <c r="J1614" s="15" t="s">
        <v>2674</v>
      </c>
      <c r="K1614" s="15" t="s">
        <v>902</v>
      </c>
      <c r="L1614" s="15" t="s">
        <v>1069</v>
      </c>
      <c r="M1614" s="15" t="s">
        <v>2672</v>
      </c>
      <c r="N1614" s="15" t="s">
        <v>2673</v>
      </c>
      <c r="O1614" s="15"/>
    </row>
    <row r="1615" spans="1:15" ht="18" customHeight="1" x14ac:dyDescent="0.3">
      <c r="A1615" s="29">
        <v>1614</v>
      </c>
      <c r="B1615" s="15" t="s">
        <v>52</v>
      </c>
      <c r="C1615" s="15" t="s">
        <v>55</v>
      </c>
      <c r="D1615" s="69">
        <v>85</v>
      </c>
      <c r="E1615" s="68" t="s">
        <v>3325</v>
      </c>
      <c r="F1615" s="24" t="s">
        <v>2905</v>
      </c>
      <c r="G1615" s="15" t="s">
        <v>154</v>
      </c>
      <c r="H1615" s="15" t="s">
        <v>979</v>
      </c>
      <c r="I1615" s="69">
        <v>292</v>
      </c>
      <c r="J1615" s="15" t="s">
        <v>2674</v>
      </c>
      <c r="K1615" s="15" t="s">
        <v>902</v>
      </c>
      <c r="L1615" s="15" t="s">
        <v>2715</v>
      </c>
      <c r="M1615" s="15" t="s">
        <v>2672</v>
      </c>
      <c r="N1615" s="15" t="s">
        <v>2673</v>
      </c>
      <c r="O1615" s="15"/>
    </row>
    <row r="1616" spans="1:15" ht="18" customHeight="1" x14ac:dyDescent="0.3">
      <c r="A1616" s="29">
        <v>1615</v>
      </c>
      <c r="B1616" s="15" t="s">
        <v>52</v>
      </c>
      <c r="C1616" s="15" t="s">
        <v>56</v>
      </c>
      <c r="D1616" s="69">
        <v>86</v>
      </c>
      <c r="E1616" s="68" t="s">
        <v>3326</v>
      </c>
      <c r="F1616" s="24" t="s">
        <v>661</v>
      </c>
      <c r="G1616" s="15" t="s">
        <v>154</v>
      </c>
      <c r="H1616" s="15" t="s">
        <v>901</v>
      </c>
      <c r="I1616" s="69">
        <v>115</v>
      </c>
      <c r="J1616" s="15" t="s">
        <v>2672</v>
      </c>
      <c r="K1616" s="15" t="s">
        <v>903</v>
      </c>
      <c r="L1616" s="15" t="s">
        <v>2673</v>
      </c>
      <c r="M1616" s="15" t="s">
        <v>2672</v>
      </c>
      <c r="N1616" s="15" t="s">
        <v>2673</v>
      </c>
      <c r="O1616" s="15"/>
    </row>
    <row r="1617" spans="1:15" ht="18" customHeight="1" x14ac:dyDescent="0.3">
      <c r="A1617" s="29">
        <v>1616</v>
      </c>
      <c r="B1617" s="15" t="s">
        <v>52</v>
      </c>
      <c r="C1617" s="15" t="s">
        <v>56</v>
      </c>
      <c r="D1617" s="69">
        <v>86</v>
      </c>
      <c r="E1617" s="68" t="s">
        <v>3326</v>
      </c>
      <c r="F1617" s="24" t="s">
        <v>661</v>
      </c>
      <c r="G1617" s="15" t="s">
        <v>154</v>
      </c>
      <c r="H1617" s="15" t="s">
        <v>904</v>
      </c>
      <c r="I1617" s="69">
        <v>110</v>
      </c>
      <c r="J1617" s="15" t="s">
        <v>2672</v>
      </c>
      <c r="K1617" s="15" t="s">
        <v>903</v>
      </c>
      <c r="L1617" s="15" t="s">
        <v>2673</v>
      </c>
      <c r="M1617" s="15" t="s">
        <v>2672</v>
      </c>
      <c r="N1617" s="15" t="s">
        <v>2673</v>
      </c>
      <c r="O1617" s="15"/>
    </row>
    <row r="1618" spans="1:15" ht="18" customHeight="1" x14ac:dyDescent="0.3">
      <c r="A1618" s="29">
        <v>1617</v>
      </c>
      <c r="B1618" s="15" t="s">
        <v>52</v>
      </c>
      <c r="C1618" s="15" t="s">
        <v>56</v>
      </c>
      <c r="D1618" s="69">
        <v>86</v>
      </c>
      <c r="E1618" s="68" t="s">
        <v>3326</v>
      </c>
      <c r="F1618" s="24" t="s">
        <v>661</v>
      </c>
      <c r="G1618" s="15" t="s">
        <v>154</v>
      </c>
      <c r="H1618" s="15" t="s">
        <v>906</v>
      </c>
      <c r="I1618" s="69">
        <v>159</v>
      </c>
      <c r="J1618" s="15" t="s">
        <v>2674</v>
      </c>
      <c r="K1618" s="15" t="s">
        <v>903</v>
      </c>
      <c r="L1618" s="15" t="s">
        <v>2673</v>
      </c>
      <c r="M1618" s="15" t="s">
        <v>2672</v>
      </c>
      <c r="N1618" s="15" t="s">
        <v>2673</v>
      </c>
      <c r="O1618" s="15"/>
    </row>
    <row r="1619" spans="1:15" ht="18" customHeight="1" x14ac:dyDescent="0.3">
      <c r="A1619" s="29">
        <v>1618</v>
      </c>
      <c r="B1619" s="15" t="s">
        <v>52</v>
      </c>
      <c r="C1619" s="15" t="s">
        <v>56</v>
      </c>
      <c r="D1619" s="69">
        <v>86</v>
      </c>
      <c r="E1619" s="68" t="s">
        <v>3326</v>
      </c>
      <c r="F1619" s="24" t="s">
        <v>661</v>
      </c>
      <c r="G1619" s="15" t="s">
        <v>154</v>
      </c>
      <c r="H1619" s="15" t="s">
        <v>907</v>
      </c>
      <c r="I1619" s="69">
        <v>235</v>
      </c>
      <c r="J1619" s="15" t="s">
        <v>2674</v>
      </c>
      <c r="K1619" s="15" t="s">
        <v>903</v>
      </c>
      <c r="L1619" s="15" t="s">
        <v>2673</v>
      </c>
      <c r="M1619" s="15" t="s">
        <v>2672</v>
      </c>
      <c r="N1619" s="15" t="s">
        <v>2673</v>
      </c>
      <c r="O1619" s="15"/>
    </row>
    <row r="1620" spans="1:15" ht="18" customHeight="1" x14ac:dyDescent="0.3">
      <c r="A1620" s="29">
        <v>1619</v>
      </c>
      <c r="B1620" s="15" t="s">
        <v>52</v>
      </c>
      <c r="C1620" s="15" t="s">
        <v>56</v>
      </c>
      <c r="D1620" s="69">
        <v>86</v>
      </c>
      <c r="E1620" s="68" t="s">
        <v>3326</v>
      </c>
      <c r="F1620" s="24" t="s">
        <v>661</v>
      </c>
      <c r="G1620" s="15" t="s">
        <v>154</v>
      </c>
      <c r="H1620" s="15" t="s">
        <v>908</v>
      </c>
      <c r="I1620" s="69">
        <v>161</v>
      </c>
      <c r="J1620" s="15" t="s">
        <v>2672</v>
      </c>
      <c r="K1620" s="15" t="s">
        <v>903</v>
      </c>
      <c r="L1620" s="15" t="s">
        <v>2673</v>
      </c>
      <c r="M1620" s="15" t="s">
        <v>2672</v>
      </c>
      <c r="N1620" s="15" t="s">
        <v>2673</v>
      </c>
      <c r="O1620" s="15"/>
    </row>
    <row r="1621" spans="1:15" ht="18" customHeight="1" x14ac:dyDescent="0.3">
      <c r="A1621" s="29">
        <v>1620</v>
      </c>
      <c r="B1621" s="15" t="s">
        <v>52</v>
      </c>
      <c r="C1621" s="15" t="s">
        <v>56</v>
      </c>
      <c r="D1621" s="69">
        <v>86</v>
      </c>
      <c r="E1621" s="68" t="s">
        <v>3326</v>
      </c>
      <c r="F1621" s="24" t="s">
        <v>661</v>
      </c>
      <c r="G1621" s="15" t="s">
        <v>154</v>
      </c>
      <c r="H1621" s="15" t="s">
        <v>909</v>
      </c>
      <c r="I1621" s="69">
        <v>162</v>
      </c>
      <c r="J1621" s="15" t="s">
        <v>2672</v>
      </c>
      <c r="K1621" s="15" t="s">
        <v>903</v>
      </c>
      <c r="L1621" s="15" t="s">
        <v>2673</v>
      </c>
      <c r="M1621" s="15" t="s">
        <v>2672</v>
      </c>
      <c r="N1621" s="15" t="s">
        <v>2673</v>
      </c>
      <c r="O1621" s="15"/>
    </row>
    <row r="1622" spans="1:15" ht="18" customHeight="1" x14ac:dyDescent="0.3">
      <c r="A1622" s="29">
        <v>1621</v>
      </c>
      <c r="B1622" s="15" t="s">
        <v>52</v>
      </c>
      <c r="C1622" s="15" t="s">
        <v>56</v>
      </c>
      <c r="D1622" s="69">
        <v>86</v>
      </c>
      <c r="E1622" s="68" t="s">
        <v>3326</v>
      </c>
      <c r="F1622" s="24" t="s">
        <v>661</v>
      </c>
      <c r="G1622" s="15" t="s">
        <v>154</v>
      </c>
      <c r="H1622" s="15" t="s">
        <v>910</v>
      </c>
      <c r="I1622" s="69">
        <v>103</v>
      </c>
      <c r="J1622" s="15" t="s">
        <v>2672</v>
      </c>
      <c r="K1622" s="15" t="s">
        <v>903</v>
      </c>
      <c r="L1622" s="15" t="s">
        <v>2673</v>
      </c>
      <c r="M1622" s="15" t="s">
        <v>942</v>
      </c>
      <c r="N1622" s="15" t="s">
        <v>3133</v>
      </c>
      <c r="O1622" s="15" t="s">
        <v>3134</v>
      </c>
    </row>
    <row r="1623" spans="1:15" ht="18" customHeight="1" x14ac:dyDescent="0.3">
      <c r="A1623" s="29">
        <v>1622</v>
      </c>
      <c r="B1623" s="15" t="s">
        <v>52</v>
      </c>
      <c r="C1623" s="15" t="s">
        <v>56</v>
      </c>
      <c r="D1623" s="69">
        <v>86</v>
      </c>
      <c r="E1623" s="68" t="s">
        <v>3326</v>
      </c>
      <c r="F1623" s="24" t="s">
        <v>661</v>
      </c>
      <c r="G1623" s="15" t="s">
        <v>154</v>
      </c>
      <c r="H1623" s="15" t="s">
        <v>911</v>
      </c>
      <c r="I1623" s="69">
        <v>104</v>
      </c>
      <c r="J1623" s="15" t="s">
        <v>2672</v>
      </c>
      <c r="K1623" s="15" t="s">
        <v>903</v>
      </c>
      <c r="L1623" s="15" t="s">
        <v>2673</v>
      </c>
      <c r="M1623" s="15" t="s">
        <v>2672</v>
      </c>
      <c r="N1623" s="15" t="s">
        <v>2673</v>
      </c>
      <c r="O1623" s="15"/>
    </row>
    <row r="1624" spans="1:15" ht="18" customHeight="1" x14ac:dyDescent="0.3">
      <c r="A1624" s="29">
        <v>1623</v>
      </c>
      <c r="B1624" s="15" t="s">
        <v>52</v>
      </c>
      <c r="C1624" s="15" t="s">
        <v>56</v>
      </c>
      <c r="D1624" s="69">
        <v>86</v>
      </c>
      <c r="E1624" s="68" t="s">
        <v>3326</v>
      </c>
      <c r="F1624" s="24" t="s">
        <v>661</v>
      </c>
      <c r="G1624" s="15" t="s">
        <v>154</v>
      </c>
      <c r="H1624" s="15" t="s">
        <v>927</v>
      </c>
      <c r="I1624" s="69">
        <v>81</v>
      </c>
      <c r="J1624" s="15" t="s">
        <v>2674</v>
      </c>
      <c r="K1624" s="15" t="s">
        <v>903</v>
      </c>
      <c r="L1624" s="15" t="s">
        <v>2673</v>
      </c>
      <c r="M1624" s="15" t="s">
        <v>2672</v>
      </c>
      <c r="N1624" s="15" t="s">
        <v>2673</v>
      </c>
      <c r="O1624" s="15"/>
    </row>
    <row r="1625" spans="1:15" ht="18" customHeight="1" x14ac:dyDescent="0.3">
      <c r="A1625" s="29">
        <v>1624</v>
      </c>
      <c r="B1625" s="15" t="s">
        <v>52</v>
      </c>
      <c r="C1625" s="15" t="s">
        <v>56</v>
      </c>
      <c r="D1625" s="69">
        <v>86</v>
      </c>
      <c r="E1625" s="68" t="s">
        <v>3326</v>
      </c>
      <c r="F1625" s="24" t="s">
        <v>2906</v>
      </c>
      <c r="G1625" s="15" t="s">
        <v>154</v>
      </c>
      <c r="H1625" s="15" t="s">
        <v>905</v>
      </c>
      <c r="I1625" s="69">
        <v>161</v>
      </c>
      <c r="J1625" s="15" t="s">
        <v>2672</v>
      </c>
      <c r="K1625" s="15" t="s">
        <v>903</v>
      </c>
      <c r="L1625" s="15" t="s">
        <v>2673</v>
      </c>
      <c r="M1625" s="15" t="s">
        <v>2672</v>
      </c>
      <c r="N1625" s="15" t="s">
        <v>2673</v>
      </c>
      <c r="O1625" s="15"/>
    </row>
    <row r="1626" spans="1:15" ht="18" customHeight="1" x14ac:dyDescent="0.3">
      <c r="A1626" s="29">
        <v>1625</v>
      </c>
      <c r="B1626" s="15" t="s">
        <v>52</v>
      </c>
      <c r="C1626" s="15" t="s">
        <v>56</v>
      </c>
      <c r="D1626" s="69">
        <v>86</v>
      </c>
      <c r="E1626" s="68" t="s">
        <v>3327</v>
      </c>
      <c r="F1626" s="24" t="s">
        <v>2907</v>
      </c>
      <c r="G1626" s="15" t="s">
        <v>164</v>
      </c>
      <c r="H1626" s="15" t="s">
        <v>901</v>
      </c>
      <c r="I1626" s="69">
        <v>63</v>
      </c>
      <c r="J1626" s="15" t="s">
        <v>2672</v>
      </c>
      <c r="K1626" s="15" t="s">
        <v>903</v>
      </c>
      <c r="L1626" s="15" t="s">
        <v>2673</v>
      </c>
      <c r="M1626" s="15" t="s">
        <v>2672</v>
      </c>
      <c r="N1626" s="15" t="s">
        <v>2673</v>
      </c>
      <c r="O1626" s="15"/>
    </row>
    <row r="1627" spans="1:15" ht="18" customHeight="1" x14ac:dyDescent="0.3">
      <c r="A1627" s="29">
        <v>1626</v>
      </c>
      <c r="B1627" s="15" t="s">
        <v>52</v>
      </c>
      <c r="C1627" s="15" t="s">
        <v>56</v>
      </c>
      <c r="D1627" s="69">
        <v>86</v>
      </c>
      <c r="E1627" s="68" t="s">
        <v>3327</v>
      </c>
      <c r="F1627" s="24" t="s">
        <v>2907</v>
      </c>
      <c r="G1627" s="15" t="s">
        <v>164</v>
      </c>
      <c r="H1627" s="15" t="s">
        <v>904</v>
      </c>
      <c r="I1627" s="69">
        <v>63</v>
      </c>
      <c r="J1627" s="15" t="s">
        <v>2674</v>
      </c>
      <c r="K1627" s="15" t="s">
        <v>903</v>
      </c>
      <c r="L1627" s="15" t="s">
        <v>2673</v>
      </c>
      <c r="M1627" s="15" t="s">
        <v>2672</v>
      </c>
      <c r="N1627" s="15" t="s">
        <v>2673</v>
      </c>
      <c r="O1627" s="15"/>
    </row>
    <row r="1628" spans="1:15" ht="18" customHeight="1" x14ac:dyDescent="0.3">
      <c r="A1628" s="29">
        <v>1627</v>
      </c>
      <c r="B1628" s="15" t="s">
        <v>52</v>
      </c>
      <c r="C1628" s="15" t="s">
        <v>56</v>
      </c>
      <c r="D1628" s="69">
        <v>86</v>
      </c>
      <c r="E1628" s="68" t="s">
        <v>3327</v>
      </c>
      <c r="F1628" s="24" t="s">
        <v>668</v>
      </c>
      <c r="G1628" s="15" t="s">
        <v>164</v>
      </c>
      <c r="H1628" s="15" t="s">
        <v>905</v>
      </c>
      <c r="I1628" s="69">
        <v>80</v>
      </c>
      <c r="J1628" s="15" t="s">
        <v>2672</v>
      </c>
      <c r="K1628" s="15" t="s">
        <v>903</v>
      </c>
      <c r="L1628" s="15" t="s">
        <v>2673</v>
      </c>
      <c r="M1628" s="15" t="s">
        <v>2672</v>
      </c>
      <c r="N1628" s="15" t="s">
        <v>2673</v>
      </c>
      <c r="O1628" s="15"/>
    </row>
    <row r="1629" spans="1:15" ht="18" customHeight="1" x14ac:dyDescent="0.3">
      <c r="A1629" s="29">
        <v>1628</v>
      </c>
      <c r="B1629" s="15" t="s">
        <v>52</v>
      </c>
      <c r="C1629" s="15" t="s">
        <v>56</v>
      </c>
      <c r="D1629" s="69">
        <v>86</v>
      </c>
      <c r="E1629" s="68" t="s">
        <v>3327</v>
      </c>
      <c r="F1629" s="24" t="s">
        <v>668</v>
      </c>
      <c r="G1629" s="15" t="s">
        <v>164</v>
      </c>
      <c r="H1629" s="15" t="s">
        <v>906</v>
      </c>
      <c r="I1629" s="69">
        <v>102</v>
      </c>
      <c r="J1629" s="15" t="s">
        <v>2672</v>
      </c>
      <c r="K1629" s="15" t="s">
        <v>903</v>
      </c>
      <c r="L1629" s="15" t="s">
        <v>2673</v>
      </c>
      <c r="M1629" s="15" t="s">
        <v>2672</v>
      </c>
      <c r="N1629" s="15" t="s">
        <v>2673</v>
      </c>
      <c r="O1629" s="15"/>
    </row>
    <row r="1630" spans="1:15" ht="18" customHeight="1" x14ac:dyDescent="0.3">
      <c r="A1630" s="29">
        <v>1629</v>
      </c>
      <c r="B1630" s="15" t="s">
        <v>52</v>
      </c>
      <c r="C1630" s="15" t="s">
        <v>56</v>
      </c>
      <c r="D1630" s="69">
        <v>86</v>
      </c>
      <c r="E1630" s="68" t="s">
        <v>3327</v>
      </c>
      <c r="F1630" s="24" t="s">
        <v>668</v>
      </c>
      <c r="G1630" s="15" t="s">
        <v>164</v>
      </c>
      <c r="H1630" s="15" t="s">
        <v>907</v>
      </c>
      <c r="I1630" s="69">
        <v>102</v>
      </c>
      <c r="J1630" s="15" t="s">
        <v>2672</v>
      </c>
      <c r="K1630" s="15" t="s">
        <v>903</v>
      </c>
      <c r="L1630" s="15" t="s">
        <v>2673</v>
      </c>
      <c r="M1630" s="15" t="s">
        <v>2672</v>
      </c>
      <c r="N1630" s="15" t="s">
        <v>2673</v>
      </c>
      <c r="O1630" s="15"/>
    </row>
    <row r="1631" spans="1:15" ht="18" customHeight="1" x14ac:dyDescent="0.3">
      <c r="A1631" s="29">
        <v>1630</v>
      </c>
      <c r="B1631" s="15" t="s">
        <v>52</v>
      </c>
      <c r="C1631" s="15" t="s">
        <v>56</v>
      </c>
      <c r="D1631" s="69">
        <v>86</v>
      </c>
      <c r="E1631" s="68" t="s">
        <v>3327</v>
      </c>
      <c r="F1631" s="24" t="s">
        <v>668</v>
      </c>
      <c r="G1631" s="15" t="s">
        <v>164</v>
      </c>
      <c r="H1631" s="15" t="s">
        <v>908</v>
      </c>
      <c r="I1631" s="69">
        <v>80</v>
      </c>
      <c r="J1631" s="15" t="s">
        <v>2672</v>
      </c>
      <c r="K1631" s="15" t="s">
        <v>903</v>
      </c>
      <c r="L1631" s="15" t="s">
        <v>2673</v>
      </c>
      <c r="M1631" s="15" t="s">
        <v>2672</v>
      </c>
      <c r="N1631" s="15" t="s">
        <v>2673</v>
      </c>
      <c r="O1631" s="15"/>
    </row>
    <row r="1632" spans="1:15" ht="18" customHeight="1" x14ac:dyDescent="0.3">
      <c r="A1632" s="29">
        <v>1631</v>
      </c>
      <c r="B1632" s="15" t="s">
        <v>52</v>
      </c>
      <c r="C1632" s="15" t="s">
        <v>56</v>
      </c>
      <c r="D1632" s="69">
        <v>86</v>
      </c>
      <c r="E1632" s="68" t="s">
        <v>2908</v>
      </c>
      <c r="F1632" s="21" t="s">
        <v>666</v>
      </c>
      <c r="G1632" s="15" t="s">
        <v>154</v>
      </c>
      <c r="H1632" s="15" t="s">
        <v>901</v>
      </c>
      <c r="I1632" s="69">
        <v>251</v>
      </c>
      <c r="J1632" s="13" t="s">
        <v>902</v>
      </c>
      <c r="K1632" s="15" t="s">
        <v>903</v>
      </c>
      <c r="L1632" s="15" t="s">
        <v>2673</v>
      </c>
      <c r="M1632" s="15" t="s">
        <v>2672</v>
      </c>
      <c r="N1632" s="15" t="s">
        <v>2673</v>
      </c>
      <c r="O1632" s="15"/>
    </row>
    <row r="1633" spans="1:15" ht="18" customHeight="1" x14ac:dyDescent="0.3">
      <c r="A1633" s="29">
        <v>1632</v>
      </c>
      <c r="B1633" s="15" t="s">
        <v>52</v>
      </c>
      <c r="C1633" s="15" t="s">
        <v>56</v>
      </c>
      <c r="D1633" s="69">
        <v>86</v>
      </c>
      <c r="E1633" s="68" t="s">
        <v>2908</v>
      </c>
      <c r="F1633" s="21" t="s">
        <v>666</v>
      </c>
      <c r="G1633" s="15" t="s">
        <v>154</v>
      </c>
      <c r="H1633" s="15" t="s">
        <v>907</v>
      </c>
      <c r="I1633" s="69">
        <v>155</v>
      </c>
      <c r="J1633" s="13" t="s">
        <v>2672</v>
      </c>
      <c r="K1633" s="15" t="s">
        <v>903</v>
      </c>
      <c r="L1633" s="15" t="s">
        <v>2673</v>
      </c>
      <c r="M1633" s="15" t="s">
        <v>2672</v>
      </c>
      <c r="N1633" s="15" t="s">
        <v>2673</v>
      </c>
      <c r="O1633" s="15"/>
    </row>
    <row r="1634" spans="1:15" ht="18" customHeight="1" x14ac:dyDescent="0.3">
      <c r="A1634" s="29">
        <v>1633</v>
      </c>
      <c r="B1634" s="15" t="s">
        <v>52</v>
      </c>
      <c r="C1634" s="15" t="s">
        <v>56</v>
      </c>
      <c r="D1634" s="69">
        <v>86</v>
      </c>
      <c r="E1634" s="68" t="s">
        <v>2908</v>
      </c>
      <c r="F1634" s="21" t="s">
        <v>666</v>
      </c>
      <c r="G1634" s="15" t="s">
        <v>154</v>
      </c>
      <c r="H1634" s="15" t="s">
        <v>908</v>
      </c>
      <c r="I1634" s="69">
        <v>313</v>
      </c>
      <c r="J1634" s="13" t="s">
        <v>902</v>
      </c>
      <c r="K1634" s="15" t="s">
        <v>903</v>
      </c>
      <c r="L1634" s="15" t="s">
        <v>2673</v>
      </c>
      <c r="M1634" s="15" t="s">
        <v>2672</v>
      </c>
      <c r="N1634" s="15" t="s">
        <v>2673</v>
      </c>
      <c r="O1634" s="15" t="s">
        <v>1174</v>
      </c>
    </row>
    <row r="1635" spans="1:15" ht="18" customHeight="1" x14ac:dyDescent="0.3">
      <c r="A1635" s="29">
        <v>1634</v>
      </c>
      <c r="B1635" s="15" t="s">
        <v>52</v>
      </c>
      <c r="C1635" s="15" t="s">
        <v>56</v>
      </c>
      <c r="D1635" s="69">
        <v>86</v>
      </c>
      <c r="E1635" s="68" t="s">
        <v>2908</v>
      </c>
      <c r="F1635" s="21" t="s">
        <v>666</v>
      </c>
      <c r="G1635" s="15" t="s">
        <v>154</v>
      </c>
      <c r="H1635" s="15" t="s">
        <v>909</v>
      </c>
      <c r="I1635" s="69">
        <v>321</v>
      </c>
      <c r="J1635" s="13" t="s">
        <v>902</v>
      </c>
      <c r="K1635" s="15" t="s">
        <v>903</v>
      </c>
      <c r="L1635" s="15" t="s">
        <v>2673</v>
      </c>
      <c r="M1635" s="15" t="s">
        <v>2672</v>
      </c>
      <c r="N1635" s="15" t="s">
        <v>2673</v>
      </c>
      <c r="O1635" s="15"/>
    </row>
    <row r="1636" spans="1:15" ht="18" customHeight="1" x14ac:dyDescent="0.3">
      <c r="A1636" s="29">
        <v>1635</v>
      </c>
      <c r="B1636" s="15" t="s">
        <v>52</v>
      </c>
      <c r="C1636" s="15" t="s">
        <v>56</v>
      </c>
      <c r="D1636" s="69">
        <v>86</v>
      </c>
      <c r="E1636" s="68" t="s">
        <v>2908</v>
      </c>
      <c r="F1636" s="21" t="s">
        <v>1221</v>
      </c>
      <c r="G1636" s="15" t="s">
        <v>154</v>
      </c>
      <c r="H1636" s="15" t="s">
        <v>904</v>
      </c>
      <c r="I1636" s="69">
        <v>232</v>
      </c>
      <c r="J1636" s="13" t="s">
        <v>2672</v>
      </c>
      <c r="K1636" s="15" t="s">
        <v>2672</v>
      </c>
      <c r="L1636" s="15" t="s">
        <v>2673</v>
      </c>
      <c r="M1636" s="15" t="s">
        <v>2672</v>
      </c>
      <c r="N1636" s="15" t="s">
        <v>2673</v>
      </c>
      <c r="O1636" s="15"/>
    </row>
    <row r="1637" spans="1:15" ht="18" customHeight="1" x14ac:dyDescent="0.3">
      <c r="A1637" s="29">
        <v>1636</v>
      </c>
      <c r="B1637" s="15" t="s">
        <v>52</v>
      </c>
      <c r="C1637" s="15" t="s">
        <v>56</v>
      </c>
      <c r="D1637" s="69">
        <v>86</v>
      </c>
      <c r="E1637" s="68" t="s">
        <v>2908</v>
      </c>
      <c r="F1637" s="21" t="s">
        <v>1221</v>
      </c>
      <c r="G1637" s="15" t="s">
        <v>154</v>
      </c>
      <c r="H1637" s="15" t="s">
        <v>905</v>
      </c>
      <c r="I1637" s="69">
        <v>100</v>
      </c>
      <c r="J1637" s="13" t="s">
        <v>902</v>
      </c>
      <c r="K1637" s="15" t="s">
        <v>2674</v>
      </c>
      <c r="L1637" s="15" t="s">
        <v>1577</v>
      </c>
      <c r="M1637" s="15" t="s">
        <v>2672</v>
      </c>
      <c r="N1637" s="15" t="s">
        <v>2673</v>
      </c>
      <c r="O1637" s="15"/>
    </row>
    <row r="1638" spans="1:15" ht="18" customHeight="1" x14ac:dyDescent="0.3">
      <c r="A1638" s="29">
        <v>1637</v>
      </c>
      <c r="B1638" s="15" t="s">
        <v>52</v>
      </c>
      <c r="C1638" s="15" t="s">
        <v>56</v>
      </c>
      <c r="D1638" s="69">
        <v>86</v>
      </c>
      <c r="E1638" s="68" t="s">
        <v>2908</v>
      </c>
      <c r="F1638" s="21" t="s">
        <v>1221</v>
      </c>
      <c r="G1638" s="15" t="s">
        <v>154</v>
      </c>
      <c r="H1638" s="15" t="s">
        <v>906</v>
      </c>
      <c r="I1638" s="69">
        <v>120</v>
      </c>
      <c r="J1638" s="13" t="s">
        <v>2672</v>
      </c>
      <c r="K1638" s="15" t="s">
        <v>2672</v>
      </c>
      <c r="L1638" s="15" t="s">
        <v>2673</v>
      </c>
      <c r="M1638" s="15" t="s">
        <v>2672</v>
      </c>
      <c r="N1638" s="15" t="s">
        <v>2673</v>
      </c>
      <c r="O1638" s="15"/>
    </row>
    <row r="1639" spans="1:15" ht="18" customHeight="1" x14ac:dyDescent="0.3">
      <c r="A1639" s="29">
        <v>1638</v>
      </c>
      <c r="B1639" s="15" t="s">
        <v>52</v>
      </c>
      <c r="C1639" s="15" t="s">
        <v>56</v>
      </c>
      <c r="D1639" s="69">
        <v>86</v>
      </c>
      <c r="E1639" s="68" t="s">
        <v>1263</v>
      </c>
      <c r="F1639" s="21" t="s">
        <v>1221</v>
      </c>
      <c r="G1639" s="15" t="s">
        <v>154</v>
      </c>
      <c r="H1639" s="15" t="s">
        <v>1254</v>
      </c>
      <c r="I1639" s="69">
        <v>30</v>
      </c>
      <c r="J1639" s="13" t="s">
        <v>2672</v>
      </c>
      <c r="K1639" s="15" t="s">
        <v>2674</v>
      </c>
      <c r="L1639" s="15" t="s">
        <v>2692</v>
      </c>
      <c r="M1639" s="15" t="s">
        <v>2672</v>
      </c>
      <c r="N1639" s="15" t="s">
        <v>2673</v>
      </c>
      <c r="O1639" s="15"/>
    </row>
    <row r="1640" spans="1:15" ht="18" customHeight="1" x14ac:dyDescent="0.3">
      <c r="A1640" s="29">
        <v>1639</v>
      </c>
      <c r="B1640" s="15" t="s">
        <v>52</v>
      </c>
      <c r="C1640" s="15" t="s">
        <v>56</v>
      </c>
      <c r="D1640" s="69">
        <v>86</v>
      </c>
      <c r="E1640" s="68" t="s">
        <v>952</v>
      </c>
      <c r="F1640" s="21" t="s">
        <v>671</v>
      </c>
      <c r="G1640" s="15" t="s">
        <v>1553</v>
      </c>
      <c r="H1640" s="15" t="s">
        <v>901</v>
      </c>
      <c r="I1640" s="69">
        <v>200</v>
      </c>
      <c r="J1640" s="13" t="s">
        <v>2672</v>
      </c>
      <c r="K1640" s="15" t="s">
        <v>903</v>
      </c>
      <c r="L1640" s="15" t="s">
        <v>2673</v>
      </c>
      <c r="M1640" s="15" t="s">
        <v>2672</v>
      </c>
      <c r="N1640" s="15" t="s">
        <v>2673</v>
      </c>
      <c r="O1640" s="15"/>
    </row>
    <row r="1641" spans="1:15" ht="18" customHeight="1" x14ac:dyDescent="0.3">
      <c r="A1641" s="29">
        <v>1640</v>
      </c>
      <c r="B1641" s="15" t="s">
        <v>52</v>
      </c>
      <c r="C1641" s="15" t="s">
        <v>56</v>
      </c>
      <c r="D1641" s="69">
        <v>86</v>
      </c>
      <c r="E1641" s="68" t="s">
        <v>952</v>
      </c>
      <c r="F1641" s="21" t="s">
        <v>671</v>
      </c>
      <c r="G1641" s="15" t="s">
        <v>1553</v>
      </c>
      <c r="H1641" s="15" t="s">
        <v>904</v>
      </c>
      <c r="I1641" s="69">
        <v>50</v>
      </c>
      <c r="J1641" s="13" t="s">
        <v>2672</v>
      </c>
      <c r="K1641" s="15" t="s">
        <v>903</v>
      </c>
      <c r="L1641" s="15" t="s">
        <v>2673</v>
      </c>
      <c r="M1641" s="15" t="s">
        <v>2672</v>
      </c>
      <c r="N1641" s="15" t="s">
        <v>2673</v>
      </c>
      <c r="O1641" s="15"/>
    </row>
    <row r="1642" spans="1:15" ht="18" customHeight="1" x14ac:dyDescent="0.3">
      <c r="A1642" s="29">
        <v>1641</v>
      </c>
      <c r="B1642" s="15" t="s">
        <v>52</v>
      </c>
      <c r="C1642" s="15" t="s">
        <v>56</v>
      </c>
      <c r="D1642" s="69">
        <v>86</v>
      </c>
      <c r="E1642" s="68" t="s">
        <v>952</v>
      </c>
      <c r="F1642" s="21" t="s">
        <v>671</v>
      </c>
      <c r="G1642" s="15" t="s">
        <v>1553</v>
      </c>
      <c r="H1642" s="15" t="s">
        <v>905</v>
      </c>
      <c r="I1642" s="69">
        <v>218</v>
      </c>
      <c r="J1642" s="13" t="s">
        <v>2672</v>
      </c>
      <c r="K1642" s="15" t="s">
        <v>903</v>
      </c>
      <c r="L1642" s="15" t="s">
        <v>2673</v>
      </c>
      <c r="M1642" s="15" t="s">
        <v>2672</v>
      </c>
      <c r="N1642" s="15" t="s">
        <v>2673</v>
      </c>
      <c r="O1642" s="15"/>
    </row>
    <row r="1643" spans="1:15" ht="18" customHeight="1" x14ac:dyDescent="0.3">
      <c r="A1643" s="29">
        <v>1642</v>
      </c>
      <c r="B1643" s="15" t="s">
        <v>52</v>
      </c>
      <c r="C1643" s="15" t="s">
        <v>56</v>
      </c>
      <c r="D1643" s="69">
        <v>86</v>
      </c>
      <c r="E1643" s="68" t="s">
        <v>952</v>
      </c>
      <c r="F1643" s="21" t="s">
        <v>671</v>
      </c>
      <c r="G1643" s="15" t="s">
        <v>1553</v>
      </c>
      <c r="H1643" s="15" t="s">
        <v>906</v>
      </c>
      <c r="I1643" s="69">
        <v>106</v>
      </c>
      <c r="J1643" s="13" t="s">
        <v>2672</v>
      </c>
      <c r="K1643" s="15" t="s">
        <v>903</v>
      </c>
      <c r="L1643" s="15" t="s">
        <v>2673</v>
      </c>
      <c r="M1643" s="15" t="s">
        <v>2672</v>
      </c>
      <c r="N1643" s="15" t="s">
        <v>2673</v>
      </c>
      <c r="O1643" s="15"/>
    </row>
    <row r="1644" spans="1:15" ht="18" customHeight="1" x14ac:dyDescent="0.3">
      <c r="A1644" s="29">
        <v>1643</v>
      </c>
      <c r="B1644" s="15" t="s">
        <v>52</v>
      </c>
      <c r="C1644" s="15" t="s">
        <v>56</v>
      </c>
      <c r="D1644" s="69">
        <v>86</v>
      </c>
      <c r="E1644" s="68" t="s">
        <v>952</v>
      </c>
      <c r="F1644" s="21" t="s">
        <v>671</v>
      </c>
      <c r="G1644" s="15" t="s">
        <v>1553</v>
      </c>
      <c r="H1644" s="15" t="s">
        <v>907</v>
      </c>
      <c r="I1644" s="69">
        <v>218</v>
      </c>
      <c r="J1644" s="13" t="s">
        <v>2672</v>
      </c>
      <c r="K1644" s="15" t="s">
        <v>903</v>
      </c>
      <c r="L1644" s="15" t="s">
        <v>2673</v>
      </c>
      <c r="M1644" s="15" t="s">
        <v>2672</v>
      </c>
      <c r="N1644" s="15" t="s">
        <v>2673</v>
      </c>
      <c r="O1644" s="15"/>
    </row>
    <row r="1645" spans="1:15" ht="18" customHeight="1" x14ac:dyDescent="0.3">
      <c r="A1645" s="29">
        <v>1644</v>
      </c>
      <c r="B1645" s="15" t="s">
        <v>52</v>
      </c>
      <c r="C1645" s="15" t="s">
        <v>56</v>
      </c>
      <c r="D1645" s="69">
        <v>86</v>
      </c>
      <c r="E1645" s="68" t="s">
        <v>952</v>
      </c>
      <c r="F1645" s="21" t="s">
        <v>671</v>
      </c>
      <c r="G1645" s="15" t="s">
        <v>1553</v>
      </c>
      <c r="H1645" s="15" t="s">
        <v>2682</v>
      </c>
      <c r="I1645" s="69">
        <v>124</v>
      </c>
      <c r="J1645" s="13" t="s">
        <v>2672</v>
      </c>
      <c r="K1645" s="15" t="s">
        <v>903</v>
      </c>
      <c r="L1645" s="15" t="s">
        <v>2673</v>
      </c>
      <c r="M1645" s="15" t="s">
        <v>2672</v>
      </c>
      <c r="N1645" s="15" t="s">
        <v>2673</v>
      </c>
      <c r="O1645" s="15"/>
    </row>
    <row r="1646" spans="1:15" ht="18" customHeight="1" x14ac:dyDescent="0.3">
      <c r="A1646" s="29">
        <v>1645</v>
      </c>
      <c r="B1646" s="15" t="s">
        <v>52</v>
      </c>
      <c r="C1646" s="15" t="s">
        <v>56</v>
      </c>
      <c r="D1646" s="69">
        <v>86</v>
      </c>
      <c r="E1646" s="68" t="s">
        <v>259</v>
      </c>
      <c r="F1646" s="21" t="s">
        <v>662</v>
      </c>
      <c r="G1646" s="15" t="s">
        <v>154</v>
      </c>
      <c r="H1646" s="15" t="s">
        <v>901</v>
      </c>
      <c r="I1646" s="69">
        <v>228</v>
      </c>
      <c r="J1646" s="13" t="s">
        <v>902</v>
      </c>
      <c r="K1646" s="15" t="s">
        <v>903</v>
      </c>
      <c r="L1646" s="15" t="s">
        <v>2673</v>
      </c>
      <c r="M1646" s="15" t="s">
        <v>2672</v>
      </c>
      <c r="N1646" s="15" t="s">
        <v>2673</v>
      </c>
      <c r="O1646" s="15"/>
    </row>
    <row r="1647" spans="1:15" ht="18" customHeight="1" x14ac:dyDescent="0.3">
      <c r="A1647" s="29">
        <v>1646</v>
      </c>
      <c r="B1647" s="15" t="s">
        <v>52</v>
      </c>
      <c r="C1647" s="15" t="s">
        <v>56</v>
      </c>
      <c r="D1647" s="69">
        <v>86</v>
      </c>
      <c r="E1647" s="68" t="s">
        <v>259</v>
      </c>
      <c r="F1647" s="21" t="s">
        <v>662</v>
      </c>
      <c r="G1647" s="15" t="s">
        <v>154</v>
      </c>
      <c r="H1647" s="15" t="s">
        <v>905</v>
      </c>
      <c r="I1647" s="69">
        <v>128</v>
      </c>
      <c r="J1647" s="13" t="s">
        <v>2672</v>
      </c>
      <c r="K1647" s="15" t="s">
        <v>903</v>
      </c>
      <c r="L1647" s="15" t="s">
        <v>2673</v>
      </c>
      <c r="M1647" s="15" t="s">
        <v>2672</v>
      </c>
      <c r="N1647" s="15" t="s">
        <v>2673</v>
      </c>
      <c r="O1647" s="15"/>
    </row>
    <row r="1648" spans="1:15" ht="18" customHeight="1" x14ac:dyDescent="0.3">
      <c r="A1648" s="29">
        <v>1647</v>
      </c>
      <c r="B1648" s="15" t="s">
        <v>52</v>
      </c>
      <c r="C1648" s="15" t="s">
        <v>56</v>
      </c>
      <c r="D1648" s="69">
        <v>86</v>
      </c>
      <c r="E1648" s="68" t="s">
        <v>259</v>
      </c>
      <c r="F1648" s="21" t="s">
        <v>662</v>
      </c>
      <c r="G1648" s="15" t="s">
        <v>154</v>
      </c>
      <c r="H1648" s="15" t="s">
        <v>906</v>
      </c>
      <c r="I1648" s="69">
        <v>96</v>
      </c>
      <c r="J1648" s="13" t="s">
        <v>2672</v>
      </c>
      <c r="K1648" s="15" t="s">
        <v>903</v>
      </c>
      <c r="L1648" s="15" t="s">
        <v>2673</v>
      </c>
      <c r="M1648" s="15" t="s">
        <v>2672</v>
      </c>
      <c r="N1648" s="15" t="s">
        <v>2673</v>
      </c>
      <c r="O1648" s="15"/>
    </row>
    <row r="1649" spans="1:15" ht="18" customHeight="1" x14ac:dyDescent="0.3">
      <c r="A1649" s="29">
        <v>1648</v>
      </c>
      <c r="B1649" s="15" t="s">
        <v>52</v>
      </c>
      <c r="C1649" s="15" t="s">
        <v>56</v>
      </c>
      <c r="D1649" s="69">
        <v>86</v>
      </c>
      <c r="E1649" s="68" t="s">
        <v>259</v>
      </c>
      <c r="F1649" s="21" t="s">
        <v>662</v>
      </c>
      <c r="G1649" s="15" t="s">
        <v>154</v>
      </c>
      <c r="H1649" s="15" t="s">
        <v>907</v>
      </c>
      <c r="I1649" s="69">
        <v>128</v>
      </c>
      <c r="J1649" s="13" t="s">
        <v>902</v>
      </c>
      <c r="K1649" s="15" t="s">
        <v>903</v>
      </c>
      <c r="L1649" s="15" t="s">
        <v>2673</v>
      </c>
      <c r="M1649" s="15" t="s">
        <v>2672</v>
      </c>
      <c r="N1649" s="15" t="s">
        <v>2673</v>
      </c>
      <c r="O1649" s="15"/>
    </row>
    <row r="1650" spans="1:15" ht="18" customHeight="1" x14ac:dyDescent="0.3">
      <c r="A1650" s="29">
        <v>1649</v>
      </c>
      <c r="B1650" s="15" t="s">
        <v>52</v>
      </c>
      <c r="C1650" s="15" t="s">
        <v>56</v>
      </c>
      <c r="D1650" s="69">
        <v>86</v>
      </c>
      <c r="E1650" s="68" t="s">
        <v>259</v>
      </c>
      <c r="F1650" s="21" t="s">
        <v>662</v>
      </c>
      <c r="G1650" s="15" t="s">
        <v>154</v>
      </c>
      <c r="H1650" s="15" t="s">
        <v>908</v>
      </c>
      <c r="I1650" s="69">
        <v>153</v>
      </c>
      <c r="J1650" s="13" t="s">
        <v>2672</v>
      </c>
      <c r="K1650" s="15" t="s">
        <v>903</v>
      </c>
      <c r="L1650" s="15" t="s">
        <v>2673</v>
      </c>
      <c r="M1650" s="15" t="s">
        <v>2672</v>
      </c>
      <c r="N1650" s="15" t="s">
        <v>2673</v>
      </c>
      <c r="O1650" s="15"/>
    </row>
    <row r="1651" spans="1:15" ht="18" customHeight="1" x14ac:dyDescent="0.3">
      <c r="A1651" s="29">
        <v>1650</v>
      </c>
      <c r="B1651" s="15" t="s">
        <v>52</v>
      </c>
      <c r="C1651" s="15" t="s">
        <v>56</v>
      </c>
      <c r="D1651" s="69">
        <v>86</v>
      </c>
      <c r="E1651" s="68" t="s">
        <v>259</v>
      </c>
      <c r="F1651" s="21" t="s">
        <v>1222</v>
      </c>
      <c r="G1651" s="15" t="s">
        <v>154</v>
      </c>
      <c r="H1651" s="15" t="s">
        <v>904</v>
      </c>
      <c r="I1651" s="69">
        <v>153</v>
      </c>
      <c r="J1651" s="13" t="s">
        <v>902</v>
      </c>
      <c r="K1651" s="15" t="s">
        <v>903</v>
      </c>
      <c r="L1651" s="15" t="s">
        <v>336</v>
      </c>
      <c r="M1651" s="15" t="s">
        <v>2672</v>
      </c>
      <c r="N1651" s="15" t="s">
        <v>2673</v>
      </c>
      <c r="O1651" s="15"/>
    </row>
    <row r="1652" spans="1:15" ht="18" customHeight="1" x14ac:dyDescent="0.3">
      <c r="A1652" s="29">
        <v>1651</v>
      </c>
      <c r="B1652" s="15" t="s">
        <v>52</v>
      </c>
      <c r="C1652" s="15" t="s">
        <v>56</v>
      </c>
      <c r="D1652" s="69">
        <v>86</v>
      </c>
      <c r="E1652" s="68" t="s">
        <v>259</v>
      </c>
      <c r="F1652" s="21" t="s">
        <v>1222</v>
      </c>
      <c r="G1652" s="15" t="s">
        <v>154</v>
      </c>
      <c r="H1652" s="15" t="s">
        <v>909</v>
      </c>
      <c r="I1652" s="69">
        <v>228</v>
      </c>
      <c r="J1652" s="13" t="s">
        <v>2672</v>
      </c>
      <c r="K1652" s="15" t="s">
        <v>903</v>
      </c>
      <c r="L1652" s="15" t="s">
        <v>336</v>
      </c>
      <c r="M1652" s="15" t="s">
        <v>2672</v>
      </c>
      <c r="N1652" s="15" t="s">
        <v>2673</v>
      </c>
      <c r="O1652" s="15"/>
    </row>
    <row r="1653" spans="1:15" ht="18" customHeight="1" x14ac:dyDescent="0.3">
      <c r="A1653" s="29">
        <v>1652</v>
      </c>
      <c r="B1653" s="15" t="s">
        <v>52</v>
      </c>
      <c r="C1653" s="15" t="s">
        <v>56</v>
      </c>
      <c r="D1653" s="69">
        <v>86</v>
      </c>
      <c r="E1653" s="68" t="s">
        <v>260</v>
      </c>
      <c r="F1653" s="21" t="s">
        <v>663</v>
      </c>
      <c r="G1653" s="15" t="s">
        <v>154</v>
      </c>
      <c r="H1653" s="15" t="s">
        <v>901</v>
      </c>
      <c r="I1653" s="69">
        <v>193</v>
      </c>
      <c r="J1653" s="13" t="s">
        <v>902</v>
      </c>
      <c r="K1653" s="15" t="s">
        <v>903</v>
      </c>
      <c r="L1653" s="15" t="s">
        <v>2673</v>
      </c>
      <c r="M1653" s="15" t="s">
        <v>2672</v>
      </c>
      <c r="N1653" s="15" t="s">
        <v>2673</v>
      </c>
      <c r="O1653" s="15"/>
    </row>
    <row r="1654" spans="1:15" ht="18" customHeight="1" x14ac:dyDescent="0.3">
      <c r="A1654" s="29">
        <v>1653</v>
      </c>
      <c r="B1654" s="15" t="s">
        <v>52</v>
      </c>
      <c r="C1654" s="15" t="s">
        <v>56</v>
      </c>
      <c r="D1654" s="69">
        <v>86</v>
      </c>
      <c r="E1654" s="68" t="s">
        <v>260</v>
      </c>
      <c r="F1654" s="21" t="s">
        <v>663</v>
      </c>
      <c r="G1654" s="15" t="s">
        <v>154</v>
      </c>
      <c r="H1654" s="15" t="s">
        <v>904</v>
      </c>
      <c r="I1654" s="69">
        <v>78</v>
      </c>
      <c r="J1654" s="13" t="s">
        <v>2672</v>
      </c>
      <c r="K1654" s="15" t="s">
        <v>903</v>
      </c>
      <c r="L1654" s="15" t="s">
        <v>2673</v>
      </c>
      <c r="M1654" s="15" t="s">
        <v>2672</v>
      </c>
      <c r="N1654" s="15" t="s">
        <v>2673</v>
      </c>
      <c r="O1654" s="15"/>
    </row>
    <row r="1655" spans="1:15" ht="18" customHeight="1" x14ac:dyDescent="0.3">
      <c r="A1655" s="29">
        <v>1654</v>
      </c>
      <c r="B1655" s="15" t="s">
        <v>52</v>
      </c>
      <c r="C1655" s="15" t="s">
        <v>56</v>
      </c>
      <c r="D1655" s="69">
        <v>86</v>
      </c>
      <c r="E1655" s="68" t="s">
        <v>260</v>
      </c>
      <c r="F1655" s="21" t="s">
        <v>663</v>
      </c>
      <c r="G1655" s="15" t="s">
        <v>154</v>
      </c>
      <c r="H1655" s="15" t="s">
        <v>905</v>
      </c>
      <c r="I1655" s="69">
        <v>79</v>
      </c>
      <c r="J1655" s="13" t="s">
        <v>902</v>
      </c>
      <c r="K1655" s="15" t="s">
        <v>903</v>
      </c>
      <c r="L1655" s="15" t="s">
        <v>2673</v>
      </c>
      <c r="M1655" s="15" t="s">
        <v>2672</v>
      </c>
      <c r="N1655" s="15" t="s">
        <v>2673</v>
      </c>
      <c r="O1655" s="15"/>
    </row>
    <row r="1656" spans="1:15" ht="18" customHeight="1" x14ac:dyDescent="0.3">
      <c r="A1656" s="29">
        <v>1655</v>
      </c>
      <c r="B1656" s="15" t="s">
        <v>52</v>
      </c>
      <c r="C1656" s="15" t="s">
        <v>56</v>
      </c>
      <c r="D1656" s="69">
        <v>86</v>
      </c>
      <c r="E1656" s="68" t="s">
        <v>260</v>
      </c>
      <c r="F1656" s="21" t="s">
        <v>663</v>
      </c>
      <c r="G1656" s="15" t="s">
        <v>154</v>
      </c>
      <c r="H1656" s="15" t="s">
        <v>906</v>
      </c>
      <c r="I1656" s="69">
        <v>79</v>
      </c>
      <c r="J1656" s="13" t="s">
        <v>2672</v>
      </c>
      <c r="K1656" s="15" t="s">
        <v>903</v>
      </c>
      <c r="L1656" s="15" t="s">
        <v>2673</v>
      </c>
      <c r="M1656" s="15" t="s">
        <v>2672</v>
      </c>
      <c r="N1656" s="15" t="s">
        <v>2673</v>
      </c>
      <c r="O1656" s="15"/>
    </row>
    <row r="1657" spans="1:15" ht="18" customHeight="1" x14ac:dyDescent="0.3">
      <c r="A1657" s="29">
        <v>1656</v>
      </c>
      <c r="B1657" s="15" t="s">
        <v>52</v>
      </c>
      <c r="C1657" s="15" t="s">
        <v>56</v>
      </c>
      <c r="D1657" s="69">
        <v>86</v>
      </c>
      <c r="E1657" s="68" t="s">
        <v>260</v>
      </c>
      <c r="F1657" s="21" t="s">
        <v>663</v>
      </c>
      <c r="G1657" s="15" t="s">
        <v>154</v>
      </c>
      <c r="H1657" s="15" t="s">
        <v>907</v>
      </c>
      <c r="I1657" s="69">
        <v>193</v>
      </c>
      <c r="J1657" s="13" t="s">
        <v>2672</v>
      </c>
      <c r="K1657" s="15" t="s">
        <v>903</v>
      </c>
      <c r="L1657" s="15" t="s">
        <v>2673</v>
      </c>
      <c r="M1657" s="15" t="s">
        <v>2672</v>
      </c>
      <c r="N1657" s="15" t="s">
        <v>2673</v>
      </c>
      <c r="O1657" s="15"/>
    </row>
    <row r="1658" spans="1:15" ht="18" customHeight="1" x14ac:dyDescent="0.3">
      <c r="A1658" s="29">
        <v>1657</v>
      </c>
      <c r="B1658" s="15" t="s">
        <v>52</v>
      </c>
      <c r="C1658" s="15" t="s">
        <v>56</v>
      </c>
      <c r="D1658" s="69">
        <v>86</v>
      </c>
      <c r="E1658" s="68" t="s">
        <v>260</v>
      </c>
      <c r="F1658" s="21" t="s">
        <v>663</v>
      </c>
      <c r="G1658" s="15" t="s">
        <v>154</v>
      </c>
      <c r="H1658" s="15" t="s">
        <v>908</v>
      </c>
      <c r="I1658" s="69">
        <v>78</v>
      </c>
      <c r="J1658" s="13" t="s">
        <v>2672</v>
      </c>
      <c r="K1658" s="15" t="s">
        <v>903</v>
      </c>
      <c r="L1658" s="15" t="s">
        <v>2673</v>
      </c>
      <c r="M1658" s="15" t="s">
        <v>2672</v>
      </c>
      <c r="N1658" s="15" t="s">
        <v>2673</v>
      </c>
      <c r="O1658" s="15"/>
    </row>
    <row r="1659" spans="1:15" ht="18" customHeight="1" x14ac:dyDescent="0.3">
      <c r="A1659" s="29">
        <v>1658</v>
      </c>
      <c r="B1659" s="15" t="s">
        <v>52</v>
      </c>
      <c r="C1659" s="15" t="s">
        <v>56</v>
      </c>
      <c r="D1659" s="69">
        <v>86</v>
      </c>
      <c r="E1659" s="68" t="s">
        <v>260</v>
      </c>
      <c r="F1659" s="21" t="s">
        <v>663</v>
      </c>
      <c r="G1659" s="15" t="s">
        <v>154</v>
      </c>
      <c r="H1659" s="15" t="s">
        <v>909</v>
      </c>
      <c r="I1659" s="69">
        <v>79</v>
      </c>
      <c r="J1659" s="13" t="s">
        <v>2672</v>
      </c>
      <c r="K1659" s="15" t="s">
        <v>903</v>
      </c>
      <c r="L1659" s="15" t="s">
        <v>2673</v>
      </c>
      <c r="M1659" s="15" t="s">
        <v>2672</v>
      </c>
      <c r="N1659" s="15" t="s">
        <v>2673</v>
      </c>
      <c r="O1659" s="15"/>
    </row>
    <row r="1660" spans="1:15" ht="18" customHeight="1" x14ac:dyDescent="0.3">
      <c r="A1660" s="29">
        <v>1659</v>
      </c>
      <c r="B1660" s="15" t="s">
        <v>52</v>
      </c>
      <c r="C1660" s="15" t="s">
        <v>56</v>
      </c>
      <c r="D1660" s="69">
        <v>86</v>
      </c>
      <c r="E1660" s="68" t="s">
        <v>260</v>
      </c>
      <c r="F1660" s="21" t="s">
        <v>663</v>
      </c>
      <c r="G1660" s="15" t="s">
        <v>154</v>
      </c>
      <c r="H1660" s="15" t="s">
        <v>910</v>
      </c>
      <c r="I1660" s="69">
        <v>79</v>
      </c>
      <c r="J1660" s="13" t="s">
        <v>2672</v>
      </c>
      <c r="K1660" s="15" t="s">
        <v>903</v>
      </c>
      <c r="L1660" s="15" t="s">
        <v>2673</v>
      </c>
      <c r="M1660" s="15" t="s">
        <v>2672</v>
      </c>
      <c r="N1660" s="15" t="s">
        <v>2673</v>
      </c>
      <c r="O1660" s="15"/>
    </row>
    <row r="1661" spans="1:15" ht="18" customHeight="1" x14ac:dyDescent="0.3">
      <c r="A1661" s="29">
        <v>1660</v>
      </c>
      <c r="B1661" s="15" t="s">
        <v>52</v>
      </c>
      <c r="C1661" s="15" t="s">
        <v>57</v>
      </c>
      <c r="D1661" s="69">
        <v>89</v>
      </c>
      <c r="E1661" s="68" t="s">
        <v>3328</v>
      </c>
      <c r="F1661" s="24" t="s">
        <v>1918</v>
      </c>
      <c r="G1661" s="15" t="s">
        <v>154</v>
      </c>
      <c r="H1661" s="15" t="s">
        <v>901</v>
      </c>
      <c r="I1661" s="69">
        <v>97</v>
      </c>
      <c r="J1661" s="15" t="s">
        <v>2672</v>
      </c>
      <c r="K1661" s="15" t="s">
        <v>903</v>
      </c>
      <c r="L1661" s="15" t="s">
        <v>2673</v>
      </c>
      <c r="M1661" s="15" t="s">
        <v>2672</v>
      </c>
      <c r="N1661" s="15" t="s">
        <v>2673</v>
      </c>
      <c r="O1661" s="15"/>
    </row>
    <row r="1662" spans="1:15" ht="18" customHeight="1" x14ac:dyDescent="0.3">
      <c r="A1662" s="29">
        <v>1661</v>
      </c>
      <c r="B1662" s="15" t="s">
        <v>52</v>
      </c>
      <c r="C1662" s="15" t="s">
        <v>57</v>
      </c>
      <c r="D1662" s="69">
        <v>89</v>
      </c>
      <c r="E1662" s="68" t="s">
        <v>3328</v>
      </c>
      <c r="F1662" s="24" t="s">
        <v>1918</v>
      </c>
      <c r="G1662" s="15" t="s">
        <v>154</v>
      </c>
      <c r="H1662" s="15" t="s">
        <v>904</v>
      </c>
      <c r="I1662" s="69">
        <v>66</v>
      </c>
      <c r="J1662" s="15" t="s">
        <v>2674</v>
      </c>
      <c r="K1662" s="15" t="s">
        <v>903</v>
      </c>
      <c r="L1662" s="15" t="s">
        <v>2673</v>
      </c>
      <c r="M1662" s="15" t="s">
        <v>2672</v>
      </c>
      <c r="N1662" s="15" t="s">
        <v>2673</v>
      </c>
      <c r="O1662" s="15"/>
    </row>
    <row r="1663" spans="1:15" ht="18" customHeight="1" x14ac:dyDescent="0.3">
      <c r="A1663" s="29">
        <v>1662</v>
      </c>
      <c r="B1663" s="15" t="s">
        <v>52</v>
      </c>
      <c r="C1663" s="15" t="s">
        <v>57</v>
      </c>
      <c r="D1663" s="69">
        <v>89</v>
      </c>
      <c r="E1663" s="68" t="s">
        <v>3328</v>
      </c>
      <c r="F1663" s="24" t="s">
        <v>1085</v>
      </c>
      <c r="G1663" s="15" t="s">
        <v>154</v>
      </c>
      <c r="H1663" s="15" t="s">
        <v>906</v>
      </c>
      <c r="I1663" s="69">
        <v>59</v>
      </c>
      <c r="J1663" s="15" t="s">
        <v>2674</v>
      </c>
      <c r="K1663" s="15" t="s">
        <v>903</v>
      </c>
      <c r="L1663" s="15" t="s">
        <v>2673</v>
      </c>
      <c r="M1663" s="15" t="s">
        <v>2672</v>
      </c>
      <c r="N1663" s="15" t="s">
        <v>2673</v>
      </c>
      <c r="O1663" s="15"/>
    </row>
    <row r="1664" spans="1:15" ht="18" customHeight="1" x14ac:dyDescent="0.3">
      <c r="A1664" s="29">
        <v>1663</v>
      </c>
      <c r="B1664" s="15" t="s">
        <v>52</v>
      </c>
      <c r="C1664" s="15" t="s">
        <v>57</v>
      </c>
      <c r="D1664" s="69">
        <v>89</v>
      </c>
      <c r="E1664" s="68" t="s">
        <v>3328</v>
      </c>
      <c r="F1664" s="24" t="s">
        <v>1085</v>
      </c>
      <c r="G1664" s="15" t="s">
        <v>154</v>
      </c>
      <c r="H1664" s="15" t="s">
        <v>907</v>
      </c>
      <c r="I1664" s="69">
        <v>66</v>
      </c>
      <c r="J1664" s="15" t="s">
        <v>2672</v>
      </c>
      <c r="K1664" s="15" t="s">
        <v>903</v>
      </c>
      <c r="L1664" s="15" t="s">
        <v>2673</v>
      </c>
      <c r="M1664" s="15" t="s">
        <v>2672</v>
      </c>
      <c r="N1664" s="15" t="s">
        <v>2673</v>
      </c>
      <c r="O1664" s="15"/>
    </row>
    <row r="1665" spans="1:15" ht="18" customHeight="1" x14ac:dyDescent="0.3">
      <c r="A1665" s="29">
        <v>1664</v>
      </c>
      <c r="B1665" s="15" t="s">
        <v>52</v>
      </c>
      <c r="C1665" s="15" t="s">
        <v>57</v>
      </c>
      <c r="D1665" s="69">
        <v>89</v>
      </c>
      <c r="E1665" s="68" t="s">
        <v>3328</v>
      </c>
      <c r="F1665" s="24" t="s">
        <v>1085</v>
      </c>
      <c r="G1665" s="15" t="s">
        <v>154</v>
      </c>
      <c r="H1665" s="15" t="s">
        <v>908</v>
      </c>
      <c r="I1665" s="69">
        <v>78</v>
      </c>
      <c r="J1665" s="15" t="s">
        <v>2672</v>
      </c>
      <c r="K1665" s="15" t="s">
        <v>903</v>
      </c>
      <c r="L1665" s="15" t="s">
        <v>2673</v>
      </c>
      <c r="M1665" s="15" t="s">
        <v>2672</v>
      </c>
      <c r="N1665" s="15" t="s">
        <v>2673</v>
      </c>
      <c r="O1665" s="15"/>
    </row>
    <row r="1666" spans="1:15" ht="18" customHeight="1" x14ac:dyDescent="0.3">
      <c r="A1666" s="29">
        <v>1665</v>
      </c>
      <c r="B1666" s="15" t="s">
        <v>52</v>
      </c>
      <c r="C1666" s="15" t="s">
        <v>57</v>
      </c>
      <c r="D1666" s="69">
        <v>89</v>
      </c>
      <c r="E1666" s="68" t="s">
        <v>3328</v>
      </c>
      <c r="F1666" s="24" t="s">
        <v>1918</v>
      </c>
      <c r="G1666" s="15" t="s">
        <v>154</v>
      </c>
      <c r="H1666" s="15" t="s">
        <v>905</v>
      </c>
      <c r="I1666" s="69">
        <v>85</v>
      </c>
      <c r="J1666" s="15" t="s">
        <v>2672</v>
      </c>
      <c r="K1666" s="15" t="s">
        <v>903</v>
      </c>
      <c r="L1666" s="15" t="s">
        <v>2673</v>
      </c>
      <c r="M1666" s="15" t="s">
        <v>2672</v>
      </c>
      <c r="N1666" s="15" t="s">
        <v>2673</v>
      </c>
      <c r="O1666" s="15"/>
    </row>
    <row r="1667" spans="1:15" ht="18" customHeight="1" x14ac:dyDescent="0.3">
      <c r="A1667" s="29">
        <v>1666</v>
      </c>
      <c r="B1667" s="15" t="s">
        <v>52</v>
      </c>
      <c r="C1667" s="15" t="s">
        <v>57</v>
      </c>
      <c r="D1667" s="69">
        <v>89</v>
      </c>
      <c r="E1667" s="68" t="s">
        <v>1003</v>
      </c>
      <c r="F1667" s="24" t="s">
        <v>1922</v>
      </c>
      <c r="G1667" s="15" t="s">
        <v>2673</v>
      </c>
      <c r="H1667" s="15" t="s">
        <v>1004</v>
      </c>
      <c r="I1667" s="69">
        <v>386</v>
      </c>
      <c r="J1667" s="15" t="s">
        <v>2674</v>
      </c>
      <c r="K1667" s="15" t="s">
        <v>903</v>
      </c>
      <c r="L1667" s="15" t="s">
        <v>2673</v>
      </c>
      <c r="M1667" s="15" t="s">
        <v>2672</v>
      </c>
      <c r="N1667" s="15" t="s">
        <v>2673</v>
      </c>
      <c r="O1667" s="15"/>
    </row>
    <row r="1668" spans="1:15" ht="18" customHeight="1" x14ac:dyDescent="0.3">
      <c r="A1668" s="29">
        <v>1667</v>
      </c>
      <c r="B1668" s="15" t="s">
        <v>52</v>
      </c>
      <c r="C1668" s="15" t="s">
        <v>57</v>
      </c>
      <c r="D1668" s="69">
        <v>89</v>
      </c>
      <c r="E1668" s="68" t="s">
        <v>3329</v>
      </c>
      <c r="F1668" s="24" t="s">
        <v>1082</v>
      </c>
      <c r="G1668" s="15" t="s">
        <v>154</v>
      </c>
      <c r="H1668" s="15" t="s">
        <v>905</v>
      </c>
      <c r="I1668" s="69">
        <v>119</v>
      </c>
      <c r="J1668" s="15" t="s">
        <v>2672</v>
      </c>
      <c r="K1668" s="15" t="s">
        <v>903</v>
      </c>
      <c r="L1668" s="15" t="s">
        <v>2673</v>
      </c>
      <c r="M1668" s="15" t="s">
        <v>2672</v>
      </c>
      <c r="N1668" s="15" t="s">
        <v>2673</v>
      </c>
      <c r="O1668" s="15"/>
    </row>
    <row r="1669" spans="1:15" ht="18" customHeight="1" x14ac:dyDescent="0.3">
      <c r="A1669" s="29">
        <v>1668</v>
      </c>
      <c r="B1669" s="15" t="s">
        <v>52</v>
      </c>
      <c r="C1669" s="15" t="s">
        <v>57</v>
      </c>
      <c r="D1669" s="69">
        <v>89</v>
      </c>
      <c r="E1669" s="68" t="s">
        <v>3329</v>
      </c>
      <c r="F1669" s="24" t="s">
        <v>1082</v>
      </c>
      <c r="G1669" s="15" t="s">
        <v>154</v>
      </c>
      <c r="H1669" s="15" t="s">
        <v>906</v>
      </c>
      <c r="I1669" s="69">
        <v>220</v>
      </c>
      <c r="J1669" s="15" t="s">
        <v>2674</v>
      </c>
      <c r="K1669" s="15" t="s">
        <v>903</v>
      </c>
      <c r="L1669" s="15" t="s">
        <v>2673</v>
      </c>
      <c r="M1669" s="15" t="s">
        <v>2672</v>
      </c>
      <c r="N1669" s="15" t="s">
        <v>2673</v>
      </c>
      <c r="O1669" s="15"/>
    </row>
    <row r="1670" spans="1:15" ht="18" customHeight="1" x14ac:dyDescent="0.3">
      <c r="A1670" s="29">
        <v>1669</v>
      </c>
      <c r="B1670" s="15" t="s">
        <v>52</v>
      </c>
      <c r="C1670" s="15" t="s">
        <v>57</v>
      </c>
      <c r="D1670" s="69">
        <v>89</v>
      </c>
      <c r="E1670" s="68" t="s">
        <v>3329</v>
      </c>
      <c r="F1670" s="24" t="s">
        <v>1082</v>
      </c>
      <c r="G1670" s="15" t="s">
        <v>154</v>
      </c>
      <c r="H1670" s="15" t="s">
        <v>907</v>
      </c>
      <c r="I1670" s="69">
        <v>220</v>
      </c>
      <c r="J1670" s="15" t="s">
        <v>2674</v>
      </c>
      <c r="K1670" s="15" t="s">
        <v>903</v>
      </c>
      <c r="L1670" s="15" t="s">
        <v>2673</v>
      </c>
      <c r="M1670" s="15" t="s">
        <v>2672</v>
      </c>
      <c r="N1670" s="15" t="s">
        <v>2673</v>
      </c>
      <c r="O1670" s="15"/>
    </row>
    <row r="1671" spans="1:15" ht="18" customHeight="1" x14ac:dyDescent="0.3">
      <c r="A1671" s="29">
        <v>1670</v>
      </c>
      <c r="B1671" s="15" t="s">
        <v>52</v>
      </c>
      <c r="C1671" s="15" t="s">
        <v>57</v>
      </c>
      <c r="D1671" s="69">
        <v>89</v>
      </c>
      <c r="E1671" s="68" t="s">
        <v>3329</v>
      </c>
      <c r="F1671" s="24" t="s">
        <v>1082</v>
      </c>
      <c r="G1671" s="15" t="s">
        <v>154</v>
      </c>
      <c r="H1671" s="15" t="s">
        <v>908</v>
      </c>
      <c r="I1671" s="69">
        <v>287</v>
      </c>
      <c r="J1671" s="15" t="s">
        <v>2672</v>
      </c>
      <c r="K1671" s="15" t="s">
        <v>903</v>
      </c>
      <c r="L1671" s="15" t="s">
        <v>2673</v>
      </c>
      <c r="M1671" s="15" t="s">
        <v>2672</v>
      </c>
      <c r="N1671" s="15" t="s">
        <v>2673</v>
      </c>
      <c r="O1671" s="15"/>
    </row>
    <row r="1672" spans="1:15" ht="18" customHeight="1" x14ac:dyDescent="0.3">
      <c r="A1672" s="29">
        <v>1671</v>
      </c>
      <c r="B1672" s="15" t="s">
        <v>52</v>
      </c>
      <c r="C1672" s="15" t="s">
        <v>57</v>
      </c>
      <c r="D1672" s="69">
        <v>89</v>
      </c>
      <c r="E1672" s="68" t="s">
        <v>3329</v>
      </c>
      <c r="F1672" s="24" t="s">
        <v>1082</v>
      </c>
      <c r="G1672" s="15" t="s">
        <v>154</v>
      </c>
      <c r="H1672" s="15" t="s">
        <v>909</v>
      </c>
      <c r="I1672" s="69">
        <v>103</v>
      </c>
      <c r="J1672" s="15" t="s">
        <v>2672</v>
      </c>
      <c r="K1672" s="15" t="s">
        <v>903</v>
      </c>
      <c r="L1672" s="15" t="s">
        <v>2673</v>
      </c>
      <c r="M1672" s="15" t="s">
        <v>2672</v>
      </c>
      <c r="N1672" s="15" t="s">
        <v>2673</v>
      </c>
      <c r="O1672" s="15"/>
    </row>
    <row r="1673" spans="1:15" ht="18" customHeight="1" x14ac:dyDescent="0.3">
      <c r="A1673" s="29">
        <v>1672</v>
      </c>
      <c r="B1673" s="15" t="s">
        <v>52</v>
      </c>
      <c r="C1673" s="15" t="s">
        <v>57</v>
      </c>
      <c r="D1673" s="69">
        <v>89</v>
      </c>
      <c r="E1673" s="68" t="s">
        <v>3329</v>
      </c>
      <c r="F1673" s="24" t="s">
        <v>2909</v>
      </c>
      <c r="G1673" s="15" t="s">
        <v>154</v>
      </c>
      <c r="H1673" s="15" t="s">
        <v>901</v>
      </c>
      <c r="I1673" s="69">
        <v>132</v>
      </c>
      <c r="J1673" s="15" t="s">
        <v>2674</v>
      </c>
      <c r="K1673" s="15" t="s">
        <v>902</v>
      </c>
      <c r="L1673" s="15" t="s">
        <v>208</v>
      </c>
      <c r="M1673" s="15" t="s">
        <v>2672</v>
      </c>
      <c r="N1673" s="15" t="s">
        <v>2673</v>
      </c>
      <c r="O1673" s="15"/>
    </row>
    <row r="1674" spans="1:15" ht="18" customHeight="1" x14ac:dyDescent="0.3">
      <c r="A1674" s="29">
        <v>1673</v>
      </c>
      <c r="B1674" s="15" t="s">
        <v>52</v>
      </c>
      <c r="C1674" s="15" t="s">
        <v>57</v>
      </c>
      <c r="D1674" s="69">
        <v>89</v>
      </c>
      <c r="E1674" s="68" t="s">
        <v>3329</v>
      </c>
      <c r="F1674" s="24" t="s">
        <v>2909</v>
      </c>
      <c r="G1674" s="15" t="s">
        <v>154</v>
      </c>
      <c r="H1674" s="15" t="s">
        <v>910</v>
      </c>
      <c r="I1674" s="69">
        <v>169</v>
      </c>
      <c r="J1674" s="15" t="s">
        <v>2674</v>
      </c>
      <c r="K1674" s="15" t="s">
        <v>902</v>
      </c>
      <c r="L1674" s="15" t="s">
        <v>1069</v>
      </c>
      <c r="M1674" s="15" t="s">
        <v>2672</v>
      </c>
      <c r="N1674" s="15" t="s">
        <v>2673</v>
      </c>
      <c r="O1674" s="15"/>
    </row>
    <row r="1675" spans="1:15" ht="18" customHeight="1" x14ac:dyDescent="0.3">
      <c r="A1675" s="29">
        <v>1674</v>
      </c>
      <c r="B1675" s="15" t="s">
        <v>52</v>
      </c>
      <c r="C1675" s="15" t="s">
        <v>57</v>
      </c>
      <c r="D1675" s="69">
        <v>89</v>
      </c>
      <c r="E1675" s="68" t="s">
        <v>3329</v>
      </c>
      <c r="F1675" s="24" t="s">
        <v>2909</v>
      </c>
      <c r="G1675" s="15" t="s">
        <v>154</v>
      </c>
      <c r="H1675" s="15" t="s">
        <v>1253</v>
      </c>
      <c r="I1675" s="69">
        <v>76</v>
      </c>
      <c r="J1675" s="15" t="s">
        <v>2672</v>
      </c>
      <c r="K1675" s="15" t="s">
        <v>2674</v>
      </c>
      <c r="L1675" s="15" t="s">
        <v>2727</v>
      </c>
      <c r="M1675" s="15" t="s">
        <v>2672</v>
      </c>
      <c r="N1675" s="15" t="s">
        <v>2673</v>
      </c>
      <c r="O1675" s="15"/>
    </row>
    <row r="1676" spans="1:15" ht="18" customHeight="1" x14ac:dyDescent="0.3">
      <c r="A1676" s="29">
        <v>1675</v>
      </c>
      <c r="B1676" s="15" t="s">
        <v>52</v>
      </c>
      <c r="C1676" s="15" t="s">
        <v>57</v>
      </c>
      <c r="D1676" s="69">
        <v>89</v>
      </c>
      <c r="E1676" s="68" t="s">
        <v>2910</v>
      </c>
      <c r="F1676" s="24" t="s">
        <v>1927</v>
      </c>
      <c r="G1676" s="15" t="s">
        <v>2673</v>
      </c>
      <c r="H1676" s="15" t="s">
        <v>901</v>
      </c>
      <c r="I1676" s="69">
        <v>70</v>
      </c>
      <c r="J1676" s="15" t="s">
        <v>2672</v>
      </c>
      <c r="K1676" s="15" t="s">
        <v>903</v>
      </c>
      <c r="L1676" s="15" t="s">
        <v>2673</v>
      </c>
      <c r="M1676" s="15" t="s">
        <v>2674</v>
      </c>
      <c r="N1676" s="15" t="s">
        <v>1508</v>
      </c>
      <c r="O1676" s="15"/>
    </row>
    <row r="1677" spans="1:15" ht="18" customHeight="1" x14ac:dyDescent="0.3">
      <c r="A1677" s="29">
        <v>1676</v>
      </c>
      <c r="B1677" s="15" t="s">
        <v>52</v>
      </c>
      <c r="C1677" s="15" t="s">
        <v>57</v>
      </c>
      <c r="D1677" s="69">
        <v>89</v>
      </c>
      <c r="E1677" s="68" t="s">
        <v>245</v>
      </c>
      <c r="F1677" s="14" t="s">
        <v>1930</v>
      </c>
      <c r="G1677" s="15" t="s">
        <v>154</v>
      </c>
      <c r="H1677" s="15" t="s">
        <v>901</v>
      </c>
      <c r="I1677" s="69">
        <v>177</v>
      </c>
      <c r="J1677" s="13" t="s">
        <v>902</v>
      </c>
      <c r="K1677" s="15" t="s">
        <v>903</v>
      </c>
      <c r="L1677" s="15" t="s">
        <v>2673</v>
      </c>
      <c r="M1677" s="15" t="s">
        <v>2672</v>
      </c>
      <c r="N1677" s="15" t="s">
        <v>2673</v>
      </c>
      <c r="O1677" s="15"/>
    </row>
    <row r="1678" spans="1:15" ht="18" customHeight="1" x14ac:dyDescent="0.3">
      <c r="A1678" s="29">
        <v>1677</v>
      </c>
      <c r="B1678" s="15" t="s">
        <v>52</v>
      </c>
      <c r="C1678" s="15" t="s">
        <v>57</v>
      </c>
      <c r="D1678" s="69">
        <v>89</v>
      </c>
      <c r="E1678" s="68" t="s">
        <v>245</v>
      </c>
      <c r="F1678" s="14" t="s">
        <v>1930</v>
      </c>
      <c r="G1678" s="15" t="s">
        <v>154</v>
      </c>
      <c r="H1678" s="15" t="s">
        <v>904</v>
      </c>
      <c r="I1678" s="69">
        <v>95</v>
      </c>
      <c r="J1678" s="13" t="s">
        <v>2672</v>
      </c>
      <c r="K1678" s="15" t="s">
        <v>903</v>
      </c>
      <c r="L1678" s="15" t="s">
        <v>2673</v>
      </c>
      <c r="M1678" s="15" t="s">
        <v>2672</v>
      </c>
      <c r="N1678" s="15" t="s">
        <v>2673</v>
      </c>
      <c r="O1678" s="15"/>
    </row>
    <row r="1679" spans="1:15" ht="18" customHeight="1" x14ac:dyDescent="0.3">
      <c r="A1679" s="29">
        <v>1678</v>
      </c>
      <c r="B1679" s="15" t="s">
        <v>52</v>
      </c>
      <c r="C1679" s="15" t="s">
        <v>57</v>
      </c>
      <c r="D1679" s="69">
        <v>89</v>
      </c>
      <c r="E1679" s="68" t="s">
        <v>245</v>
      </c>
      <c r="F1679" s="14" t="s">
        <v>1086</v>
      </c>
      <c r="G1679" s="15" t="s">
        <v>154</v>
      </c>
      <c r="H1679" s="15" t="s">
        <v>905</v>
      </c>
      <c r="I1679" s="69">
        <v>133</v>
      </c>
      <c r="J1679" s="13" t="s">
        <v>2672</v>
      </c>
      <c r="K1679" s="15" t="s">
        <v>903</v>
      </c>
      <c r="L1679" s="15" t="s">
        <v>2673</v>
      </c>
      <c r="M1679" s="15" t="s">
        <v>2672</v>
      </c>
      <c r="N1679" s="15" t="s">
        <v>2673</v>
      </c>
      <c r="O1679" s="15"/>
    </row>
    <row r="1680" spans="1:15" ht="18" customHeight="1" x14ac:dyDescent="0.3">
      <c r="A1680" s="29">
        <v>1679</v>
      </c>
      <c r="B1680" s="15" t="s">
        <v>52</v>
      </c>
      <c r="C1680" s="15" t="s">
        <v>57</v>
      </c>
      <c r="D1680" s="69">
        <v>89</v>
      </c>
      <c r="E1680" s="68" t="s">
        <v>245</v>
      </c>
      <c r="F1680" s="14" t="s">
        <v>1086</v>
      </c>
      <c r="G1680" s="15" t="s">
        <v>154</v>
      </c>
      <c r="H1680" s="15" t="s">
        <v>906</v>
      </c>
      <c r="I1680" s="69">
        <v>177</v>
      </c>
      <c r="J1680" s="13" t="s">
        <v>2672</v>
      </c>
      <c r="K1680" s="15" t="s">
        <v>903</v>
      </c>
      <c r="L1680" s="15" t="s">
        <v>2673</v>
      </c>
      <c r="M1680" s="15" t="s">
        <v>2672</v>
      </c>
      <c r="N1680" s="15" t="s">
        <v>2673</v>
      </c>
      <c r="O1680" s="15"/>
    </row>
    <row r="1681" spans="1:15" ht="18" customHeight="1" x14ac:dyDescent="0.3">
      <c r="A1681" s="29">
        <v>1680</v>
      </c>
      <c r="B1681" s="15" t="s">
        <v>52</v>
      </c>
      <c r="C1681" s="15" t="s">
        <v>57</v>
      </c>
      <c r="D1681" s="69">
        <v>89</v>
      </c>
      <c r="E1681" s="68" t="s">
        <v>245</v>
      </c>
      <c r="F1681" s="14" t="s">
        <v>1086</v>
      </c>
      <c r="G1681" s="15" t="s">
        <v>154</v>
      </c>
      <c r="H1681" s="15" t="s">
        <v>907</v>
      </c>
      <c r="I1681" s="69">
        <v>95</v>
      </c>
      <c r="J1681" s="13" t="s">
        <v>2672</v>
      </c>
      <c r="K1681" s="15" t="s">
        <v>903</v>
      </c>
      <c r="L1681" s="15" t="s">
        <v>2673</v>
      </c>
      <c r="M1681" s="15" t="s">
        <v>2672</v>
      </c>
      <c r="N1681" s="15" t="s">
        <v>2673</v>
      </c>
      <c r="O1681" s="15"/>
    </row>
    <row r="1682" spans="1:15" ht="18" customHeight="1" x14ac:dyDescent="0.3">
      <c r="A1682" s="29">
        <v>1681</v>
      </c>
      <c r="B1682" s="15" t="s">
        <v>52</v>
      </c>
      <c r="C1682" s="15" t="s">
        <v>57</v>
      </c>
      <c r="D1682" s="69">
        <v>89</v>
      </c>
      <c r="E1682" s="68" t="s">
        <v>245</v>
      </c>
      <c r="F1682" s="14" t="s">
        <v>1086</v>
      </c>
      <c r="G1682" s="15" t="s">
        <v>154</v>
      </c>
      <c r="H1682" s="15" t="s">
        <v>908</v>
      </c>
      <c r="I1682" s="69">
        <v>133</v>
      </c>
      <c r="J1682" s="13" t="s">
        <v>902</v>
      </c>
      <c r="K1682" s="15" t="s">
        <v>903</v>
      </c>
      <c r="L1682" s="15" t="s">
        <v>2673</v>
      </c>
      <c r="M1682" s="15" t="s">
        <v>2672</v>
      </c>
      <c r="N1682" s="15" t="s">
        <v>2673</v>
      </c>
      <c r="O1682" s="15"/>
    </row>
    <row r="1683" spans="1:15" ht="18" customHeight="1" x14ac:dyDescent="0.3">
      <c r="A1683" s="29">
        <v>1682</v>
      </c>
      <c r="B1683" s="15" t="s">
        <v>52</v>
      </c>
      <c r="C1683" s="15" t="s">
        <v>57</v>
      </c>
      <c r="D1683" s="69">
        <v>89</v>
      </c>
      <c r="E1683" s="68" t="s">
        <v>245</v>
      </c>
      <c r="F1683" s="14" t="s">
        <v>1086</v>
      </c>
      <c r="G1683" s="15" t="s">
        <v>154</v>
      </c>
      <c r="H1683" s="15" t="s">
        <v>909</v>
      </c>
      <c r="I1683" s="69">
        <v>245</v>
      </c>
      <c r="J1683" s="13" t="s">
        <v>2672</v>
      </c>
      <c r="K1683" s="15" t="s">
        <v>903</v>
      </c>
      <c r="L1683" s="15" t="s">
        <v>2673</v>
      </c>
      <c r="M1683" s="15" t="s">
        <v>2672</v>
      </c>
      <c r="N1683" s="15" t="s">
        <v>2673</v>
      </c>
      <c r="O1683" s="15"/>
    </row>
    <row r="1684" spans="1:15" ht="18" customHeight="1" x14ac:dyDescent="0.3">
      <c r="A1684" s="29">
        <v>1683</v>
      </c>
      <c r="B1684" s="15" t="s">
        <v>52</v>
      </c>
      <c r="C1684" s="15" t="s">
        <v>57</v>
      </c>
      <c r="D1684" s="69">
        <v>89</v>
      </c>
      <c r="E1684" s="68" t="s">
        <v>245</v>
      </c>
      <c r="F1684" s="14" t="s">
        <v>1086</v>
      </c>
      <c r="G1684" s="15" t="s">
        <v>154</v>
      </c>
      <c r="H1684" s="15" t="s">
        <v>910</v>
      </c>
      <c r="I1684" s="69">
        <v>242</v>
      </c>
      <c r="J1684" s="13" t="s">
        <v>902</v>
      </c>
      <c r="K1684" s="15" t="s">
        <v>903</v>
      </c>
      <c r="L1684" s="15" t="s">
        <v>2673</v>
      </c>
      <c r="M1684" s="15" t="s">
        <v>2672</v>
      </c>
      <c r="N1684" s="15" t="s">
        <v>2673</v>
      </c>
      <c r="O1684" s="15"/>
    </row>
    <row r="1685" spans="1:15" ht="18" customHeight="1" x14ac:dyDescent="0.3">
      <c r="A1685" s="29">
        <v>1684</v>
      </c>
      <c r="B1685" s="15" t="s">
        <v>52</v>
      </c>
      <c r="C1685" s="15" t="s">
        <v>57</v>
      </c>
      <c r="D1685" s="69">
        <v>89</v>
      </c>
      <c r="E1685" s="68" t="s">
        <v>947</v>
      </c>
      <c r="F1685" s="14" t="s">
        <v>1934</v>
      </c>
      <c r="G1685" s="15" t="s">
        <v>164</v>
      </c>
      <c r="H1685" s="15" t="s">
        <v>901</v>
      </c>
      <c r="I1685" s="69">
        <v>196</v>
      </c>
      <c r="J1685" s="13" t="s">
        <v>2672</v>
      </c>
      <c r="K1685" s="15" t="s">
        <v>903</v>
      </c>
      <c r="L1685" s="15" t="s">
        <v>2673</v>
      </c>
      <c r="M1685" s="15" t="s">
        <v>2672</v>
      </c>
      <c r="N1685" s="15" t="s">
        <v>2673</v>
      </c>
      <c r="O1685" s="15"/>
    </row>
    <row r="1686" spans="1:15" ht="18" customHeight="1" x14ac:dyDescent="0.3">
      <c r="A1686" s="29">
        <v>1685</v>
      </c>
      <c r="B1686" s="15" t="s">
        <v>52</v>
      </c>
      <c r="C1686" s="15" t="s">
        <v>57</v>
      </c>
      <c r="D1686" s="69">
        <v>89</v>
      </c>
      <c r="E1686" s="68" t="s">
        <v>947</v>
      </c>
      <c r="F1686" s="14" t="s">
        <v>1934</v>
      </c>
      <c r="G1686" s="15" t="s">
        <v>164</v>
      </c>
      <c r="H1686" s="15" t="s">
        <v>904</v>
      </c>
      <c r="I1686" s="69">
        <v>68</v>
      </c>
      <c r="J1686" s="13" t="s">
        <v>2672</v>
      </c>
      <c r="K1686" s="15" t="s">
        <v>903</v>
      </c>
      <c r="L1686" s="15" t="s">
        <v>2673</v>
      </c>
      <c r="M1686" s="15" t="s">
        <v>2672</v>
      </c>
      <c r="N1686" s="15" t="s">
        <v>2673</v>
      </c>
      <c r="O1686" s="15"/>
    </row>
    <row r="1687" spans="1:15" ht="18" customHeight="1" x14ac:dyDescent="0.3">
      <c r="A1687" s="29">
        <v>1686</v>
      </c>
      <c r="B1687" s="15" t="s">
        <v>52</v>
      </c>
      <c r="C1687" s="15" t="s">
        <v>57</v>
      </c>
      <c r="D1687" s="69">
        <v>89</v>
      </c>
      <c r="E1687" s="68" t="s">
        <v>947</v>
      </c>
      <c r="F1687" s="14" t="s">
        <v>1083</v>
      </c>
      <c r="G1687" s="15" t="s">
        <v>164</v>
      </c>
      <c r="H1687" s="15" t="s">
        <v>905</v>
      </c>
      <c r="I1687" s="69">
        <v>40</v>
      </c>
      <c r="J1687" s="13" t="s">
        <v>2674</v>
      </c>
      <c r="K1687" s="15" t="s">
        <v>903</v>
      </c>
      <c r="L1687" s="15" t="s">
        <v>2673</v>
      </c>
      <c r="M1687" s="15" t="s">
        <v>2672</v>
      </c>
      <c r="N1687" s="15" t="s">
        <v>2673</v>
      </c>
      <c r="O1687" s="15"/>
    </row>
    <row r="1688" spans="1:15" ht="18" customHeight="1" x14ac:dyDescent="0.3">
      <c r="A1688" s="29">
        <v>1687</v>
      </c>
      <c r="B1688" s="15" t="s">
        <v>52</v>
      </c>
      <c r="C1688" s="15" t="s">
        <v>57</v>
      </c>
      <c r="D1688" s="69">
        <v>89</v>
      </c>
      <c r="E1688" s="68" t="s">
        <v>947</v>
      </c>
      <c r="F1688" s="14" t="s">
        <v>1083</v>
      </c>
      <c r="G1688" s="15" t="s">
        <v>164</v>
      </c>
      <c r="H1688" s="15" t="s">
        <v>906</v>
      </c>
      <c r="I1688" s="69">
        <v>71</v>
      </c>
      <c r="J1688" s="13" t="s">
        <v>2672</v>
      </c>
      <c r="K1688" s="15" t="s">
        <v>903</v>
      </c>
      <c r="L1688" s="15" t="s">
        <v>2673</v>
      </c>
      <c r="M1688" s="15" t="s">
        <v>2672</v>
      </c>
      <c r="N1688" s="15" t="s">
        <v>2673</v>
      </c>
      <c r="O1688" s="15"/>
    </row>
    <row r="1689" spans="1:15" ht="18" customHeight="1" x14ac:dyDescent="0.3">
      <c r="A1689" s="29">
        <v>1688</v>
      </c>
      <c r="B1689" s="15" t="s">
        <v>52</v>
      </c>
      <c r="C1689" s="15" t="s">
        <v>57</v>
      </c>
      <c r="D1689" s="69">
        <v>89</v>
      </c>
      <c r="E1689" s="68" t="s">
        <v>947</v>
      </c>
      <c r="F1689" s="14" t="s">
        <v>1083</v>
      </c>
      <c r="G1689" s="15" t="s">
        <v>164</v>
      </c>
      <c r="H1689" s="15" t="s">
        <v>907</v>
      </c>
      <c r="I1689" s="69">
        <v>180</v>
      </c>
      <c r="J1689" s="13" t="s">
        <v>2672</v>
      </c>
      <c r="K1689" s="15" t="s">
        <v>903</v>
      </c>
      <c r="L1689" s="15" t="s">
        <v>2673</v>
      </c>
      <c r="M1689" s="15" t="s">
        <v>2672</v>
      </c>
      <c r="N1689" s="15" t="s">
        <v>2673</v>
      </c>
      <c r="O1689" s="15"/>
    </row>
    <row r="1690" spans="1:15" ht="18" customHeight="1" x14ac:dyDescent="0.3">
      <c r="A1690" s="29">
        <v>1689</v>
      </c>
      <c r="B1690" s="15" t="s">
        <v>52</v>
      </c>
      <c r="C1690" s="15" t="s">
        <v>57</v>
      </c>
      <c r="D1690" s="69">
        <v>89</v>
      </c>
      <c r="E1690" s="68" t="s">
        <v>947</v>
      </c>
      <c r="F1690" s="14" t="s">
        <v>1083</v>
      </c>
      <c r="G1690" s="15" t="s">
        <v>164</v>
      </c>
      <c r="H1690" s="15" t="s">
        <v>908</v>
      </c>
      <c r="I1690" s="69">
        <v>68</v>
      </c>
      <c r="J1690" s="13" t="s">
        <v>2672</v>
      </c>
      <c r="K1690" s="15" t="s">
        <v>903</v>
      </c>
      <c r="L1690" s="15" t="s">
        <v>2673</v>
      </c>
      <c r="M1690" s="15" t="s">
        <v>2672</v>
      </c>
      <c r="N1690" s="15" t="s">
        <v>2673</v>
      </c>
      <c r="O1690" s="15"/>
    </row>
    <row r="1691" spans="1:15" ht="18" customHeight="1" x14ac:dyDescent="0.3">
      <c r="A1691" s="29">
        <v>1690</v>
      </c>
      <c r="B1691" s="15" t="s">
        <v>52</v>
      </c>
      <c r="C1691" s="15" t="s">
        <v>57</v>
      </c>
      <c r="D1691" s="69">
        <v>89</v>
      </c>
      <c r="E1691" s="68" t="s">
        <v>947</v>
      </c>
      <c r="F1691" s="14" t="s">
        <v>1083</v>
      </c>
      <c r="G1691" s="15" t="s">
        <v>164</v>
      </c>
      <c r="H1691" s="15" t="s">
        <v>909</v>
      </c>
      <c r="I1691" s="69">
        <v>40</v>
      </c>
      <c r="J1691" s="13" t="s">
        <v>2672</v>
      </c>
      <c r="K1691" s="15" t="s">
        <v>903</v>
      </c>
      <c r="L1691" s="15" t="s">
        <v>2673</v>
      </c>
      <c r="M1691" s="15" t="s">
        <v>2672</v>
      </c>
      <c r="N1691" s="15" t="s">
        <v>2673</v>
      </c>
      <c r="O1691" s="15"/>
    </row>
    <row r="1692" spans="1:15" ht="18" customHeight="1" x14ac:dyDescent="0.3">
      <c r="A1692" s="29">
        <v>1691</v>
      </c>
      <c r="B1692" s="15" t="s">
        <v>52</v>
      </c>
      <c r="C1692" s="15" t="s">
        <v>57</v>
      </c>
      <c r="D1692" s="69">
        <v>89</v>
      </c>
      <c r="E1692" s="68" t="s">
        <v>947</v>
      </c>
      <c r="F1692" s="14" t="s">
        <v>1083</v>
      </c>
      <c r="G1692" s="15" t="s">
        <v>164</v>
      </c>
      <c r="H1692" s="15" t="s">
        <v>910</v>
      </c>
      <c r="I1692" s="69">
        <v>73</v>
      </c>
      <c r="J1692" s="13" t="s">
        <v>2672</v>
      </c>
      <c r="K1692" s="15" t="s">
        <v>903</v>
      </c>
      <c r="L1692" s="15" t="s">
        <v>2673</v>
      </c>
      <c r="M1692" s="15" t="s">
        <v>2672</v>
      </c>
      <c r="N1692" s="15" t="s">
        <v>2673</v>
      </c>
      <c r="O1692" s="15"/>
    </row>
    <row r="1693" spans="1:15" ht="18" customHeight="1" x14ac:dyDescent="0.3">
      <c r="A1693" s="29">
        <v>1692</v>
      </c>
      <c r="B1693" s="15" t="s">
        <v>52</v>
      </c>
      <c r="C1693" s="15" t="s">
        <v>57</v>
      </c>
      <c r="D1693" s="69">
        <v>89</v>
      </c>
      <c r="E1693" s="68" t="s">
        <v>947</v>
      </c>
      <c r="F1693" s="14" t="s">
        <v>1083</v>
      </c>
      <c r="G1693" s="15" t="s">
        <v>164</v>
      </c>
      <c r="H1693" s="15" t="s">
        <v>911</v>
      </c>
      <c r="I1693" s="69">
        <v>70</v>
      </c>
      <c r="J1693" s="13" t="s">
        <v>2672</v>
      </c>
      <c r="K1693" s="15" t="s">
        <v>903</v>
      </c>
      <c r="L1693" s="15" t="s">
        <v>2673</v>
      </c>
      <c r="M1693" s="15" t="s">
        <v>2672</v>
      </c>
      <c r="N1693" s="15" t="s">
        <v>2673</v>
      </c>
      <c r="O1693" s="15"/>
    </row>
    <row r="1694" spans="1:15" ht="18" customHeight="1" x14ac:dyDescent="0.3">
      <c r="A1694" s="29">
        <v>1693</v>
      </c>
      <c r="B1694" s="15" t="s">
        <v>52</v>
      </c>
      <c r="C1694" s="15" t="s">
        <v>57</v>
      </c>
      <c r="D1694" s="69">
        <v>89</v>
      </c>
      <c r="E1694" s="68" t="s">
        <v>3330</v>
      </c>
      <c r="F1694" s="14" t="s">
        <v>1934</v>
      </c>
      <c r="G1694" s="15" t="s">
        <v>154</v>
      </c>
      <c r="H1694" s="15" t="s">
        <v>901</v>
      </c>
      <c r="I1694" s="69">
        <v>134</v>
      </c>
      <c r="J1694" s="15" t="s">
        <v>2672</v>
      </c>
      <c r="K1694" s="15" t="s">
        <v>903</v>
      </c>
      <c r="L1694" s="15" t="s">
        <v>2673</v>
      </c>
      <c r="M1694" s="15" t="s">
        <v>2672</v>
      </c>
      <c r="N1694" s="15" t="s">
        <v>2673</v>
      </c>
      <c r="O1694" s="15" t="s">
        <v>2911</v>
      </c>
    </row>
    <row r="1695" spans="1:15" ht="18" customHeight="1" x14ac:dyDescent="0.3">
      <c r="A1695" s="29">
        <v>1694</v>
      </c>
      <c r="B1695" s="15" t="s">
        <v>52</v>
      </c>
      <c r="C1695" s="15" t="s">
        <v>57</v>
      </c>
      <c r="D1695" s="69">
        <v>89</v>
      </c>
      <c r="E1695" s="68" t="s">
        <v>3330</v>
      </c>
      <c r="F1695" s="14" t="s">
        <v>1934</v>
      </c>
      <c r="G1695" s="15" t="s">
        <v>154</v>
      </c>
      <c r="H1695" s="15" t="s">
        <v>904</v>
      </c>
      <c r="I1695" s="69">
        <v>95</v>
      </c>
      <c r="J1695" s="15" t="s">
        <v>2672</v>
      </c>
      <c r="K1695" s="15" t="s">
        <v>903</v>
      </c>
      <c r="L1695" s="15" t="s">
        <v>2673</v>
      </c>
      <c r="M1695" s="15" t="s">
        <v>2672</v>
      </c>
      <c r="N1695" s="15" t="s">
        <v>2673</v>
      </c>
      <c r="O1695" s="15" t="s">
        <v>2911</v>
      </c>
    </row>
    <row r="1696" spans="1:15" ht="18" customHeight="1" x14ac:dyDescent="0.3">
      <c r="A1696" s="29">
        <v>1695</v>
      </c>
      <c r="B1696" s="15" t="s">
        <v>52</v>
      </c>
      <c r="C1696" s="15" t="s">
        <v>57</v>
      </c>
      <c r="D1696" s="69">
        <v>89</v>
      </c>
      <c r="E1696" s="68" t="s">
        <v>3330</v>
      </c>
      <c r="F1696" s="14" t="s">
        <v>1083</v>
      </c>
      <c r="G1696" s="15" t="s">
        <v>154</v>
      </c>
      <c r="H1696" s="15" t="s">
        <v>905</v>
      </c>
      <c r="I1696" s="69">
        <v>206</v>
      </c>
      <c r="J1696" s="15" t="s">
        <v>2672</v>
      </c>
      <c r="K1696" s="15" t="s">
        <v>903</v>
      </c>
      <c r="L1696" s="15" t="s">
        <v>2673</v>
      </c>
      <c r="M1696" s="15" t="s">
        <v>2672</v>
      </c>
      <c r="N1696" s="15" t="s">
        <v>2673</v>
      </c>
      <c r="O1696" s="15" t="s">
        <v>2911</v>
      </c>
    </row>
    <row r="1697" spans="1:15" ht="18" customHeight="1" x14ac:dyDescent="0.3">
      <c r="A1697" s="29">
        <v>1696</v>
      </c>
      <c r="B1697" s="15" t="s">
        <v>52</v>
      </c>
      <c r="C1697" s="15" t="s">
        <v>57</v>
      </c>
      <c r="D1697" s="69">
        <v>89</v>
      </c>
      <c r="E1697" s="68" t="s">
        <v>3330</v>
      </c>
      <c r="F1697" s="14" t="s">
        <v>1083</v>
      </c>
      <c r="G1697" s="15" t="s">
        <v>154</v>
      </c>
      <c r="H1697" s="15" t="s">
        <v>907</v>
      </c>
      <c r="I1697" s="69">
        <v>95</v>
      </c>
      <c r="J1697" s="15" t="s">
        <v>2674</v>
      </c>
      <c r="K1697" s="15" t="s">
        <v>903</v>
      </c>
      <c r="L1697" s="15" t="s">
        <v>2673</v>
      </c>
      <c r="M1697" s="15" t="s">
        <v>2672</v>
      </c>
      <c r="N1697" s="15" t="s">
        <v>2673</v>
      </c>
      <c r="O1697" s="15" t="s">
        <v>2911</v>
      </c>
    </row>
    <row r="1698" spans="1:15" ht="18" customHeight="1" x14ac:dyDescent="0.3">
      <c r="A1698" s="29">
        <v>1697</v>
      </c>
      <c r="B1698" s="15" t="s">
        <v>52</v>
      </c>
      <c r="C1698" s="15" t="s">
        <v>57</v>
      </c>
      <c r="D1698" s="69">
        <v>89</v>
      </c>
      <c r="E1698" s="68" t="s">
        <v>3330</v>
      </c>
      <c r="F1698" s="14" t="s">
        <v>1083</v>
      </c>
      <c r="G1698" s="15" t="s">
        <v>154</v>
      </c>
      <c r="H1698" s="15" t="s">
        <v>908</v>
      </c>
      <c r="I1698" s="69">
        <v>230</v>
      </c>
      <c r="J1698" s="15" t="s">
        <v>2672</v>
      </c>
      <c r="K1698" s="15" t="s">
        <v>903</v>
      </c>
      <c r="L1698" s="15" t="s">
        <v>2673</v>
      </c>
      <c r="M1698" s="15" t="s">
        <v>2672</v>
      </c>
      <c r="N1698" s="15" t="s">
        <v>2673</v>
      </c>
      <c r="O1698" s="15" t="s">
        <v>2911</v>
      </c>
    </row>
    <row r="1699" spans="1:15" ht="18" customHeight="1" x14ac:dyDescent="0.3">
      <c r="A1699" s="29">
        <v>1698</v>
      </c>
      <c r="B1699" s="15" t="s">
        <v>52</v>
      </c>
      <c r="C1699" s="15" t="s">
        <v>57</v>
      </c>
      <c r="D1699" s="69">
        <v>89</v>
      </c>
      <c r="E1699" s="68" t="s">
        <v>3330</v>
      </c>
      <c r="F1699" s="14" t="s">
        <v>1083</v>
      </c>
      <c r="G1699" s="15" t="s">
        <v>154</v>
      </c>
      <c r="H1699" s="15" t="s">
        <v>909</v>
      </c>
      <c r="I1699" s="69">
        <v>134</v>
      </c>
      <c r="J1699" s="15" t="s">
        <v>2672</v>
      </c>
      <c r="K1699" s="15" t="s">
        <v>903</v>
      </c>
      <c r="L1699" s="15" t="s">
        <v>2673</v>
      </c>
      <c r="M1699" s="15" t="s">
        <v>2672</v>
      </c>
      <c r="N1699" s="15" t="s">
        <v>2673</v>
      </c>
      <c r="O1699" s="15" t="s">
        <v>2911</v>
      </c>
    </row>
    <row r="1700" spans="1:15" ht="18" customHeight="1" x14ac:dyDescent="0.3">
      <c r="A1700" s="29">
        <v>1699</v>
      </c>
      <c r="B1700" s="15" t="s">
        <v>52</v>
      </c>
      <c r="C1700" s="15" t="s">
        <v>57</v>
      </c>
      <c r="D1700" s="69">
        <v>89</v>
      </c>
      <c r="E1700" s="68" t="s">
        <v>3330</v>
      </c>
      <c r="F1700" s="14" t="s">
        <v>1083</v>
      </c>
      <c r="G1700" s="15" t="s">
        <v>154</v>
      </c>
      <c r="H1700" s="15" t="s">
        <v>910</v>
      </c>
      <c r="I1700" s="69">
        <v>95</v>
      </c>
      <c r="J1700" s="15" t="s">
        <v>2672</v>
      </c>
      <c r="K1700" s="15" t="s">
        <v>903</v>
      </c>
      <c r="L1700" s="15" t="s">
        <v>2673</v>
      </c>
      <c r="M1700" s="15" t="s">
        <v>2672</v>
      </c>
      <c r="N1700" s="15" t="s">
        <v>2673</v>
      </c>
      <c r="O1700" s="15" t="s">
        <v>2911</v>
      </c>
    </row>
    <row r="1701" spans="1:15" ht="18" customHeight="1" x14ac:dyDescent="0.3">
      <c r="A1701" s="29">
        <v>1700</v>
      </c>
      <c r="B1701" s="15" t="s">
        <v>52</v>
      </c>
      <c r="C1701" s="15" t="s">
        <v>57</v>
      </c>
      <c r="D1701" s="69">
        <v>89</v>
      </c>
      <c r="E1701" s="68" t="s">
        <v>3330</v>
      </c>
      <c r="F1701" s="14" t="s">
        <v>2912</v>
      </c>
      <c r="G1701" s="15" t="s">
        <v>154</v>
      </c>
      <c r="H1701" s="15" t="s">
        <v>906</v>
      </c>
      <c r="I1701" s="69">
        <v>130</v>
      </c>
      <c r="J1701" s="15" t="s">
        <v>2672</v>
      </c>
      <c r="K1701" s="15" t="s">
        <v>903</v>
      </c>
      <c r="L1701" s="15" t="s">
        <v>2673</v>
      </c>
      <c r="M1701" s="15" t="s">
        <v>2672</v>
      </c>
      <c r="N1701" s="15" t="s">
        <v>2673</v>
      </c>
      <c r="O1701" s="15" t="s">
        <v>2911</v>
      </c>
    </row>
    <row r="1702" spans="1:15" ht="18" customHeight="1" x14ac:dyDescent="0.3">
      <c r="A1702" s="29">
        <v>1701</v>
      </c>
      <c r="B1702" s="15" t="s">
        <v>52</v>
      </c>
      <c r="C1702" s="15" t="s">
        <v>57</v>
      </c>
      <c r="D1702" s="69">
        <v>89</v>
      </c>
      <c r="E1702" s="68" t="s">
        <v>3331</v>
      </c>
      <c r="F1702" s="24" t="s">
        <v>1936</v>
      </c>
      <c r="G1702" s="15" t="s">
        <v>154</v>
      </c>
      <c r="H1702" s="15" t="s">
        <v>904</v>
      </c>
      <c r="I1702" s="69">
        <v>110</v>
      </c>
      <c r="J1702" s="15" t="s">
        <v>2672</v>
      </c>
      <c r="K1702" s="15" t="s">
        <v>903</v>
      </c>
      <c r="L1702" s="15" t="s">
        <v>2673</v>
      </c>
      <c r="M1702" s="15" t="s">
        <v>2672</v>
      </c>
      <c r="N1702" s="15" t="s">
        <v>2673</v>
      </c>
      <c r="O1702" s="15"/>
    </row>
    <row r="1703" spans="1:15" ht="18" customHeight="1" x14ac:dyDescent="0.3">
      <c r="A1703" s="29">
        <v>1702</v>
      </c>
      <c r="B1703" s="15" t="s">
        <v>52</v>
      </c>
      <c r="C1703" s="15" t="s">
        <v>57</v>
      </c>
      <c r="D1703" s="69">
        <v>89</v>
      </c>
      <c r="E1703" s="68" t="s">
        <v>3331</v>
      </c>
      <c r="F1703" s="24" t="s">
        <v>1084</v>
      </c>
      <c r="G1703" s="15" t="s">
        <v>154</v>
      </c>
      <c r="H1703" s="15" t="s">
        <v>905</v>
      </c>
      <c r="I1703" s="69">
        <v>190</v>
      </c>
      <c r="J1703" s="15" t="s">
        <v>2672</v>
      </c>
      <c r="K1703" s="15" t="s">
        <v>903</v>
      </c>
      <c r="L1703" s="15" t="s">
        <v>2673</v>
      </c>
      <c r="M1703" s="15" t="s">
        <v>2672</v>
      </c>
      <c r="N1703" s="15" t="s">
        <v>2673</v>
      </c>
      <c r="O1703" s="15"/>
    </row>
    <row r="1704" spans="1:15" ht="18" customHeight="1" x14ac:dyDescent="0.3">
      <c r="A1704" s="29">
        <v>1703</v>
      </c>
      <c r="B1704" s="15" t="s">
        <v>52</v>
      </c>
      <c r="C1704" s="15" t="s">
        <v>57</v>
      </c>
      <c r="D1704" s="69">
        <v>89</v>
      </c>
      <c r="E1704" s="68" t="s">
        <v>3331</v>
      </c>
      <c r="F1704" s="24" t="s">
        <v>1084</v>
      </c>
      <c r="G1704" s="15" t="s">
        <v>154</v>
      </c>
      <c r="H1704" s="15" t="s">
        <v>906</v>
      </c>
      <c r="I1704" s="69">
        <v>190</v>
      </c>
      <c r="J1704" s="15" t="s">
        <v>2672</v>
      </c>
      <c r="K1704" s="15" t="s">
        <v>903</v>
      </c>
      <c r="L1704" s="15" t="s">
        <v>2673</v>
      </c>
      <c r="M1704" s="15" t="s">
        <v>2672</v>
      </c>
      <c r="N1704" s="15" t="s">
        <v>2673</v>
      </c>
      <c r="O1704" s="15"/>
    </row>
    <row r="1705" spans="1:15" ht="18" customHeight="1" x14ac:dyDescent="0.3">
      <c r="A1705" s="29">
        <v>1704</v>
      </c>
      <c r="B1705" s="15" t="s">
        <v>52</v>
      </c>
      <c r="C1705" s="15" t="s">
        <v>57</v>
      </c>
      <c r="D1705" s="69">
        <v>89</v>
      </c>
      <c r="E1705" s="68" t="s">
        <v>3331</v>
      </c>
      <c r="F1705" s="24" t="s">
        <v>1084</v>
      </c>
      <c r="G1705" s="15" t="s">
        <v>154</v>
      </c>
      <c r="H1705" s="15" t="s">
        <v>907</v>
      </c>
      <c r="I1705" s="69">
        <v>190</v>
      </c>
      <c r="J1705" s="15" t="s">
        <v>2672</v>
      </c>
      <c r="K1705" s="15" t="s">
        <v>903</v>
      </c>
      <c r="L1705" s="15" t="s">
        <v>2673</v>
      </c>
      <c r="M1705" s="15" t="s">
        <v>2672</v>
      </c>
      <c r="N1705" s="15" t="s">
        <v>2673</v>
      </c>
      <c r="O1705" s="15"/>
    </row>
    <row r="1706" spans="1:15" ht="18" customHeight="1" x14ac:dyDescent="0.3">
      <c r="A1706" s="29">
        <v>1705</v>
      </c>
      <c r="B1706" s="15" t="s">
        <v>52</v>
      </c>
      <c r="C1706" s="15" t="s">
        <v>57</v>
      </c>
      <c r="D1706" s="69">
        <v>89</v>
      </c>
      <c r="E1706" s="68" t="s">
        <v>3331</v>
      </c>
      <c r="F1706" s="24" t="s">
        <v>1084</v>
      </c>
      <c r="G1706" s="15" t="s">
        <v>154</v>
      </c>
      <c r="H1706" s="15" t="s">
        <v>908</v>
      </c>
      <c r="I1706" s="69">
        <v>91</v>
      </c>
      <c r="J1706" s="15" t="s">
        <v>2672</v>
      </c>
      <c r="K1706" s="15" t="s">
        <v>903</v>
      </c>
      <c r="L1706" s="15" t="s">
        <v>2673</v>
      </c>
      <c r="M1706" s="15" t="s">
        <v>2672</v>
      </c>
      <c r="N1706" s="15" t="s">
        <v>2673</v>
      </c>
      <c r="O1706" s="15"/>
    </row>
    <row r="1707" spans="1:15" ht="18" customHeight="1" x14ac:dyDescent="0.3">
      <c r="A1707" s="29">
        <v>1706</v>
      </c>
      <c r="B1707" s="15" t="s">
        <v>52</v>
      </c>
      <c r="C1707" s="15" t="s">
        <v>57</v>
      </c>
      <c r="D1707" s="69">
        <v>89</v>
      </c>
      <c r="E1707" s="68" t="s">
        <v>3331</v>
      </c>
      <c r="F1707" s="24" t="s">
        <v>1084</v>
      </c>
      <c r="G1707" s="15" t="s">
        <v>154</v>
      </c>
      <c r="H1707" s="15" t="s">
        <v>909</v>
      </c>
      <c r="I1707" s="69">
        <v>84</v>
      </c>
      <c r="J1707" s="15" t="s">
        <v>2672</v>
      </c>
      <c r="K1707" s="15" t="s">
        <v>903</v>
      </c>
      <c r="L1707" s="15" t="s">
        <v>2673</v>
      </c>
      <c r="M1707" s="15" t="s">
        <v>942</v>
      </c>
      <c r="N1707" s="15" t="s">
        <v>2673</v>
      </c>
      <c r="O1707" s="15" t="s">
        <v>3135</v>
      </c>
    </row>
    <row r="1708" spans="1:15" ht="18" customHeight="1" x14ac:dyDescent="0.3">
      <c r="A1708" s="29">
        <v>1707</v>
      </c>
      <c r="B1708" s="15" t="s">
        <v>52</v>
      </c>
      <c r="C1708" s="15" t="s">
        <v>57</v>
      </c>
      <c r="D1708" s="69">
        <v>89</v>
      </c>
      <c r="E1708" s="68" t="s">
        <v>3331</v>
      </c>
      <c r="F1708" s="24" t="s">
        <v>1084</v>
      </c>
      <c r="G1708" s="15" t="s">
        <v>154</v>
      </c>
      <c r="H1708" s="15" t="s">
        <v>910</v>
      </c>
      <c r="I1708" s="69">
        <v>109</v>
      </c>
      <c r="J1708" s="15" t="s">
        <v>2672</v>
      </c>
      <c r="K1708" s="15" t="s">
        <v>903</v>
      </c>
      <c r="L1708" s="15" t="s">
        <v>2673</v>
      </c>
      <c r="M1708" s="15" t="s">
        <v>2672</v>
      </c>
      <c r="N1708" s="15" t="s">
        <v>2673</v>
      </c>
      <c r="O1708" s="15"/>
    </row>
    <row r="1709" spans="1:15" ht="18" customHeight="1" x14ac:dyDescent="0.3">
      <c r="A1709" s="29">
        <v>1708</v>
      </c>
      <c r="B1709" s="15" t="s">
        <v>52</v>
      </c>
      <c r="C1709" s="15" t="s">
        <v>57</v>
      </c>
      <c r="D1709" s="69">
        <v>89</v>
      </c>
      <c r="E1709" s="68" t="s">
        <v>3331</v>
      </c>
      <c r="F1709" s="24" t="s">
        <v>1084</v>
      </c>
      <c r="G1709" s="15" t="s">
        <v>154</v>
      </c>
      <c r="H1709" s="15" t="s">
        <v>911</v>
      </c>
      <c r="I1709" s="69">
        <v>189</v>
      </c>
      <c r="J1709" s="15" t="s">
        <v>2672</v>
      </c>
      <c r="K1709" s="15" t="s">
        <v>903</v>
      </c>
      <c r="L1709" s="15" t="s">
        <v>2673</v>
      </c>
      <c r="M1709" s="15" t="s">
        <v>2672</v>
      </c>
      <c r="N1709" s="15" t="s">
        <v>2673</v>
      </c>
      <c r="O1709" s="15"/>
    </row>
    <row r="1710" spans="1:15" ht="18" customHeight="1" x14ac:dyDescent="0.3">
      <c r="A1710" s="29">
        <v>1709</v>
      </c>
      <c r="B1710" s="15" t="s">
        <v>52</v>
      </c>
      <c r="C1710" s="15" t="s">
        <v>57</v>
      </c>
      <c r="D1710" s="69">
        <v>89</v>
      </c>
      <c r="E1710" s="68" t="s">
        <v>3331</v>
      </c>
      <c r="F1710" s="24" t="s">
        <v>1084</v>
      </c>
      <c r="G1710" s="15" t="s">
        <v>154</v>
      </c>
      <c r="H1710" s="15" t="s">
        <v>927</v>
      </c>
      <c r="I1710" s="69">
        <v>170</v>
      </c>
      <c r="J1710" s="15" t="s">
        <v>2672</v>
      </c>
      <c r="K1710" s="15" t="s">
        <v>903</v>
      </c>
      <c r="L1710" s="15" t="s">
        <v>2673</v>
      </c>
      <c r="M1710" s="15" t="s">
        <v>2672</v>
      </c>
      <c r="N1710" s="15" t="s">
        <v>2673</v>
      </c>
      <c r="O1710" s="15"/>
    </row>
    <row r="1711" spans="1:15" ht="18" customHeight="1" x14ac:dyDescent="0.3">
      <c r="A1711" s="29">
        <v>1710</v>
      </c>
      <c r="B1711" s="15" t="s">
        <v>52</v>
      </c>
      <c r="C1711" s="15" t="s">
        <v>57</v>
      </c>
      <c r="D1711" s="69">
        <v>89</v>
      </c>
      <c r="E1711" s="68" t="s">
        <v>3331</v>
      </c>
      <c r="F1711" s="24" t="s">
        <v>1084</v>
      </c>
      <c r="G1711" s="15" t="s">
        <v>154</v>
      </c>
      <c r="H1711" s="15" t="s">
        <v>941</v>
      </c>
      <c r="I1711" s="69">
        <v>104</v>
      </c>
      <c r="J1711" s="15" t="s">
        <v>2674</v>
      </c>
      <c r="K1711" s="15" t="s">
        <v>903</v>
      </c>
      <c r="L1711" s="15" t="s">
        <v>2673</v>
      </c>
      <c r="M1711" s="15" t="s">
        <v>2672</v>
      </c>
      <c r="N1711" s="15" t="s">
        <v>2673</v>
      </c>
      <c r="O1711" s="15"/>
    </row>
    <row r="1712" spans="1:15" ht="18" customHeight="1" x14ac:dyDescent="0.3">
      <c r="A1712" s="29">
        <v>1711</v>
      </c>
      <c r="B1712" s="15" t="s">
        <v>52</v>
      </c>
      <c r="C1712" s="15" t="s">
        <v>57</v>
      </c>
      <c r="D1712" s="69">
        <v>89</v>
      </c>
      <c r="E1712" s="68" t="s">
        <v>3331</v>
      </c>
      <c r="F1712" s="24" t="s">
        <v>1936</v>
      </c>
      <c r="G1712" s="15" t="s">
        <v>154</v>
      </c>
      <c r="H1712" s="15" t="s">
        <v>979</v>
      </c>
      <c r="I1712" s="69">
        <v>346</v>
      </c>
      <c r="J1712" s="15" t="s">
        <v>2674</v>
      </c>
      <c r="K1712" s="15" t="s">
        <v>902</v>
      </c>
      <c r="L1712" s="15" t="s">
        <v>207</v>
      </c>
      <c r="M1712" s="15" t="s">
        <v>2672</v>
      </c>
      <c r="N1712" s="15" t="s">
        <v>2673</v>
      </c>
      <c r="O1712" s="15"/>
    </row>
    <row r="1713" spans="1:15" ht="18" customHeight="1" x14ac:dyDescent="0.3">
      <c r="A1713" s="29">
        <v>1712</v>
      </c>
      <c r="B1713" s="15" t="s">
        <v>1882</v>
      </c>
      <c r="C1713" s="15" t="s">
        <v>1937</v>
      </c>
      <c r="D1713" s="69">
        <v>89</v>
      </c>
      <c r="E1713" s="68" t="s">
        <v>3332</v>
      </c>
      <c r="F1713" s="14" t="s">
        <v>2913</v>
      </c>
      <c r="G1713" s="15" t="s">
        <v>1553</v>
      </c>
      <c r="H1713" s="15" t="s">
        <v>2685</v>
      </c>
      <c r="I1713" s="69">
        <v>139</v>
      </c>
      <c r="J1713" s="15" t="s">
        <v>2674</v>
      </c>
      <c r="K1713" s="15" t="s">
        <v>903</v>
      </c>
      <c r="L1713" s="15" t="s">
        <v>2673</v>
      </c>
      <c r="M1713" s="15" t="s">
        <v>2672</v>
      </c>
      <c r="N1713" s="15" t="s">
        <v>2673</v>
      </c>
      <c r="O1713" s="15"/>
    </row>
    <row r="1714" spans="1:15" ht="18" customHeight="1" x14ac:dyDescent="0.3">
      <c r="A1714" s="29">
        <v>1713</v>
      </c>
      <c r="B1714" s="15" t="s">
        <v>1882</v>
      </c>
      <c r="C1714" s="15" t="s">
        <v>1937</v>
      </c>
      <c r="D1714" s="69">
        <v>89</v>
      </c>
      <c r="E1714" s="68" t="s">
        <v>3332</v>
      </c>
      <c r="F1714" s="14" t="s">
        <v>2913</v>
      </c>
      <c r="G1714" s="15" t="s">
        <v>1553</v>
      </c>
      <c r="H1714" s="15" t="s">
        <v>2678</v>
      </c>
      <c r="I1714" s="69">
        <v>102</v>
      </c>
      <c r="J1714" s="15" t="s">
        <v>2672</v>
      </c>
      <c r="K1714" s="15" t="s">
        <v>903</v>
      </c>
      <c r="L1714" s="15" t="s">
        <v>2673</v>
      </c>
      <c r="M1714" s="15" t="s">
        <v>2672</v>
      </c>
      <c r="N1714" s="15" t="s">
        <v>2673</v>
      </c>
      <c r="O1714" s="15"/>
    </row>
    <row r="1715" spans="1:15" ht="18" customHeight="1" x14ac:dyDescent="0.3">
      <c r="A1715" s="29">
        <v>1714</v>
      </c>
      <c r="B1715" s="15" t="s">
        <v>1882</v>
      </c>
      <c r="C1715" s="15" t="s">
        <v>1937</v>
      </c>
      <c r="D1715" s="69">
        <v>89</v>
      </c>
      <c r="E1715" s="68" t="s">
        <v>3332</v>
      </c>
      <c r="F1715" s="14" t="s">
        <v>2913</v>
      </c>
      <c r="G1715" s="15" t="s">
        <v>1553</v>
      </c>
      <c r="H1715" s="15" t="s">
        <v>2679</v>
      </c>
      <c r="I1715" s="69">
        <v>76</v>
      </c>
      <c r="J1715" s="15" t="s">
        <v>2672</v>
      </c>
      <c r="K1715" s="15" t="s">
        <v>903</v>
      </c>
      <c r="L1715" s="15" t="s">
        <v>2673</v>
      </c>
      <c r="M1715" s="15" t="s">
        <v>2672</v>
      </c>
      <c r="N1715" s="15" t="s">
        <v>2673</v>
      </c>
      <c r="O1715" s="15"/>
    </row>
    <row r="1716" spans="1:15" ht="18" customHeight="1" x14ac:dyDescent="0.3">
      <c r="A1716" s="29">
        <v>1715</v>
      </c>
      <c r="B1716" s="15" t="s">
        <v>1882</v>
      </c>
      <c r="C1716" s="15" t="s">
        <v>1937</v>
      </c>
      <c r="D1716" s="69">
        <v>89</v>
      </c>
      <c r="E1716" s="68" t="s">
        <v>3332</v>
      </c>
      <c r="F1716" s="14" t="s">
        <v>2913</v>
      </c>
      <c r="G1716" s="15" t="s">
        <v>1553</v>
      </c>
      <c r="H1716" s="15" t="s">
        <v>2680</v>
      </c>
      <c r="I1716" s="69">
        <v>139</v>
      </c>
      <c r="J1716" s="15" t="s">
        <v>2672</v>
      </c>
      <c r="K1716" s="15" t="s">
        <v>903</v>
      </c>
      <c r="L1716" s="15" t="s">
        <v>2673</v>
      </c>
      <c r="M1716" s="15" t="s">
        <v>2672</v>
      </c>
      <c r="N1716" s="15" t="s">
        <v>2673</v>
      </c>
      <c r="O1716" s="15"/>
    </row>
    <row r="1717" spans="1:15" ht="18" customHeight="1" x14ac:dyDescent="0.3">
      <c r="A1717" s="29">
        <v>1716</v>
      </c>
      <c r="B1717" s="15" t="s">
        <v>1882</v>
      </c>
      <c r="C1717" s="15" t="s">
        <v>1937</v>
      </c>
      <c r="D1717" s="69">
        <v>89</v>
      </c>
      <c r="E1717" s="68" t="s">
        <v>3332</v>
      </c>
      <c r="F1717" s="14" t="s">
        <v>2913</v>
      </c>
      <c r="G1717" s="15" t="s">
        <v>1553</v>
      </c>
      <c r="H1717" s="15" t="s">
        <v>2690</v>
      </c>
      <c r="I1717" s="69">
        <v>102</v>
      </c>
      <c r="J1717" s="15" t="s">
        <v>2672</v>
      </c>
      <c r="K1717" s="15" t="s">
        <v>903</v>
      </c>
      <c r="L1717" s="15" t="s">
        <v>2673</v>
      </c>
      <c r="M1717" s="15" t="s">
        <v>2672</v>
      </c>
      <c r="N1717" s="15" t="s">
        <v>2673</v>
      </c>
      <c r="O1717" s="15"/>
    </row>
    <row r="1718" spans="1:15" ht="18" customHeight="1" x14ac:dyDescent="0.3">
      <c r="A1718" s="29">
        <v>1717</v>
      </c>
      <c r="B1718" s="15" t="s">
        <v>1882</v>
      </c>
      <c r="C1718" s="15" t="s">
        <v>1937</v>
      </c>
      <c r="D1718" s="69">
        <v>89</v>
      </c>
      <c r="E1718" s="68" t="s">
        <v>3332</v>
      </c>
      <c r="F1718" s="14" t="s">
        <v>2913</v>
      </c>
      <c r="G1718" s="15" t="s">
        <v>1553</v>
      </c>
      <c r="H1718" s="15" t="s">
        <v>2682</v>
      </c>
      <c r="I1718" s="69">
        <v>76</v>
      </c>
      <c r="J1718" s="15" t="s">
        <v>2672</v>
      </c>
      <c r="K1718" s="15" t="s">
        <v>903</v>
      </c>
      <c r="L1718" s="15" t="s">
        <v>2673</v>
      </c>
      <c r="M1718" s="15" t="s">
        <v>2672</v>
      </c>
      <c r="N1718" s="15" t="s">
        <v>2673</v>
      </c>
      <c r="O1718" s="15"/>
    </row>
    <row r="1719" spans="1:15" ht="18" customHeight="1" x14ac:dyDescent="0.3">
      <c r="A1719" s="29">
        <v>1718</v>
      </c>
      <c r="B1719" s="15" t="s">
        <v>52</v>
      </c>
      <c r="C1719" s="15" t="s">
        <v>57</v>
      </c>
      <c r="D1719" s="69">
        <v>89</v>
      </c>
      <c r="E1719" s="68" t="s">
        <v>915</v>
      </c>
      <c r="F1719" s="24" t="s">
        <v>1941</v>
      </c>
      <c r="G1719" s="15" t="s">
        <v>154</v>
      </c>
      <c r="H1719" s="15" t="s">
        <v>901</v>
      </c>
      <c r="I1719" s="69">
        <v>157</v>
      </c>
      <c r="J1719" s="15" t="s">
        <v>2672</v>
      </c>
      <c r="K1719" s="15" t="s">
        <v>2672</v>
      </c>
      <c r="L1719" s="15" t="s">
        <v>2673</v>
      </c>
      <c r="M1719" s="15" t="s">
        <v>2672</v>
      </c>
      <c r="N1719" s="15" t="s">
        <v>2673</v>
      </c>
      <c r="O1719" s="15"/>
    </row>
    <row r="1720" spans="1:15" ht="18" customHeight="1" x14ac:dyDescent="0.3">
      <c r="A1720" s="29">
        <v>1719</v>
      </c>
      <c r="B1720" s="15" t="s">
        <v>52</v>
      </c>
      <c r="C1720" s="15" t="s">
        <v>57</v>
      </c>
      <c r="D1720" s="69">
        <v>89</v>
      </c>
      <c r="E1720" s="68" t="s">
        <v>915</v>
      </c>
      <c r="F1720" s="24" t="s">
        <v>1941</v>
      </c>
      <c r="G1720" s="15" t="s">
        <v>154</v>
      </c>
      <c r="H1720" s="15" t="s">
        <v>904</v>
      </c>
      <c r="I1720" s="69">
        <v>174</v>
      </c>
      <c r="J1720" s="15" t="s">
        <v>2672</v>
      </c>
      <c r="K1720" s="15" t="s">
        <v>2672</v>
      </c>
      <c r="L1720" s="15" t="s">
        <v>2673</v>
      </c>
      <c r="M1720" s="15" t="s">
        <v>2672</v>
      </c>
      <c r="N1720" s="15" t="s">
        <v>2673</v>
      </c>
      <c r="O1720" s="15"/>
    </row>
    <row r="1721" spans="1:15" ht="18" customHeight="1" x14ac:dyDescent="0.3">
      <c r="A1721" s="29">
        <v>1720</v>
      </c>
      <c r="B1721" s="15" t="s">
        <v>52</v>
      </c>
      <c r="C1721" s="15" t="s">
        <v>57</v>
      </c>
      <c r="D1721" s="69">
        <v>89</v>
      </c>
      <c r="E1721" s="68" t="s">
        <v>915</v>
      </c>
      <c r="F1721" s="24" t="s">
        <v>1087</v>
      </c>
      <c r="G1721" s="15" t="s">
        <v>154</v>
      </c>
      <c r="H1721" s="15" t="s">
        <v>905</v>
      </c>
      <c r="I1721" s="69">
        <v>214</v>
      </c>
      <c r="J1721" s="15" t="s">
        <v>2672</v>
      </c>
      <c r="K1721" s="15" t="s">
        <v>2672</v>
      </c>
      <c r="L1721" s="15" t="s">
        <v>2673</v>
      </c>
      <c r="M1721" s="15" t="s">
        <v>2672</v>
      </c>
      <c r="N1721" s="15" t="s">
        <v>2673</v>
      </c>
      <c r="O1721" s="15"/>
    </row>
    <row r="1722" spans="1:15" ht="18" customHeight="1" x14ac:dyDescent="0.3">
      <c r="A1722" s="29">
        <v>1721</v>
      </c>
      <c r="B1722" s="15" t="s">
        <v>52</v>
      </c>
      <c r="C1722" s="15" t="s">
        <v>57</v>
      </c>
      <c r="D1722" s="69">
        <v>89</v>
      </c>
      <c r="E1722" s="68" t="s">
        <v>915</v>
      </c>
      <c r="F1722" s="24" t="s">
        <v>1087</v>
      </c>
      <c r="G1722" s="15" t="s">
        <v>154</v>
      </c>
      <c r="H1722" s="15" t="s">
        <v>906</v>
      </c>
      <c r="I1722" s="69">
        <v>148</v>
      </c>
      <c r="J1722" s="15" t="s">
        <v>2672</v>
      </c>
      <c r="K1722" s="15" t="s">
        <v>2672</v>
      </c>
      <c r="L1722" s="15" t="s">
        <v>2673</v>
      </c>
      <c r="M1722" s="15" t="s">
        <v>2672</v>
      </c>
      <c r="N1722" s="15" t="s">
        <v>2673</v>
      </c>
      <c r="O1722" s="15"/>
    </row>
    <row r="1723" spans="1:15" ht="18" customHeight="1" x14ac:dyDescent="0.3">
      <c r="A1723" s="29">
        <v>1722</v>
      </c>
      <c r="B1723" s="15" t="s">
        <v>52</v>
      </c>
      <c r="C1723" s="15" t="s">
        <v>57</v>
      </c>
      <c r="D1723" s="69">
        <v>89</v>
      </c>
      <c r="E1723" s="68" t="s">
        <v>915</v>
      </c>
      <c r="F1723" s="24" t="s">
        <v>1087</v>
      </c>
      <c r="G1723" s="15" t="s">
        <v>154</v>
      </c>
      <c r="H1723" s="15" t="s">
        <v>907</v>
      </c>
      <c r="I1723" s="69">
        <v>136</v>
      </c>
      <c r="J1723" s="15" t="s">
        <v>2672</v>
      </c>
      <c r="K1723" s="15" t="s">
        <v>2672</v>
      </c>
      <c r="L1723" s="15" t="s">
        <v>2673</v>
      </c>
      <c r="M1723" s="15" t="s">
        <v>2672</v>
      </c>
      <c r="N1723" s="15" t="s">
        <v>2673</v>
      </c>
      <c r="O1723" s="15"/>
    </row>
    <row r="1724" spans="1:15" ht="18" customHeight="1" x14ac:dyDescent="0.3">
      <c r="A1724" s="29">
        <v>1723</v>
      </c>
      <c r="B1724" s="15" t="s">
        <v>1882</v>
      </c>
      <c r="C1724" s="15" t="s">
        <v>1942</v>
      </c>
      <c r="D1724" s="69">
        <v>90</v>
      </c>
      <c r="E1724" s="68" t="s">
        <v>1943</v>
      </c>
      <c r="F1724" s="51" t="s">
        <v>1944</v>
      </c>
      <c r="G1724" s="29" t="s">
        <v>1538</v>
      </c>
      <c r="H1724" s="15" t="s">
        <v>2685</v>
      </c>
      <c r="I1724" s="69">
        <v>124</v>
      </c>
      <c r="J1724" s="15" t="s">
        <v>2672</v>
      </c>
      <c r="K1724" s="15" t="s">
        <v>903</v>
      </c>
      <c r="L1724" s="15" t="s">
        <v>2673</v>
      </c>
      <c r="M1724" s="15" t="s">
        <v>2672</v>
      </c>
      <c r="N1724" s="15" t="s">
        <v>2673</v>
      </c>
      <c r="O1724" s="15"/>
    </row>
    <row r="1725" spans="1:15" ht="18" customHeight="1" x14ac:dyDescent="0.3">
      <c r="A1725" s="29">
        <v>1724</v>
      </c>
      <c r="B1725" s="15" t="s">
        <v>1882</v>
      </c>
      <c r="C1725" s="15" t="s">
        <v>1942</v>
      </c>
      <c r="D1725" s="69">
        <v>90</v>
      </c>
      <c r="E1725" s="68" t="s">
        <v>1943</v>
      </c>
      <c r="F1725" s="51" t="s">
        <v>1944</v>
      </c>
      <c r="G1725" s="29" t="s">
        <v>1538</v>
      </c>
      <c r="H1725" s="15" t="s">
        <v>2678</v>
      </c>
      <c r="I1725" s="69">
        <v>166</v>
      </c>
      <c r="J1725" s="15" t="s">
        <v>2672</v>
      </c>
      <c r="K1725" s="15" t="s">
        <v>903</v>
      </c>
      <c r="L1725" s="15" t="s">
        <v>2673</v>
      </c>
      <c r="M1725" s="15" t="s">
        <v>2672</v>
      </c>
      <c r="N1725" s="15" t="s">
        <v>2673</v>
      </c>
      <c r="O1725" s="15"/>
    </row>
    <row r="1726" spans="1:15" ht="18" customHeight="1" x14ac:dyDescent="0.3">
      <c r="A1726" s="29">
        <v>1725</v>
      </c>
      <c r="B1726" s="15" t="s">
        <v>1882</v>
      </c>
      <c r="C1726" s="15" t="s">
        <v>1942</v>
      </c>
      <c r="D1726" s="69">
        <v>90</v>
      </c>
      <c r="E1726" s="68" t="s">
        <v>1943</v>
      </c>
      <c r="F1726" s="51" t="s">
        <v>1944</v>
      </c>
      <c r="G1726" s="29" t="s">
        <v>1538</v>
      </c>
      <c r="H1726" s="15" t="s">
        <v>2679</v>
      </c>
      <c r="I1726" s="69">
        <v>106</v>
      </c>
      <c r="J1726" s="15" t="s">
        <v>2672</v>
      </c>
      <c r="K1726" s="15" t="s">
        <v>903</v>
      </c>
      <c r="L1726" s="15" t="s">
        <v>2673</v>
      </c>
      <c r="M1726" s="15" t="s">
        <v>2672</v>
      </c>
      <c r="N1726" s="15" t="s">
        <v>2673</v>
      </c>
      <c r="O1726" s="15"/>
    </row>
    <row r="1727" spans="1:15" ht="18" customHeight="1" x14ac:dyDescent="0.3">
      <c r="A1727" s="29">
        <v>1726</v>
      </c>
      <c r="B1727" s="15" t="s">
        <v>1882</v>
      </c>
      <c r="C1727" s="15" t="s">
        <v>1942</v>
      </c>
      <c r="D1727" s="69">
        <v>90</v>
      </c>
      <c r="E1727" s="68" t="s">
        <v>1943</v>
      </c>
      <c r="F1727" s="51" t="s">
        <v>1944</v>
      </c>
      <c r="G1727" s="29" t="s">
        <v>1538</v>
      </c>
      <c r="H1727" s="15" t="s">
        <v>2680</v>
      </c>
      <c r="I1727" s="69">
        <v>144</v>
      </c>
      <c r="J1727" s="15" t="s">
        <v>2672</v>
      </c>
      <c r="K1727" s="15" t="s">
        <v>903</v>
      </c>
      <c r="L1727" s="15" t="s">
        <v>2673</v>
      </c>
      <c r="M1727" s="15" t="s">
        <v>2672</v>
      </c>
      <c r="N1727" s="15" t="s">
        <v>2673</v>
      </c>
      <c r="O1727" s="15"/>
    </row>
    <row r="1728" spans="1:15" ht="18" customHeight="1" x14ac:dyDescent="0.3">
      <c r="A1728" s="29">
        <v>1727</v>
      </c>
      <c r="B1728" s="15" t="s">
        <v>1882</v>
      </c>
      <c r="C1728" s="15" t="s">
        <v>1942</v>
      </c>
      <c r="D1728" s="69">
        <v>90</v>
      </c>
      <c r="E1728" s="68" t="s">
        <v>1943</v>
      </c>
      <c r="F1728" s="51" t="s">
        <v>1944</v>
      </c>
      <c r="G1728" s="29" t="s">
        <v>1538</v>
      </c>
      <c r="H1728" s="15" t="s">
        <v>2690</v>
      </c>
      <c r="I1728" s="69">
        <v>145</v>
      </c>
      <c r="J1728" s="15" t="s">
        <v>2672</v>
      </c>
      <c r="K1728" s="15" t="s">
        <v>903</v>
      </c>
      <c r="L1728" s="15" t="s">
        <v>2673</v>
      </c>
      <c r="M1728" s="15" t="s">
        <v>2672</v>
      </c>
      <c r="N1728" s="15" t="s">
        <v>2673</v>
      </c>
      <c r="O1728" s="15"/>
    </row>
    <row r="1729" spans="1:15" ht="18" customHeight="1" x14ac:dyDescent="0.3">
      <c r="A1729" s="29">
        <v>1728</v>
      </c>
      <c r="B1729" s="15" t="s">
        <v>1882</v>
      </c>
      <c r="C1729" s="15" t="s">
        <v>1942</v>
      </c>
      <c r="D1729" s="69">
        <v>90</v>
      </c>
      <c r="E1729" s="68" t="s">
        <v>1943</v>
      </c>
      <c r="F1729" s="51" t="s">
        <v>1944</v>
      </c>
      <c r="G1729" s="29" t="s">
        <v>1538</v>
      </c>
      <c r="H1729" s="15" t="s">
        <v>2682</v>
      </c>
      <c r="I1729" s="69">
        <v>115</v>
      </c>
      <c r="J1729" s="15" t="s">
        <v>2672</v>
      </c>
      <c r="K1729" s="15" t="s">
        <v>903</v>
      </c>
      <c r="L1729" s="15" t="s">
        <v>2673</v>
      </c>
      <c r="M1729" s="15" t="s">
        <v>2672</v>
      </c>
      <c r="N1729" s="15" t="s">
        <v>2673</v>
      </c>
      <c r="O1729" s="15"/>
    </row>
    <row r="1730" spans="1:15" ht="18" customHeight="1" x14ac:dyDescent="0.3">
      <c r="A1730" s="29">
        <v>1729</v>
      </c>
      <c r="B1730" s="15" t="s">
        <v>1882</v>
      </c>
      <c r="C1730" s="15" t="s">
        <v>1942</v>
      </c>
      <c r="D1730" s="69">
        <v>90</v>
      </c>
      <c r="E1730" s="68" t="s">
        <v>1945</v>
      </c>
      <c r="F1730" s="51" t="s">
        <v>1946</v>
      </c>
      <c r="G1730" s="15" t="s">
        <v>1538</v>
      </c>
      <c r="H1730" s="15" t="s">
        <v>2685</v>
      </c>
      <c r="I1730" s="69">
        <v>164</v>
      </c>
      <c r="J1730" s="15" t="s">
        <v>2672</v>
      </c>
      <c r="K1730" s="15" t="s">
        <v>2674</v>
      </c>
      <c r="L1730" s="15" t="s">
        <v>1703</v>
      </c>
      <c r="M1730" s="15" t="s">
        <v>2672</v>
      </c>
      <c r="N1730" s="15" t="s">
        <v>2673</v>
      </c>
      <c r="O1730" s="15"/>
    </row>
    <row r="1731" spans="1:15" ht="18" customHeight="1" x14ac:dyDescent="0.3">
      <c r="A1731" s="29">
        <v>1730</v>
      </c>
      <c r="B1731" s="15" t="s">
        <v>1882</v>
      </c>
      <c r="C1731" s="15" t="s">
        <v>1942</v>
      </c>
      <c r="D1731" s="69">
        <v>90</v>
      </c>
      <c r="E1731" s="68" t="s">
        <v>1945</v>
      </c>
      <c r="F1731" s="51" t="s">
        <v>1946</v>
      </c>
      <c r="G1731" s="15" t="s">
        <v>1538</v>
      </c>
      <c r="H1731" s="15" t="s">
        <v>2678</v>
      </c>
      <c r="I1731" s="69">
        <v>115</v>
      </c>
      <c r="J1731" s="15" t="s">
        <v>2672</v>
      </c>
      <c r="K1731" s="15" t="s">
        <v>2674</v>
      </c>
      <c r="L1731" s="15" t="s">
        <v>1703</v>
      </c>
      <c r="M1731" s="15" t="s">
        <v>2672</v>
      </c>
      <c r="N1731" s="15" t="s">
        <v>2673</v>
      </c>
      <c r="O1731" s="15"/>
    </row>
    <row r="1732" spans="1:15" ht="18" customHeight="1" x14ac:dyDescent="0.3">
      <c r="A1732" s="29">
        <v>1731</v>
      </c>
      <c r="B1732" s="15" t="s">
        <v>1882</v>
      </c>
      <c r="C1732" s="15" t="s">
        <v>1942</v>
      </c>
      <c r="D1732" s="69">
        <v>90</v>
      </c>
      <c r="E1732" s="68" t="s">
        <v>1945</v>
      </c>
      <c r="F1732" s="51" t="s">
        <v>1946</v>
      </c>
      <c r="G1732" s="15" t="s">
        <v>1538</v>
      </c>
      <c r="H1732" s="15" t="s">
        <v>2679</v>
      </c>
      <c r="I1732" s="69">
        <v>115</v>
      </c>
      <c r="J1732" s="15" t="s">
        <v>2672</v>
      </c>
      <c r="K1732" s="15" t="s">
        <v>2674</v>
      </c>
      <c r="L1732" s="15" t="s">
        <v>1703</v>
      </c>
      <c r="M1732" s="15" t="s">
        <v>2672</v>
      </c>
      <c r="N1732" s="15" t="s">
        <v>2673</v>
      </c>
      <c r="O1732" s="15"/>
    </row>
    <row r="1733" spans="1:15" ht="18" customHeight="1" x14ac:dyDescent="0.3">
      <c r="A1733" s="29">
        <v>1732</v>
      </c>
      <c r="B1733" s="15" t="s">
        <v>1882</v>
      </c>
      <c r="C1733" s="15" t="s">
        <v>1942</v>
      </c>
      <c r="D1733" s="69">
        <v>90</v>
      </c>
      <c r="E1733" s="68" t="s">
        <v>1945</v>
      </c>
      <c r="F1733" s="51" t="s">
        <v>1946</v>
      </c>
      <c r="G1733" s="15" t="s">
        <v>1538</v>
      </c>
      <c r="H1733" s="15" t="s">
        <v>2680</v>
      </c>
      <c r="I1733" s="69">
        <v>103</v>
      </c>
      <c r="J1733" s="15" t="s">
        <v>2672</v>
      </c>
      <c r="K1733" s="15" t="s">
        <v>2674</v>
      </c>
      <c r="L1733" s="15" t="s">
        <v>1703</v>
      </c>
      <c r="M1733" s="15" t="s">
        <v>2672</v>
      </c>
      <c r="N1733" s="15" t="s">
        <v>2673</v>
      </c>
      <c r="O1733" s="15"/>
    </row>
    <row r="1734" spans="1:15" ht="18" customHeight="1" x14ac:dyDescent="0.3">
      <c r="A1734" s="29">
        <v>1733</v>
      </c>
      <c r="B1734" s="15" t="s">
        <v>1882</v>
      </c>
      <c r="C1734" s="15" t="s">
        <v>1942</v>
      </c>
      <c r="D1734" s="69">
        <v>90</v>
      </c>
      <c r="E1734" s="68" t="s">
        <v>1945</v>
      </c>
      <c r="F1734" s="51" t="s">
        <v>1946</v>
      </c>
      <c r="G1734" s="15" t="s">
        <v>1538</v>
      </c>
      <c r="H1734" s="15" t="s">
        <v>2690</v>
      </c>
      <c r="I1734" s="69">
        <v>127</v>
      </c>
      <c r="J1734" s="15" t="s">
        <v>2672</v>
      </c>
      <c r="K1734" s="15" t="s">
        <v>2674</v>
      </c>
      <c r="L1734" s="15" t="s">
        <v>1703</v>
      </c>
      <c r="M1734" s="15" t="s">
        <v>2672</v>
      </c>
      <c r="N1734" s="15" t="s">
        <v>2673</v>
      </c>
      <c r="O1734" s="15"/>
    </row>
    <row r="1735" spans="1:15" ht="18" customHeight="1" x14ac:dyDescent="0.3">
      <c r="A1735" s="29">
        <v>1734</v>
      </c>
      <c r="B1735" s="15" t="s">
        <v>1882</v>
      </c>
      <c r="C1735" s="15" t="s">
        <v>1942</v>
      </c>
      <c r="D1735" s="69">
        <v>90</v>
      </c>
      <c r="E1735" s="68" t="s">
        <v>1945</v>
      </c>
      <c r="F1735" s="51" t="s">
        <v>1946</v>
      </c>
      <c r="G1735" s="15" t="s">
        <v>1538</v>
      </c>
      <c r="H1735" s="15" t="s">
        <v>2682</v>
      </c>
      <c r="I1735" s="69">
        <v>171</v>
      </c>
      <c r="J1735" s="15" t="s">
        <v>2672</v>
      </c>
      <c r="K1735" s="15" t="s">
        <v>2674</v>
      </c>
      <c r="L1735" s="15" t="s">
        <v>1703</v>
      </c>
      <c r="M1735" s="15" t="s">
        <v>2672</v>
      </c>
      <c r="N1735" s="15" t="s">
        <v>2673</v>
      </c>
      <c r="O1735" s="15"/>
    </row>
    <row r="1736" spans="1:15" ht="18" customHeight="1" x14ac:dyDescent="0.3">
      <c r="A1736" s="29">
        <v>1735</v>
      </c>
      <c r="B1736" s="15" t="s">
        <v>52</v>
      </c>
      <c r="C1736" s="15" t="s">
        <v>58</v>
      </c>
      <c r="D1736" s="69">
        <v>90</v>
      </c>
      <c r="E1736" s="68" t="s">
        <v>944</v>
      </c>
      <c r="F1736" s="21" t="s">
        <v>601</v>
      </c>
      <c r="G1736" s="15" t="s">
        <v>154</v>
      </c>
      <c r="H1736" s="15" t="s">
        <v>901</v>
      </c>
      <c r="I1736" s="69">
        <v>286</v>
      </c>
      <c r="J1736" s="13" t="s">
        <v>902</v>
      </c>
      <c r="K1736" s="15" t="s">
        <v>903</v>
      </c>
      <c r="L1736" s="15" t="s">
        <v>2673</v>
      </c>
      <c r="M1736" s="15" t="s">
        <v>2672</v>
      </c>
      <c r="N1736" s="15" t="s">
        <v>2673</v>
      </c>
      <c r="O1736" s="15"/>
    </row>
    <row r="1737" spans="1:15" ht="18" customHeight="1" x14ac:dyDescent="0.3">
      <c r="A1737" s="29">
        <v>1736</v>
      </c>
      <c r="B1737" s="15" t="s">
        <v>52</v>
      </c>
      <c r="C1737" s="15" t="s">
        <v>58</v>
      </c>
      <c r="D1737" s="69">
        <v>90</v>
      </c>
      <c r="E1737" s="68" t="s">
        <v>944</v>
      </c>
      <c r="F1737" s="21" t="s">
        <v>601</v>
      </c>
      <c r="G1737" s="15" t="s">
        <v>154</v>
      </c>
      <c r="H1737" s="15" t="s">
        <v>904</v>
      </c>
      <c r="I1737" s="69">
        <v>224</v>
      </c>
      <c r="J1737" s="13" t="s">
        <v>2672</v>
      </c>
      <c r="K1737" s="15" t="s">
        <v>903</v>
      </c>
      <c r="L1737" s="15" t="s">
        <v>2673</v>
      </c>
      <c r="M1737" s="15" t="s">
        <v>2672</v>
      </c>
      <c r="N1737" s="15" t="s">
        <v>2673</v>
      </c>
      <c r="O1737" s="15"/>
    </row>
    <row r="1738" spans="1:15" ht="18" customHeight="1" x14ac:dyDescent="0.3">
      <c r="A1738" s="29">
        <v>1737</v>
      </c>
      <c r="B1738" s="15" t="s">
        <v>52</v>
      </c>
      <c r="C1738" s="15" t="s">
        <v>58</v>
      </c>
      <c r="D1738" s="69">
        <v>90</v>
      </c>
      <c r="E1738" s="68" t="s">
        <v>944</v>
      </c>
      <c r="F1738" s="21" t="s">
        <v>601</v>
      </c>
      <c r="G1738" s="15" t="s">
        <v>154</v>
      </c>
      <c r="H1738" s="15" t="s">
        <v>905</v>
      </c>
      <c r="I1738" s="69">
        <v>142</v>
      </c>
      <c r="J1738" s="13" t="s">
        <v>902</v>
      </c>
      <c r="K1738" s="15" t="s">
        <v>903</v>
      </c>
      <c r="L1738" s="15" t="s">
        <v>2673</v>
      </c>
      <c r="M1738" s="15" t="s">
        <v>2672</v>
      </c>
      <c r="N1738" s="15" t="s">
        <v>2673</v>
      </c>
      <c r="O1738" s="15"/>
    </row>
    <row r="1739" spans="1:15" ht="18" customHeight="1" x14ac:dyDescent="0.3">
      <c r="A1739" s="29">
        <v>1738</v>
      </c>
      <c r="B1739" s="15" t="s">
        <v>52</v>
      </c>
      <c r="C1739" s="15" t="s">
        <v>58</v>
      </c>
      <c r="D1739" s="69">
        <v>90</v>
      </c>
      <c r="E1739" s="68" t="s">
        <v>944</v>
      </c>
      <c r="F1739" s="21" t="s">
        <v>601</v>
      </c>
      <c r="G1739" s="15" t="s">
        <v>154</v>
      </c>
      <c r="H1739" s="15" t="s">
        <v>906</v>
      </c>
      <c r="I1739" s="69">
        <v>142</v>
      </c>
      <c r="J1739" s="13" t="s">
        <v>2672</v>
      </c>
      <c r="K1739" s="15" t="s">
        <v>903</v>
      </c>
      <c r="L1739" s="15" t="s">
        <v>2673</v>
      </c>
      <c r="M1739" s="15" t="s">
        <v>2672</v>
      </c>
      <c r="N1739" s="15" t="s">
        <v>2673</v>
      </c>
      <c r="O1739" s="15"/>
    </row>
    <row r="1740" spans="1:15" ht="18" customHeight="1" x14ac:dyDescent="0.3">
      <c r="A1740" s="29">
        <v>1739</v>
      </c>
      <c r="B1740" s="15" t="s">
        <v>52</v>
      </c>
      <c r="C1740" s="15" t="s">
        <v>58</v>
      </c>
      <c r="D1740" s="69">
        <v>90</v>
      </c>
      <c r="E1740" s="68" t="s">
        <v>944</v>
      </c>
      <c r="F1740" s="21" t="s">
        <v>601</v>
      </c>
      <c r="G1740" s="15" t="s">
        <v>154</v>
      </c>
      <c r="H1740" s="15" t="s">
        <v>907</v>
      </c>
      <c r="I1740" s="69">
        <v>124</v>
      </c>
      <c r="J1740" s="13" t="s">
        <v>2672</v>
      </c>
      <c r="K1740" s="15" t="s">
        <v>903</v>
      </c>
      <c r="L1740" s="15" t="s">
        <v>2673</v>
      </c>
      <c r="M1740" s="15" t="s">
        <v>2672</v>
      </c>
      <c r="N1740" s="15" t="s">
        <v>2673</v>
      </c>
      <c r="O1740" s="15"/>
    </row>
    <row r="1741" spans="1:15" ht="18" customHeight="1" x14ac:dyDescent="0.3">
      <c r="A1741" s="29">
        <v>1740</v>
      </c>
      <c r="B1741" s="15" t="s">
        <v>52</v>
      </c>
      <c r="C1741" s="15" t="s">
        <v>58</v>
      </c>
      <c r="D1741" s="69">
        <v>90</v>
      </c>
      <c r="E1741" s="68" t="s">
        <v>944</v>
      </c>
      <c r="F1741" s="21" t="s">
        <v>601</v>
      </c>
      <c r="G1741" s="15" t="s">
        <v>154</v>
      </c>
      <c r="H1741" s="15" t="s">
        <v>908</v>
      </c>
      <c r="I1741" s="69">
        <v>124</v>
      </c>
      <c r="J1741" s="13" t="s">
        <v>2672</v>
      </c>
      <c r="K1741" s="15" t="s">
        <v>903</v>
      </c>
      <c r="L1741" s="15" t="s">
        <v>2673</v>
      </c>
      <c r="M1741" s="15" t="s">
        <v>2672</v>
      </c>
      <c r="N1741" s="15" t="s">
        <v>2673</v>
      </c>
      <c r="O1741" s="15"/>
    </row>
    <row r="1742" spans="1:15" ht="18" customHeight="1" x14ac:dyDescent="0.3">
      <c r="A1742" s="29">
        <v>1741</v>
      </c>
      <c r="B1742" s="15" t="s">
        <v>52</v>
      </c>
      <c r="C1742" s="15" t="s">
        <v>58</v>
      </c>
      <c r="D1742" s="69">
        <v>90</v>
      </c>
      <c r="E1742" s="68" t="s">
        <v>945</v>
      </c>
      <c r="F1742" s="21" t="s">
        <v>2914</v>
      </c>
      <c r="G1742" s="15" t="s">
        <v>154</v>
      </c>
      <c r="H1742" s="15" t="s">
        <v>901</v>
      </c>
      <c r="I1742" s="69">
        <v>405</v>
      </c>
      <c r="J1742" s="13" t="s">
        <v>902</v>
      </c>
      <c r="K1742" s="15" t="s">
        <v>902</v>
      </c>
      <c r="L1742" s="15" t="s">
        <v>2747</v>
      </c>
      <c r="M1742" s="15" t="s">
        <v>2672</v>
      </c>
      <c r="N1742" s="15" t="s">
        <v>2673</v>
      </c>
      <c r="O1742" s="15" t="s">
        <v>1174</v>
      </c>
    </row>
    <row r="1743" spans="1:15" ht="18" customHeight="1" x14ac:dyDescent="0.3">
      <c r="A1743" s="29">
        <v>1742</v>
      </c>
      <c r="B1743" s="15" t="s">
        <v>52</v>
      </c>
      <c r="C1743" s="15" t="s">
        <v>58</v>
      </c>
      <c r="D1743" s="69">
        <v>90</v>
      </c>
      <c r="E1743" s="68" t="s">
        <v>945</v>
      </c>
      <c r="F1743" s="21" t="s">
        <v>2914</v>
      </c>
      <c r="G1743" s="15" t="s">
        <v>154</v>
      </c>
      <c r="H1743" s="15" t="s">
        <v>904</v>
      </c>
      <c r="I1743" s="69">
        <v>172</v>
      </c>
      <c r="J1743" s="13" t="s">
        <v>2672</v>
      </c>
      <c r="K1743" s="15" t="s">
        <v>903</v>
      </c>
      <c r="L1743" s="15" t="s">
        <v>2673</v>
      </c>
      <c r="M1743" s="15" t="s">
        <v>2672</v>
      </c>
      <c r="N1743" s="15" t="s">
        <v>2673</v>
      </c>
      <c r="O1743" s="15"/>
    </row>
    <row r="1744" spans="1:15" ht="18" customHeight="1" x14ac:dyDescent="0.3">
      <c r="A1744" s="29">
        <v>1743</v>
      </c>
      <c r="B1744" s="15" t="s">
        <v>52</v>
      </c>
      <c r="C1744" s="15" t="s">
        <v>58</v>
      </c>
      <c r="D1744" s="69">
        <v>90</v>
      </c>
      <c r="E1744" s="68" t="s">
        <v>945</v>
      </c>
      <c r="F1744" s="21" t="s">
        <v>603</v>
      </c>
      <c r="G1744" s="15" t="s">
        <v>154</v>
      </c>
      <c r="H1744" s="15" t="s">
        <v>905</v>
      </c>
      <c r="I1744" s="69">
        <v>172</v>
      </c>
      <c r="J1744" s="13" t="s">
        <v>2672</v>
      </c>
      <c r="K1744" s="15" t="s">
        <v>903</v>
      </c>
      <c r="L1744" s="15" t="s">
        <v>2673</v>
      </c>
      <c r="M1744" s="15" t="s">
        <v>2672</v>
      </c>
      <c r="N1744" s="15" t="s">
        <v>2673</v>
      </c>
      <c r="O1744" s="15"/>
    </row>
    <row r="1745" spans="1:15" ht="18" customHeight="1" x14ac:dyDescent="0.3">
      <c r="A1745" s="29">
        <v>1744</v>
      </c>
      <c r="B1745" s="15" t="s">
        <v>52</v>
      </c>
      <c r="C1745" s="15" t="s">
        <v>58</v>
      </c>
      <c r="D1745" s="69">
        <v>90</v>
      </c>
      <c r="E1745" s="68" t="s">
        <v>945</v>
      </c>
      <c r="F1745" s="21" t="s">
        <v>603</v>
      </c>
      <c r="G1745" s="15" t="s">
        <v>154</v>
      </c>
      <c r="H1745" s="15" t="s">
        <v>906</v>
      </c>
      <c r="I1745" s="69">
        <v>112</v>
      </c>
      <c r="J1745" s="13" t="s">
        <v>2672</v>
      </c>
      <c r="K1745" s="15" t="s">
        <v>903</v>
      </c>
      <c r="L1745" s="15" t="s">
        <v>2673</v>
      </c>
      <c r="M1745" s="15" t="s">
        <v>2672</v>
      </c>
      <c r="N1745" s="15" t="s">
        <v>2673</v>
      </c>
      <c r="O1745" s="15"/>
    </row>
    <row r="1746" spans="1:15" ht="18" customHeight="1" x14ac:dyDescent="0.3">
      <c r="A1746" s="29">
        <v>1745</v>
      </c>
      <c r="B1746" s="15" t="s">
        <v>52</v>
      </c>
      <c r="C1746" s="15" t="s">
        <v>58</v>
      </c>
      <c r="D1746" s="69">
        <v>90</v>
      </c>
      <c r="E1746" s="68" t="s">
        <v>945</v>
      </c>
      <c r="F1746" s="21" t="s">
        <v>603</v>
      </c>
      <c r="G1746" s="15" t="s">
        <v>154</v>
      </c>
      <c r="H1746" s="15" t="s">
        <v>907</v>
      </c>
      <c r="I1746" s="69">
        <v>116</v>
      </c>
      <c r="J1746" s="13" t="s">
        <v>2672</v>
      </c>
      <c r="K1746" s="15" t="s">
        <v>903</v>
      </c>
      <c r="L1746" s="15" t="s">
        <v>2673</v>
      </c>
      <c r="M1746" s="15" t="s">
        <v>2672</v>
      </c>
      <c r="N1746" s="15" t="s">
        <v>2673</v>
      </c>
      <c r="O1746" s="15"/>
    </row>
    <row r="1747" spans="1:15" ht="18" customHeight="1" x14ac:dyDescent="0.3">
      <c r="A1747" s="29">
        <v>1746</v>
      </c>
      <c r="B1747" s="15" t="s">
        <v>52</v>
      </c>
      <c r="C1747" s="15" t="s">
        <v>58</v>
      </c>
      <c r="D1747" s="69">
        <v>90</v>
      </c>
      <c r="E1747" s="68" t="s">
        <v>945</v>
      </c>
      <c r="F1747" s="21" t="s">
        <v>603</v>
      </c>
      <c r="G1747" s="15" t="s">
        <v>154</v>
      </c>
      <c r="H1747" s="15" t="s">
        <v>908</v>
      </c>
      <c r="I1747" s="69">
        <v>138</v>
      </c>
      <c r="J1747" s="13" t="s">
        <v>902</v>
      </c>
      <c r="K1747" s="15" t="s">
        <v>903</v>
      </c>
      <c r="L1747" s="15" t="s">
        <v>2673</v>
      </c>
      <c r="M1747" s="15" t="s">
        <v>2672</v>
      </c>
      <c r="N1747" s="15" t="s">
        <v>2673</v>
      </c>
      <c r="O1747" s="15"/>
    </row>
    <row r="1748" spans="1:15" ht="18" customHeight="1" x14ac:dyDescent="0.3">
      <c r="A1748" s="29">
        <v>1747</v>
      </c>
      <c r="B1748" s="15" t="s">
        <v>52</v>
      </c>
      <c r="C1748" s="15" t="s">
        <v>58</v>
      </c>
      <c r="D1748" s="69">
        <v>90</v>
      </c>
      <c r="E1748" s="68" t="s">
        <v>945</v>
      </c>
      <c r="F1748" s="21" t="s">
        <v>603</v>
      </c>
      <c r="G1748" s="15" t="s">
        <v>154</v>
      </c>
      <c r="H1748" s="15" t="s">
        <v>909</v>
      </c>
      <c r="I1748" s="69">
        <v>101</v>
      </c>
      <c r="J1748" s="13" t="s">
        <v>2672</v>
      </c>
      <c r="K1748" s="15" t="s">
        <v>903</v>
      </c>
      <c r="L1748" s="15" t="s">
        <v>2673</v>
      </c>
      <c r="M1748" s="15" t="s">
        <v>2672</v>
      </c>
      <c r="N1748" s="15" t="s">
        <v>2673</v>
      </c>
      <c r="O1748" s="15"/>
    </row>
    <row r="1749" spans="1:15" ht="18" customHeight="1" x14ac:dyDescent="0.3">
      <c r="A1749" s="29">
        <v>1748</v>
      </c>
      <c r="B1749" s="15" t="s">
        <v>52</v>
      </c>
      <c r="C1749" s="15" t="s">
        <v>1942</v>
      </c>
      <c r="D1749" s="69">
        <v>90</v>
      </c>
      <c r="E1749" s="68" t="s">
        <v>3333</v>
      </c>
      <c r="F1749" s="24" t="s">
        <v>2915</v>
      </c>
      <c r="G1749" s="15" t="s">
        <v>1553</v>
      </c>
      <c r="H1749" s="15" t="s">
        <v>2685</v>
      </c>
      <c r="I1749" s="69">
        <v>85</v>
      </c>
      <c r="J1749" s="15" t="s">
        <v>2674</v>
      </c>
      <c r="K1749" s="15" t="s">
        <v>903</v>
      </c>
      <c r="L1749" s="15" t="s">
        <v>2673</v>
      </c>
      <c r="M1749" s="15" t="s">
        <v>2672</v>
      </c>
      <c r="N1749" s="15" t="s">
        <v>2673</v>
      </c>
      <c r="O1749" s="15"/>
    </row>
    <row r="1750" spans="1:15" ht="18" customHeight="1" x14ac:dyDescent="0.3">
      <c r="A1750" s="29">
        <v>1749</v>
      </c>
      <c r="B1750" s="15" t="s">
        <v>52</v>
      </c>
      <c r="C1750" s="15" t="s">
        <v>1942</v>
      </c>
      <c r="D1750" s="69">
        <v>90</v>
      </c>
      <c r="E1750" s="68" t="s">
        <v>3333</v>
      </c>
      <c r="F1750" s="24" t="s">
        <v>2915</v>
      </c>
      <c r="G1750" s="15" t="s">
        <v>1553</v>
      </c>
      <c r="H1750" s="15" t="s">
        <v>2678</v>
      </c>
      <c r="I1750" s="69">
        <v>77</v>
      </c>
      <c r="J1750" s="15" t="s">
        <v>2672</v>
      </c>
      <c r="K1750" s="15" t="s">
        <v>903</v>
      </c>
      <c r="L1750" s="15" t="s">
        <v>2673</v>
      </c>
      <c r="M1750" s="15" t="s">
        <v>2672</v>
      </c>
      <c r="N1750" s="15" t="s">
        <v>2673</v>
      </c>
      <c r="O1750" s="15"/>
    </row>
    <row r="1751" spans="1:15" ht="18" customHeight="1" x14ac:dyDescent="0.3">
      <c r="A1751" s="29">
        <v>1750</v>
      </c>
      <c r="B1751" s="15" t="s">
        <v>52</v>
      </c>
      <c r="C1751" s="15" t="s">
        <v>1942</v>
      </c>
      <c r="D1751" s="69">
        <v>90</v>
      </c>
      <c r="E1751" s="68" t="s">
        <v>3333</v>
      </c>
      <c r="F1751" s="24" t="s">
        <v>2915</v>
      </c>
      <c r="G1751" s="15" t="s">
        <v>1553</v>
      </c>
      <c r="H1751" s="15" t="s">
        <v>2679</v>
      </c>
      <c r="I1751" s="69">
        <v>77</v>
      </c>
      <c r="J1751" s="15" t="s">
        <v>2672</v>
      </c>
      <c r="K1751" s="15" t="s">
        <v>903</v>
      </c>
      <c r="L1751" s="15" t="s">
        <v>2673</v>
      </c>
      <c r="M1751" s="15" t="s">
        <v>2672</v>
      </c>
      <c r="N1751" s="15" t="s">
        <v>2673</v>
      </c>
      <c r="O1751" s="15"/>
    </row>
    <row r="1752" spans="1:15" ht="18" customHeight="1" x14ac:dyDescent="0.3">
      <c r="A1752" s="29">
        <v>1751</v>
      </c>
      <c r="B1752" s="15" t="s">
        <v>52</v>
      </c>
      <c r="C1752" s="15" t="s">
        <v>1942</v>
      </c>
      <c r="D1752" s="69">
        <v>90</v>
      </c>
      <c r="E1752" s="68" t="s">
        <v>3333</v>
      </c>
      <c r="F1752" s="24" t="s">
        <v>2915</v>
      </c>
      <c r="G1752" s="15" t="s">
        <v>1553</v>
      </c>
      <c r="H1752" s="15" t="s">
        <v>2680</v>
      </c>
      <c r="I1752" s="69">
        <v>63</v>
      </c>
      <c r="J1752" s="15" t="s">
        <v>2672</v>
      </c>
      <c r="K1752" s="15" t="s">
        <v>903</v>
      </c>
      <c r="L1752" s="15" t="s">
        <v>2673</v>
      </c>
      <c r="M1752" s="15" t="s">
        <v>2672</v>
      </c>
      <c r="N1752" s="15" t="s">
        <v>2673</v>
      </c>
      <c r="O1752" s="15"/>
    </row>
    <row r="1753" spans="1:15" ht="18" customHeight="1" x14ac:dyDescent="0.3">
      <c r="A1753" s="29">
        <v>1752</v>
      </c>
      <c r="B1753" s="15" t="s">
        <v>52</v>
      </c>
      <c r="C1753" s="15" t="s">
        <v>1942</v>
      </c>
      <c r="D1753" s="69">
        <v>90</v>
      </c>
      <c r="E1753" s="68" t="s">
        <v>3333</v>
      </c>
      <c r="F1753" s="24" t="s">
        <v>2915</v>
      </c>
      <c r="G1753" s="15" t="s">
        <v>1553</v>
      </c>
      <c r="H1753" s="15" t="s">
        <v>2690</v>
      </c>
      <c r="I1753" s="69">
        <v>72</v>
      </c>
      <c r="J1753" s="15" t="s">
        <v>2672</v>
      </c>
      <c r="K1753" s="15" t="s">
        <v>903</v>
      </c>
      <c r="L1753" s="15" t="s">
        <v>2673</v>
      </c>
      <c r="M1753" s="15" t="s">
        <v>2672</v>
      </c>
      <c r="N1753" s="15" t="s">
        <v>2673</v>
      </c>
      <c r="O1753" s="15"/>
    </row>
    <row r="1754" spans="1:15" ht="18" customHeight="1" x14ac:dyDescent="0.3">
      <c r="A1754" s="29">
        <v>1753</v>
      </c>
      <c r="B1754" s="15" t="s">
        <v>1882</v>
      </c>
      <c r="C1754" s="15" t="s">
        <v>1942</v>
      </c>
      <c r="D1754" s="69">
        <v>90</v>
      </c>
      <c r="E1754" s="6" t="s">
        <v>1950</v>
      </c>
      <c r="F1754" s="6" t="s">
        <v>598</v>
      </c>
      <c r="G1754" s="15" t="s">
        <v>2673</v>
      </c>
      <c r="H1754" s="15" t="s">
        <v>2916</v>
      </c>
      <c r="I1754" s="69">
        <v>51</v>
      </c>
      <c r="J1754" s="15" t="s">
        <v>2672</v>
      </c>
      <c r="K1754" s="15" t="s">
        <v>903</v>
      </c>
      <c r="L1754" s="15" t="s">
        <v>2673</v>
      </c>
      <c r="M1754" s="15" t="s">
        <v>2672</v>
      </c>
      <c r="N1754" s="15" t="s">
        <v>2673</v>
      </c>
      <c r="O1754" s="15"/>
    </row>
    <row r="1755" spans="1:15" ht="18" customHeight="1" x14ac:dyDescent="0.3">
      <c r="A1755" s="29">
        <v>1754</v>
      </c>
      <c r="B1755" s="15" t="s">
        <v>1882</v>
      </c>
      <c r="C1755" s="15" t="s">
        <v>1942</v>
      </c>
      <c r="D1755" s="69">
        <v>90</v>
      </c>
      <c r="E1755" s="6" t="s">
        <v>1950</v>
      </c>
      <c r="F1755" s="6" t="s">
        <v>598</v>
      </c>
      <c r="G1755" s="15" t="s">
        <v>2673</v>
      </c>
      <c r="H1755" s="15" t="s">
        <v>2680</v>
      </c>
      <c r="I1755" s="69">
        <v>62</v>
      </c>
      <c r="J1755" s="15" t="s">
        <v>2672</v>
      </c>
      <c r="K1755" s="15" t="s">
        <v>903</v>
      </c>
      <c r="L1755" s="15" t="s">
        <v>2673</v>
      </c>
      <c r="M1755" s="15" t="s">
        <v>2672</v>
      </c>
      <c r="N1755" s="15" t="s">
        <v>2673</v>
      </c>
      <c r="O1755" s="15"/>
    </row>
    <row r="1756" spans="1:15" ht="18" customHeight="1" x14ac:dyDescent="0.3">
      <c r="A1756" s="29">
        <v>1755</v>
      </c>
      <c r="B1756" s="13" t="s">
        <v>52</v>
      </c>
      <c r="C1756" s="13" t="s">
        <v>59</v>
      </c>
      <c r="D1756" s="13">
        <v>91</v>
      </c>
      <c r="E1756" s="63" t="s">
        <v>1954</v>
      </c>
      <c r="F1756" s="21" t="s">
        <v>696</v>
      </c>
      <c r="G1756" s="13" t="s">
        <v>164</v>
      </c>
      <c r="H1756" s="15" t="s">
        <v>2685</v>
      </c>
      <c r="I1756" s="69">
        <v>62</v>
      </c>
      <c r="J1756" s="13" t="s">
        <v>2672</v>
      </c>
      <c r="K1756" s="15" t="s">
        <v>903</v>
      </c>
      <c r="L1756" s="15" t="s">
        <v>2673</v>
      </c>
      <c r="M1756" s="15" t="s">
        <v>2672</v>
      </c>
      <c r="N1756" s="15" t="s">
        <v>2673</v>
      </c>
      <c r="O1756" s="15"/>
    </row>
    <row r="1757" spans="1:15" ht="18" customHeight="1" x14ac:dyDescent="0.3">
      <c r="A1757" s="29">
        <v>1756</v>
      </c>
      <c r="B1757" s="13" t="s">
        <v>52</v>
      </c>
      <c r="C1757" s="13" t="s">
        <v>59</v>
      </c>
      <c r="D1757" s="13">
        <v>91</v>
      </c>
      <c r="E1757" s="63" t="s">
        <v>1954</v>
      </c>
      <c r="F1757" s="21" t="s">
        <v>696</v>
      </c>
      <c r="G1757" s="13" t="s">
        <v>164</v>
      </c>
      <c r="H1757" s="15" t="s">
        <v>2678</v>
      </c>
      <c r="I1757" s="69">
        <v>62</v>
      </c>
      <c r="J1757" s="13" t="s">
        <v>2672</v>
      </c>
      <c r="K1757" s="15" t="s">
        <v>903</v>
      </c>
      <c r="L1757" s="15" t="s">
        <v>2673</v>
      </c>
      <c r="M1757" s="15" t="s">
        <v>2672</v>
      </c>
      <c r="N1757" s="15" t="s">
        <v>2673</v>
      </c>
      <c r="O1757" s="15"/>
    </row>
    <row r="1758" spans="1:15" ht="18" customHeight="1" x14ac:dyDescent="0.3">
      <c r="A1758" s="29">
        <v>1757</v>
      </c>
      <c r="B1758" s="13" t="s">
        <v>52</v>
      </c>
      <c r="C1758" s="13" t="s">
        <v>59</v>
      </c>
      <c r="D1758" s="13">
        <v>91</v>
      </c>
      <c r="E1758" s="63" t="s">
        <v>1954</v>
      </c>
      <c r="F1758" s="21" t="s">
        <v>696</v>
      </c>
      <c r="G1758" s="13" t="s">
        <v>164</v>
      </c>
      <c r="H1758" s="15" t="s">
        <v>2679</v>
      </c>
      <c r="I1758" s="69">
        <v>71</v>
      </c>
      <c r="J1758" s="13" t="s">
        <v>2672</v>
      </c>
      <c r="K1758" s="15" t="s">
        <v>903</v>
      </c>
      <c r="L1758" s="15" t="s">
        <v>2673</v>
      </c>
      <c r="M1758" s="15" t="s">
        <v>2672</v>
      </c>
      <c r="N1758" s="15" t="s">
        <v>2673</v>
      </c>
      <c r="O1758" s="15"/>
    </row>
    <row r="1759" spans="1:15" ht="18" customHeight="1" x14ac:dyDescent="0.3">
      <c r="A1759" s="29">
        <v>1758</v>
      </c>
      <c r="B1759" s="13" t="s">
        <v>52</v>
      </c>
      <c r="C1759" s="13" t="s">
        <v>59</v>
      </c>
      <c r="D1759" s="13">
        <v>91</v>
      </c>
      <c r="E1759" s="63" t="s">
        <v>1954</v>
      </c>
      <c r="F1759" s="21" t="s">
        <v>696</v>
      </c>
      <c r="G1759" s="13" t="s">
        <v>164</v>
      </c>
      <c r="H1759" s="15" t="s">
        <v>2680</v>
      </c>
      <c r="I1759" s="69">
        <v>70</v>
      </c>
      <c r="J1759" s="13" t="s">
        <v>2672</v>
      </c>
      <c r="K1759" s="15" t="s">
        <v>903</v>
      </c>
      <c r="L1759" s="15" t="s">
        <v>2673</v>
      </c>
      <c r="M1759" s="15" t="s">
        <v>2672</v>
      </c>
      <c r="N1759" s="15" t="s">
        <v>2673</v>
      </c>
      <c r="O1759" s="15"/>
    </row>
    <row r="1760" spans="1:15" ht="18" customHeight="1" x14ac:dyDescent="0.3">
      <c r="A1760" s="29">
        <v>1759</v>
      </c>
      <c r="B1760" s="13" t="s">
        <v>52</v>
      </c>
      <c r="C1760" s="13" t="s">
        <v>59</v>
      </c>
      <c r="D1760" s="13">
        <v>91</v>
      </c>
      <c r="E1760" s="63" t="s">
        <v>1954</v>
      </c>
      <c r="F1760" s="21" t="s">
        <v>696</v>
      </c>
      <c r="G1760" s="13" t="s">
        <v>164</v>
      </c>
      <c r="H1760" s="15" t="s">
        <v>2690</v>
      </c>
      <c r="I1760" s="69">
        <v>68</v>
      </c>
      <c r="J1760" s="13" t="s">
        <v>2672</v>
      </c>
      <c r="K1760" s="15" t="s">
        <v>903</v>
      </c>
      <c r="L1760" s="15" t="s">
        <v>2673</v>
      </c>
      <c r="M1760" s="15" t="s">
        <v>2672</v>
      </c>
      <c r="N1760" s="15" t="s">
        <v>2673</v>
      </c>
      <c r="O1760" s="15"/>
    </row>
    <row r="1761" spans="1:15" ht="18" customHeight="1" x14ac:dyDescent="0.3">
      <c r="A1761" s="29">
        <v>1760</v>
      </c>
      <c r="B1761" s="15" t="s">
        <v>52</v>
      </c>
      <c r="C1761" s="15" t="s">
        <v>59</v>
      </c>
      <c r="D1761" s="69">
        <v>91</v>
      </c>
      <c r="E1761" s="68" t="s">
        <v>3334</v>
      </c>
      <c r="F1761" s="21" t="s">
        <v>1958</v>
      </c>
      <c r="G1761" s="15" t="s">
        <v>1553</v>
      </c>
      <c r="H1761" s="15" t="s">
        <v>2685</v>
      </c>
      <c r="I1761" s="69">
        <v>66</v>
      </c>
      <c r="J1761" s="15" t="s">
        <v>2672</v>
      </c>
      <c r="K1761" s="15" t="s">
        <v>903</v>
      </c>
      <c r="L1761" s="15" t="s">
        <v>2673</v>
      </c>
      <c r="M1761" s="15" t="s">
        <v>2672</v>
      </c>
      <c r="N1761" s="15" t="s">
        <v>2673</v>
      </c>
      <c r="O1761" s="15"/>
    </row>
    <row r="1762" spans="1:15" ht="18" customHeight="1" x14ac:dyDescent="0.3">
      <c r="A1762" s="29">
        <v>1761</v>
      </c>
      <c r="B1762" s="15" t="s">
        <v>52</v>
      </c>
      <c r="C1762" s="15" t="s">
        <v>59</v>
      </c>
      <c r="D1762" s="69">
        <v>91</v>
      </c>
      <c r="E1762" s="68" t="s">
        <v>3334</v>
      </c>
      <c r="F1762" s="21" t="s">
        <v>1958</v>
      </c>
      <c r="G1762" s="15" t="s">
        <v>1553</v>
      </c>
      <c r="H1762" s="15" t="s">
        <v>2678</v>
      </c>
      <c r="I1762" s="69">
        <v>69</v>
      </c>
      <c r="J1762" s="15" t="s">
        <v>2674</v>
      </c>
      <c r="K1762" s="15" t="s">
        <v>903</v>
      </c>
      <c r="L1762" s="15" t="s">
        <v>2673</v>
      </c>
      <c r="M1762" s="15" t="s">
        <v>2672</v>
      </c>
      <c r="N1762" s="15" t="s">
        <v>2673</v>
      </c>
      <c r="O1762" s="15"/>
    </row>
    <row r="1763" spans="1:15" ht="18" customHeight="1" x14ac:dyDescent="0.3">
      <c r="A1763" s="29">
        <v>1762</v>
      </c>
      <c r="B1763" s="15" t="s">
        <v>52</v>
      </c>
      <c r="C1763" s="15" t="s">
        <v>59</v>
      </c>
      <c r="D1763" s="69">
        <v>91</v>
      </c>
      <c r="E1763" s="68" t="s">
        <v>3334</v>
      </c>
      <c r="F1763" s="21" t="s">
        <v>1958</v>
      </c>
      <c r="G1763" s="15" t="s">
        <v>1553</v>
      </c>
      <c r="H1763" s="15" t="s">
        <v>2679</v>
      </c>
      <c r="I1763" s="69">
        <v>69</v>
      </c>
      <c r="J1763" s="15" t="s">
        <v>2672</v>
      </c>
      <c r="K1763" s="15" t="s">
        <v>903</v>
      </c>
      <c r="L1763" s="15" t="s">
        <v>2673</v>
      </c>
      <c r="M1763" s="15" t="s">
        <v>2672</v>
      </c>
      <c r="N1763" s="15" t="s">
        <v>2673</v>
      </c>
      <c r="O1763" s="15"/>
    </row>
    <row r="1764" spans="1:15" ht="18" customHeight="1" x14ac:dyDescent="0.3">
      <c r="A1764" s="29">
        <v>1763</v>
      </c>
      <c r="B1764" s="15" t="s">
        <v>52</v>
      </c>
      <c r="C1764" s="15" t="s">
        <v>59</v>
      </c>
      <c r="D1764" s="69">
        <v>91</v>
      </c>
      <c r="E1764" s="68" t="s">
        <v>3334</v>
      </c>
      <c r="F1764" s="21" t="s">
        <v>1958</v>
      </c>
      <c r="G1764" s="15" t="s">
        <v>1553</v>
      </c>
      <c r="H1764" s="15" t="s">
        <v>2680</v>
      </c>
      <c r="I1764" s="69">
        <v>69</v>
      </c>
      <c r="J1764" s="15" t="s">
        <v>2672</v>
      </c>
      <c r="K1764" s="15" t="s">
        <v>903</v>
      </c>
      <c r="L1764" s="15" t="s">
        <v>2673</v>
      </c>
      <c r="M1764" s="15" t="s">
        <v>2672</v>
      </c>
      <c r="N1764" s="15" t="s">
        <v>2673</v>
      </c>
      <c r="O1764" s="15"/>
    </row>
    <row r="1765" spans="1:15" ht="18" customHeight="1" x14ac:dyDescent="0.3">
      <c r="A1765" s="29">
        <v>1764</v>
      </c>
      <c r="B1765" s="15" t="s">
        <v>52</v>
      </c>
      <c r="C1765" s="15" t="s">
        <v>59</v>
      </c>
      <c r="D1765" s="69">
        <v>91</v>
      </c>
      <c r="E1765" s="68" t="s">
        <v>3334</v>
      </c>
      <c r="F1765" s="21" t="s">
        <v>1958</v>
      </c>
      <c r="G1765" s="15" t="s">
        <v>1553</v>
      </c>
      <c r="H1765" s="15" t="s">
        <v>2690</v>
      </c>
      <c r="I1765" s="69">
        <v>64</v>
      </c>
      <c r="J1765" s="15" t="s">
        <v>2672</v>
      </c>
      <c r="K1765" s="15" t="s">
        <v>903</v>
      </c>
      <c r="L1765" s="15" t="s">
        <v>2673</v>
      </c>
      <c r="M1765" s="15" t="s">
        <v>2672</v>
      </c>
      <c r="N1765" s="15" t="s">
        <v>2673</v>
      </c>
      <c r="O1765" s="15"/>
    </row>
    <row r="1766" spans="1:15" ht="18" customHeight="1" x14ac:dyDescent="0.3">
      <c r="A1766" s="29">
        <v>1765</v>
      </c>
      <c r="B1766" s="15" t="s">
        <v>52</v>
      </c>
      <c r="C1766" s="15" t="s">
        <v>59</v>
      </c>
      <c r="D1766" s="69">
        <v>91</v>
      </c>
      <c r="E1766" s="68" t="s">
        <v>3334</v>
      </c>
      <c r="F1766" s="21" t="s">
        <v>1958</v>
      </c>
      <c r="G1766" s="15" t="s">
        <v>1553</v>
      </c>
      <c r="H1766" s="15" t="s">
        <v>2682</v>
      </c>
      <c r="I1766" s="69">
        <v>64</v>
      </c>
      <c r="J1766" s="15" t="s">
        <v>2672</v>
      </c>
      <c r="K1766" s="15" t="s">
        <v>903</v>
      </c>
      <c r="L1766" s="15" t="s">
        <v>2673</v>
      </c>
      <c r="M1766" s="15" t="s">
        <v>2672</v>
      </c>
      <c r="N1766" s="15" t="s">
        <v>2673</v>
      </c>
      <c r="O1766" s="15"/>
    </row>
    <row r="1767" spans="1:15" ht="18" customHeight="1" x14ac:dyDescent="0.3">
      <c r="A1767" s="29">
        <v>1766</v>
      </c>
      <c r="B1767" s="15" t="s">
        <v>52</v>
      </c>
      <c r="C1767" s="15" t="s">
        <v>59</v>
      </c>
      <c r="D1767" s="69">
        <v>91</v>
      </c>
      <c r="E1767" s="68" t="s">
        <v>3334</v>
      </c>
      <c r="F1767" s="21" t="s">
        <v>1958</v>
      </c>
      <c r="G1767" s="15" t="s">
        <v>1553</v>
      </c>
      <c r="H1767" s="15" t="s">
        <v>2732</v>
      </c>
      <c r="I1767" s="69">
        <v>64</v>
      </c>
      <c r="J1767" s="15" t="s">
        <v>2672</v>
      </c>
      <c r="K1767" s="15" t="s">
        <v>903</v>
      </c>
      <c r="L1767" s="15" t="s">
        <v>2673</v>
      </c>
      <c r="M1767" s="15" t="s">
        <v>2672</v>
      </c>
      <c r="N1767" s="15" t="s">
        <v>2673</v>
      </c>
      <c r="O1767" s="15"/>
    </row>
    <row r="1768" spans="1:15" ht="18" customHeight="1" x14ac:dyDescent="0.3">
      <c r="A1768" s="29">
        <v>1767</v>
      </c>
      <c r="B1768" s="15" t="s">
        <v>52</v>
      </c>
      <c r="C1768" s="15" t="s">
        <v>59</v>
      </c>
      <c r="D1768" s="69">
        <v>91</v>
      </c>
      <c r="E1768" s="68" t="s">
        <v>3334</v>
      </c>
      <c r="F1768" s="21" t="s">
        <v>1958</v>
      </c>
      <c r="G1768" s="15" t="s">
        <v>1553</v>
      </c>
      <c r="H1768" s="15" t="s">
        <v>2683</v>
      </c>
      <c r="I1768" s="69">
        <v>51</v>
      </c>
      <c r="J1768" s="15" t="s">
        <v>2672</v>
      </c>
      <c r="K1768" s="15" t="s">
        <v>903</v>
      </c>
      <c r="L1768" s="15" t="s">
        <v>2673</v>
      </c>
      <c r="M1768" s="15" t="s">
        <v>2672</v>
      </c>
      <c r="N1768" s="15" t="s">
        <v>2673</v>
      </c>
      <c r="O1768" s="15"/>
    </row>
    <row r="1769" spans="1:15" ht="18" customHeight="1" x14ac:dyDescent="0.3">
      <c r="A1769" s="29">
        <v>1768</v>
      </c>
      <c r="B1769" s="15" t="s">
        <v>52</v>
      </c>
      <c r="C1769" s="15" t="s">
        <v>59</v>
      </c>
      <c r="D1769" s="69">
        <v>91</v>
      </c>
      <c r="E1769" s="68" t="s">
        <v>254</v>
      </c>
      <c r="F1769" s="21" t="s">
        <v>698</v>
      </c>
      <c r="G1769" s="15" t="s">
        <v>154</v>
      </c>
      <c r="H1769" s="15" t="s">
        <v>901</v>
      </c>
      <c r="I1769" s="69">
        <v>239</v>
      </c>
      <c r="J1769" s="13" t="s">
        <v>2672</v>
      </c>
      <c r="K1769" s="15" t="s">
        <v>903</v>
      </c>
      <c r="L1769" s="15" t="s">
        <v>2673</v>
      </c>
      <c r="M1769" s="15" t="s">
        <v>2672</v>
      </c>
      <c r="N1769" s="15" t="s">
        <v>2673</v>
      </c>
      <c r="O1769" s="15"/>
    </row>
    <row r="1770" spans="1:15" ht="18" customHeight="1" x14ac:dyDescent="0.3">
      <c r="A1770" s="29">
        <v>1769</v>
      </c>
      <c r="B1770" s="15" t="s">
        <v>52</v>
      </c>
      <c r="C1770" s="15" t="s">
        <v>59</v>
      </c>
      <c r="D1770" s="69">
        <v>91</v>
      </c>
      <c r="E1770" s="68" t="s">
        <v>254</v>
      </c>
      <c r="F1770" s="21" t="s">
        <v>698</v>
      </c>
      <c r="G1770" s="15" t="s">
        <v>154</v>
      </c>
      <c r="H1770" s="15" t="s">
        <v>904</v>
      </c>
      <c r="I1770" s="69">
        <v>130</v>
      </c>
      <c r="J1770" s="13" t="s">
        <v>2672</v>
      </c>
      <c r="K1770" s="15" t="s">
        <v>903</v>
      </c>
      <c r="L1770" s="15" t="s">
        <v>2673</v>
      </c>
      <c r="M1770" s="15" t="s">
        <v>2672</v>
      </c>
      <c r="N1770" s="15" t="s">
        <v>2673</v>
      </c>
      <c r="O1770" s="15"/>
    </row>
    <row r="1771" spans="1:15" ht="18" customHeight="1" x14ac:dyDescent="0.3">
      <c r="A1771" s="29">
        <v>1770</v>
      </c>
      <c r="B1771" s="15" t="s">
        <v>52</v>
      </c>
      <c r="C1771" s="15" t="s">
        <v>59</v>
      </c>
      <c r="D1771" s="69">
        <v>91</v>
      </c>
      <c r="E1771" s="68" t="s">
        <v>254</v>
      </c>
      <c r="F1771" s="21" t="s">
        <v>698</v>
      </c>
      <c r="G1771" s="15" t="s">
        <v>154</v>
      </c>
      <c r="H1771" s="15" t="s">
        <v>905</v>
      </c>
      <c r="I1771" s="69">
        <v>152</v>
      </c>
      <c r="J1771" s="13" t="s">
        <v>2672</v>
      </c>
      <c r="K1771" s="15" t="s">
        <v>903</v>
      </c>
      <c r="L1771" s="15" t="s">
        <v>2673</v>
      </c>
      <c r="M1771" s="15" t="s">
        <v>2672</v>
      </c>
      <c r="N1771" s="15" t="s">
        <v>2673</v>
      </c>
      <c r="O1771" s="15"/>
    </row>
    <row r="1772" spans="1:15" ht="18" customHeight="1" x14ac:dyDescent="0.3">
      <c r="A1772" s="29">
        <v>1771</v>
      </c>
      <c r="B1772" s="15" t="s">
        <v>52</v>
      </c>
      <c r="C1772" s="15" t="s">
        <v>59</v>
      </c>
      <c r="D1772" s="69">
        <v>91</v>
      </c>
      <c r="E1772" s="68" t="s">
        <v>254</v>
      </c>
      <c r="F1772" s="21" t="s">
        <v>698</v>
      </c>
      <c r="G1772" s="15" t="s">
        <v>154</v>
      </c>
      <c r="H1772" s="15" t="s">
        <v>906</v>
      </c>
      <c r="I1772" s="69">
        <v>254</v>
      </c>
      <c r="J1772" s="13" t="s">
        <v>902</v>
      </c>
      <c r="K1772" s="15" t="s">
        <v>903</v>
      </c>
      <c r="L1772" s="15" t="s">
        <v>2673</v>
      </c>
      <c r="M1772" s="15" t="s">
        <v>2672</v>
      </c>
      <c r="N1772" s="15" t="s">
        <v>2673</v>
      </c>
      <c r="O1772" s="15"/>
    </row>
    <row r="1773" spans="1:15" ht="18" customHeight="1" x14ac:dyDescent="0.3">
      <c r="A1773" s="29">
        <v>1772</v>
      </c>
      <c r="B1773" s="15" t="s">
        <v>52</v>
      </c>
      <c r="C1773" s="15" t="s">
        <v>59</v>
      </c>
      <c r="D1773" s="69">
        <v>91</v>
      </c>
      <c r="E1773" s="68" t="s">
        <v>254</v>
      </c>
      <c r="F1773" s="21" t="s">
        <v>698</v>
      </c>
      <c r="G1773" s="15" t="s">
        <v>154</v>
      </c>
      <c r="H1773" s="15" t="s">
        <v>907</v>
      </c>
      <c r="I1773" s="69">
        <v>157</v>
      </c>
      <c r="J1773" s="13" t="s">
        <v>902</v>
      </c>
      <c r="K1773" s="15" t="s">
        <v>903</v>
      </c>
      <c r="L1773" s="15" t="s">
        <v>2673</v>
      </c>
      <c r="M1773" s="15" t="s">
        <v>2672</v>
      </c>
      <c r="N1773" s="15" t="s">
        <v>2673</v>
      </c>
      <c r="O1773" s="15"/>
    </row>
    <row r="1774" spans="1:15" ht="18" customHeight="1" x14ac:dyDescent="0.3">
      <c r="A1774" s="29">
        <v>1773</v>
      </c>
      <c r="B1774" s="15" t="s">
        <v>52</v>
      </c>
      <c r="C1774" s="15" t="s">
        <v>59</v>
      </c>
      <c r="D1774" s="69">
        <v>91</v>
      </c>
      <c r="E1774" s="68" t="s">
        <v>3335</v>
      </c>
      <c r="F1774" s="21" t="s">
        <v>697</v>
      </c>
      <c r="G1774" s="15" t="s">
        <v>154</v>
      </c>
      <c r="H1774" s="15" t="s">
        <v>901</v>
      </c>
      <c r="I1774" s="69">
        <v>130</v>
      </c>
      <c r="J1774" s="15" t="s">
        <v>2672</v>
      </c>
      <c r="K1774" s="15" t="s">
        <v>903</v>
      </c>
      <c r="L1774" s="15" t="s">
        <v>2673</v>
      </c>
      <c r="M1774" s="15" t="s">
        <v>2672</v>
      </c>
      <c r="N1774" s="15" t="s">
        <v>2673</v>
      </c>
      <c r="O1774" s="15"/>
    </row>
    <row r="1775" spans="1:15" ht="18" customHeight="1" x14ac:dyDescent="0.3">
      <c r="A1775" s="29">
        <v>1774</v>
      </c>
      <c r="B1775" s="15" t="s">
        <v>52</v>
      </c>
      <c r="C1775" s="15" t="s">
        <v>59</v>
      </c>
      <c r="D1775" s="69">
        <v>91</v>
      </c>
      <c r="E1775" s="68" t="s">
        <v>3335</v>
      </c>
      <c r="F1775" s="21" t="s">
        <v>697</v>
      </c>
      <c r="G1775" s="15" t="s">
        <v>154</v>
      </c>
      <c r="H1775" s="15" t="s">
        <v>904</v>
      </c>
      <c r="I1775" s="69">
        <v>136</v>
      </c>
      <c r="J1775" s="15" t="s">
        <v>2672</v>
      </c>
      <c r="K1775" s="15" t="s">
        <v>903</v>
      </c>
      <c r="L1775" s="15" t="s">
        <v>2673</v>
      </c>
      <c r="M1775" s="15" t="s">
        <v>2672</v>
      </c>
      <c r="N1775" s="15" t="s">
        <v>2673</v>
      </c>
      <c r="O1775" s="15"/>
    </row>
    <row r="1776" spans="1:15" ht="18" customHeight="1" x14ac:dyDescent="0.3">
      <c r="A1776" s="29">
        <v>1775</v>
      </c>
      <c r="B1776" s="15" t="s">
        <v>52</v>
      </c>
      <c r="C1776" s="15" t="s">
        <v>59</v>
      </c>
      <c r="D1776" s="69">
        <v>91</v>
      </c>
      <c r="E1776" s="68" t="s">
        <v>3335</v>
      </c>
      <c r="F1776" s="21" t="s">
        <v>697</v>
      </c>
      <c r="G1776" s="15" t="s">
        <v>154</v>
      </c>
      <c r="H1776" s="15" t="s">
        <v>905</v>
      </c>
      <c r="I1776" s="69">
        <v>130</v>
      </c>
      <c r="J1776" s="15" t="s">
        <v>2674</v>
      </c>
      <c r="K1776" s="15" t="s">
        <v>903</v>
      </c>
      <c r="L1776" s="15" t="s">
        <v>2673</v>
      </c>
      <c r="M1776" s="15" t="s">
        <v>2672</v>
      </c>
      <c r="N1776" s="15" t="s">
        <v>2673</v>
      </c>
      <c r="O1776" s="15"/>
    </row>
    <row r="1777" spans="1:15" ht="18" customHeight="1" x14ac:dyDescent="0.3">
      <c r="A1777" s="29">
        <v>1776</v>
      </c>
      <c r="B1777" s="15" t="s">
        <v>52</v>
      </c>
      <c r="C1777" s="15" t="s">
        <v>59</v>
      </c>
      <c r="D1777" s="69">
        <v>91</v>
      </c>
      <c r="E1777" s="68" t="s">
        <v>3335</v>
      </c>
      <c r="F1777" s="21" t="s">
        <v>697</v>
      </c>
      <c r="G1777" s="15" t="s">
        <v>154</v>
      </c>
      <c r="H1777" s="15" t="s">
        <v>906</v>
      </c>
      <c r="I1777" s="69">
        <v>136</v>
      </c>
      <c r="J1777" s="15" t="s">
        <v>2674</v>
      </c>
      <c r="K1777" s="15" t="s">
        <v>903</v>
      </c>
      <c r="L1777" s="15" t="s">
        <v>2673</v>
      </c>
      <c r="M1777" s="15" t="s">
        <v>2672</v>
      </c>
      <c r="N1777" s="15" t="s">
        <v>2673</v>
      </c>
      <c r="O1777" s="15"/>
    </row>
    <row r="1778" spans="1:15" ht="18" customHeight="1" x14ac:dyDescent="0.3">
      <c r="A1778" s="29">
        <v>1777</v>
      </c>
      <c r="B1778" s="15" t="s">
        <v>52</v>
      </c>
      <c r="C1778" s="15" t="s">
        <v>59</v>
      </c>
      <c r="D1778" s="69">
        <v>91</v>
      </c>
      <c r="E1778" s="68" t="s">
        <v>3335</v>
      </c>
      <c r="F1778" s="21" t="s">
        <v>697</v>
      </c>
      <c r="G1778" s="15" t="s">
        <v>154</v>
      </c>
      <c r="H1778" s="15" t="s">
        <v>907</v>
      </c>
      <c r="I1778" s="69">
        <v>141</v>
      </c>
      <c r="J1778" s="15" t="s">
        <v>2674</v>
      </c>
      <c r="K1778" s="15" t="s">
        <v>903</v>
      </c>
      <c r="L1778" s="15" t="s">
        <v>2673</v>
      </c>
      <c r="M1778" s="15" t="s">
        <v>2672</v>
      </c>
      <c r="N1778" s="15" t="s">
        <v>2673</v>
      </c>
      <c r="O1778" s="15"/>
    </row>
    <row r="1779" spans="1:15" ht="18" customHeight="1" x14ac:dyDescent="0.3">
      <c r="A1779" s="29">
        <v>1778</v>
      </c>
      <c r="B1779" s="15" t="s">
        <v>52</v>
      </c>
      <c r="C1779" s="15" t="s">
        <v>59</v>
      </c>
      <c r="D1779" s="69">
        <v>91</v>
      </c>
      <c r="E1779" s="68" t="s">
        <v>3335</v>
      </c>
      <c r="F1779" s="21" t="s">
        <v>697</v>
      </c>
      <c r="G1779" s="15" t="s">
        <v>154</v>
      </c>
      <c r="H1779" s="15" t="s">
        <v>908</v>
      </c>
      <c r="I1779" s="69">
        <v>77</v>
      </c>
      <c r="J1779" s="15" t="s">
        <v>2672</v>
      </c>
      <c r="K1779" s="15" t="s">
        <v>903</v>
      </c>
      <c r="L1779" s="15" t="s">
        <v>2673</v>
      </c>
      <c r="M1779" s="15" t="s">
        <v>2672</v>
      </c>
      <c r="N1779" s="15" t="s">
        <v>2673</v>
      </c>
      <c r="O1779" s="15"/>
    </row>
    <row r="1780" spans="1:15" ht="18" customHeight="1" x14ac:dyDescent="0.3">
      <c r="A1780" s="29">
        <v>1779</v>
      </c>
      <c r="B1780" s="15" t="s">
        <v>52</v>
      </c>
      <c r="C1780" s="15" t="s">
        <v>59</v>
      </c>
      <c r="D1780" s="69">
        <v>91</v>
      </c>
      <c r="E1780" s="68" t="s">
        <v>3336</v>
      </c>
      <c r="F1780" s="24" t="s">
        <v>695</v>
      </c>
      <c r="G1780" s="15" t="s">
        <v>154</v>
      </c>
      <c r="H1780" s="15" t="s">
        <v>904</v>
      </c>
      <c r="I1780" s="69">
        <v>105</v>
      </c>
      <c r="J1780" s="15" t="s">
        <v>2672</v>
      </c>
      <c r="K1780" s="15" t="s">
        <v>903</v>
      </c>
      <c r="L1780" s="15" t="s">
        <v>2673</v>
      </c>
      <c r="M1780" s="15" t="s">
        <v>2672</v>
      </c>
      <c r="N1780" s="15" t="s">
        <v>2673</v>
      </c>
      <c r="O1780" s="15" t="s">
        <v>2917</v>
      </c>
    </row>
    <row r="1781" spans="1:15" ht="18" customHeight="1" x14ac:dyDescent="0.3">
      <c r="A1781" s="29">
        <v>1780</v>
      </c>
      <c r="B1781" s="15" t="s">
        <v>52</v>
      </c>
      <c r="C1781" s="15" t="s">
        <v>59</v>
      </c>
      <c r="D1781" s="69">
        <v>91</v>
      </c>
      <c r="E1781" s="68" t="s">
        <v>3336</v>
      </c>
      <c r="F1781" s="24" t="s">
        <v>695</v>
      </c>
      <c r="G1781" s="15" t="s">
        <v>154</v>
      </c>
      <c r="H1781" s="15" t="s">
        <v>905</v>
      </c>
      <c r="I1781" s="69">
        <v>124</v>
      </c>
      <c r="J1781" s="15" t="s">
        <v>2672</v>
      </c>
      <c r="K1781" s="15" t="s">
        <v>903</v>
      </c>
      <c r="L1781" s="15" t="s">
        <v>2673</v>
      </c>
      <c r="M1781" s="15" t="s">
        <v>2672</v>
      </c>
      <c r="N1781" s="15" t="s">
        <v>2673</v>
      </c>
      <c r="O1781" s="15"/>
    </row>
    <row r="1782" spans="1:15" ht="18" customHeight="1" x14ac:dyDescent="0.3">
      <c r="A1782" s="29">
        <v>1781</v>
      </c>
      <c r="B1782" s="15" t="s">
        <v>52</v>
      </c>
      <c r="C1782" s="15" t="s">
        <v>59</v>
      </c>
      <c r="D1782" s="69">
        <v>91</v>
      </c>
      <c r="E1782" s="68" t="s">
        <v>3336</v>
      </c>
      <c r="F1782" s="24" t="s">
        <v>695</v>
      </c>
      <c r="G1782" s="15" t="s">
        <v>154</v>
      </c>
      <c r="H1782" s="15" t="s">
        <v>907</v>
      </c>
      <c r="I1782" s="69">
        <v>124</v>
      </c>
      <c r="J1782" s="15" t="s">
        <v>2672</v>
      </c>
      <c r="K1782" s="15" t="s">
        <v>903</v>
      </c>
      <c r="L1782" s="15" t="s">
        <v>2673</v>
      </c>
      <c r="M1782" s="15" t="s">
        <v>2672</v>
      </c>
      <c r="N1782" s="15" t="s">
        <v>2673</v>
      </c>
      <c r="O1782" s="15"/>
    </row>
    <row r="1783" spans="1:15" ht="18" customHeight="1" x14ac:dyDescent="0.3">
      <c r="A1783" s="29">
        <v>1782</v>
      </c>
      <c r="B1783" s="15" t="s">
        <v>52</v>
      </c>
      <c r="C1783" s="15" t="s">
        <v>59</v>
      </c>
      <c r="D1783" s="69">
        <v>91</v>
      </c>
      <c r="E1783" s="68" t="s">
        <v>3336</v>
      </c>
      <c r="F1783" s="24" t="s">
        <v>695</v>
      </c>
      <c r="G1783" s="15" t="s">
        <v>154</v>
      </c>
      <c r="H1783" s="15" t="s">
        <v>908</v>
      </c>
      <c r="I1783" s="69">
        <v>265</v>
      </c>
      <c r="J1783" s="15" t="s">
        <v>2674</v>
      </c>
      <c r="K1783" s="15" t="s">
        <v>903</v>
      </c>
      <c r="L1783" s="15" t="s">
        <v>2673</v>
      </c>
      <c r="M1783" s="15" t="s">
        <v>2672</v>
      </c>
      <c r="N1783" s="15" t="s">
        <v>2673</v>
      </c>
      <c r="O1783" s="15"/>
    </row>
    <row r="1784" spans="1:15" ht="18" customHeight="1" x14ac:dyDescent="0.3">
      <c r="A1784" s="29">
        <v>1783</v>
      </c>
      <c r="B1784" s="15" t="s">
        <v>52</v>
      </c>
      <c r="C1784" s="15" t="s">
        <v>59</v>
      </c>
      <c r="D1784" s="69">
        <v>91</v>
      </c>
      <c r="E1784" s="68" t="s">
        <v>3336</v>
      </c>
      <c r="F1784" s="24" t="s">
        <v>695</v>
      </c>
      <c r="G1784" s="15" t="s">
        <v>154</v>
      </c>
      <c r="H1784" s="15" t="s">
        <v>909</v>
      </c>
      <c r="I1784" s="69">
        <v>244</v>
      </c>
      <c r="J1784" s="15" t="s">
        <v>2674</v>
      </c>
      <c r="K1784" s="15" t="s">
        <v>903</v>
      </c>
      <c r="L1784" s="15" t="s">
        <v>2673</v>
      </c>
      <c r="M1784" s="15" t="s">
        <v>2672</v>
      </c>
      <c r="N1784" s="15" t="s">
        <v>2673</v>
      </c>
      <c r="O1784" s="15"/>
    </row>
    <row r="1785" spans="1:15" ht="18" customHeight="1" x14ac:dyDescent="0.3">
      <c r="A1785" s="29">
        <v>1784</v>
      </c>
      <c r="B1785" s="15" t="s">
        <v>52</v>
      </c>
      <c r="C1785" s="15" t="s">
        <v>59</v>
      </c>
      <c r="D1785" s="69">
        <v>91</v>
      </c>
      <c r="E1785" s="68" t="s">
        <v>3336</v>
      </c>
      <c r="F1785" s="24" t="s">
        <v>695</v>
      </c>
      <c r="G1785" s="15" t="s">
        <v>154</v>
      </c>
      <c r="H1785" s="15" t="s">
        <v>910</v>
      </c>
      <c r="I1785" s="69">
        <v>116</v>
      </c>
      <c r="J1785" s="15" t="s">
        <v>2674</v>
      </c>
      <c r="K1785" s="15" t="s">
        <v>903</v>
      </c>
      <c r="L1785" s="15" t="s">
        <v>2673</v>
      </c>
      <c r="M1785" s="15" t="s">
        <v>2672</v>
      </c>
      <c r="N1785" s="15" t="s">
        <v>2673</v>
      </c>
      <c r="O1785" s="15"/>
    </row>
    <row r="1786" spans="1:15" ht="18" customHeight="1" x14ac:dyDescent="0.3">
      <c r="A1786" s="29">
        <v>1785</v>
      </c>
      <c r="B1786" s="15" t="s">
        <v>52</v>
      </c>
      <c r="C1786" s="15" t="s">
        <v>59</v>
      </c>
      <c r="D1786" s="69">
        <v>91</v>
      </c>
      <c r="E1786" s="68" t="s">
        <v>3336</v>
      </c>
      <c r="F1786" s="24" t="s">
        <v>2918</v>
      </c>
      <c r="G1786" s="15" t="s">
        <v>154</v>
      </c>
      <c r="H1786" s="15" t="s">
        <v>901</v>
      </c>
      <c r="I1786" s="69">
        <v>132</v>
      </c>
      <c r="J1786" s="15" t="s">
        <v>2674</v>
      </c>
      <c r="K1786" s="15" t="s">
        <v>2674</v>
      </c>
      <c r="L1786" s="15" t="s">
        <v>1797</v>
      </c>
      <c r="M1786" s="15" t="s">
        <v>2672</v>
      </c>
      <c r="N1786" s="15" t="s">
        <v>2673</v>
      </c>
      <c r="O1786" s="15"/>
    </row>
    <row r="1787" spans="1:15" ht="18" customHeight="1" x14ac:dyDescent="0.3">
      <c r="A1787" s="29">
        <v>1786</v>
      </c>
      <c r="B1787" s="15" t="s">
        <v>52</v>
      </c>
      <c r="C1787" s="15" t="s">
        <v>59</v>
      </c>
      <c r="D1787" s="69">
        <v>91</v>
      </c>
      <c r="E1787" s="68" t="s">
        <v>3336</v>
      </c>
      <c r="F1787" s="24" t="s">
        <v>2918</v>
      </c>
      <c r="G1787" s="15" t="s">
        <v>154</v>
      </c>
      <c r="H1787" s="15" t="s">
        <v>906</v>
      </c>
      <c r="I1787" s="69">
        <v>214</v>
      </c>
      <c r="J1787" s="15" t="s">
        <v>2674</v>
      </c>
      <c r="K1787" s="15" t="s">
        <v>902</v>
      </c>
      <c r="L1787" s="15" t="s">
        <v>1069</v>
      </c>
      <c r="M1787" s="15" t="s">
        <v>2672</v>
      </c>
      <c r="N1787" s="15" t="s">
        <v>2673</v>
      </c>
      <c r="O1787" s="15"/>
    </row>
    <row r="1788" spans="1:15" ht="18" customHeight="1" x14ac:dyDescent="0.3">
      <c r="A1788" s="29">
        <v>1787</v>
      </c>
      <c r="B1788" s="15" t="s">
        <v>52</v>
      </c>
      <c r="C1788" s="15" t="s">
        <v>60</v>
      </c>
      <c r="D1788" s="69">
        <v>92</v>
      </c>
      <c r="E1788" s="68" t="s">
        <v>1002</v>
      </c>
      <c r="F1788" s="21" t="s">
        <v>1963</v>
      </c>
      <c r="G1788" s="15" t="s">
        <v>2673</v>
      </c>
      <c r="H1788" s="15" t="s">
        <v>901</v>
      </c>
      <c r="I1788" s="69">
        <v>283</v>
      </c>
      <c r="J1788" s="15" t="s">
        <v>2672</v>
      </c>
      <c r="K1788" s="15" t="s">
        <v>903</v>
      </c>
      <c r="L1788" s="15" t="s">
        <v>2673</v>
      </c>
      <c r="M1788" s="15" t="s">
        <v>2672</v>
      </c>
      <c r="N1788" s="15" t="s">
        <v>2673</v>
      </c>
      <c r="O1788" s="15"/>
    </row>
    <row r="1789" spans="1:15" ht="18" customHeight="1" x14ac:dyDescent="0.3">
      <c r="A1789" s="29">
        <v>1788</v>
      </c>
      <c r="B1789" s="15" t="s">
        <v>52</v>
      </c>
      <c r="C1789" s="15" t="s">
        <v>60</v>
      </c>
      <c r="D1789" s="69">
        <v>92</v>
      </c>
      <c r="E1789" s="68" t="s">
        <v>316</v>
      </c>
      <c r="F1789" s="24" t="s">
        <v>1967</v>
      </c>
      <c r="G1789" s="15" t="s">
        <v>2673</v>
      </c>
      <c r="H1789" s="15" t="s">
        <v>901</v>
      </c>
      <c r="I1789" s="69">
        <v>218</v>
      </c>
      <c r="J1789" s="15" t="s">
        <v>2674</v>
      </c>
      <c r="K1789" s="15" t="s">
        <v>903</v>
      </c>
      <c r="L1789" s="15" t="s">
        <v>2673</v>
      </c>
      <c r="M1789" s="15" t="s">
        <v>2672</v>
      </c>
      <c r="N1789" s="15" t="s">
        <v>2673</v>
      </c>
      <c r="O1789" s="15"/>
    </row>
    <row r="1790" spans="1:15" ht="18" customHeight="1" x14ac:dyDescent="0.3">
      <c r="A1790" s="29">
        <v>1789</v>
      </c>
      <c r="B1790" s="15" t="s">
        <v>52</v>
      </c>
      <c r="C1790" s="15" t="s">
        <v>60</v>
      </c>
      <c r="D1790" s="69">
        <v>92</v>
      </c>
      <c r="E1790" s="68" t="s">
        <v>316</v>
      </c>
      <c r="F1790" s="24" t="s">
        <v>1967</v>
      </c>
      <c r="G1790" s="15" t="s">
        <v>2673</v>
      </c>
      <c r="H1790" s="15" t="s">
        <v>904</v>
      </c>
      <c r="I1790" s="69">
        <v>72</v>
      </c>
      <c r="J1790" s="15" t="s">
        <v>2672</v>
      </c>
      <c r="K1790" s="15" t="s">
        <v>903</v>
      </c>
      <c r="L1790" s="15" t="s">
        <v>2673</v>
      </c>
      <c r="M1790" s="15" t="s">
        <v>2672</v>
      </c>
      <c r="N1790" s="15" t="s">
        <v>2673</v>
      </c>
      <c r="O1790" s="15"/>
    </row>
    <row r="1791" spans="1:15" ht="18" customHeight="1" x14ac:dyDescent="0.3">
      <c r="A1791" s="29">
        <v>1790</v>
      </c>
      <c r="B1791" s="15" t="s">
        <v>52</v>
      </c>
      <c r="C1791" s="15" t="s">
        <v>61</v>
      </c>
      <c r="D1791" s="69">
        <v>93</v>
      </c>
      <c r="E1791" s="68" t="s">
        <v>296</v>
      </c>
      <c r="F1791" s="21" t="s">
        <v>656</v>
      </c>
      <c r="G1791" s="15" t="s">
        <v>164</v>
      </c>
      <c r="H1791" s="15" t="s">
        <v>901</v>
      </c>
      <c r="I1791" s="13">
        <v>76</v>
      </c>
      <c r="J1791" s="15" t="s">
        <v>2672</v>
      </c>
      <c r="K1791" s="15" t="s">
        <v>903</v>
      </c>
      <c r="L1791" s="15" t="s">
        <v>2673</v>
      </c>
      <c r="M1791" s="15" t="s">
        <v>2672</v>
      </c>
      <c r="N1791" s="15" t="s">
        <v>2673</v>
      </c>
      <c r="O1791" s="15"/>
    </row>
    <row r="1792" spans="1:15" ht="18" customHeight="1" x14ac:dyDescent="0.3">
      <c r="A1792" s="29">
        <v>1791</v>
      </c>
      <c r="B1792" s="15" t="s">
        <v>52</v>
      </c>
      <c r="C1792" s="15" t="s">
        <v>61</v>
      </c>
      <c r="D1792" s="69">
        <v>93</v>
      </c>
      <c r="E1792" s="68" t="s">
        <v>296</v>
      </c>
      <c r="F1792" s="21" t="s">
        <v>656</v>
      </c>
      <c r="G1792" s="15" t="s">
        <v>164</v>
      </c>
      <c r="H1792" s="15" t="s">
        <v>904</v>
      </c>
      <c r="I1792" s="13">
        <v>56</v>
      </c>
      <c r="J1792" s="15" t="s">
        <v>2672</v>
      </c>
      <c r="K1792" s="15" t="s">
        <v>903</v>
      </c>
      <c r="L1792" s="15" t="s">
        <v>2673</v>
      </c>
      <c r="M1792" s="15" t="s">
        <v>2672</v>
      </c>
      <c r="N1792" s="15" t="s">
        <v>2673</v>
      </c>
      <c r="O1792" s="15"/>
    </row>
    <row r="1793" spans="1:15" ht="18" customHeight="1" x14ac:dyDescent="0.3">
      <c r="A1793" s="29">
        <v>1792</v>
      </c>
      <c r="B1793" s="15" t="s">
        <v>52</v>
      </c>
      <c r="C1793" s="15" t="s">
        <v>61</v>
      </c>
      <c r="D1793" s="69">
        <v>93</v>
      </c>
      <c r="E1793" s="68" t="s">
        <v>296</v>
      </c>
      <c r="F1793" s="21" t="s">
        <v>656</v>
      </c>
      <c r="G1793" s="15" t="s">
        <v>164</v>
      </c>
      <c r="H1793" s="15" t="s">
        <v>905</v>
      </c>
      <c r="I1793" s="13">
        <v>57</v>
      </c>
      <c r="J1793" s="15" t="s">
        <v>2672</v>
      </c>
      <c r="K1793" s="15" t="s">
        <v>903</v>
      </c>
      <c r="L1793" s="15" t="s">
        <v>2673</v>
      </c>
      <c r="M1793" s="15" t="s">
        <v>2672</v>
      </c>
      <c r="N1793" s="15" t="s">
        <v>2673</v>
      </c>
      <c r="O1793" s="15"/>
    </row>
    <row r="1794" spans="1:15" ht="18" customHeight="1" x14ac:dyDescent="0.3">
      <c r="A1794" s="29">
        <v>1793</v>
      </c>
      <c r="B1794" s="15" t="s">
        <v>52</v>
      </c>
      <c r="C1794" s="15" t="s">
        <v>61</v>
      </c>
      <c r="D1794" s="69">
        <v>93</v>
      </c>
      <c r="E1794" s="68" t="s">
        <v>296</v>
      </c>
      <c r="F1794" s="21" t="s">
        <v>656</v>
      </c>
      <c r="G1794" s="15" t="s">
        <v>164</v>
      </c>
      <c r="H1794" s="15" t="s">
        <v>906</v>
      </c>
      <c r="I1794" s="13">
        <v>63</v>
      </c>
      <c r="J1794" s="15" t="s">
        <v>2672</v>
      </c>
      <c r="K1794" s="15" t="s">
        <v>903</v>
      </c>
      <c r="L1794" s="15" t="s">
        <v>2673</v>
      </c>
      <c r="M1794" s="15" t="s">
        <v>2672</v>
      </c>
      <c r="N1794" s="15" t="s">
        <v>2673</v>
      </c>
      <c r="O1794" s="15"/>
    </row>
    <row r="1795" spans="1:15" ht="18" customHeight="1" x14ac:dyDescent="0.3">
      <c r="A1795" s="29">
        <v>1794</v>
      </c>
      <c r="B1795" s="15" t="s">
        <v>52</v>
      </c>
      <c r="C1795" s="15" t="s">
        <v>61</v>
      </c>
      <c r="D1795" s="69">
        <v>93</v>
      </c>
      <c r="E1795" s="68" t="s">
        <v>296</v>
      </c>
      <c r="F1795" s="21" t="s">
        <v>656</v>
      </c>
      <c r="G1795" s="15" t="s">
        <v>164</v>
      </c>
      <c r="H1795" s="15" t="s">
        <v>907</v>
      </c>
      <c r="I1795" s="13">
        <v>56</v>
      </c>
      <c r="J1795" s="15" t="s">
        <v>2672</v>
      </c>
      <c r="K1795" s="15" t="s">
        <v>903</v>
      </c>
      <c r="L1795" s="15" t="s">
        <v>2673</v>
      </c>
      <c r="M1795" s="15" t="s">
        <v>2672</v>
      </c>
      <c r="N1795" s="15" t="s">
        <v>2673</v>
      </c>
      <c r="O1795" s="15"/>
    </row>
    <row r="1796" spans="1:15" ht="18" customHeight="1" x14ac:dyDescent="0.3">
      <c r="A1796" s="29">
        <v>1795</v>
      </c>
      <c r="B1796" s="15" t="s">
        <v>52</v>
      </c>
      <c r="C1796" s="15" t="s">
        <v>61</v>
      </c>
      <c r="D1796" s="69">
        <v>93</v>
      </c>
      <c r="E1796" s="68" t="s">
        <v>296</v>
      </c>
      <c r="F1796" s="21" t="s">
        <v>656</v>
      </c>
      <c r="G1796" s="15" t="s">
        <v>164</v>
      </c>
      <c r="H1796" s="15" t="s">
        <v>908</v>
      </c>
      <c r="I1796" s="13">
        <v>63</v>
      </c>
      <c r="J1796" s="15" t="s">
        <v>2672</v>
      </c>
      <c r="K1796" s="15" t="s">
        <v>903</v>
      </c>
      <c r="L1796" s="15" t="s">
        <v>2673</v>
      </c>
      <c r="M1796" s="15" t="s">
        <v>2672</v>
      </c>
      <c r="N1796" s="15" t="s">
        <v>2673</v>
      </c>
      <c r="O1796" s="15"/>
    </row>
    <row r="1797" spans="1:15" ht="18" customHeight="1" x14ac:dyDescent="0.3">
      <c r="A1797" s="29">
        <v>1796</v>
      </c>
      <c r="B1797" s="15" t="s">
        <v>52</v>
      </c>
      <c r="C1797" s="15" t="s">
        <v>61</v>
      </c>
      <c r="D1797" s="69">
        <v>93</v>
      </c>
      <c r="E1797" s="68" t="s">
        <v>949</v>
      </c>
      <c r="F1797" s="21" t="s">
        <v>1092</v>
      </c>
      <c r="G1797" s="15" t="s">
        <v>154</v>
      </c>
      <c r="H1797" s="15" t="s">
        <v>905</v>
      </c>
      <c r="I1797" s="69">
        <v>92</v>
      </c>
      <c r="J1797" s="13" t="s">
        <v>2672</v>
      </c>
      <c r="K1797" s="15" t="s">
        <v>903</v>
      </c>
      <c r="L1797" s="15" t="s">
        <v>2673</v>
      </c>
      <c r="M1797" s="15" t="s">
        <v>2672</v>
      </c>
      <c r="N1797" s="15" t="s">
        <v>2673</v>
      </c>
      <c r="O1797" s="15"/>
    </row>
    <row r="1798" spans="1:15" ht="18" customHeight="1" x14ac:dyDescent="0.3">
      <c r="A1798" s="29">
        <v>1797</v>
      </c>
      <c r="B1798" s="15" t="s">
        <v>52</v>
      </c>
      <c r="C1798" s="15" t="s">
        <v>61</v>
      </c>
      <c r="D1798" s="69">
        <v>93</v>
      </c>
      <c r="E1798" s="68" t="s">
        <v>949</v>
      </c>
      <c r="F1798" s="21" t="s">
        <v>1092</v>
      </c>
      <c r="G1798" s="15" t="s">
        <v>154</v>
      </c>
      <c r="H1798" s="15" t="s">
        <v>906</v>
      </c>
      <c r="I1798" s="69">
        <v>84</v>
      </c>
      <c r="J1798" s="13" t="s">
        <v>2672</v>
      </c>
      <c r="K1798" s="15" t="s">
        <v>903</v>
      </c>
      <c r="L1798" s="15" t="s">
        <v>2673</v>
      </c>
      <c r="M1798" s="15" t="s">
        <v>2672</v>
      </c>
      <c r="N1798" s="15" t="s">
        <v>2673</v>
      </c>
      <c r="O1798" s="15"/>
    </row>
    <row r="1799" spans="1:15" ht="18" customHeight="1" x14ac:dyDescent="0.3">
      <c r="A1799" s="29">
        <v>1798</v>
      </c>
      <c r="B1799" s="15" t="s">
        <v>52</v>
      </c>
      <c r="C1799" s="15" t="s">
        <v>61</v>
      </c>
      <c r="D1799" s="69">
        <v>93</v>
      </c>
      <c r="E1799" s="68" t="s">
        <v>949</v>
      </c>
      <c r="F1799" s="21" t="s">
        <v>1092</v>
      </c>
      <c r="G1799" s="15" t="s">
        <v>154</v>
      </c>
      <c r="H1799" s="15" t="s">
        <v>907</v>
      </c>
      <c r="I1799" s="69">
        <v>86</v>
      </c>
      <c r="J1799" s="13" t="s">
        <v>2672</v>
      </c>
      <c r="K1799" s="15" t="s">
        <v>903</v>
      </c>
      <c r="L1799" s="15" t="s">
        <v>2673</v>
      </c>
      <c r="M1799" s="15" t="s">
        <v>2672</v>
      </c>
      <c r="N1799" s="15" t="s">
        <v>2673</v>
      </c>
      <c r="O1799" s="15"/>
    </row>
    <row r="1800" spans="1:15" ht="18" customHeight="1" x14ac:dyDescent="0.3">
      <c r="A1800" s="29">
        <v>1799</v>
      </c>
      <c r="B1800" s="15" t="s">
        <v>52</v>
      </c>
      <c r="C1800" s="15" t="s">
        <v>61</v>
      </c>
      <c r="D1800" s="69">
        <v>93</v>
      </c>
      <c r="E1800" s="68" t="s">
        <v>949</v>
      </c>
      <c r="F1800" s="21" t="s">
        <v>1092</v>
      </c>
      <c r="G1800" s="15" t="s">
        <v>154</v>
      </c>
      <c r="H1800" s="15" t="s">
        <v>908</v>
      </c>
      <c r="I1800" s="69">
        <v>151</v>
      </c>
      <c r="J1800" s="13" t="s">
        <v>2672</v>
      </c>
      <c r="K1800" s="15" t="s">
        <v>903</v>
      </c>
      <c r="L1800" s="15" t="s">
        <v>2673</v>
      </c>
      <c r="M1800" s="15" t="s">
        <v>2672</v>
      </c>
      <c r="N1800" s="15" t="s">
        <v>2673</v>
      </c>
      <c r="O1800" s="15"/>
    </row>
    <row r="1801" spans="1:15" ht="18" customHeight="1" x14ac:dyDescent="0.3">
      <c r="A1801" s="29">
        <v>1800</v>
      </c>
      <c r="B1801" s="15" t="s">
        <v>52</v>
      </c>
      <c r="C1801" s="15" t="s">
        <v>61</v>
      </c>
      <c r="D1801" s="69">
        <v>93</v>
      </c>
      <c r="E1801" s="68" t="s">
        <v>949</v>
      </c>
      <c r="F1801" s="21" t="s">
        <v>1092</v>
      </c>
      <c r="G1801" s="15" t="s">
        <v>154</v>
      </c>
      <c r="H1801" s="15" t="s">
        <v>909</v>
      </c>
      <c r="I1801" s="69">
        <v>221</v>
      </c>
      <c r="J1801" s="13" t="s">
        <v>902</v>
      </c>
      <c r="K1801" s="15" t="s">
        <v>903</v>
      </c>
      <c r="L1801" s="15" t="s">
        <v>2673</v>
      </c>
      <c r="M1801" s="15" t="s">
        <v>2672</v>
      </c>
      <c r="N1801" s="15" t="s">
        <v>2673</v>
      </c>
      <c r="O1801" s="15"/>
    </row>
    <row r="1802" spans="1:15" ht="18" customHeight="1" x14ac:dyDescent="0.3">
      <c r="A1802" s="29">
        <v>1801</v>
      </c>
      <c r="B1802" s="15" t="s">
        <v>52</v>
      </c>
      <c r="C1802" s="15" t="s">
        <v>61</v>
      </c>
      <c r="D1802" s="69">
        <v>93</v>
      </c>
      <c r="E1802" s="68" t="s">
        <v>949</v>
      </c>
      <c r="F1802" s="21" t="s">
        <v>1092</v>
      </c>
      <c r="G1802" s="15" t="s">
        <v>154</v>
      </c>
      <c r="H1802" s="15" t="s">
        <v>910</v>
      </c>
      <c r="I1802" s="69">
        <v>201</v>
      </c>
      <c r="J1802" s="13" t="s">
        <v>2672</v>
      </c>
      <c r="K1802" s="15" t="s">
        <v>903</v>
      </c>
      <c r="L1802" s="15" t="s">
        <v>2673</v>
      </c>
      <c r="M1802" s="15" t="s">
        <v>2672</v>
      </c>
      <c r="N1802" s="15" t="s">
        <v>2673</v>
      </c>
      <c r="O1802" s="15"/>
    </row>
    <row r="1803" spans="1:15" ht="18" customHeight="1" x14ac:dyDescent="0.3">
      <c r="A1803" s="29">
        <v>1802</v>
      </c>
      <c r="B1803" s="15" t="s">
        <v>52</v>
      </c>
      <c r="C1803" s="15" t="s">
        <v>61</v>
      </c>
      <c r="D1803" s="69">
        <v>93</v>
      </c>
      <c r="E1803" s="68" t="s">
        <v>949</v>
      </c>
      <c r="F1803" s="21" t="s">
        <v>1092</v>
      </c>
      <c r="G1803" s="15" t="s">
        <v>154</v>
      </c>
      <c r="H1803" s="15" t="s">
        <v>911</v>
      </c>
      <c r="I1803" s="69">
        <v>158</v>
      </c>
      <c r="J1803" s="13" t="s">
        <v>902</v>
      </c>
      <c r="K1803" s="15" t="s">
        <v>903</v>
      </c>
      <c r="L1803" s="15" t="s">
        <v>2673</v>
      </c>
      <c r="M1803" s="15" t="s">
        <v>2672</v>
      </c>
      <c r="N1803" s="15" t="s">
        <v>2673</v>
      </c>
      <c r="O1803" s="15"/>
    </row>
    <row r="1804" spans="1:15" ht="18" customHeight="1" x14ac:dyDescent="0.3">
      <c r="A1804" s="29">
        <v>1803</v>
      </c>
      <c r="B1804" s="15" t="s">
        <v>52</v>
      </c>
      <c r="C1804" s="15" t="s">
        <v>61</v>
      </c>
      <c r="D1804" s="69">
        <v>93</v>
      </c>
      <c r="E1804" s="68" t="s">
        <v>949</v>
      </c>
      <c r="F1804" s="21" t="s">
        <v>651</v>
      </c>
      <c r="G1804" s="15" t="s">
        <v>154</v>
      </c>
      <c r="H1804" s="15" t="s">
        <v>901</v>
      </c>
      <c r="I1804" s="69">
        <v>170</v>
      </c>
      <c r="J1804" s="13" t="s">
        <v>2672</v>
      </c>
      <c r="K1804" s="15" t="s">
        <v>903</v>
      </c>
      <c r="L1804" s="15" t="s">
        <v>2673</v>
      </c>
      <c r="M1804" s="15" t="s">
        <v>2672</v>
      </c>
      <c r="N1804" s="15" t="s">
        <v>2673</v>
      </c>
      <c r="O1804" s="15"/>
    </row>
    <row r="1805" spans="1:15" ht="18" customHeight="1" x14ac:dyDescent="0.3">
      <c r="A1805" s="29">
        <v>1804</v>
      </c>
      <c r="B1805" s="15" t="s">
        <v>52</v>
      </c>
      <c r="C1805" s="15" t="s">
        <v>61</v>
      </c>
      <c r="D1805" s="69">
        <v>93</v>
      </c>
      <c r="E1805" s="68" t="s">
        <v>949</v>
      </c>
      <c r="F1805" s="21" t="s">
        <v>651</v>
      </c>
      <c r="G1805" s="15" t="s">
        <v>154</v>
      </c>
      <c r="H1805" s="15" t="s">
        <v>904</v>
      </c>
      <c r="I1805" s="69">
        <v>266</v>
      </c>
      <c r="J1805" s="13" t="s">
        <v>902</v>
      </c>
      <c r="K1805" s="15" t="s">
        <v>903</v>
      </c>
      <c r="L1805" s="15" t="s">
        <v>2673</v>
      </c>
      <c r="M1805" s="15" t="s">
        <v>2672</v>
      </c>
      <c r="N1805" s="15" t="s">
        <v>2673</v>
      </c>
      <c r="O1805" s="15"/>
    </row>
    <row r="1806" spans="1:15" ht="18" customHeight="1" x14ac:dyDescent="0.3">
      <c r="A1806" s="29">
        <v>1805</v>
      </c>
      <c r="B1806" s="15" t="s">
        <v>52</v>
      </c>
      <c r="C1806" s="15" t="s">
        <v>61</v>
      </c>
      <c r="D1806" s="69">
        <v>93</v>
      </c>
      <c r="E1806" s="68" t="s">
        <v>951</v>
      </c>
      <c r="F1806" s="21" t="s">
        <v>654</v>
      </c>
      <c r="G1806" s="15" t="s">
        <v>154</v>
      </c>
      <c r="H1806" s="15" t="s">
        <v>901</v>
      </c>
      <c r="I1806" s="69">
        <v>272</v>
      </c>
      <c r="J1806" s="13" t="s">
        <v>2672</v>
      </c>
      <c r="K1806" s="15" t="s">
        <v>903</v>
      </c>
      <c r="L1806" s="15" t="s">
        <v>2673</v>
      </c>
      <c r="M1806" s="15" t="s">
        <v>2672</v>
      </c>
      <c r="N1806" s="15" t="s">
        <v>2673</v>
      </c>
      <c r="O1806" s="15"/>
    </row>
    <row r="1807" spans="1:15" ht="18" customHeight="1" x14ac:dyDescent="0.3">
      <c r="A1807" s="29">
        <v>1806</v>
      </c>
      <c r="B1807" s="15" t="s">
        <v>52</v>
      </c>
      <c r="C1807" s="15" t="s">
        <v>61</v>
      </c>
      <c r="D1807" s="69">
        <v>93</v>
      </c>
      <c r="E1807" s="68" t="s">
        <v>951</v>
      </c>
      <c r="F1807" s="21" t="s">
        <v>654</v>
      </c>
      <c r="G1807" s="15" t="s">
        <v>154</v>
      </c>
      <c r="H1807" s="15" t="s">
        <v>904</v>
      </c>
      <c r="I1807" s="69">
        <v>272</v>
      </c>
      <c r="J1807" s="13" t="s">
        <v>2672</v>
      </c>
      <c r="K1807" s="15" t="s">
        <v>903</v>
      </c>
      <c r="L1807" s="15" t="s">
        <v>2673</v>
      </c>
      <c r="M1807" s="15" t="s">
        <v>2672</v>
      </c>
      <c r="N1807" s="15" t="s">
        <v>2673</v>
      </c>
      <c r="O1807" s="15"/>
    </row>
    <row r="1808" spans="1:15" ht="18" customHeight="1" x14ac:dyDescent="0.3">
      <c r="A1808" s="29">
        <v>1807</v>
      </c>
      <c r="B1808" s="15" t="s">
        <v>52</v>
      </c>
      <c r="C1808" s="15" t="s">
        <v>61</v>
      </c>
      <c r="D1808" s="69">
        <v>93</v>
      </c>
      <c r="E1808" s="68" t="s">
        <v>951</v>
      </c>
      <c r="F1808" s="21" t="s">
        <v>654</v>
      </c>
      <c r="G1808" s="15" t="s">
        <v>154</v>
      </c>
      <c r="H1808" s="15" t="s">
        <v>905</v>
      </c>
      <c r="I1808" s="69">
        <v>256</v>
      </c>
      <c r="J1808" s="13" t="s">
        <v>2672</v>
      </c>
      <c r="K1808" s="15" t="s">
        <v>903</v>
      </c>
      <c r="L1808" s="15" t="s">
        <v>2673</v>
      </c>
      <c r="M1808" s="15" t="s">
        <v>2672</v>
      </c>
      <c r="N1808" s="15" t="s">
        <v>2673</v>
      </c>
      <c r="O1808" s="15"/>
    </row>
    <row r="1809" spans="1:15" ht="18" customHeight="1" x14ac:dyDescent="0.3">
      <c r="A1809" s="29">
        <v>1808</v>
      </c>
      <c r="B1809" s="15" t="s">
        <v>52</v>
      </c>
      <c r="C1809" s="15" t="s">
        <v>61</v>
      </c>
      <c r="D1809" s="69">
        <v>93</v>
      </c>
      <c r="E1809" s="68" t="s">
        <v>951</v>
      </c>
      <c r="F1809" s="21" t="s">
        <v>654</v>
      </c>
      <c r="G1809" s="15" t="s">
        <v>154</v>
      </c>
      <c r="H1809" s="15" t="s">
        <v>906</v>
      </c>
      <c r="I1809" s="69">
        <v>256</v>
      </c>
      <c r="J1809" s="13" t="s">
        <v>2672</v>
      </c>
      <c r="K1809" s="15" t="s">
        <v>903</v>
      </c>
      <c r="L1809" s="15" t="s">
        <v>2673</v>
      </c>
      <c r="M1809" s="15" t="s">
        <v>2672</v>
      </c>
      <c r="N1809" s="15" t="s">
        <v>2673</v>
      </c>
      <c r="O1809" s="15"/>
    </row>
    <row r="1810" spans="1:15" ht="18" customHeight="1" x14ac:dyDescent="0.3">
      <c r="A1810" s="29">
        <v>1809</v>
      </c>
      <c r="B1810" s="15" t="s">
        <v>52</v>
      </c>
      <c r="C1810" s="15" t="s">
        <v>61</v>
      </c>
      <c r="D1810" s="69">
        <v>93</v>
      </c>
      <c r="E1810" s="68" t="s">
        <v>951</v>
      </c>
      <c r="F1810" s="21" t="s">
        <v>654</v>
      </c>
      <c r="G1810" s="15" t="s">
        <v>154</v>
      </c>
      <c r="H1810" s="15" t="s">
        <v>907</v>
      </c>
      <c r="I1810" s="69">
        <v>238</v>
      </c>
      <c r="J1810" s="13" t="s">
        <v>2672</v>
      </c>
      <c r="K1810" s="15" t="s">
        <v>903</v>
      </c>
      <c r="L1810" s="15" t="s">
        <v>2673</v>
      </c>
      <c r="M1810" s="15" t="s">
        <v>2672</v>
      </c>
      <c r="N1810" s="15" t="s">
        <v>2673</v>
      </c>
      <c r="O1810" s="15"/>
    </row>
    <row r="1811" spans="1:15" ht="18" customHeight="1" x14ac:dyDescent="0.3">
      <c r="A1811" s="29">
        <v>1810</v>
      </c>
      <c r="B1811" s="15" t="s">
        <v>52</v>
      </c>
      <c r="C1811" s="15" t="s">
        <v>61</v>
      </c>
      <c r="D1811" s="69">
        <v>93</v>
      </c>
      <c r="E1811" s="68" t="s">
        <v>951</v>
      </c>
      <c r="F1811" s="21" t="s">
        <v>654</v>
      </c>
      <c r="G1811" s="15" t="s">
        <v>154</v>
      </c>
      <c r="H1811" s="15" t="s">
        <v>908</v>
      </c>
      <c r="I1811" s="69">
        <v>256</v>
      </c>
      <c r="J1811" s="13" t="s">
        <v>902</v>
      </c>
      <c r="K1811" s="15" t="s">
        <v>903</v>
      </c>
      <c r="L1811" s="15" t="s">
        <v>2673</v>
      </c>
      <c r="M1811" s="15" t="s">
        <v>2672</v>
      </c>
      <c r="N1811" s="15" t="s">
        <v>2673</v>
      </c>
      <c r="O1811" s="15"/>
    </row>
    <row r="1812" spans="1:15" ht="18" customHeight="1" x14ac:dyDescent="0.3">
      <c r="A1812" s="29">
        <v>1811</v>
      </c>
      <c r="B1812" s="15" t="s">
        <v>52</v>
      </c>
      <c r="C1812" s="15" t="s">
        <v>61</v>
      </c>
      <c r="D1812" s="69">
        <v>93</v>
      </c>
      <c r="E1812" s="68" t="s">
        <v>951</v>
      </c>
      <c r="F1812" s="21" t="s">
        <v>654</v>
      </c>
      <c r="G1812" s="15" t="s">
        <v>154</v>
      </c>
      <c r="H1812" s="15" t="s">
        <v>909</v>
      </c>
      <c r="I1812" s="69">
        <v>238</v>
      </c>
      <c r="J1812" s="13" t="s">
        <v>902</v>
      </c>
      <c r="K1812" s="15" t="s">
        <v>903</v>
      </c>
      <c r="L1812" s="15" t="s">
        <v>2673</v>
      </c>
      <c r="M1812" s="15" t="s">
        <v>2672</v>
      </c>
      <c r="N1812" s="15" t="s">
        <v>2673</v>
      </c>
      <c r="O1812" s="15"/>
    </row>
    <row r="1813" spans="1:15" ht="18" customHeight="1" x14ac:dyDescent="0.3">
      <c r="A1813" s="29">
        <v>1812</v>
      </c>
      <c r="B1813" s="15" t="s">
        <v>52</v>
      </c>
      <c r="C1813" s="15" t="s">
        <v>61</v>
      </c>
      <c r="D1813" s="69">
        <v>93</v>
      </c>
      <c r="E1813" s="68" t="s">
        <v>3337</v>
      </c>
      <c r="F1813" s="24" t="s">
        <v>1091</v>
      </c>
      <c r="G1813" s="15" t="s">
        <v>154</v>
      </c>
      <c r="H1813" s="15" t="s">
        <v>905</v>
      </c>
      <c r="I1813" s="69">
        <v>229</v>
      </c>
      <c r="J1813" s="15" t="s">
        <v>2672</v>
      </c>
      <c r="K1813" s="15" t="s">
        <v>903</v>
      </c>
      <c r="L1813" s="15" t="s">
        <v>2673</v>
      </c>
      <c r="M1813" s="15" t="s">
        <v>2672</v>
      </c>
      <c r="N1813" s="15" t="s">
        <v>2673</v>
      </c>
      <c r="O1813" s="15"/>
    </row>
    <row r="1814" spans="1:15" ht="18" customHeight="1" x14ac:dyDescent="0.3">
      <c r="A1814" s="29">
        <v>1813</v>
      </c>
      <c r="B1814" s="15" t="s">
        <v>52</v>
      </c>
      <c r="C1814" s="15" t="s">
        <v>61</v>
      </c>
      <c r="D1814" s="69">
        <v>93</v>
      </c>
      <c r="E1814" s="68" t="s">
        <v>3337</v>
      </c>
      <c r="F1814" s="24" t="s">
        <v>1091</v>
      </c>
      <c r="G1814" s="15" t="s">
        <v>154</v>
      </c>
      <c r="H1814" s="15" t="s">
        <v>907</v>
      </c>
      <c r="I1814" s="69">
        <v>247</v>
      </c>
      <c r="J1814" s="15" t="s">
        <v>2672</v>
      </c>
      <c r="K1814" s="15" t="s">
        <v>903</v>
      </c>
      <c r="L1814" s="15" t="s">
        <v>2673</v>
      </c>
      <c r="M1814" s="15" t="s">
        <v>2672</v>
      </c>
      <c r="N1814" s="15" t="s">
        <v>2673</v>
      </c>
      <c r="O1814" s="15"/>
    </row>
    <row r="1815" spans="1:15" ht="18" customHeight="1" x14ac:dyDescent="0.3">
      <c r="A1815" s="29">
        <v>1814</v>
      </c>
      <c r="B1815" s="15" t="s">
        <v>52</v>
      </c>
      <c r="C1815" s="15" t="s">
        <v>61</v>
      </c>
      <c r="D1815" s="69">
        <v>93</v>
      </c>
      <c r="E1815" s="68" t="s">
        <v>3337</v>
      </c>
      <c r="F1815" s="24" t="s">
        <v>1091</v>
      </c>
      <c r="G1815" s="15" t="s">
        <v>154</v>
      </c>
      <c r="H1815" s="15" t="s">
        <v>908</v>
      </c>
      <c r="I1815" s="69">
        <v>173</v>
      </c>
      <c r="J1815" s="15" t="s">
        <v>2672</v>
      </c>
      <c r="K1815" s="15" t="s">
        <v>903</v>
      </c>
      <c r="L1815" s="15" t="s">
        <v>2673</v>
      </c>
      <c r="M1815" s="15" t="s">
        <v>2672</v>
      </c>
      <c r="N1815" s="15" t="s">
        <v>2673</v>
      </c>
      <c r="O1815" s="15"/>
    </row>
    <row r="1816" spans="1:15" ht="18" customHeight="1" x14ac:dyDescent="0.3">
      <c r="A1816" s="29">
        <v>1815</v>
      </c>
      <c r="B1816" s="15" t="s">
        <v>52</v>
      </c>
      <c r="C1816" s="15" t="s">
        <v>61</v>
      </c>
      <c r="D1816" s="69">
        <v>93</v>
      </c>
      <c r="E1816" s="68" t="s">
        <v>3337</v>
      </c>
      <c r="F1816" s="24" t="s">
        <v>1091</v>
      </c>
      <c r="G1816" s="15" t="s">
        <v>154</v>
      </c>
      <c r="H1816" s="15" t="s">
        <v>909</v>
      </c>
      <c r="I1816" s="69">
        <v>248</v>
      </c>
      <c r="J1816" s="15" t="s">
        <v>2674</v>
      </c>
      <c r="K1816" s="15" t="s">
        <v>903</v>
      </c>
      <c r="L1816" s="15" t="s">
        <v>2673</v>
      </c>
      <c r="M1816" s="15" t="s">
        <v>2672</v>
      </c>
      <c r="N1816" s="15" t="s">
        <v>2673</v>
      </c>
      <c r="O1816" s="15"/>
    </row>
    <row r="1817" spans="1:15" ht="18" customHeight="1" x14ac:dyDescent="0.3">
      <c r="A1817" s="29">
        <v>1816</v>
      </c>
      <c r="B1817" s="15" t="s">
        <v>52</v>
      </c>
      <c r="C1817" s="15" t="s">
        <v>61</v>
      </c>
      <c r="D1817" s="69">
        <v>93</v>
      </c>
      <c r="E1817" s="68" t="s">
        <v>3337</v>
      </c>
      <c r="F1817" s="24" t="s">
        <v>2919</v>
      </c>
      <c r="G1817" s="15" t="s">
        <v>154</v>
      </c>
      <c r="H1817" s="15" t="s">
        <v>910</v>
      </c>
      <c r="I1817" s="69">
        <v>175</v>
      </c>
      <c r="J1817" s="15" t="s">
        <v>2672</v>
      </c>
      <c r="K1817" s="15" t="s">
        <v>902</v>
      </c>
      <c r="L1817" s="15" t="s">
        <v>1069</v>
      </c>
      <c r="M1817" s="15" t="s">
        <v>2672</v>
      </c>
      <c r="N1817" s="15" t="s">
        <v>2673</v>
      </c>
      <c r="O1817" s="15"/>
    </row>
    <row r="1818" spans="1:15" ht="18" customHeight="1" x14ac:dyDescent="0.3">
      <c r="A1818" s="29">
        <v>1817</v>
      </c>
      <c r="B1818" s="15" t="s">
        <v>52</v>
      </c>
      <c r="C1818" s="15" t="s">
        <v>61</v>
      </c>
      <c r="D1818" s="69">
        <v>93</v>
      </c>
      <c r="E1818" s="68" t="s">
        <v>3337</v>
      </c>
      <c r="F1818" s="24" t="s">
        <v>2919</v>
      </c>
      <c r="G1818" s="15" t="s">
        <v>154</v>
      </c>
      <c r="H1818" s="15" t="s">
        <v>983</v>
      </c>
      <c r="I1818" s="69">
        <v>132</v>
      </c>
      <c r="J1818" s="15" t="s">
        <v>2674</v>
      </c>
      <c r="K1818" s="15" t="s">
        <v>902</v>
      </c>
      <c r="L1818" s="15" t="s">
        <v>1797</v>
      </c>
      <c r="M1818" s="15" t="s">
        <v>2672</v>
      </c>
      <c r="N1818" s="15" t="s">
        <v>2673</v>
      </c>
      <c r="O1818" s="15"/>
    </row>
    <row r="1819" spans="1:15" ht="18" customHeight="1" x14ac:dyDescent="0.3">
      <c r="A1819" s="29">
        <v>1818</v>
      </c>
      <c r="B1819" s="15" t="s">
        <v>52</v>
      </c>
      <c r="C1819" s="15" t="s">
        <v>61</v>
      </c>
      <c r="D1819" s="69">
        <v>93</v>
      </c>
      <c r="E1819" s="68" t="s">
        <v>3337</v>
      </c>
      <c r="F1819" s="24" t="s">
        <v>649</v>
      </c>
      <c r="G1819" s="15" t="s">
        <v>154</v>
      </c>
      <c r="H1819" s="15" t="s">
        <v>901</v>
      </c>
      <c r="I1819" s="69">
        <v>231</v>
      </c>
      <c r="J1819" s="15" t="s">
        <v>2672</v>
      </c>
      <c r="K1819" s="15" t="s">
        <v>903</v>
      </c>
      <c r="L1819" s="15" t="s">
        <v>2673</v>
      </c>
      <c r="M1819" s="15" t="s">
        <v>2672</v>
      </c>
      <c r="N1819" s="15" t="s">
        <v>2673</v>
      </c>
      <c r="O1819" s="15"/>
    </row>
    <row r="1820" spans="1:15" ht="18" customHeight="1" x14ac:dyDescent="0.3">
      <c r="A1820" s="29">
        <v>1819</v>
      </c>
      <c r="B1820" s="15" t="s">
        <v>52</v>
      </c>
      <c r="C1820" s="15" t="s">
        <v>61</v>
      </c>
      <c r="D1820" s="69">
        <v>93</v>
      </c>
      <c r="E1820" s="68" t="s">
        <v>3337</v>
      </c>
      <c r="F1820" s="24" t="s">
        <v>649</v>
      </c>
      <c r="G1820" s="15" t="s">
        <v>154</v>
      </c>
      <c r="H1820" s="15" t="s">
        <v>904</v>
      </c>
      <c r="I1820" s="69">
        <v>173</v>
      </c>
      <c r="J1820" s="15" t="s">
        <v>2672</v>
      </c>
      <c r="K1820" s="15" t="s">
        <v>903</v>
      </c>
      <c r="L1820" s="15" t="s">
        <v>2673</v>
      </c>
      <c r="M1820" s="15" t="s">
        <v>2672</v>
      </c>
      <c r="N1820" s="15" t="s">
        <v>2673</v>
      </c>
      <c r="O1820" s="15"/>
    </row>
    <row r="1821" spans="1:15" ht="18" customHeight="1" x14ac:dyDescent="0.3">
      <c r="A1821" s="29">
        <v>1820</v>
      </c>
      <c r="B1821" s="15" t="s">
        <v>52</v>
      </c>
      <c r="C1821" s="15" t="s">
        <v>61</v>
      </c>
      <c r="D1821" s="69">
        <v>93</v>
      </c>
      <c r="E1821" s="68" t="s">
        <v>1005</v>
      </c>
      <c r="F1821" s="24" t="s">
        <v>1974</v>
      </c>
      <c r="G1821" s="15" t="s">
        <v>2673</v>
      </c>
      <c r="H1821" s="15" t="s">
        <v>1006</v>
      </c>
      <c r="I1821" s="69">
        <v>199</v>
      </c>
      <c r="J1821" s="15" t="s">
        <v>2672</v>
      </c>
      <c r="K1821" s="15" t="s">
        <v>903</v>
      </c>
      <c r="L1821" s="15" t="s">
        <v>2673</v>
      </c>
      <c r="M1821" s="15" t="s">
        <v>2674</v>
      </c>
      <c r="N1821" s="15" t="s">
        <v>1975</v>
      </c>
      <c r="O1821" s="15"/>
    </row>
    <row r="1822" spans="1:15" ht="18" customHeight="1" x14ac:dyDescent="0.3">
      <c r="A1822" s="29">
        <v>1821</v>
      </c>
      <c r="B1822" s="15" t="s">
        <v>52</v>
      </c>
      <c r="C1822" s="15" t="s">
        <v>61</v>
      </c>
      <c r="D1822" s="69">
        <v>93</v>
      </c>
      <c r="E1822" s="68" t="s">
        <v>1979</v>
      </c>
      <c r="F1822" s="21" t="s">
        <v>652</v>
      </c>
      <c r="G1822" s="15" t="s">
        <v>154</v>
      </c>
      <c r="H1822" s="15" t="s">
        <v>904</v>
      </c>
      <c r="I1822" s="69">
        <v>169</v>
      </c>
      <c r="J1822" s="13" t="s">
        <v>902</v>
      </c>
      <c r="K1822" s="15" t="s">
        <v>903</v>
      </c>
      <c r="L1822" s="15" t="s">
        <v>2673</v>
      </c>
      <c r="M1822" s="15" t="s">
        <v>2672</v>
      </c>
      <c r="N1822" s="15" t="s">
        <v>2673</v>
      </c>
      <c r="O1822" s="15"/>
    </row>
    <row r="1823" spans="1:15" ht="18" customHeight="1" x14ac:dyDescent="0.3">
      <c r="A1823" s="29">
        <v>1822</v>
      </c>
      <c r="B1823" s="15" t="s">
        <v>52</v>
      </c>
      <c r="C1823" s="15" t="s">
        <v>61</v>
      </c>
      <c r="D1823" s="69">
        <v>93</v>
      </c>
      <c r="E1823" s="68" t="s">
        <v>1979</v>
      </c>
      <c r="F1823" s="21" t="s">
        <v>652</v>
      </c>
      <c r="G1823" s="15" t="s">
        <v>154</v>
      </c>
      <c r="H1823" s="15" t="s">
        <v>905</v>
      </c>
      <c r="I1823" s="69">
        <v>143</v>
      </c>
      <c r="J1823" s="13" t="s">
        <v>2672</v>
      </c>
      <c r="K1823" s="15" t="s">
        <v>903</v>
      </c>
      <c r="L1823" s="15" t="s">
        <v>2673</v>
      </c>
      <c r="M1823" s="15" t="s">
        <v>2672</v>
      </c>
      <c r="N1823" s="15" t="s">
        <v>2673</v>
      </c>
      <c r="O1823" s="15"/>
    </row>
    <row r="1824" spans="1:15" ht="18" customHeight="1" x14ac:dyDescent="0.3">
      <c r="A1824" s="29">
        <v>1823</v>
      </c>
      <c r="B1824" s="15" t="s">
        <v>52</v>
      </c>
      <c r="C1824" s="15" t="s">
        <v>61</v>
      </c>
      <c r="D1824" s="69">
        <v>93</v>
      </c>
      <c r="E1824" s="68" t="s">
        <v>1979</v>
      </c>
      <c r="F1824" s="21" t="s">
        <v>652</v>
      </c>
      <c r="G1824" s="15" t="s">
        <v>154</v>
      </c>
      <c r="H1824" s="15" t="s">
        <v>906</v>
      </c>
      <c r="I1824" s="69">
        <v>143</v>
      </c>
      <c r="J1824" s="13" t="s">
        <v>2672</v>
      </c>
      <c r="K1824" s="15" t="s">
        <v>903</v>
      </c>
      <c r="L1824" s="15" t="s">
        <v>2673</v>
      </c>
      <c r="M1824" s="15" t="s">
        <v>2672</v>
      </c>
      <c r="N1824" s="15" t="s">
        <v>2673</v>
      </c>
      <c r="O1824" s="15"/>
    </row>
    <row r="1825" spans="1:15" ht="18" customHeight="1" x14ac:dyDescent="0.3">
      <c r="A1825" s="29">
        <v>1824</v>
      </c>
      <c r="B1825" s="15" t="s">
        <v>52</v>
      </c>
      <c r="C1825" s="15" t="s">
        <v>61</v>
      </c>
      <c r="D1825" s="69">
        <v>93</v>
      </c>
      <c r="E1825" s="68" t="s">
        <v>1979</v>
      </c>
      <c r="F1825" s="21" t="s">
        <v>652</v>
      </c>
      <c r="G1825" s="15" t="s">
        <v>154</v>
      </c>
      <c r="H1825" s="15" t="s">
        <v>907</v>
      </c>
      <c r="I1825" s="69">
        <v>372</v>
      </c>
      <c r="J1825" s="13" t="s">
        <v>902</v>
      </c>
      <c r="K1825" s="15" t="s">
        <v>903</v>
      </c>
      <c r="L1825" s="15" t="s">
        <v>2673</v>
      </c>
      <c r="M1825" s="15" t="s">
        <v>2672</v>
      </c>
      <c r="N1825" s="15" t="s">
        <v>2673</v>
      </c>
      <c r="O1825" s="15"/>
    </row>
    <row r="1826" spans="1:15" ht="18" customHeight="1" x14ac:dyDescent="0.3">
      <c r="A1826" s="29">
        <v>1825</v>
      </c>
      <c r="B1826" s="15" t="s">
        <v>52</v>
      </c>
      <c r="C1826" s="15" t="s">
        <v>61</v>
      </c>
      <c r="D1826" s="69">
        <v>93</v>
      </c>
      <c r="E1826" s="68" t="s">
        <v>1979</v>
      </c>
      <c r="F1826" s="21" t="s">
        <v>652</v>
      </c>
      <c r="G1826" s="15" t="s">
        <v>154</v>
      </c>
      <c r="H1826" s="15" t="s">
        <v>908</v>
      </c>
      <c r="I1826" s="69">
        <v>199</v>
      </c>
      <c r="J1826" s="13" t="s">
        <v>2672</v>
      </c>
      <c r="K1826" s="15" t="s">
        <v>903</v>
      </c>
      <c r="L1826" s="15" t="s">
        <v>2673</v>
      </c>
      <c r="M1826" s="15" t="s">
        <v>2672</v>
      </c>
      <c r="N1826" s="15" t="s">
        <v>2673</v>
      </c>
      <c r="O1826" s="15"/>
    </row>
    <row r="1827" spans="1:15" ht="18" customHeight="1" x14ac:dyDescent="0.3">
      <c r="A1827" s="29">
        <v>1826</v>
      </c>
      <c r="B1827" s="15" t="s">
        <v>52</v>
      </c>
      <c r="C1827" s="15" t="s">
        <v>61</v>
      </c>
      <c r="D1827" s="69">
        <v>93</v>
      </c>
      <c r="E1827" s="68" t="s">
        <v>1979</v>
      </c>
      <c r="F1827" s="21" t="s">
        <v>652</v>
      </c>
      <c r="G1827" s="15" t="s">
        <v>154</v>
      </c>
      <c r="H1827" s="15" t="s">
        <v>909</v>
      </c>
      <c r="I1827" s="69">
        <v>255</v>
      </c>
      <c r="J1827" s="13" t="s">
        <v>2672</v>
      </c>
      <c r="K1827" s="15" t="s">
        <v>903</v>
      </c>
      <c r="L1827" s="15" t="s">
        <v>2673</v>
      </c>
      <c r="M1827" s="15" t="s">
        <v>2672</v>
      </c>
      <c r="N1827" s="15" t="s">
        <v>2673</v>
      </c>
      <c r="O1827" s="15"/>
    </row>
    <row r="1828" spans="1:15" ht="18" customHeight="1" x14ac:dyDescent="0.3">
      <c r="A1828" s="29">
        <v>1827</v>
      </c>
      <c r="B1828" s="15" t="s">
        <v>52</v>
      </c>
      <c r="C1828" s="15" t="s">
        <v>61</v>
      </c>
      <c r="D1828" s="69">
        <v>93</v>
      </c>
      <c r="E1828" s="68" t="s">
        <v>1979</v>
      </c>
      <c r="F1828" s="21" t="s">
        <v>652</v>
      </c>
      <c r="G1828" s="15" t="s">
        <v>154</v>
      </c>
      <c r="H1828" s="15" t="s">
        <v>910</v>
      </c>
      <c r="I1828" s="69">
        <v>294</v>
      </c>
      <c r="J1828" s="13" t="s">
        <v>902</v>
      </c>
      <c r="K1828" s="15" t="s">
        <v>903</v>
      </c>
      <c r="L1828" s="15" t="s">
        <v>2673</v>
      </c>
      <c r="M1828" s="15" t="s">
        <v>2672</v>
      </c>
      <c r="N1828" s="15" t="s">
        <v>2673</v>
      </c>
      <c r="O1828" s="15"/>
    </row>
    <row r="1829" spans="1:15" ht="18" customHeight="1" x14ac:dyDescent="0.3">
      <c r="A1829" s="29">
        <v>1828</v>
      </c>
      <c r="B1829" s="15" t="s">
        <v>52</v>
      </c>
      <c r="C1829" s="15" t="s">
        <v>61</v>
      </c>
      <c r="D1829" s="69">
        <v>93</v>
      </c>
      <c r="E1829" s="68" t="s">
        <v>2920</v>
      </c>
      <c r="F1829" s="21" t="s">
        <v>1225</v>
      </c>
      <c r="G1829" s="15" t="s">
        <v>154</v>
      </c>
      <c r="H1829" s="15" t="s">
        <v>1254</v>
      </c>
      <c r="I1829" s="69">
        <v>32</v>
      </c>
      <c r="J1829" s="13" t="s">
        <v>2672</v>
      </c>
      <c r="K1829" s="15" t="s">
        <v>2674</v>
      </c>
      <c r="L1829" s="15" t="s">
        <v>2692</v>
      </c>
      <c r="M1829" s="15" t="s">
        <v>2672</v>
      </c>
      <c r="N1829" s="15" t="s">
        <v>2673</v>
      </c>
      <c r="O1829" s="15"/>
    </row>
    <row r="1830" spans="1:15" ht="18" customHeight="1" x14ac:dyDescent="0.3">
      <c r="A1830" s="29">
        <v>1829</v>
      </c>
      <c r="B1830" s="15" t="s">
        <v>52</v>
      </c>
      <c r="C1830" s="15" t="s">
        <v>62</v>
      </c>
      <c r="D1830" s="69">
        <v>96</v>
      </c>
      <c r="E1830" s="68" t="s">
        <v>276</v>
      </c>
      <c r="F1830" s="21" t="s">
        <v>592</v>
      </c>
      <c r="G1830" s="15" t="s">
        <v>154</v>
      </c>
      <c r="H1830" s="15" t="s">
        <v>901</v>
      </c>
      <c r="I1830" s="69">
        <v>178</v>
      </c>
      <c r="J1830" s="15" t="s">
        <v>2672</v>
      </c>
      <c r="K1830" s="15" t="s">
        <v>903</v>
      </c>
      <c r="L1830" s="15" t="s">
        <v>2673</v>
      </c>
      <c r="M1830" s="15" t="s">
        <v>2672</v>
      </c>
      <c r="N1830" s="15" t="s">
        <v>2673</v>
      </c>
      <c r="O1830" s="15"/>
    </row>
    <row r="1831" spans="1:15" ht="18" customHeight="1" x14ac:dyDescent="0.3">
      <c r="A1831" s="29">
        <v>1830</v>
      </c>
      <c r="B1831" s="15" t="s">
        <v>52</v>
      </c>
      <c r="C1831" s="15" t="s">
        <v>62</v>
      </c>
      <c r="D1831" s="69">
        <v>96</v>
      </c>
      <c r="E1831" s="68" t="s">
        <v>276</v>
      </c>
      <c r="F1831" s="21" t="s">
        <v>592</v>
      </c>
      <c r="G1831" s="15" t="s">
        <v>154</v>
      </c>
      <c r="H1831" s="15" t="s">
        <v>904</v>
      </c>
      <c r="I1831" s="69">
        <v>118</v>
      </c>
      <c r="J1831" s="15" t="s">
        <v>2672</v>
      </c>
      <c r="K1831" s="15" t="s">
        <v>903</v>
      </c>
      <c r="L1831" s="15" t="s">
        <v>2673</v>
      </c>
      <c r="M1831" s="15" t="s">
        <v>2672</v>
      </c>
      <c r="N1831" s="15" t="s">
        <v>2673</v>
      </c>
      <c r="O1831" s="15"/>
    </row>
    <row r="1832" spans="1:15" ht="18" customHeight="1" x14ac:dyDescent="0.3">
      <c r="A1832" s="29">
        <v>1831</v>
      </c>
      <c r="B1832" s="15" t="s">
        <v>52</v>
      </c>
      <c r="C1832" s="15" t="s">
        <v>62</v>
      </c>
      <c r="D1832" s="69">
        <v>96</v>
      </c>
      <c r="E1832" s="68" t="s">
        <v>276</v>
      </c>
      <c r="F1832" s="21" t="s">
        <v>592</v>
      </c>
      <c r="G1832" s="15" t="s">
        <v>154</v>
      </c>
      <c r="H1832" s="15" t="s">
        <v>905</v>
      </c>
      <c r="I1832" s="69">
        <v>136</v>
      </c>
      <c r="J1832" s="15" t="s">
        <v>2672</v>
      </c>
      <c r="K1832" s="15" t="s">
        <v>903</v>
      </c>
      <c r="L1832" s="15" t="s">
        <v>2673</v>
      </c>
      <c r="M1832" s="15" t="s">
        <v>2672</v>
      </c>
      <c r="N1832" s="15" t="s">
        <v>2673</v>
      </c>
      <c r="O1832" s="15"/>
    </row>
    <row r="1833" spans="1:15" ht="18" customHeight="1" x14ac:dyDescent="0.3">
      <c r="A1833" s="29">
        <v>1832</v>
      </c>
      <c r="B1833" s="15" t="s">
        <v>52</v>
      </c>
      <c r="C1833" s="15" t="s">
        <v>62</v>
      </c>
      <c r="D1833" s="69">
        <v>96</v>
      </c>
      <c r="E1833" s="68" t="s">
        <v>276</v>
      </c>
      <c r="F1833" s="21" t="s">
        <v>592</v>
      </c>
      <c r="G1833" s="15" t="s">
        <v>154</v>
      </c>
      <c r="H1833" s="15" t="s">
        <v>906</v>
      </c>
      <c r="I1833" s="69">
        <v>190</v>
      </c>
      <c r="J1833" s="15" t="s">
        <v>2672</v>
      </c>
      <c r="K1833" s="15" t="s">
        <v>903</v>
      </c>
      <c r="L1833" s="15" t="s">
        <v>2673</v>
      </c>
      <c r="M1833" s="15" t="s">
        <v>2672</v>
      </c>
      <c r="N1833" s="15" t="s">
        <v>2673</v>
      </c>
      <c r="O1833" s="15"/>
    </row>
    <row r="1834" spans="1:15" ht="18" customHeight="1" x14ac:dyDescent="0.3">
      <c r="A1834" s="29">
        <v>1833</v>
      </c>
      <c r="B1834" s="15" t="s">
        <v>52</v>
      </c>
      <c r="C1834" s="15" t="s">
        <v>62</v>
      </c>
      <c r="D1834" s="69">
        <v>96</v>
      </c>
      <c r="E1834" s="68" t="s">
        <v>276</v>
      </c>
      <c r="F1834" s="21" t="s">
        <v>592</v>
      </c>
      <c r="G1834" s="15" t="s">
        <v>154</v>
      </c>
      <c r="H1834" s="15" t="s">
        <v>907</v>
      </c>
      <c r="I1834" s="69">
        <v>168</v>
      </c>
      <c r="J1834" s="15" t="s">
        <v>2672</v>
      </c>
      <c r="K1834" s="15" t="s">
        <v>903</v>
      </c>
      <c r="L1834" s="15" t="s">
        <v>2673</v>
      </c>
      <c r="M1834" s="15" t="s">
        <v>2672</v>
      </c>
      <c r="N1834" s="15" t="s">
        <v>2673</v>
      </c>
      <c r="O1834" s="15"/>
    </row>
    <row r="1835" spans="1:15" ht="18" customHeight="1" x14ac:dyDescent="0.3">
      <c r="A1835" s="29">
        <v>1834</v>
      </c>
      <c r="B1835" s="15" t="s">
        <v>52</v>
      </c>
      <c r="C1835" s="15" t="s">
        <v>62</v>
      </c>
      <c r="D1835" s="69">
        <v>96</v>
      </c>
      <c r="E1835" s="68" t="s">
        <v>276</v>
      </c>
      <c r="F1835" s="21" t="s">
        <v>592</v>
      </c>
      <c r="G1835" s="15" t="s">
        <v>154</v>
      </c>
      <c r="H1835" s="15" t="s">
        <v>909</v>
      </c>
      <c r="I1835" s="69">
        <v>152</v>
      </c>
      <c r="J1835" s="15" t="s">
        <v>2672</v>
      </c>
      <c r="K1835" s="15" t="s">
        <v>903</v>
      </c>
      <c r="L1835" s="15" t="s">
        <v>2673</v>
      </c>
      <c r="M1835" s="15" t="s">
        <v>2672</v>
      </c>
      <c r="N1835" s="15" t="s">
        <v>2673</v>
      </c>
      <c r="O1835" s="15"/>
    </row>
    <row r="1836" spans="1:15" ht="18" customHeight="1" x14ac:dyDescent="0.3">
      <c r="A1836" s="29">
        <v>1835</v>
      </c>
      <c r="B1836" s="15" t="s">
        <v>52</v>
      </c>
      <c r="C1836" s="15" t="s">
        <v>62</v>
      </c>
      <c r="D1836" s="69">
        <v>96</v>
      </c>
      <c r="E1836" s="68" t="s">
        <v>276</v>
      </c>
      <c r="F1836" s="21" t="s">
        <v>592</v>
      </c>
      <c r="G1836" s="15" t="s">
        <v>154</v>
      </c>
      <c r="H1836" s="15" t="s">
        <v>910</v>
      </c>
      <c r="I1836" s="69">
        <v>25</v>
      </c>
      <c r="J1836" s="15" t="s">
        <v>2672</v>
      </c>
      <c r="K1836" s="15" t="s">
        <v>903</v>
      </c>
      <c r="L1836" s="15" t="s">
        <v>2673</v>
      </c>
      <c r="M1836" s="15" t="s">
        <v>2672</v>
      </c>
      <c r="N1836" s="15" t="s">
        <v>2673</v>
      </c>
      <c r="O1836" s="15"/>
    </row>
    <row r="1837" spans="1:15" ht="18" customHeight="1" x14ac:dyDescent="0.3">
      <c r="A1837" s="29">
        <v>1836</v>
      </c>
      <c r="B1837" s="15" t="s">
        <v>52</v>
      </c>
      <c r="C1837" s="15" t="s">
        <v>62</v>
      </c>
      <c r="D1837" s="69">
        <v>96</v>
      </c>
      <c r="E1837" s="68" t="s">
        <v>276</v>
      </c>
      <c r="F1837" s="21" t="s">
        <v>592</v>
      </c>
      <c r="G1837" s="15" t="s">
        <v>154</v>
      </c>
      <c r="H1837" s="15" t="s">
        <v>911</v>
      </c>
      <c r="I1837" s="69">
        <v>29</v>
      </c>
      <c r="J1837" s="15" t="s">
        <v>2672</v>
      </c>
      <c r="K1837" s="15" t="s">
        <v>903</v>
      </c>
      <c r="L1837" s="15" t="s">
        <v>2673</v>
      </c>
      <c r="M1837" s="15" t="s">
        <v>2672</v>
      </c>
      <c r="N1837" s="15" t="s">
        <v>2673</v>
      </c>
      <c r="O1837" s="15"/>
    </row>
    <row r="1838" spans="1:15" ht="18" customHeight="1" x14ac:dyDescent="0.3">
      <c r="A1838" s="29">
        <v>1837</v>
      </c>
      <c r="B1838" s="15" t="s">
        <v>52</v>
      </c>
      <c r="C1838" s="15" t="s">
        <v>62</v>
      </c>
      <c r="D1838" s="69">
        <v>96</v>
      </c>
      <c r="E1838" s="68" t="s">
        <v>276</v>
      </c>
      <c r="F1838" s="21" t="s">
        <v>592</v>
      </c>
      <c r="G1838" s="15" t="s">
        <v>154</v>
      </c>
      <c r="H1838" s="15" t="s">
        <v>2682</v>
      </c>
      <c r="I1838" s="69">
        <v>218</v>
      </c>
      <c r="J1838" s="15" t="s">
        <v>2672</v>
      </c>
      <c r="K1838" s="15" t="s">
        <v>902</v>
      </c>
      <c r="L1838" s="15" t="s">
        <v>1852</v>
      </c>
      <c r="M1838" s="15" t="s">
        <v>2672</v>
      </c>
      <c r="N1838" s="15" t="s">
        <v>2673</v>
      </c>
      <c r="O1838" s="15" t="s">
        <v>2748</v>
      </c>
    </row>
    <row r="1839" spans="1:15" ht="18" customHeight="1" x14ac:dyDescent="0.3">
      <c r="A1839" s="29">
        <v>1838</v>
      </c>
      <c r="B1839" s="15" t="s">
        <v>1882</v>
      </c>
      <c r="C1839" s="15" t="s">
        <v>1980</v>
      </c>
      <c r="D1839" s="69">
        <v>96</v>
      </c>
      <c r="E1839" s="68" t="s">
        <v>3338</v>
      </c>
      <c r="F1839" s="16" t="s">
        <v>2921</v>
      </c>
      <c r="G1839" s="15" t="s">
        <v>1538</v>
      </c>
      <c r="H1839" s="15" t="s">
        <v>2685</v>
      </c>
      <c r="I1839" s="69">
        <v>98</v>
      </c>
      <c r="J1839" s="15" t="s">
        <v>2672</v>
      </c>
      <c r="K1839" s="15" t="s">
        <v>2672</v>
      </c>
      <c r="L1839" s="15" t="s">
        <v>2673</v>
      </c>
      <c r="M1839" s="15" t="s">
        <v>2672</v>
      </c>
      <c r="N1839" s="15" t="s">
        <v>2673</v>
      </c>
      <c r="O1839" s="15"/>
    </row>
    <row r="1840" spans="1:15" ht="18" customHeight="1" x14ac:dyDescent="0.3">
      <c r="A1840" s="29">
        <v>1839</v>
      </c>
      <c r="B1840" s="15" t="s">
        <v>1882</v>
      </c>
      <c r="C1840" s="15" t="s">
        <v>1980</v>
      </c>
      <c r="D1840" s="69">
        <v>96</v>
      </c>
      <c r="E1840" s="68" t="s">
        <v>3338</v>
      </c>
      <c r="F1840" s="16" t="s">
        <v>2921</v>
      </c>
      <c r="G1840" s="15" t="s">
        <v>1538</v>
      </c>
      <c r="H1840" s="15" t="s">
        <v>2678</v>
      </c>
      <c r="I1840" s="69">
        <v>148</v>
      </c>
      <c r="J1840" s="15" t="s">
        <v>2672</v>
      </c>
      <c r="K1840" s="15" t="s">
        <v>2672</v>
      </c>
      <c r="L1840" s="15" t="s">
        <v>2673</v>
      </c>
      <c r="M1840" s="15" t="s">
        <v>2672</v>
      </c>
      <c r="N1840" s="15" t="s">
        <v>2673</v>
      </c>
      <c r="O1840" s="15"/>
    </row>
    <row r="1841" spans="1:15" ht="18" customHeight="1" x14ac:dyDescent="0.3">
      <c r="A1841" s="29">
        <v>1840</v>
      </c>
      <c r="B1841" s="15" t="s">
        <v>1882</v>
      </c>
      <c r="C1841" s="15" t="s">
        <v>1980</v>
      </c>
      <c r="D1841" s="69">
        <v>96</v>
      </c>
      <c r="E1841" s="68" t="s">
        <v>3338</v>
      </c>
      <c r="F1841" s="16" t="s">
        <v>2921</v>
      </c>
      <c r="G1841" s="15" t="s">
        <v>1538</v>
      </c>
      <c r="H1841" s="15" t="s">
        <v>2679</v>
      </c>
      <c r="I1841" s="69">
        <v>83</v>
      </c>
      <c r="J1841" s="15" t="s">
        <v>2672</v>
      </c>
      <c r="K1841" s="15" t="s">
        <v>2672</v>
      </c>
      <c r="L1841" s="15" t="s">
        <v>2673</v>
      </c>
      <c r="M1841" s="15" t="s">
        <v>2672</v>
      </c>
      <c r="N1841" s="15" t="s">
        <v>2673</v>
      </c>
      <c r="O1841" s="15"/>
    </row>
    <row r="1842" spans="1:15" ht="18" customHeight="1" x14ac:dyDescent="0.3">
      <c r="A1842" s="29">
        <v>1841</v>
      </c>
      <c r="B1842" s="15" t="s">
        <v>1882</v>
      </c>
      <c r="C1842" s="15" t="s">
        <v>1980</v>
      </c>
      <c r="D1842" s="69">
        <v>96</v>
      </c>
      <c r="E1842" s="68" t="s">
        <v>3338</v>
      </c>
      <c r="F1842" s="16" t="s">
        <v>2921</v>
      </c>
      <c r="G1842" s="15" t="s">
        <v>1538</v>
      </c>
      <c r="H1842" s="15" t="s">
        <v>2680</v>
      </c>
      <c r="I1842" s="69">
        <v>98</v>
      </c>
      <c r="J1842" s="15" t="s">
        <v>2672</v>
      </c>
      <c r="K1842" s="15" t="s">
        <v>2672</v>
      </c>
      <c r="L1842" s="15" t="s">
        <v>2673</v>
      </c>
      <c r="M1842" s="15" t="s">
        <v>2672</v>
      </c>
      <c r="N1842" s="15" t="s">
        <v>2673</v>
      </c>
      <c r="O1842" s="15"/>
    </row>
    <row r="1843" spans="1:15" ht="18" customHeight="1" x14ac:dyDescent="0.3">
      <c r="A1843" s="29">
        <v>1842</v>
      </c>
      <c r="B1843" s="15" t="s">
        <v>1882</v>
      </c>
      <c r="C1843" s="15" t="s">
        <v>1980</v>
      </c>
      <c r="D1843" s="69">
        <v>96</v>
      </c>
      <c r="E1843" s="68" t="s">
        <v>3338</v>
      </c>
      <c r="F1843" s="16" t="s">
        <v>2921</v>
      </c>
      <c r="G1843" s="15" t="s">
        <v>1538</v>
      </c>
      <c r="H1843" s="15" t="s">
        <v>2690</v>
      </c>
      <c r="I1843" s="69">
        <v>148</v>
      </c>
      <c r="J1843" s="15" t="s">
        <v>2674</v>
      </c>
      <c r="K1843" s="15" t="s">
        <v>2672</v>
      </c>
      <c r="L1843" s="15" t="s">
        <v>2673</v>
      </c>
      <c r="M1843" s="15" t="s">
        <v>2672</v>
      </c>
      <c r="N1843" s="15" t="s">
        <v>2673</v>
      </c>
      <c r="O1843" s="15"/>
    </row>
    <row r="1844" spans="1:15" ht="18" customHeight="1" x14ac:dyDescent="0.3">
      <c r="A1844" s="29">
        <v>1843</v>
      </c>
      <c r="B1844" s="15" t="s">
        <v>1882</v>
      </c>
      <c r="C1844" s="15" t="s">
        <v>1980</v>
      </c>
      <c r="D1844" s="69">
        <v>96</v>
      </c>
      <c r="E1844" s="68" t="s">
        <v>3338</v>
      </c>
      <c r="F1844" s="16" t="s">
        <v>2921</v>
      </c>
      <c r="G1844" s="15" t="s">
        <v>1538</v>
      </c>
      <c r="H1844" s="15" t="s">
        <v>2682</v>
      </c>
      <c r="I1844" s="69">
        <v>83</v>
      </c>
      <c r="J1844" s="15" t="s">
        <v>2672</v>
      </c>
      <c r="K1844" s="15" t="s">
        <v>2672</v>
      </c>
      <c r="L1844" s="15" t="s">
        <v>2673</v>
      </c>
      <c r="M1844" s="15" t="s">
        <v>2672</v>
      </c>
      <c r="N1844" s="15" t="s">
        <v>2673</v>
      </c>
      <c r="O1844" s="15"/>
    </row>
    <row r="1845" spans="1:15" ht="18" customHeight="1" x14ac:dyDescent="0.3">
      <c r="A1845" s="29">
        <v>1844</v>
      </c>
      <c r="B1845" s="15" t="s">
        <v>52</v>
      </c>
      <c r="C1845" s="15" t="s">
        <v>62</v>
      </c>
      <c r="D1845" s="69">
        <v>96</v>
      </c>
      <c r="E1845" s="68" t="s">
        <v>3339</v>
      </c>
      <c r="F1845" s="24" t="s">
        <v>588</v>
      </c>
      <c r="G1845" s="15" t="s">
        <v>164</v>
      </c>
      <c r="H1845" s="15" t="s">
        <v>901</v>
      </c>
      <c r="I1845" s="69">
        <v>146</v>
      </c>
      <c r="J1845" s="15" t="s">
        <v>2674</v>
      </c>
      <c r="K1845" s="15" t="s">
        <v>903</v>
      </c>
      <c r="L1845" s="15" t="s">
        <v>2673</v>
      </c>
      <c r="M1845" s="15" t="s">
        <v>2672</v>
      </c>
      <c r="N1845" s="15" t="s">
        <v>2673</v>
      </c>
      <c r="O1845" s="15"/>
    </row>
    <row r="1846" spans="1:15" ht="18" customHeight="1" x14ac:dyDescent="0.3">
      <c r="A1846" s="29">
        <v>1845</v>
      </c>
      <c r="B1846" s="15" t="s">
        <v>52</v>
      </c>
      <c r="C1846" s="15" t="s">
        <v>62</v>
      </c>
      <c r="D1846" s="69">
        <v>96</v>
      </c>
      <c r="E1846" s="68" t="s">
        <v>3339</v>
      </c>
      <c r="F1846" s="24" t="s">
        <v>588</v>
      </c>
      <c r="G1846" s="15" t="s">
        <v>164</v>
      </c>
      <c r="H1846" s="15" t="s">
        <v>904</v>
      </c>
      <c r="I1846" s="69">
        <v>144</v>
      </c>
      <c r="J1846" s="15" t="s">
        <v>2674</v>
      </c>
      <c r="K1846" s="15" t="s">
        <v>903</v>
      </c>
      <c r="L1846" s="15" t="s">
        <v>2673</v>
      </c>
      <c r="M1846" s="15" t="s">
        <v>2672</v>
      </c>
      <c r="N1846" s="15" t="s">
        <v>2673</v>
      </c>
      <c r="O1846" s="15"/>
    </row>
    <row r="1847" spans="1:15" ht="18" customHeight="1" x14ac:dyDescent="0.3">
      <c r="A1847" s="29">
        <v>1846</v>
      </c>
      <c r="B1847" s="15" t="s">
        <v>52</v>
      </c>
      <c r="C1847" s="15" t="s">
        <v>62</v>
      </c>
      <c r="D1847" s="69">
        <v>96</v>
      </c>
      <c r="E1847" s="68" t="s">
        <v>3339</v>
      </c>
      <c r="F1847" s="24" t="s">
        <v>588</v>
      </c>
      <c r="G1847" s="15" t="s">
        <v>164</v>
      </c>
      <c r="H1847" s="15" t="s">
        <v>905</v>
      </c>
      <c r="I1847" s="69">
        <v>120</v>
      </c>
      <c r="J1847" s="15" t="s">
        <v>2674</v>
      </c>
      <c r="K1847" s="15" t="s">
        <v>903</v>
      </c>
      <c r="L1847" s="15" t="s">
        <v>2673</v>
      </c>
      <c r="M1847" s="15" t="s">
        <v>2672</v>
      </c>
      <c r="N1847" s="15" t="s">
        <v>2673</v>
      </c>
      <c r="O1847" s="15"/>
    </row>
    <row r="1848" spans="1:15" ht="18" customHeight="1" x14ac:dyDescent="0.3">
      <c r="A1848" s="29">
        <v>1847</v>
      </c>
      <c r="B1848" s="15" t="s">
        <v>52</v>
      </c>
      <c r="C1848" s="15" t="s">
        <v>62</v>
      </c>
      <c r="D1848" s="69">
        <v>96</v>
      </c>
      <c r="E1848" s="68" t="s">
        <v>3339</v>
      </c>
      <c r="F1848" s="24" t="s">
        <v>588</v>
      </c>
      <c r="G1848" s="15" t="s">
        <v>164</v>
      </c>
      <c r="H1848" s="15" t="s">
        <v>906</v>
      </c>
      <c r="I1848" s="69">
        <v>81</v>
      </c>
      <c r="J1848" s="15" t="s">
        <v>2672</v>
      </c>
      <c r="K1848" s="15" t="s">
        <v>903</v>
      </c>
      <c r="L1848" s="15" t="s">
        <v>2673</v>
      </c>
      <c r="M1848" s="15" t="s">
        <v>2672</v>
      </c>
      <c r="N1848" s="15" t="s">
        <v>2673</v>
      </c>
      <c r="O1848" s="15"/>
    </row>
    <row r="1849" spans="1:15" ht="18" customHeight="1" x14ac:dyDescent="0.3">
      <c r="A1849" s="29">
        <v>1848</v>
      </c>
      <c r="B1849" s="15" t="s">
        <v>52</v>
      </c>
      <c r="C1849" s="15" t="s">
        <v>62</v>
      </c>
      <c r="D1849" s="69">
        <v>96</v>
      </c>
      <c r="E1849" s="68" t="s">
        <v>3339</v>
      </c>
      <c r="F1849" s="24" t="s">
        <v>588</v>
      </c>
      <c r="G1849" s="15" t="s">
        <v>164</v>
      </c>
      <c r="H1849" s="15" t="s">
        <v>907</v>
      </c>
      <c r="I1849" s="69">
        <v>86</v>
      </c>
      <c r="J1849" s="15" t="s">
        <v>2672</v>
      </c>
      <c r="K1849" s="15" t="s">
        <v>903</v>
      </c>
      <c r="L1849" s="15" t="s">
        <v>2673</v>
      </c>
      <c r="M1849" s="15" t="s">
        <v>2672</v>
      </c>
      <c r="N1849" s="15" t="s">
        <v>2673</v>
      </c>
      <c r="O1849" s="15"/>
    </row>
    <row r="1850" spans="1:15" ht="18" customHeight="1" x14ac:dyDescent="0.3">
      <c r="A1850" s="29">
        <v>1849</v>
      </c>
      <c r="B1850" s="15" t="s">
        <v>52</v>
      </c>
      <c r="C1850" s="15" t="s">
        <v>62</v>
      </c>
      <c r="D1850" s="69">
        <v>96</v>
      </c>
      <c r="E1850" s="68" t="s">
        <v>3339</v>
      </c>
      <c r="F1850" s="24" t="s">
        <v>588</v>
      </c>
      <c r="G1850" s="15" t="s">
        <v>164</v>
      </c>
      <c r="H1850" s="15" t="s">
        <v>908</v>
      </c>
      <c r="I1850" s="69">
        <v>92</v>
      </c>
      <c r="J1850" s="15" t="s">
        <v>2672</v>
      </c>
      <c r="K1850" s="15" t="s">
        <v>903</v>
      </c>
      <c r="L1850" s="15" t="s">
        <v>2673</v>
      </c>
      <c r="M1850" s="15" t="s">
        <v>2672</v>
      </c>
      <c r="N1850" s="15" t="s">
        <v>2673</v>
      </c>
      <c r="O1850" s="15"/>
    </row>
    <row r="1851" spans="1:15" ht="18" customHeight="1" x14ac:dyDescent="0.3">
      <c r="A1851" s="29">
        <v>1850</v>
      </c>
      <c r="B1851" s="15" t="s">
        <v>52</v>
      </c>
      <c r="C1851" s="15" t="s">
        <v>62</v>
      </c>
      <c r="D1851" s="69">
        <v>96</v>
      </c>
      <c r="E1851" s="68" t="s">
        <v>3339</v>
      </c>
      <c r="F1851" s="24" t="s">
        <v>588</v>
      </c>
      <c r="G1851" s="15" t="s">
        <v>164</v>
      </c>
      <c r="H1851" s="15" t="s">
        <v>909</v>
      </c>
      <c r="I1851" s="69">
        <v>88</v>
      </c>
      <c r="J1851" s="15" t="s">
        <v>2672</v>
      </c>
      <c r="K1851" s="15" t="s">
        <v>903</v>
      </c>
      <c r="L1851" s="15" t="s">
        <v>2673</v>
      </c>
      <c r="M1851" s="15" t="s">
        <v>2672</v>
      </c>
      <c r="N1851" s="15" t="s">
        <v>2673</v>
      </c>
      <c r="O1851" s="15"/>
    </row>
    <row r="1852" spans="1:15" ht="18" customHeight="1" x14ac:dyDescent="0.3">
      <c r="A1852" s="29">
        <v>1851</v>
      </c>
      <c r="B1852" s="15" t="s">
        <v>52</v>
      </c>
      <c r="C1852" s="15" t="s">
        <v>62</v>
      </c>
      <c r="D1852" s="69">
        <v>96</v>
      </c>
      <c r="E1852" s="68" t="s">
        <v>3339</v>
      </c>
      <c r="F1852" s="24" t="s">
        <v>588</v>
      </c>
      <c r="G1852" s="15" t="s">
        <v>164</v>
      </c>
      <c r="H1852" s="15" t="s">
        <v>910</v>
      </c>
      <c r="I1852" s="69">
        <v>129</v>
      </c>
      <c r="J1852" s="15" t="s">
        <v>2672</v>
      </c>
      <c r="K1852" s="15" t="s">
        <v>903</v>
      </c>
      <c r="L1852" s="15" t="s">
        <v>2673</v>
      </c>
      <c r="M1852" s="15" t="s">
        <v>2672</v>
      </c>
      <c r="N1852" s="15" t="s">
        <v>2673</v>
      </c>
      <c r="O1852" s="15"/>
    </row>
    <row r="1853" spans="1:15" ht="18" customHeight="1" x14ac:dyDescent="0.3">
      <c r="A1853" s="29">
        <v>1852</v>
      </c>
      <c r="B1853" s="15" t="s">
        <v>52</v>
      </c>
      <c r="C1853" s="15" t="s">
        <v>62</v>
      </c>
      <c r="D1853" s="69">
        <v>96</v>
      </c>
      <c r="E1853" s="68" t="s">
        <v>913</v>
      </c>
      <c r="F1853" s="21" t="s">
        <v>596</v>
      </c>
      <c r="G1853" s="15" t="s">
        <v>154</v>
      </c>
      <c r="H1853" s="15" t="s">
        <v>1245</v>
      </c>
      <c r="I1853" s="69">
        <v>141</v>
      </c>
      <c r="J1853" s="15" t="s">
        <v>2672</v>
      </c>
      <c r="K1853" s="15" t="s">
        <v>902</v>
      </c>
      <c r="L1853" s="15" t="s">
        <v>2922</v>
      </c>
      <c r="M1853" s="15" t="s">
        <v>2672</v>
      </c>
      <c r="N1853" s="15" t="s">
        <v>2673</v>
      </c>
      <c r="O1853" s="15"/>
    </row>
    <row r="1854" spans="1:15" ht="18" customHeight="1" x14ac:dyDescent="0.3">
      <c r="A1854" s="29">
        <v>1853</v>
      </c>
      <c r="B1854" s="15" t="s">
        <v>52</v>
      </c>
      <c r="C1854" s="15" t="s">
        <v>62</v>
      </c>
      <c r="D1854" s="69">
        <v>96</v>
      </c>
      <c r="E1854" s="68" t="s">
        <v>913</v>
      </c>
      <c r="F1854" s="21" t="s">
        <v>596</v>
      </c>
      <c r="G1854" s="15" t="s">
        <v>154</v>
      </c>
      <c r="H1854" s="15" t="s">
        <v>1244</v>
      </c>
      <c r="I1854" s="69">
        <v>129</v>
      </c>
      <c r="J1854" s="15" t="s">
        <v>2672</v>
      </c>
      <c r="K1854" s="15" t="s">
        <v>902</v>
      </c>
      <c r="L1854" s="15" t="s">
        <v>2791</v>
      </c>
      <c r="M1854" s="15" t="s">
        <v>2672</v>
      </c>
      <c r="N1854" s="15" t="s">
        <v>2673</v>
      </c>
      <c r="O1854" s="15"/>
    </row>
    <row r="1855" spans="1:15" ht="18" customHeight="1" x14ac:dyDescent="0.3">
      <c r="A1855" s="29">
        <v>1854</v>
      </c>
      <c r="B1855" s="15" t="s">
        <v>52</v>
      </c>
      <c r="C1855" s="15" t="s">
        <v>62</v>
      </c>
      <c r="D1855" s="69">
        <v>96</v>
      </c>
      <c r="E1855" s="68" t="s">
        <v>913</v>
      </c>
      <c r="F1855" s="21" t="s">
        <v>596</v>
      </c>
      <c r="G1855" s="15" t="s">
        <v>154</v>
      </c>
      <c r="H1855" s="15" t="s">
        <v>1246</v>
      </c>
      <c r="I1855" s="69">
        <v>129</v>
      </c>
      <c r="J1855" s="15" t="s">
        <v>2672</v>
      </c>
      <c r="K1855" s="15" t="s">
        <v>902</v>
      </c>
      <c r="L1855" s="15" t="s">
        <v>2791</v>
      </c>
      <c r="M1855" s="15" t="s">
        <v>2672</v>
      </c>
      <c r="N1855" s="15" t="s">
        <v>2673</v>
      </c>
      <c r="O1855" s="15"/>
    </row>
    <row r="1856" spans="1:15" ht="18" customHeight="1" x14ac:dyDescent="0.3">
      <c r="A1856" s="29">
        <v>1855</v>
      </c>
      <c r="B1856" s="15" t="s">
        <v>52</v>
      </c>
      <c r="C1856" s="15" t="s">
        <v>62</v>
      </c>
      <c r="D1856" s="69">
        <v>96</v>
      </c>
      <c r="E1856" s="68" t="s">
        <v>913</v>
      </c>
      <c r="F1856" s="21" t="s">
        <v>596</v>
      </c>
      <c r="G1856" s="15" t="s">
        <v>154</v>
      </c>
      <c r="H1856" s="15" t="s">
        <v>1247</v>
      </c>
      <c r="I1856" s="69">
        <v>141</v>
      </c>
      <c r="J1856" s="15" t="s">
        <v>2674</v>
      </c>
      <c r="K1856" s="15" t="s">
        <v>902</v>
      </c>
      <c r="L1856" s="15" t="s">
        <v>2791</v>
      </c>
      <c r="M1856" s="15" t="s">
        <v>2672</v>
      </c>
      <c r="N1856" s="15" t="s">
        <v>2673</v>
      </c>
      <c r="O1856" s="15"/>
    </row>
    <row r="1857" spans="1:15" ht="18" customHeight="1" x14ac:dyDescent="0.3">
      <c r="A1857" s="29">
        <v>1856</v>
      </c>
      <c r="B1857" s="15" t="s">
        <v>52</v>
      </c>
      <c r="C1857" s="15" t="s">
        <v>62</v>
      </c>
      <c r="D1857" s="69">
        <v>96</v>
      </c>
      <c r="E1857" s="68" t="s">
        <v>913</v>
      </c>
      <c r="F1857" s="21" t="s">
        <v>596</v>
      </c>
      <c r="G1857" s="15" t="s">
        <v>154</v>
      </c>
      <c r="H1857" s="15" t="s">
        <v>1248</v>
      </c>
      <c r="I1857" s="69">
        <v>209</v>
      </c>
      <c r="J1857" s="15" t="s">
        <v>2672</v>
      </c>
      <c r="K1857" s="15" t="s">
        <v>902</v>
      </c>
      <c r="L1857" s="15" t="s">
        <v>2791</v>
      </c>
      <c r="M1857" s="15" t="s">
        <v>2672</v>
      </c>
      <c r="N1857" s="15" t="s">
        <v>2673</v>
      </c>
      <c r="O1857" s="15"/>
    </row>
    <row r="1858" spans="1:15" ht="18" customHeight="1" x14ac:dyDescent="0.3">
      <c r="A1858" s="29">
        <v>1857</v>
      </c>
      <c r="B1858" s="15" t="s">
        <v>52</v>
      </c>
      <c r="C1858" s="15" t="s">
        <v>62</v>
      </c>
      <c r="D1858" s="69">
        <v>96</v>
      </c>
      <c r="E1858" s="68" t="s">
        <v>243</v>
      </c>
      <c r="F1858" s="21" t="s">
        <v>589</v>
      </c>
      <c r="G1858" s="15" t="s">
        <v>1553</v>
      </c>
      <c r="H1858" s="15" t="s">
        <v>901</v>
      </c>
      <c r="I1858" s="69">
        <v>118</v>
      </c>
      <c r="J1858" s="13" t="s">
        <v>2672</v>
      </c>
      <c r="K1858" s="15" t="s">
        <v>2674</v>
      </c>
      <c r="L1858" s="15" t="s">
        <v>2525</v>
      </c>
      <c r="M1858" s="15" t="s">
        <v>2672</v>
      </c>
      <c r="N1858" s="15" t="s">
        <v>2673</v>
      </c>
      <c r="O1858" s="15"/>
    </row>
    <row r="1859" spans="1:15" ht="18" customHeight="1" x14ac:dyDescent="0.3">
      <c r="A1859" s="29">
        <v>1858</v>
      </c>
      <c r="B1859" s="15" t="s">
        <v>52</v>
      </c>
      <c r="C1859" s="15" t="s">
        <v>62</v>
      </c>
      <c r="D1859" s="69">
        <v>96</v>
      </c>
      <c r="E1859" s="68" t="s">
        <v>243</v>
      </c>
      <c r="F1859" s="21" t="s">
        <v>589</v>
      </c>
      <c r="G1859" s="15" t="s">
        <v>1553</v>
      </c>
      <c r="H1859" s="15" t="s">
        <v>904</v>
      </c>
      <c r="I1859" s="69">
        <v>152</v>
      </c>
      <c r="J1859" s="13" t="s">
        <v>2672</v>
      </c>
      <c r="K1859" s="15" t="s">
        <v>2674</v>
      </c>
      <c r="L1859" s="15" t="s">
        <v>2525</v>
      </c>
      <c r="M1859" s="15" t="s">
        <v>2672</v>
      </c>
      <c r="N1859" s="15" t="s">
        <v>2673</v>
      </c>
      <c r="O1859" s="15"/>
    </row>
    <row r="1860" spans="1:15" ht="18" customHeight="1" x14ac:dyDescent="0.3">
      <c r="A1860" s="29">
        <v>1859</v>
      </c>
      <c r="B1860" s="15" t="s">
        <v>52</v>
      </c>
      <c r="C1860" s="15" t="s">
        <v>62</v>
      </c>
      <c r="D1860" s="69">
        <v>96</v>
      </c>
      <c r="E1860" s="68" t="s">
        <v>243</v>
      </c>
      <c r="F1860" s="21" t="s">
        <v>589</v>
      </c>
      <c r="G1860" s="15" t="s">
        <v>1553</v>
      </c>
      <c r="H1860" s="15" t="s">
        <v>2679</v>
      </c>
      <c r="I1860" s="69">
        <v>66</v>
      </c>
      <c r="J1860" s="13" t="s">
        <v>2672</v>
      </c>
      <c r="K1860" s="15" t="s">
        <v>2674</v>
      </c>
      <c r="L1860" s="15" t="s">
        <v>2525</v>
      </c>
      <c r="M1860" s="15" t="s">
        <v>2672</v>
      </c>
      <c r="N1860" s="15" t="s">
        <v>2673</v>
      </c>
      <c r="O1860" s="15"/>
    </row>
    <row r="1861" spans="1:15" ht="18" customHeight="1" x14ac:dyDescent="0.3">
      <c r="A1861" s="29">
        <v>1860</v>
      </c>
      <c r="B1861" s="15" t="s">
        <v>52</v>
      </c>
      <c r="C1861" s="15" t="s">
        <v>62</v>
      </c>
      <c r="D1861" s="69">
        <v>96</v>
      </c>
      <c r="E1861" s="68" t="s">
        <v>243</v>
      </c>
      <c r="F1861" s="21" t="s">
        <v>589</v>
      </c>
      <c r="G1861" s="15" t="s">
        <v>1553</v>
      </c>
      <c r="H1861" s="15" t="s">
        <v>3207</v>
      </c>
      <c r="I1861" s="69">
        <v>127</v>
      </c>
      <c r="J1861" s="13" t="s">
        <v>2672</v>
      </c>
      <c r="K1861" s="15" t="s">
        <v>2674</v>
      </c>
      <c r="L1861" s="15" t="s">
        <v>2525</v>
      </c>
      <c r="M1861" s="15" t="s">
        <v>2672</v>
      </c>
      <c r="N1861" s="15" t="s">
        <v>2673</v>
      </c>
      <c r="O1861" s="15"/>
    </row>
    <row r="1862" spans="1:15" ht="18" customHeight="1" x14ac:dyDescent="0.3">
      <c r="A1862" s="29">
        <v>1861</v>
      </c>
      <c r="B1862" s="15" t="s">
        <v>52</v>
      </c>
      <c r="C1862" s="15" t="s">
        <v>62</v>
      </c>
      <c r="D1862" s="69">
        <v>96</v>
      </c>
      <c r="E1862" s="68" t="s">
        <v>243</v>
      </c>
      <c r="F1862" s="21" t="s">
        <v>589</v>
      </c>
      <c r="G1862" s="15" t="s">
        <v>1553</v>
      </c>
      <c r="H1862" s="15" t="s">
        <v>2923</v>
      </c>
      <c r="I1862" s="69">
        <v>72</v>
      </c>
      <c r="J1862" s="13" t="s">
        <v>2672</v>
      </c>
      <c r="K1862" s="15" t="s">
        <v>2674</v>
      </c>
      <c r="L1862" s="15" t="s">
        <v>2525</v>
      </c>
      <c r="M1862" s="15" t="s">
        <v>2672</v>
      </c>
      <c r="N1862" s="15" t="s">
        <v>2673</v>
      </c>
      <c r="O1862" s="15"/>
    </row>
    <row r="1863" spans="1:15" ht="18" customHeight="1" x14ac:dyDescent="0.3">
      <c r="A1863" s="29">
        <v>1862</v>
      </c>
      <c r="B1863" s="15" t="s">
        <v>52</v>
      </c>
      <c r="C1863" s="15" t="s">
        <v>62</v>
      </c>
      <c r="D1863" s="69">
        <v>96</v>
      </c>
      <c r="E1863" s="68" t="s">
        <v>243</v>
      </c>
      <c r="F1863" s="21" t="s">
        <v>589</v>
      </c>
      <c r="G1863" s="15" t="s">
        <v>1553</v>
      </c>
      <c r="H1863" s="15" t="s">
        <v>2924</v>
      </c>
      <c r="I1863" s="69">
        <v>70</v>
      </c>
      <c r="J1863" s="13" t="s">
        <v>2672</v>
      </c>
      <c r="K1863" s="15" t="s">
        <v>2674</v>
      </c>
      <c r="L1863" s="15" t="s">
        <v>2525</v>
      </c>
      <c r="M1863" s="15" t="s">
        <v>2672</v>
      </c>
      <c r="N1863" s="15" t="s">
        <v>2673</v>
      </c>
      <c r="O1863" s="15"/>
    </row>
    <row r="1864" spans="1:15" ht="18" customHeight="1" x14ac:dyDescent="0.3">
      <c r="A1864" s="29">
        <v>1863</v>
      </c>
      <c r="B1864" s="15" t="s">
        <v>52</v>
      </c>
      <c r="C1864" s="15" t="s">
        <v>62</v>
      </c>
      <c r="D1864" s="69">
        <v>96</v>
      </c>
      <c r="E1864" s="68" t="s">
        <v>243</v>
      </c>
      <c r="F1864" s="21" t="s">
        <v>589</v>
      </c>
      <c r="G1864" s="15" t="s">
        <v>1553</v>
      </c>
      <c r="H1864" s="15" t="s">
        <v>2925</v>
      </c>
      <c r="I1864" s="69">
        <v>70</v>
      </c>
      <c r="J1864" s="13" t="s">
        <v>2672</v>
      </c>
      <c r="K1864" s="15" t="s">
        <v>2674</v>
      </c>
      <c r="L1864" s="15" t="s">
        <v>2525</v>
      </c>
      <c r="M1864" s="15" t="s">
        <v>2672</v>
      </c>
      <c r="N1864" s="15" t="s">
        <v>2673</v>
      </c>
      <c r="O1864" s="15"/>
    </row>
    <row r="1865" spans="1:15" ht="18" customHeight="1" x14ac:dyDescent="0.3">
      <c r="A1865" s="29">
        <v>1864</v>
      </c>
      <c r="B1865" s="15" t="s">
        <v>52</v>
      </c>
      <c r="C1865" s="15" t="s">
        <v>62</v>
      </c>
      <c r="D1865" s="69">
        <v>96</v>
      </c>
      <c r="E1865" s="68" t="s">
        <v>243</v>
      </c>
      <c r="F1865" s="21" t="s">
        <v>589</v>
      </c>
      <c r="G1865" s="15" t="s">
        <v>1553</v>
      </c>
      <c r="H1865" s="15" t="s">
        <v>2683</v>
      </c>
      <c r="I1865" s="69">
        <v>70</v>
      </c>
      <c r="J1865" s="13" t="s">
        <v>2672</v>
      </c>
      <c r="K1865" s="15" t="s">
        <v>2674</v>
      </c>
      <c r="L1865" s="15" t="s">
        <v>2525</v>
      </c>
      <c r="M1865" s="15" t="s">
        <v>2672</v>
      </c>
      <c r="N1865" s="15" t="s">
        <v>2673</v>
      </c>
      <c r="O1865" s="15"/>
    </row>
    <row r="1866" spans="1:15" ht="18" customHeight="1" x14ac:dyDescent="0.3">
      <c r="A1866" s="29">
        <v>1865</v>
      </c>
      <c r="B1866" s="15" t="s">
        <v>52</v>
      </c>
      <c r="C1866" s="15" t="s">
        <v>62</v>
      </c>
      <c r="D1866" s="69">
        <v>96</v>
      </c>
      <c r="E1866" s="68" t="s">
        <v>3340</v>
      </c>
      <c r="F1866" s="24" t="s">
        <v>1077</v>
      </c>
      <c r="G1866" s="15" t="s">
        <v>154</v>
      </c>
      <c r="H1866" s="15" t="s">
        <v>906</v>
      </c>
      <c r="I1866" s="69">
        <v>271</v>
      </c>
      <c r="J1866" s="15" t="s">
        <v>2674</v>
      </c>
      <c r="K1866" s="15" t="s">
        <v>903</v>
      </c>
      <c r="L1866" s="15" t="s">
        <v>2673</v>
      </c>
      <c r="M1866" s="15" t="s">
        <v>2672</v>
      </c>
      <c r="N1866" s="15" t="s">
        <v>2673</v>
      </c>
      <c r="O1866" s="15"/>
    </row>
    <row r="1867" spans="1:15" ht="18" customHeight="1" x14ac:dyDescent="0.3">
      <c r="A1867" s="29">
        <v>1866</v>
      </c>
      <c r="B1867" s="15" t="s">
        <v>52</v>
      </c>
      <c r="C1867" s="15" t="s">
        <v>62</v>
      </c>
      <c r="D1867" s="69">
        <v>96</v>
      </c>
      <c r="E1867" s="68" t="s">
        <v>3340</v>
      </c>
      <c r="F1867" s="24" t="s">
        <v>1077</v>
      </c>
      <c r="G1867" s="15" t="s">
        <v>154</v>
      </c>
      <c r="H1867" s="15" t="s">
        <v>908</v>
      </c>
      <c r="I1867" s="69">
        <v>232</v>
      </c>
      <c r="J1867" s="15" t="s">
        <v>2674</v>
      </c>
      <c r="K1867" s="15" t="s">
        <v>903</v>
      </c>
      <c r="L1867" s="15" t="s">
        <v>2673</v>
      </c>
      <c r="M1867" s="15" t="s">
        <v>2672</v>
      </c>
      <c r="N1867" s="15" t="s">
        <v>2673</v>
      </c>
      <c r="O1867" s="15"/>
    </row>
    <row r="1868" spans="1:15" ht="18" customHeight="1" x14ac:dyDescent="0.3">
      <c r="A1868" s="29">
        <v>1867</v>
      </c>
      <c r="B1868" s="15" t="s">
        <v>52</v>
      </c>
      <c r="C1868" s="15" t="s">
        <v>62</v>
      </c>
      <c r="D1868" s="69">
        <v>96</v>
      </c>
      <c r="E1868" s="68" t="s">
        <v>3340</v>
      </c>
      <c r="F1868" s="24" t="s">
        <v>1077</v>
      </c>
      <c r="G1868" s="15" t="s">
        <v>154</v>
      </c>
      <c r="H1868" s="15" t="s">
        <v>909</v>
      </c>
      <c r="I1868" s="69">
        <v>209</v>
      </c>
      <c r="J1868" s="15" t="s">
        <v>2672</v>
      </c>
      <c r="K1868" s="15" t="s">
        <v>903</v>
      </c>
      <c r="L1868" s="15" t="s">
        <v>2673</v>
      </c>
      <c r="M1868" s="15" t="s">
        <v>2672</v>
      </c>
      <c r="N1868" s="15" t="s">
        <v>2673</v>
      </c>
      <c r="O1868" s="15"/>
    </row>
    <row r="1869" spans="1:15" ht="18" customHeight="1" x14ac:dyDescent="0.3">
      <c r="A1869" s="29">
        <v>1868</v>
      </c>
      <c r="B1869" s="15" t="s">
        <v>52</v>
      </c>
      <c r="C1869" s="15" t="s">
        <v>62</v>
      </c>
      <c r="D1869" s="69">
        <v>96</v>
      </c>
      <c r="E1869" s="68" t="s">
        <v>3340</v>
      </c>
      <c r="F1869" s="24" t="s">
        <v>1077</v>
      </c>
      <c r="G1869" s="15" t="s">
        <v>154</v>
      </c>
      <c r="H1869" s="15" t="s">
        <v>910</v>
      </c>
      <c r="I1869" s="69">
        <v>232</v>
      </c>
      <c r="J1869" s="15" t="s">
        <v>2674</v>
      </c>
      <c r="K1869" s="15" t="s">
        <v>903</v>
      </c>
      <c r="L1869" s="15" t="s">
        <v>2673</v>
      </c>
      <c r="M1869" s="15" t="s">
        <v>2672</v>
      </c>
      <c r="N1869" s="15" t="s">
        <v>2673</v>
      </c>
      <c r="O1869" s="15"/>
    </row>
    <row r="1870" spans="1:15" ht="18" customHeight="1" x14ac:dyDescent="0.3">
      <c r="A1870" s="29">
        <v>1869</v>
      </c>
      <c r="B1870" s="15" t="s">
        <v>52</v>
      </c>
      <c r="C1870" s="15" t="s">
        <v>62</v>
      </c>
      <c r="D1870" s="69">
        <v>96</v>
      </c>
      <c r="E1870" s="68" t="s">
        <v>3340</v>
      </c>
      <c r="F1870" s="24" t="s">
        <v>2926</v>
      </c>
      <c r="G1870" s="15" t="s">
        <v>154</v>
      </c>
      <c r="H1870" s="15" t="s">
        <v>907</v>
      </c>
      <c r="I1870" s="69">
        <v>209</v>
      </c>
      <c r="J1870" s="15" t="s">
        <v>2672</v>
      </c>
      <c r="K1870" s="15" t="s">
        <v>902</v>
      </c>
      <c r="L1870" s="15" t="s">
        <v>1069</v>
      </c>
      <c r="M1870" s="15" t="s">
        <v>2672</v>
      </c>
      <c r="N1870" s="15" t="s">
        <v>2673</v>
      </c>
      <c r="O1870" s="15"/>
    </row>
    <row r="1871" spans="1:15" ht="18" customHeight="1" x14ac:dyDescent="0.3">
      <c r="A1871" s="29">
        <v>1870</v>
      </c>
      <c r="B1871" s="15" t="s">
        <v>52</v>
      </c>
      <c r="C1871" s="15" t="s">
        <v>62</v>
      </c>
      <c r="D1871" s="69">
        <v>96</v>
      </c>
      <c r="E1871" s="68" t="s">
        <v>3340</v>
      </c>
      <c r="F1871" s="24" t="s">
        <v>2926</v>
      </c>
      <c r="G1871" s="15" t="s">
        <v>154</v>
      </c>
      <c r="H1871" s="15" t="s">
        <v>983</v>
      </c>
      <c r="I1871" s="69">
        <v>120</v>
      </c>
      <c r="J1871" s="15" t="s">
        <v>2674</v>
      </c>
      <c r="K1871" s="15" t="s">
        <v>902</v>
      </c>
      <c r="L1871" s="15" t="s">
        <v>1797</v>
      </c>
      <c r="M1871" s="15" t="s">
        <v>2672</v>
      </c>
      <c r="N1871" s="15" t="s">
        <v>2673</v>
      </c>
      <c r="O1871" s="15"/>
    </row>
    <row r="1872" spans="1:15" ht="18" customHeight="1" x14ac:dyDescent="0.3">
      <c r="A1872" s="29">
        <v>1871</v>
      </c>
      <c r="B1872" s="15" t="s">
        <v>52</v>
      </c>
      <c r="C1872" s="15" t="s">
        <v>62</v>
      </c>
      <c r="D1872" s="69">
        <v>96</v>
      </c>
      <c r="E1872" s="68" t="s">
        <v>3340</v>
      </c>
      <c r="F1872" s="24" t="s">
        <v>2926</v>
      </c>
      <c r="G1872" s="15" t="s">
        <v>154</v>
      </c>
      <c r="H1872" s="15" t="s">
        <v>979</v>
      </c>
      <c r="I1872" s="69">
        <v>276</v>
      </c>
      <c r="J1872" s="15" t="s">
        <v>2674</v>
      </c>
      <c r="K1872" s="15" t="s">
        <v>902</v>
      </c>
      <c r="L1872" s="15" t="s">
        <v>2715</v>
      </c>
      <c r="M1872" s="15" t="s">
        <v>2672</v>
      </c>
      <c r="N1872" s="15" t="s">
        <v>2673</v>
      </c>
      <c r="O1872" s="15"/>
    </row>
    <row r="1873" spans="1:15" ht="18" customHeight="1" x14ac:dyDescent="0.3">
      <c r="A1873" s="29">
        <v>1872</v>
      </c>
      <c r="B1873" s="15" t="s">
        <v>52</v>
      </c>
      <c r="C1873" s="15" t="s">
        <v>62</v>
      </c>
      <c r="D1873" s="69">
        <v>96</v>
      </c>
      <c r="E1873" s="68" t="s">
        <v>3340</v>
      </c>
      <c r="F1873" s="24" t="s">
        <v>587</v>
      </c>
      <c r="G1873" s="15" t="s">
        <v>154</v>
      </c>
      <c r="H1873" s="15" t="s">
        <v>901</v>
      </c>
      <c r="I1873" s="69">
        <v>107</v>
      </c>
      <c r="J1873" s="15" t="s">
        <v>2672</v>
      </c>
      <c r="K1873" s="15" t="s">
        <v>903</v>
      </c>
      <c r="L1873" s="15" t="s">
        <v>2673</v>
      </c>
      <c r="M1873" s="15" t="s">
        <v>2672</v>
      </c>
      <c r="N1873" s="15" t="s">
        <v>2673</v>
      </c>
      <c r="O1873" s="15"/>
    </row>
    <row r="1874" spans="1:15" ht="18" customHeight="1" x14ac:dyDescent="0.3">
      <c r="A1874" s="29">
        <v>1873</v>
      </c>
      <c r="B1874" s="15" t="s">
        <v>52</v>
      </c>
      <c r="C1874" s="15" t="s">
        <v>62</v>
      </c>
      <c r="D1874" s="69">
        <v>96</v>
      </c>
      <c r="E1874" s="68" t="s">
        <v>3340</v>
      </c>
      <c r="F1874" s="24" t="s">
        <v>2927</v>
      </c>
      <c r="G1874" s="15" t="s">
        <v>154</v>
      </c>
      <c r="H1874" s="15" t="s">
        <v>1253</v>
      </c>
      <c r="I1874" s="69">
        <v>48</v>
      </c>
      <c r="J1874" s="15" t="s">
        <v>2674</v>
      </c>
      <c r="K1874" s="15" t="s">
        <v>2674</v>
      </c>
      <c r="L1874" s="15" t="s">
        <v>2727</v>
      </c>
      <c r="M1874" s="15" t="s">
        <v>2672</v>
      </c>
      <c r="N1874" s="15" t="s">
        <v>2673</v>
      </c>
      <c r="O1874" s="15"/>
    </row>
    <row r="1875" spans="1:15" ht="18" customHeight="1" x14ac:dyDescent="0.3">
      <c r="A1875" s="29">
        <v>1874</v>
      </c>
      <c r="B1875" s="15" t="s">
        <v>52</v>
      </c>
      <c r="C1875" s="15" t="s">
        <v>62</v>
      </c>
      <c r="D1875" s="69">
        <v>96</v>
      </c>
      <c r="E1875" s="68" t="s">
        <v>286</v>
      </c>
      <c r="F1875" s="21" t="s">
        <v>593</v>
      </c>
      <c r="G1875" s="15" t="s">
        <v>154</v>
      </c>
      <c r="H1875" s="15" t="s">
        <v>901</v>
      </c>
      <c r="I1875" s="69">
        <v>226</v>
      </c>
      <c r="J1875" s="15" t="s">
        <v>2672</v>
      </c>
      <c r="K1875" s="15" t="s">
        <v>903</v>
      </c>
      <c r="L1875" s="15" t="s">
        <v>2673</v>
      </c>
      <c r="M1875" s="15" t="s">
        <v>2672</v>
      </c>
      <c r="N1875" s="15" t="s">
        <v>2673</v>
      </c>
      <c r="O1875" s="15"/>
    </row>
    <row r="1876" spans="1:15" ht="18" customHeight="1" x14ac:dyDescent="0.3">
      <c r="A1876" s="29">
        <v>1875</v>
      </c>
      <c r="B1876" s="15" t="s">
        <v>52</v>
      </c>
      <c r="C1876" s="15" t="s">
        <v>62</v>
      </c>
      <c r="D1876" s="69">
        <v>96</v>
      </c>
      <c r="E1876" s="68" t="s">
        <v>286</v>
      </c>
      <c r="F1876" s="21" t="s">
        <v>593</v>
      </c>
      <c r="G1876" s="15" t="s">
        <v>154</v>
      </c>
      <c r="H1876" s="15" t="s">
        <v>904</v>
      </c>
      <c r="I1876" s="69">
        <v>154</v>
      </c>
      <c r="J1876" s="15" t="s">
        <v>2672</v>
      </c>
      <c r="K1876" s="15" t="s">
        <v>903</v>
      </c>
      <c r="L1876" s="15" t="s">
        <v>2673</v>
      </c>
      <c r="M1876" s="15" t="s">
        <v>2672</v>
      </c>
      <c r="N1876" s="15" t="s">
        <v>2673</v>
      </c>
      <c r="O1876" s="15"/>
    </row>
    <row r="1877" spans="1:15" ht="18" customHeight="1" x14ac:dyDescent="0.3">
      <c r="A1877" s="29">
        <v>1876</v>
      </c>
      <c r="B1877" s="15" t="s">
        <v>52</v>
      </c>
      <c r="C1877" s="15" t="s">
        <v>62</v>
      </c>
      <c r="D1877" s="69">
        <v>96</v>
      </c>
      <c r="E1877" s="68" t="s">
        <v>286</v>
      </c>
      <c r="F1877" s="21" t="s">
        <v>593</v>
      </c>
      <c r="G1877" s="15" t="s">
        <v>154</v>
      </c>
      <c r="H1877" s="15" t="s">
        <v>905</v>
      </c>
      <c r="I1877" s="69">
        <v>154</v>
      </c>
      <c r="J1877" s="15" t="s">
        <v>2672</v>
      </c>
      <c r="K1877" s="15" t="s">
        <v>903</v>
      </c>
      <c r="L1877" s="15" t="s">
        <v>2673</v>
      </c>
      <c r="M1877" s="15" t="s">
        <v>2672</v>
      </c>
      <c r="N1877" s="15" t="s">
        <v>2673</v>
      </c>
      <c r="O1877" s="15"/>
    </row>
    <row r="1878" spans="1:15" ht="18" customHeight="1" x14ac:dyDescent="0.3">
      <c r="A1878" s="29">
        <v>1877</v>
      </c>
      <c r="B1878" s="15" t="s">
        <v>52</v>
      </c>
      <c r="C1878" s="15" t="s">
        <v>62</v>
      </c>
      <c r="D1878" s="69">
        <v>96</v>
      </c>
      <c r="E1878" s="68" t="s">
        <v>286</v>
      </c>
      <c r="F1878" s="21" t="s">
        <v>593</v>
      </c>
      <c r="G1878" s="15" t="s">
        <v>154</v>
      </c>
      <c r="H1878" s="15" t="s">
        <v>909</v>
      </c>
      <c r="I1878" s="69">
        <v>154</v>
      </c>
      <c r="J1878" s="15" t="s">
        <v>2674</v>
      </c>
      <c r="K1878" s="15" t="s">
        <v>903</v>
      </c>
      <c r="L1878" s="15" t="s">
        <v>2673</v>
      </c>
      <c r="M1878" s="15" t="s">
        <v>2672</v>
      </c>
      <c r="N1878" s="15" t="s">
        <v>2673</v>
      </c>
      <c r="O1878" s="15"/>
    </row>
    <row r="1879" spans="1:15" ht="18" customHeight="1" x14ac:dyDescent="0.3">
      <c r="A1879" s="29">
        <v>1878</v>
      </c>
      <c r="B1879" s="15" t="s">
        <v>52</v>
      </c>
      <c r="C1879" s="15" t="s">
        <v>62</v>
      </c>
      <c r="D1879" s="69">
        <v>96</v>
      </c>
      <c r="E1879" s="68" t="s">
        <v>286</v>
      </c>
      <c r="F1879" s="21" t="s">
        <v>593</v>
      </c>
      <c r="G1879" s="15" t="s">
        <v>154</v>
      </c>
      <c r="H1879" s="15" t="s">
        <v>910</v>
      </c>
      <c r="I1879" s="69">
        <v>154</v>
      </c>
      <c r="J1879" s="15" t="s">
        <v>2674</v>
      </c>
      <c r="K1879" s="15" t="s">
        <v>903</v>
      </c>
      <c r="L1879" s="15" t="s">
        <v>2673</v>
      </c>
      <c r="M1879" s="15" t="s">
        <v>2672</v>
      </c>
      <c r="N1879" s="15" t="s">
        <v>2673</v>
      </c>
      <c r="O1879" s="15"/>
    </row>
    <row r="1880" spans="1:15" ht="18" customHeight="1" x14ac:dyDescent="0.3">
      <c r="A1880" s="29">
        <v>1879</v>
      </c>
      <c r="B1880" s="15" t="s">
        <v>52</v>
      </c>
      <c r="C1880" s="15" t="s">
        <v>62</v>
      </c>
      <c r="D1880" s="69">
        <v>96</v>
      </c>
      <c r="E1880" s="68" t="s">
        <v>286</v>
      </c>
      <c r="F1880" s="21" t="s">
        <v>593</v>
      </c>
      <c r="G1880" s="15" t="s">
        <v>154</v>
      </c>
      <c r="H1880" s="15" t="s">
        <v>906</v>
      </c>
      <c r="I1880" s="69">
        <v>275</v>
      </c>
      <c r="J1880" s="15" t="s">
        <v>2674</v>
      </c>
      <c r="K1880" s="15" t="s">
        <v>902</v>
      </c>
      <c r="L1880" s="15" t="s">
        <v>1703</v>
      </c>
      <c r="M1880" s="15" t="s">
        <v>2672</v>
      </c>
      <c r="N1880" s="15" t="s">
        <v>2673</v>
      </c>
      <c r="O1880" s="15" t="s">
        <v>1174</v>
      </c>
    </row>
    <row r="1881" spans="1:15" ht="18" customHeight="1" x14ac:dyDescent="0.3">
      <c r="A1881" s="29">
        <v>1880</v>
      </c>
      <c r="B1881" s="15" t="s">
        <v>52</v>
      </c>
      <c r="C1881" s="15" t="s">
        <v>62</v>
      </c>
      <c r="D1881" s="69">
        <v>96</v>
      </c>
      <c r="E1881" s="68" t="s">
        <v>286</v>
      </c>
      <c r="F1881" s="21" t="s">
        <v>593</v>
      </c>
      <c r="G1881" s="15" t="s">
        <v>154</v>
      </c>
      <c r="H1881" s="15" t="s">
        <v>908</v>
      </c>
      <c r="I1881" s="69">
        <v>105</v>
      </c>
      <c r="J1881" s="15" t="s">
        <v>2672</v>
      </c>
      <c r="K1881" s="15" t="s">
        <v>902</v>
      </c>
      <c r="L1881" s="15" t="s">
        <v>1703</v>
      </c>
      <c r="M1881" s="15" t="s">
        <v>2672</v>
      </c>
      <c r="N1881" s="15" t="s">
        <v>2673</v>
      </c>
      <c r="O1881" s="15"/>
    </row>
    <row r="1882" spans="1:15" ht="18" customHeight="1" x14ac:dyDescent="0.3">
      <c r="A1882" s="29">
        <v>1881</v>
      </c>
      <c r="B1882" s="15" t="s">
        <v>52</v>
      </c>
      <c r="C1882" s="15" t="s">
        <v>62</v>
      </c>
      <c r="D1882" s="69">
        <v>96</v>
      </c>
      <c r="E1882" s="68" t="s">
        <v>304</v>
      </c>
      <c r="F1882" s="21" t="s">
        <v>594</v>
      </c>
      <c r="G1882" s="15" t="s">
        <v>164</v>
      </c>
      <c r="H1882" s="15" t="s">
        <v>901</v>
      </c>
      <c r="I1882" s="69">
        <v>198</v>
      </c>
      <c r="J1882" s="15" t="s">
        <v>2674</v>
      </c>
      <c r="K1882" s="15" t="s">
        <v>903</v>
      </c>
      <c r="L1882" s="15" t="s">
        <v>2673</v>
      </c>
      <c r="M1882" s="15" t="s">
        <v>2672</v>
      </c>
      <c r="N1882" s="15" t="s">
        <v>2673</v>
      </c>
      <c r="O1882" s="15"/>
    </row>
    <row r="1883" spans="1:15" ht="18" customHeight="1" x14ac:dyDescent="0.3">
      <c r="A1883" s="29">
        <v>1882</v>
      </c>
      <c r="B1883" s="15" t="s">
        <v>52</v>
      </c>
      <c r="C1883" s="15" t="s">
        <v>62</v>
      </c>
      <c r="D1883" s="69">
        <v>96</v>
      </c>
      <c r="E1883" s="68" t="s">
        <v>304</v>
      </c>
      <c r="F1883" s="21" t="s">
        <v>594</v>
      </c>
      <c r="G1883" s="15" t="s">
        <v>164</v>
      </c>
      <c r="H1883" s="15" t="s">
        <v>904</v>
      </c>
      <c r="I1883" s="69">
        <v>131</v>
      </c>
      <c r="J1883" s="15" t="s">
        <v>2672</v>
      </c>
      <c r="K1883" s="15" t="s">
        <v>903</v>
      </c>
      <c r="L1883" s="15" t="s">
        <v>2673</v>
      </c>
      <c r="M1883" s="15" t="s">
        <v>2672</v>
      </c>
      <c r="N1883" s="15" t="s">
        <v>2673</v>
      </c>
      <c r="O1883" s="15"/>
    </row>
    <row r="1884" spans="1:15" ht="18" customHeight="1" x14ac:dyDescent="0.3">
      <c r="A1884" s="29">
        <v>1883</v>
      </c>
      <c r="B1884" s="15" t="s">
        <v>52</v>
      </c>
      <c r="C1884" s="15" t="s">
        <v>62</v>
      </c>
      <c r="D1884" s="69">
        <v>96</v>
      </c>
      <c r="E1884" s="68" t="s">
        <v>304</v>
      </c>
      <c r="F1884" s="21" t="s">
        <v>594</v>
      </c>
      <c r="G1884" s="15" t="s">
        <v>164</v>
      </c>
      <c r="H1884" s="15" t="s">
        <v>905</v>
      </c>
      <c r="I1884" s="69">
        <v>74</v>
      </c>
      <c r="J1884" s="15" t="s">
        <v>2672</v>
      </c>
      <c r="K1884" s="15" t="s">
        <v>903</v>
      </c>
      <c r="L1884" s="15" t="s">
        <v>2673</v>
      </c>
      <c r="M1884" s="15" t="s">
        <v>2672</v>
      </c>
      <c r="N1884" s="15" t="s">
        <v>2673</v>
      </c>
      <c r="O1884" s="15"/>
    </row>
    <row r="1885" spans="1:15" ht="18" customHeight="1" x14ac:dyDescent="0.3">
      <c r="A1885" s="29">
        <v>1884</v>
      </c>
      <c r="B1885" s="15" t="s">
        <v>52</v>
      </c>
      <c r="C1885" s="15" t="s">
        <v>62</v>
      </c>
      <c r="D1885" s="69">
        <v>96</v>
      </c>
      <c r="E1885" s="68" t="s">
        <v>304</v>
      </c>
      <c r="F1885" s="21" t="s">
        <v>594</v>
      </c>
      <c r="G1885" s="15" t="s">
        <v>164</v>
      </c>
      <c r="H1885" s="15" t="s">
        <v>906</v>
      </c>
      <c r="I1885" s="69">
        <v>101</v>
      </c>
      <c r="J1885" s="15" t="s">
        <v>2674</v>
      </c>
      <c r="K1885" s="15" t="s">
        <v>903</v>
      </c>
      <c r="L1885" s="15" t="s">
        <v>2673</v>
      </c>
      <c r="M1885" s="15" t="s">
        <v>2672</v>
      </c>
      <c r="N1885" s="15" t="s">
        <v>2673</v>
      </c>
      <c r="O1885" s="15"/>
    </row>
    <row r="1886" spans="1:15" ht="18" customHeight="1" x14ac:dyDescent="0.3">
      <c r="A1886" s="29">
        <v>1885</v>
      </c>
      <c r="B1886" s="15" t="s">
        <v>52</v>
      </c>
      <c r="C1886" s="15" t="s">
        <v>62</v>
      </c>
      <c r="D1886" s="69">
        <v>96</v>
      </c>
      <c r="E1886" s="68" t="s">
        <v>304</v>
      </c>
      <c r="F1886" s="21" t="s">
        <v>594</v>
      </c>
      <c r="G1886" s="15" t="s">
        <v>164</v>
      </c>
      <c r="H1886" s="15" t="s">
        <v>907</v>
      </c>
      <c r="I1886" s="69">
        <v>101</v>
      </c>
      <c r="J1886" s="15" t="s">
        <v>2672</v>
      </c>
      <c r="K1886" s="15" t="s">
        <v>903</v>
      </c>
      <c r="L1886" s="15" t="s">
        <v>2673</v>
      </c>
      <c r="M1886" s="15" t="s">
        <v>2672</v>
      </c>
      <c r="N1886" s="15" t="s">
        <v>2673</v>
      </c>
      <c r="O1886" s="15"/>
    </row>
    <row r="1887" spans="1:15" ht="18" customHeight="1" x14ac:dyDescent="0.3">
      <c r="A1887" s="29">
        <v>1886</v>
      </c>
      <c r="B1887" s="15" t="s">
        <v>52</v>
      </c>
      <c r="C1887" s="15" t="s">
        <v>62</v>
      </c>
      <c r="D1887" s="69">
        <v>96</v>
      </c>
      <c r="E1887" s="68" t="s">
        <v>304</v>
      </c>
      <c r="F1887" s="21" t="s">
        <v>594</v>
      </c>
      <c r="G1887" s="15" t="s">
        <v>164</v>
      </c>
      <c r="H1887" s="15" t="s">
        <v>908</v>
      </c>
      <c r="I1887" s="69">
        <v>170</v>
      </c>
      <c r="J1887" s="15" t="s">
        <v>2672</v>
      </c>
      <c r="K1887" s="15" t="s">
        <v>903</v>
      </c>
      <c r="L1887" s="15" t="s">
        <v>2673</v>
      </c>
      <c r="M1887" s="15" t="s">
        <v>2672</v>
      </c>
      <c r="N1887" s="15" t="s">
        <v>2673</v>
      </c>
      <c r="O1887" s="15"/>
    </row>
    <row r="1888" spans="1:15" ht="18" customHeight="1" x14ac:dyDescent="0.3">
      <c r="A1888" s="29">
        <v>1887</v>
      </c>
      <c r="B1888" s="15" t="s">
        <v>52</v>
      </c>
      <c r="C1888" s="15" t="s">
        <v>62</v>
      </c>
      <c r="D1888" s="69">
        <v>96</v>
      </c>
      <c r="E1888" s="68" t="s">
        <v>304</v>
      </c>
      <c r="F1888" s="21" t="s">
        <v>594</v>
      </c>
      <c r="G1888" s="15" t="s">
        <v>164</v>
      </c>
      <c r="H1888" s="15" t="s">
        <v>909</v>
      </c>
      <c r="I1888" s="69">
        <v>113</v>
      </c>
      <c r="J1888" s="15" t="s">
        <v>2672</v>
      </c>
      <c r="K1888" s="15" t="s">
        <v>903</v>
      </c>
      <c r="L1888" s="15" t="s">
        <v>2673</v>
      </c>
      <c r="M1888" s="15" t="s">
        <v>2672</v>
      </c>
      <c r="N1888" s="15" t="s">
        <v>2673</v>
      </c>
      <c r="O1888" s="15"/>
    </row>
    <row r="1889" spans="1:15" ht="18" customHeight="1" x14ac:dyDescent="0.3">
      <c r="A1889" s="29">
        <v>1888</v>
      </c>
      <c r="B1889" s="15" t="s">
        <v>52</v>
      </c>
      <c r="C1889" s="15" t="s">
        <v>62</v>
      </c>
      <c r="D1889" s="69">
        <v>96</v>
      </c>
      <c r="E1889" s="68" t="s">
        <v>304</v>
      </c>
      <c r="F1889" s="21" t="s">
        <v>594</v>
      </c>
      <c r="G1889" s="15" t="s">
        <v>164</v>
      </c>
      <c r="H1889" s="15" t="s">
        <v>910</v>
      </c>
      <c r="I1889" s="69">
        <v>62</v>
      </c>
      <c r="J1889" s="15" t="s">
        <v>2672</v>
      </c>
      <c r="K1889" s="15" t="s">
        <v>903</v>
      </c>
      <c r="L1889" s="15" t="s">
        <v>2673</v>
      </c>
      <c r="M1889" s="15" t="s">
        <v>2672</v>
      </c>
      <c r="N1889" s="15" t="s">
        <v>2673</v>
      </c>
      <c r="O1889" s="15"/>
    </row>
    <row r="1890" spans="1:15" ht="18" customHeight="1" x14ac:dyDescent="0.3">
      <c r="A1890" s="29">
        <v>1889</v>
      </c>
      <c r="B1890" s="15" t="s">
        <v>52</v>
      </c>
      <c r="C1890" s="15" t="s">
        <v>62</v>
      </c>
      <c r="D1890" s="69">
        <v>96</v>
      </c>
      <c r="E1890" s="68" t="s">
        <v>2928</v>
      </c>
      <c r="F1890" s="21" t="s">
        <v>591</v>
      </c>
      <c r="G1890" s="15" t="s">
        <v>1553</v>
      </c>
      <c r="H1890" s="15" t="s">
        <v>901</v>
      </c>
      <c r="I1890" s="69">
        <v>89</v>
      </c>
      <c r="J1890" s="13" t="s">
        <v>2672</v>
      </c>
      <c r="K1890" s="15" t="s">
        <v>2674</v>
      </c>
      <c r="L1890" s="15" t="s">
        <v>2525</v>
      </c>
      <c r="M1890" s="15" t="s">
        <v>2672</v>
      </c>
      <c r="N1890" s="15" t="s">
        <v>2673</v>
      </c>
      <c r="O1890" s="15"/>
    </row>
    <row r="1891" spans="1:15" ht="18" customHeight="1" x14ac:dyDescent="0.3">
      <c r="A1891" s="29">
        <v>1890</v>
      </c>
      <c r="B1891" s="15" t="s">
        <v>52</v>
      </c>
      <c r="C1891" s="15" t="s">
        <v>62</v>
      </c>
      <c r="D1891" s="69">
        <v>96</v>
      </c>
      <c r="E1891" s="68" t="s">
        <v>2928</v>
      </c>
      <c r="F1891" s="21" t="s">
        <v>591</v>
      </c>
      <c r="G1891" s="15" t="s">
        <v>1553</v>
      </c>
      <c r="H1891" s="15" t="s">
        <v>904</v>
      </c>
      <c r="I1891" s="69">
        <v>89</v>
      </c>
      <c r="J1891" s="13" t="s">
        <v>2672</v>
      </c>
      <c r="K1891" s="15" t="s">
        <v>2674</v>
      </c>
      <c r="L1891" s="15" t="s">
        <v>2525</v>
      </c>
      <c r="M1891" s="15" t="s">
        <v>2672</v>
      </c>
      <c r="N1891" s="15" t="s">
        <v>2673</v>
      </c>
      <c r="O1891" s="15"/>
    </row>
    <row r="1892" spans="1:15" ht="18" customHeight="1" x14ac:dyDescent="0.3">
      <c r="A1892" s="29">
        <v>1891</v>
      </c>
      <c r="B1892" s="15" t="s">
        <v>52</v>
      </c>
      <c r="C1892" s="15" t="s">
        <v>62</v>
      </c>
      <c r="D1892" s="69">
        <v>96</v>
      </c>
      <c r="E1892" s="68" t="s">
        <v>2928</v>
      </c>
      <c r="F1892" s="21" t="s">
        <v>591</v>
      </c>
      <c r="G1892" s="15" t="s">
        <v>1553</v>
      </c>
      <c r="H1892" s="15" t="s">
        <v>905</v>
      </c>
      <c r="I1892" s="69">
        <v>65</v>
      </c>
      <c r="J1892" s="13" t="s">
        <v>2672</v>
      </c>
      <c r="K1892" s="15" t="s">
        <v>2674</v>
      </c>
      <c r="L1892" s="15" t="s">
        <v>2525</v>
      </c>
      <c r="M1892" s="15" t="s">
        <v>2672</v>
      </c>
      <c r="N1892" s="15" t="s">
        <v>2673</v>
      </c>
      <c r="O1892" s="15"/>
    </row>
    <row r="1893" spans="1:15" ht="18" customHeight="1" x14ac:dyDescent="0.3">
      <c r="A1893" s="29">
        <v>1892</v>
      </c>
      <c r="B1893" s="15" t="s">
        <v>52</v>
      </c>
      <c r="C1893" s="15" t="s">
        <v>62</v>
      </c>
      <c r="D1893" s="69">
        <v>96</v>
      </c>
      <c r="E1893" s="68" t="s">
        <v>2928</v>
      </c>
      <c r="F1893" s="21" t="s">
        <v>591</v>
      </c>
      <c r="G1893" s="15" t="s">
        <v>1553</v>
      </c>
      <c r="H1893" s="15" t="s">
        <v>906</v>
      </c>
      <c r="I1893" s="69">
        <v>67</v>
      </c>
      <c r="J1893" s="13" t="s">
        <v>2672</v>
      </c>
      <c r="K1893" s="15" t="s">
        <v>2674</v>
      </c>
      <c r="L1893" s="15" t="s">
        <v>2525</v>
      </c>
      <c r="M1893" s="15" t="s">
        <v>2672</v>
      </c>
      <c r="N1893" s="15" t="s">
        <v>2673</v>
      </c>
      <c r="O1893" s="15"/>
    </row>
    <row r="1894" spans="1:15" ht="18" customHeight="1" x14ac:dyDescent="0.3">
      <c r="A1894" s="29">
        <v>1893</v>
      </c>
      <c r="B1894" s="15" t="s">
        <v>52</v>
      </c>
      <c r="C1894" s="15" t="s">
        <v>62</v>
      </c>
      <c r="D1894" s="69">
        <v>96</v>
      </c>
      <c r="E1894" s="68" t="s">
        <v>2928</v>
      </c>
      <c r="F1894" s="21" t="s">
        <v>591</v>
      </c>
      <c r="G1894" s="15" t="s">
        <v>1553</v>
      </c>
      <c r="H1894" s="15" t="s">
        <v>907</v>
      </c>
      <c r="I1894" s="69">
        <v>67</v>
      </c>
      <c r="J1894" s="13" t="s">
        <v>2672</v>
      </c>
      <c r="K1894" s="15" t="s">
        <v>2674</v>
      </c>
      <c r="L1894" s="15" t="s">
        <v>2525</v>
      </c>
      <c r="M1894" s="15" t="s">
        <v>2672</v>
      </c>
      <c r="N1894" s="15" t="s">
        <v>2673</v>
      </c>
      <c r="O1894" s="15"/>
    </row>
    <row r="1895" spans="1:15" ht="18" customHeight="1" x14ac:dyDescent="0.3">
      <c r="A1895" s="29">
        <v>1894</v>
      </c>
      <c r="B1895" s="15" t="s">
        <v>52</v>
      </c>
      <c r="C1895" s="15" t="s">
        <v>62</v>
      </c>
      <c r="D1895" s="69">
        <v>96</v>
      </c>
      <c r="E1895" s="68" t="s">
        <v>2928</v>
      </c>
      <c r="F1895" s="21" t="s">
        <v>591</v>
      </c>
      <c r="G1895" s="15" t="s">
        <v>1553</v>
      </c>
      <c r="H1895" s="15" t="s">
        <v>908</v>
      </c>
      <c r="I1895" s="69">
        <v>97</v>
      </c>
      <c r="J1895" s="13" t="s">
        <v>2672</v>
      </c>
      <c r="K1895" s="15" t="s">
        <v>2672</v>
      </c>
      <c r="L1895" s="15" t="s">
        <v>2673</v>
      </c>
      <c r="M1895" s="15" t="s">
        <v>2672</v>
      </c>
      <c r="N1895" s="15" t="s">
        <v>2673</v>
      </c>
      <c r="O1895" s="15"/>
    </row>
    <row r="1896" spans="1:15" ht="18" customHeight="1" x14ac:dyDescent="0.3">
      <c r="A1896" s="29">
        <v>1895</v>
      </c>
      <c r="B1896" s="13" t="s">
        <v>1882</v>
      </c>
      <c r="C1896" s="13" t="s">
        <v>1980</v>
      </c>
      <c r="D1896" s="13">
        <v>96</v>
      </c>
      <c r="E1896" s="24" t="s">
        <v>1990</v>
      </c>
      <c r="F1896" s="24" t="s">
        <v>1991</v>
      </c>
      <c r="G1896" s="13" t="s">
        <v>2673</v>
      </c>
      <c r="H1896" s="18" t="s">
        <v>2685</v>
      </c>
      <c r="I1896" s="127">
        <v>16</v>
      </c>
      <c r="J1896" s="15" t="s">
        <v>2672</v>
      </c>
      <c r="K1896" s="15" t="s">
        <v>903</v>
      </c>
      <c r="L1896" s="15" t="s">
        <v>2673</v>
      </c>
      <c r="M1896" s="15" t="s">
        <v>2672</v>
      </c>
      <c r="N1896" s="15" t="s">
        <v>2673</v>
      </c>
      <c r="O1896" s="15"/>
    </row>
    <row r="1897" spans="1:15" ht="18" customHeight="1" x14ac:dyDescent="0.3">
      <c r="A1897" s="29">
        <v>1896</v>
      </c>
      <c r="B1897" s="15" t="s">
        <v>52</v>
      </c>
      <c r="C1897" s="15" t="s">
        <v>62</v>
      </c>
      <c r="D1897" s="69">
        <v>96</v>
      </c>
      <c r="E1897" s="68" t="s">
        <v>312</v>
      </c>
      <c r="F1897" s="21" t="s">
        <v>597</v>
      </c>
      <c r="G1897" s="15" t="s">
        <v>154</v>
      </c>
      <c r="H1897" s="15" t="s">
        <v>906</v>
      </c>
      <c r="I1897" s="69">
        <v>284</v>
      </c>
      <c r="J1897" s="15" t="s">
        <v>2672</v>
      </c>
      <c r="K1897" s="15" t="s">
        <v>903</v>
      </c>
      <c r="L1897" s="15" t="s">
        <v>2673</v>
      </c>
      <c r="M1897" s="15" t="s">
        <v>2672</v>
      </c>
      <c r="N1897" s="15" t="s">
        <v>2673</v>
      </c>
      <c r="O1897" s="15"/>
    </row>
    <row r="1898" spans="1:15" ht="18" customHeight="1" x14ac:dyDescent="0.3">
      <c r="A1898" s="29">
        <v>1897</v>
      </c>
      <c r="B1898" s="15" t="s">
        <v>52</v>
      </c>
      <c r="C1898" s="15" t="s">
        <v>62</v>
      </c>
      <c r="D1898" s="69">
        <v>96</v>
      </c>
      <c r="E1898" s="68" t="s">
        <v>312</v>
      </c>
      <c r="F1898" s="21" t="s">
        <v>597</v>
      </c>
      <c r="G1898" s="15" t="s">
        <v>154</v>
      </c>
      <c r="H1898" s="15" t="s">
        <v>907</v>
      </c>
      <c r="I1898" s="69">
        <v>168</v>
      </c>
      <c r="J1898" s="15" t="s">
        <v>2672</v>
      </c>
      <c r="K1898" s="15" t="s">
        <v>903</v>
      </c>
      <c r="L1898" s="15" t="s">
        <v>2673</v>
      </c>
      <c r="M1898" s="15" t="s">
        <v>2672</v>
      </c>
      <c r="N1898" s="15" t="s">
        <v>2673</v>
      </c>
      <c r="O1898" s="15"/>
    </row>
    <row r="1899" spans="1:15" ht="18" customHeight="1" x14ac:dyDescent="0.3">
      <c r="A1899" s="29">
        <v>1898</v>
      </c>
      <c r="B1899" s="15" t="s">
        <v>52</v>
      </c>
      <c r="C1899" s="15" t="s">
        <v>62</v>
      </c>
      <c r="D1899" s="69">
        <v>96</v>
      </c>
      <c r="E1899" s="68" t="s">
        <v>312</v>
      </c>
      <c r="F1899" s="21" t="s">
        <v>597</v>
      </c>
      <c r="G1899" s="15" t="s">
        <v>154</v>
      </c>
      <c r="H1899" s="15" t="s">
        <v>908</v>
      </c>
      <c r="I1899" s="69">
        <v>284</v>
      </c>
      <c r="J1899" s="15" t="s">
        <v>903</v>
      </c>
      <c r="K1899" s="15" t="s">
        <v>903</v>
      </c>
      <c r="L1899" s="15" t="s">
        <v>2673</v>
      </c>
      <c r="M1899" s="15" t="s">
        <v>2672</v>
      </c>
      <c r="N1899" s="15" t="s">
        <v>2673</v>
      </c>
      <c r="O1899" s="15"/>
    </row>
    <row r="1900" spans="1:15" ht="18" customHeight="1" x14ac:dyDescent="0.3">
      <c r="A1900" s="29">
        <v>1899</v>
      </c>
      <c r="B1900" s="15" t="s">
        <v>52</v>
      </c>
      <c r="C1900" s="15" t="s">
        <v>62</v>
      </c>
      <c r="D1900" s="69">
        <v>96</v>
      </c>
      <c r="E1900" s="68" t="s">
        <v>312</v>
      </c>
      <c r="F1900" s="21" t="s">
        <v>597</v>
      </c>
      <c r="G1900" s="15" t="s">
        <v>154</v>
      </c>
      <c r="H1900" s="15" t="s">
        <v>909</v>
      </c>
      <c r="I1900" s="69">
        <v>284</v>
      </c>
      <c r="J1900" s="15" t="s">
        <v>903</v>
      </c>
      <c r="K1900" s="15" t="s">
        <v>903</v>
      </c>
      <c r="L1900" s="15" t="s">
        <v>2673</v>
      </c>
      <c r="M1900" s="15" t="s">
        <v>2672</v>
      </c>
      <c r="N1900" s="15" t="s">
        <v>2673</v>
      </c>
      <c r="O1900" s="15"/>
    </row>
    <row r="1901" spans="1:15" ht="18" customHeight="1" x14ac:dyDescent="0.3">
      <c r="A1901" s="29">
        <v>1900</v>
      </c>
      <c r="B1901" s="15" t="s">
        <v>52</v>
      </c>
      <c r="C1901" s="15" t="s">
        <v>62</v>
      </c>
      <c r="D1901" s="69">
        <v>96</v>
      </c>
      <c r="E1901" s="68" t="s">
        <v>312</v>
      </c>
      <c r="F1901" s="21" t="s">
        <v>597</v>
      </c>
      <c r="G1901" s="15" t="s">
        <v>154</v>
      </c>
      <c r="H1901" s="15" t="s">
        <v>910</v>
      </c>
      <c r="I1901" s="69">
        <v>150</v>
      </c>
      <c r="J1901" s="15" t="s">
        <v>903</v>
      </c>
      <c r="K1901" s="15" t="s">
        <v>903</v>
      </c>
      <c r="L1901" s="15" t="s">
        <v>2673</v>
      </c>
      <c r="M1901" s="15" t="s">
        <v>2672</v>
      </c>
      <c r="N1901" s="15" t="s">
        <v>2673</v>
      </c>
      <c r="O1901" s="15"/>
    </row>
    <row r="1902" spans="1:15" ht="18" customHeight="1" x14ac:dyDescent="0.3">
      <c r="A1902" s="29">
        <v>1901</v>
      </c>
      <c r="B1902" s="15" t="s">
        <v>52</v>
      </c>
      <c r="C1902" s="15" t="s">
        <v>62</v>
      </c>
      <c r="D1902" s="69">
        <v>96</v>
      </c>
      <c r="E1902" s="68" t="s">
        <v>312</v>
      </c>
      <c r="F1902" s="21" t="s">
        <v>2929</v>
      </c>
      <c r="G1902" s="15" t="s">
        <v>154</v>
      </c>
      <c r="H1902" s="15" t="s">
        <v>901</v>
      </c>
      <c r="I1902" s="69">
        <v>384</v>
      </c>
      <c r="J1902" s="15" t="s">
        <v>903</v>
      </c>
      <c r="K1902" s="15" t="s">
        <v>2674</v>
      </c>
      <c r="L1902" s="15" t="s">
        <v>1703</v>
      </c>
      <c r="M1902" s="15" t="s">
        <v>2672</v>
      </c>
      <c r="N1902" s="15" t="s">
        <v>2673</v>
      </c>
      <c r="O1902" s="15"/>
    </row>
    <row r="1903" spans="1:15" ht="18" customHeight="1" x14ac:dyDescent="0.3">
      <c r="A1903" s="29">
        <v>1902</v>
      </c>
      <c r="B1903" s="15" t="s">
        <v>52</v>
      </c>
      <c r="C1903" s="15" t="s">
        <v>62</v>
      </c>
      <c r="D1903" s="69">
        <v>96</v>
      </c>
      <c r="E1903" s="68" t="s">
        <v>312</v>
      </c>
      <c r="F1903" s="21" t="s">
        <v>2929</v>
      </c>
      <c r="G1903" s="15" t="s">
        <v>154</v>
      </c>
      <c r="H1903" s="15" t="s">
        <v>905</v>
      </c>
      <c r="I1903" s="69">
        <v>130</v>
      </c>
      <c r="J1903" s="15" t="s">
        <v>903</v>
      </c>
      <c r="K1903" s="15" t="s">
        <v>2674</v>
      </c>
      <c r="L1903" s="15" t="s">
        <v>1703</v>
      </c>
      <c r="M1903" s="15" t="s">
        <v>2672</v>
      </c>
      <c r="N1903" s="15" t="s">
        <v>2673</v>
      </c>
      <c r="O1903" s="15"/>
    </row>
    <row r="1904" spans="1:15" ht="18" customHeight="1" x14ac:dyDescent="0.3">
      <c r="A1904" s="29">
        <v>1903</v>
      </c>
      <c r="B1904" s="15" t="s">
        <v>52</v>
      </c>
      <c r="C1904" s="15" t="s">
        <v>62</v>
      </c>
      <c r="D1904" s="69">
        <v>96</v>
      </c>
      <c r="E1904" s="68" t="s">
        <v>312</v>
      </c>
      <c r="F1904" s="21" t="s">
        <v>2929</v>
      </c>
      <c r="G1904" s="15" t="s">
        <v>154</v>
      </c>
      <c r="H1904" s="15" t="s">
        <v>291</v>
      </c>
      <c r="I1904" s="69">
        <v>36</v>
      </c>
      <c r="J1904" s="15" t="s">
        <v>2672</v>
      </c>
      <c r="K1904" s="15" t="s">
        <v>2674</v>
      </c>
      <c r="L1904" s="15" t="s">
        <v>2723</v>
      </c>
      <c r="M1904" s="15" t="s">
        <v>2672</v>
      </c>
      <c r="N1904" s="15" t="s">
        <v>2673</v>
      </c>
      <c r="O1904" s="15"/>
    </row>
    <row r="1905" spans="1:15" ht="18" customHeight="1" x14ac:dyDescent="0.3">
      <c r="A1905" s="29">
        <v>1904</v>
      </c>
      <c r="B1905" s="15" t="s">
        <v>52</v>
      </c>
      <c r="C1905" s="15" t="s">
        <v>63</v>
      </c>
      <c r="D1905" s="69">
        <v>101</v>
      </c>
      <c r="E1905" s="68" t="s">
        <v>3341</v>
      </c>
      <c r="F1905" s="16" t="s">
        <v>606</v>
      </c>
      <c r="G1905" s="15" t="s">
        <v>154</v>
      </c>
      <c r="H1905" s="15" t="s">
        <v>901</v>
      </c>
      <c r="I1905" s="69">
        <v>174</v>
      </c>
      <c r="J1905" s="15" t="s">
        <v>2672</v>
      </c>
      <c r="K1905" s="15" t="s">
        <v>903</v>
      </c>
      <c r="L1905" s="15" t="s">
        <v>2673</v>
      </c>
      <c r="M1905" s="15" t="s">
        <v>2672</v>
      </c>
      <c r="N1905" s="15" t="s">
        <v>2673</v>
      </c>
      <c r="O1905" s="15"/>
    </row>
    <row r="1906" spans="1:15" ht="18" customHeight="1" x14ac:dyDescent="0.3">
      <c r="A1906" s="29">
        <v>1905</v>
      </c>
      <c r="B1906" s="15" t="s">
        <v>52</v>
      </c>
      <c r="C1906" s="15" t="s">
        <v>63</v>
      </c>
      <c r="D1906" s="69">
        <v>101</v>
      </c>
      <c r="E1906" s="68" t="s">
        <v>3341</v>
      </c>
      <c r="F1906" s="16" t="s">
        <v>606</v>
      </c>
      <c r="G1906" s="15" t="s">
        <v>154</v>
      </c>
      <c r="H1906" s="15" t="s">
        <v>904</v>
      </c>
      <c r="I1906" s="69">
        <v>185</v>
      </c>
      <c r="J1906" s="15" t="s">
        <v>2674</v>
      </c>
      <c r="K1906" s="15" t="s">
        <v>903</v>
      </c>
      <c r="L1906" s="15" t="s">
        <v>2673</v>
      </c>
      <c r="M1906" s="15" t="s">
        <v>2672</v>
      </c>
      <c r="N1906" s="15" t="s">
        <v>2673</v>
      </c>
      <c r="O1906" s="15"/>
    </row>
    <row r="1907" spans="1:15" ht="18" customHeight="1" x14ac:dyDescent="0.3">
      <c r="A1907" s="29">
        <v>1906</v>
      </c>
      <c r="B1907" s="15" t="s">
        <v>52</v>
      </c>
      <c r="C1907" s="15" t="s">
        <v>63</v>
      </c>
      <c r="D1907" s="69">
        <v>101</v>
      </c>
      <c r="E1907" s="68" t="s">
        <v>3341</v>
      </c>
      <c r="F1907" s="16" t="s">
        <v>606</v>
      </c>
      <c r="G1907" s="15" t="s">
        <v>154</v>
      </c>
      <c r="H1907" s="15" t="s">
        <v>905</v>
      </c>
      <c r="I1907" s="69">
        <v>144</v>
      </c>
      <c r="J1907" s="15" t="s">
        <v>2674</v>
      </c>
      <c r="K1907" s="15" t="s">
        <v>903</v>
      </c>
      <c r="L1907" s="15" t="s">
        <v>2673</v>
      </c>
      <c r="M1907" s="15" t="s">
        <v>2672</v>
      </c>
      <c r="N1907" s="15" t="s">
        <v>2673</v>
      </c>
      <c r="O1907" s="15"/>
    </row>
    <row r="1908" spans="1:15" ht="18" customHeight="1" x14ac:dyDescent="0.3">
      <c r="A1908" s="29">
        <v>1907</v>
      </c>
      <c r="B1908" s="15" t="s">
        <v>52</v>
      </c>
      <c r="C1908" s="15" t="s">
        <v>63</v>
      </c>
      <c r="D1908" s="69">
        <v>101</v>
      </c>
      <c r="E1908" s="68" t="s">
        <v>3341</v>
      </c>
      <c r="F1908" s="16" t="s">
        <v>606</v>
      </c>
      <c r="G1908" s="15" t="s">
        <v>154</v>
      </c>
      <c r="H1908" s="15" t="s">
        <v>906</v>
      </c>
      <c r="I1908" s="69">
        <v>185</v>
      </c>
      <c r="J1908" s="15" t="s">
        <v>2672</v>
      </c>
      <c r="K1908" s="15" t="s">
        <v>903</v>
      </c>
      <c r="L1908" s="15" t="s">
        <v>2673</v>
      </c>
      <c r="M1908" s="15" t="s">
        <v>2672</v>
      </c>
      <c r="N1908" s="15" t="s">
        <v>2673</v>
      </c>
      <c r="O1908" s="15"/>
    </row>
    <row r="1909" spans="1:15" ht="18" customHeight="1" x14ac:dyDescent="0.3">
      <c r="A1909" s="29">
        <v>1908</v>
      </c>
      <c r="B1909" s="15" t="s">
        <v>52</v>
      </c>
      <c r="C1909" s="15" t="s">
        <v>63</v>
      </c>
      <c r="D1909" s="69">
        <v>101</v>
      </c>
      <c r="E1909" s="68" t="s">
        <v>3341</v>
      </c>
      <c r="F1909" s="16" t="s">
        <v>606</v>
      </c>
      <c r="G1909" s="15" t="s">
        <v>154</v>
      </c>
      <c r="H1909" s="15" t="s">
        <v>907</v>
      </c>
      <c r="I1909" s="69">
        <v>144</v>
      </c>
      <c r="J1909" s="15" t="s">
        <v>2674</v>
      </c>
      <c r="K1909" s="15" t="s">
        <v>903</v>
      </c>
      <c r="L1909" s="15" t="s">
        <v>2673</v>
      </c>
      <c r="M1909" s="15" t="s">
        <v>2672</v>
      </c>
      <c r="N1909" s="15" t="s">
        <v>2673</v>
      </c>
      <c r="O1909" s="15"/>
    </row>
    <row r="1910" spans="1:15" ht="18" customHeight="1" x14ac:dyDescent="0.3">
      <c r="A1910" s="29">
        <v>1909</v>
      </c>
      <c r="B1910" s="15" t="s">
        <v>52</v>
      </c>
      <c r="C1910" s="15" t="s">
        <v>63</v>
      </c>
      <c r="D1910" s="69">
        <v>101</v>
      </c>
      <c r="E1910" s="68" t="s">
        <v>3341</v>
      </c>
      <c r="F1910" s="16" t="s">
        <v>606</v>
      </c>
      <c r="G1910" s="15" t="s">
        <v>154</v>
      </c>
      <c r="H1910" s="15" t="s">
        <v>908</v>
      </c>
      <c r="I1910" s="69">
        <v>185</v>
      </c>
      <c r="J1910" s="15" t="s">
        <v>2672</v>
      </c>
      <c r="K1910" s="15" t="s">
        <v>903</v>
      </c>
      <c r="L1910" s="15" t="s">
        <v>2673</v>
      </c>
      <c r="M1910" s="15" t="s">
        <v>2672</v>
      </c>
      <c r="N1910" s="15" t="s">
        <v>2673</v>
      </c>
      <c r="O1910" s="15"/>
    </row>
    <row r="1911" spans="1:15" ht="18" customHeight="1" x14ac:dyDescent="0.3">
      <c r="A1911" s="29">
        <v>1910</v>
      </c>
      <c r="B1911" s="15" t="s">
        <v>52</v>
      </c>
      <c r="C1911" s="15" t="s">
        <v>63</v>
      </c>
      <c r="D1911" s="69">
        <v>101</v>
      </c>
      <c r="E1911" s="68" t="s">
        <v>3341</v>
      </c>
      <c r="F1911" s="16" t="s">
        <v>606</v>
      </c>
      <c r="G1911" s="15" t="s">
        <v>154</v>
      </c>
      <c r="H1911" s="15" t="s">
        <v>909</v>
      </c>
      <c r="I1911" s="69">
        <v>148</v>
      </c>
      <c r="J1911" s="15" t="s">
        <v>2672</v>
      </c>
      <c r="K1911" s="15" t="s">
        <v>903</v>
      </c>
      <c r="L1911" s="15" t="s">
        <v>2673</v>
      </c>
      <c r="M1911" s="15" t="s">
        <v>2672</v>
      </c>
      <c r="N1911" s="15" t="s">
        <v>2673</v>
      </c>
      <c r="O1911" s="15"/>
    </row>
    <row r="1912" spans="1:15" ht="18" customHeight="1" x14ac:dyDescent="0.3">
      <c r="A1912" s="29">
        <v>1911</v>
      </c>
      <c r="B1912" s="15" t="s">
        <v>52</v>
      </c>
      <c r="C1912" s="15" t="s">
        <v>63</v>
      </c>
      <c r="D1912" s="69">
        <v>101</v>
      </c>
      <c r="E1912" s="68" t="s">
        <v>231</v>
      </c>
      <c r="F1912" s="21" t="s">
        <v>1079</v>
      </c>
      <c r="G1912" s="15" t="s">
        <v>154</v>
      </c>
      <c r="H1912" s="15" t="s">
        <v>905</v>
      </c>
      <c r="I1912" s="69">
        <v>289</v>
      </c>
      <c r="J1912" s="13" t="s">
        <v>902</v>
      </c>
      <c r="K1912" s="15" t="s">
        <v>903</v>
      </c>
      <c r="L1912" s="15" t="s">
        <v>2673</v>
      </c>
      <c r="M1912" s="15" t="s">
        <v>2672</v>
      </c>
      <c r="N1912" s="15" t="s">
        <v>2673</v>
      </c>
      <c r="O1912" s="15"/>
    </row>
    <row r="1913" spans="1:15" ht="18" customHeight="1" x14ac:dyDescent="0.3">
      <c r="A1913" s="29">
        <v>1912</v>
      </c>
      <c r="B1913" s="15" t="s">
        <v>52</v>
      </c>
      <c r="C1913" s="15" t="s">
        <v>63</v>
      </c>
      <c r="D1913" s="69">
        <v>101</v>
      </c>
      <c r="E1913" s="68" t="s">
        <v>231</v>
      </c>
      <c r="F1913" s="21" t="s">
        <v>1079</v>
      </c>
      <c r="G1913" s="15" t="s">
        <v>154</v>
      </c>
      <c r="H1913" s="15" t="s">
        <v>906</v>
      </c>
      <c r="I1913" s="69">
        <v>137</v>
      </c>
      <c r="J1913" s="13" t="s">
        <v>2672</v>
      </c>
      <c r="K1913" s="15" t="s">
        <v>903</v>
      </c>
      <c r="L1913" s="15" t="s">
        <v>2673</v>
      </c>
      <c r="M1913" s="15" t="s">
        <v>2672</v>
      </c>
      <c r="N1913" s="15" t="s">
        <v>2673</v>
      </c>
      <c r="O1913" s="15"/>
    </row>
    <row r="1914" spans="1:15" ht="18" customHeight="1" x14ac:dyDescent="0.3">
      <c r="A1914" s="29">
        <v>1913</v>
      </c>
      <c r="B1914" s="15" t="s">
        <v>52</v>
      </c>
      <c r="C1914" s="15" t="s">
        <v>63</v>
      </c>
      <c r="D1914" s="69">
        <v>101</v>
      </c>
      <c r="E1914" s="68" t="s">
        <v>231</v>
      </c>
      <c r="F1914" s="21" t="s">
        <v>1079</v>
      </c>
      <c r="G1914" s="15" t="s">
        <v>154</v>
      </c>
      <c r="H1914" s="15" t="s">
        <v>907</v>
      </c>
      <c r="I1914" s="69">
        <v>137</v>
      </c>
      <c r="J1914" s="13" t="s">
        <v>2672</v>
      </c>
      <c r="K1914" s="15" t="s">
        <v>903</v>
      </c>
      <c r="L1914" s="15" t="s">
        <v>2673</v>
      </c>
      <c r="M1914" s="15" t="s">
        <v>2672</v>
      </c>
      <c r="N1914" s="15" t="s">
        <v>2673</v>
      </c>
      <c r="O1914" s="15"/>
    </row>
    <row r="1915" spans="1:15" ht="18" customHeight="1" x14ac:dyDescent="0.3">
      <c r="A1915" s="29">
        <v>1914</v>
      </c>
      <c r="B1915" s="15" t="s">
        <v>52</v>
      </c>
      <c r="C1915" s="15" t="s">
        <v>63</v>
      </c>
      <c r="D1915" s="69">
        <v>101</v>
      </c>
      <c r="E1915" s="68" t="s">
        <v>231</v>
      </c>
      <c r="F1915" s="21" t="s">
        <v>1079</v>
      </c>
      <c r="G1915" s="15" t="s">
        <v>154</v>
      </c>
      <c r="H1915" s="15" t="s">
        <v>908</v>
      </c>
      <c r="I1915" s="69">
        <v>144</v>
      </c>
      <c r="J1915" s="13" t="s">
        <v>902</v>
      </c>
      <c r="K1915" s="15" t="s">
        <v>903</v>
      </c>
      <c r="L1915" s="15" t="s">
        <v>2673</v>
      </c>
      <c r="M1915" s="15" t="s">
        <v>2672</v>
      </c>
      <c r="N1915" s="15" t="s">
        <v>2673</v>
      </c>
      <c r="O1915" s="15"/>
    </row>
    <row r="1916" spans="1:15" ht="18" customHeight="1" x14ac:dyDescent="0.3">
      <c r="A1916" s="29">
        <v>1915</v>
      </c>
      <c r="B1916" s="15" t="s">
        <v>52</v>
      </c>
      <c r="C1916" s="15" t="s">
        <v>63</v>
      </c>
      <c r="D1916" s="69">
        <v>101</v>
      </c>
      <c r="E1916" s="68" t="s">
        <v>231</v>
      </c>
      <c r="F1916" s="21" t="s">
        <v>1079</v>
      </c>
      <c r="G1916" s="15" t="s">
        <v>154</v>
      </c>
      <c r="H1916" s="15" t="s">
        <v>909</v>
      </c>
      <c r="I1916" s="69">
        <v>93</v>
      </c>
      <c r="J1916" s="13" t="s">
        <v>2672</v>
      </c>
      <c r="K1916" s="15" t="s">
        <v>903</v>
      </c>
      <c r="L1916" s="15" t="s">
        <v>2673</v>
      </c>
      <c r="M1916" s="15" t="s">
        <v>2672</v>
      </c>
      <c r="N1916" s="15" t="s">
        <v>2673</v>
      </c>
      <c r="O1916" s="15"/>
    </row>
    <row r="1917" spans="1:15" ht="18" customHeight="1" x14ac:dyDescent="0.3">
      <c r="A1917" s="29">
        <v>1916</v>
      </c>
      <c r="B1917" s="15" t="s">
        <v>52</v>
      </c>
      <c r="C1917" s="15" t="s">
        <v>63</v>
      </c>
      <c r="D1917" s="69">
        <v>101</v>
      </c>
      <c r="E1917" s="68" t="s">
        <v>231</v>
      </c>
      <c r="F1917" s="21" t="s">
        <v>609</v>
      </c>
      <c r="G1917" s="15" t="s">
        <v>154</v>
      </c>
      <c r="H1917" s="15" t="s">
        <v>901</v>
      </c>
      <c r="I1917" s="69">
        <v>131</v>
      </c>
      <c r="J1917" s="13" t="s">
        <v>2672</v>
      </c>
      <c r="K1917" s="15" t="s">
        <v>903</v>
      </c>
      <c r="L1917" s="15" t="s">
        <v>2673</v>
      </c>
      <c r="M1917" s="15" t="s">
        <v>2672</v>
      </c>
      <c r="N1917" s="15" t="s">
        <v>2673</v>
      </c>
      <c r="O1917" s="15"/>
    </row>
    <row r="1918" spans="1:15" ht="18" customHeight="1" x14ac:dyDescent="0.3">
      <c r="A1918" s="29">
        <v>1917</v>
      </c>
      <c r="B1918" s="15" t="s">
        <v>52</v>
      </c>
      <c r="C1918" s="15" t="s">
        <v>63</v>
      </c>
      <c r="D1918" s="69">
        <v>101</v>
      </c>
      <c r="E1918" s="68" t="s">
        <v>231</v>
      </c>
      <c r="F1918" s="21" t="s">
        <v>609</v>
      </c>
      <c r="G1918" s="15" t="s">
        <v>154</v>
      </c>
      <c r="H1918" s="15" t="s">
        <v>904</v>
      </c>
      <c r="I1918" s="69">
        <v>184</v>
      </c>
      <c r="J1918" s="13" t="s">
        <v>2672</v>
      </c>
      <c r="K1918" s="15" t="s">
        <v>903</v>
      </c>
      <c r="L1918" s="15" t="s">
        <v>2673</v>
      </c>
      <c r="M1918" s="15" t="s">
        <v>2672</v>
      </c>
      <c r="N1918" s="15" t="s">
        <v>2673</v>
      </c>
      <c r="O1918" s="15"/>
    </row>
    <row r="1919" spans="1:15" ht="18" customHeight="1" x14ac:dyDescent="0.3">
      <c r="A1919" s="29">
        <v>1918</v>
      </c>
      <c r="B1919" s="15" t="s">
        <v>52</v>
      </c>
      <c r="C1919" s="15" t="s">
        <v>64</v>
      </c>
      <c r="D1919" s="69">
        <v>102</v>
      </c>
      <c r="E1919" s="68" t="s">
        <v>280</v>
      </c>
      <c r="F1919" s="21" t="s">
        <v>616</v>
      </c>
      <c r="G1919" s="15" t="s">
        <v>164</v>
      </c>
      <c r="H1919" s="15" t="s">
        <v>901</v>
      </c>
      <c r="I1919" s="13">
        <v>94</v>
      </c>
      <c r="J1919" s="15" t="s">
        <v>2674</v>
      </c>
      <c r="K1919" s="15" t="s">
        <v>2672</v>
      </c>
      <c r="L1919" s="15" t="s">
        <v>2673</v>
      </c>
      <c r="M1919" s="15" t="s">
        <v>2672</v>
      </c>
      <c r="N1919" s="15" t="s">
        <v>2673</v>
      </c>
      <c r="O1919" s="15"/>
    </row>
    <row r="1920" spans="1:15" ht="18" customHeight="1" x14ac:dyDescent="0.3">
      <c r="A1920" s="29">
        <v>1919</v>
      </c>
      <c r="B1920" s="15" t="s">
        <v>52</v>
      </c>
      <c r="C1920" s="15" t="s">
        <v>64</v>
      </c>
      <c r="D1920" s="69">
        <v>102</v>
      </c>
      <c r="E1920" s="68" t="s">
        <v>280</v>
      </c>
      <c r="F1920" s="21" t="s">
        <v>616</v>
      </c>
      <c r="G1920" s="15" t="s">
        <v>164</v>
      </c>
      <c r="H1920" s="15" t="s">
        <v>904</v>
      </c>
      <c r="I1920" s="13">
        <v>85</v>
      </c>
      <c r="J1920" s="15" t="s">
        <v>2674</v>
      </c>
      <c r="K1920" s="15" t="s">
        <v>2672</v>
      </c>
      <c r="L1920" s="15" t="s">
        <v>2673</v>
      </c>
      <c r="M1920" s="15" t="s">
        <v>2672</v>
      </c>
      <c r="N1920" s="15" t="s">
        <v>2673</v>
      </c>
      <c r="O1920" s="15"/>
    </row>
    <row r="1921" spans="1:15" ht="18" customHeight="1" x14ac:dyDescent="0.3">
      <c r="A1921" s="29">
        <v>1920</v>
      </c>
      <c r="B1921" s="15" t="s">
        <v>52</v>
      </c>
      <c r="C1921" s="15" t="s">
        <v>64</v>
      </c>
      <c r="D1921" s="69">
        <v>102</v>
      </c>
      <c r="E1921" s="68" t="s">
        <v>280</v>
      </c>
      <c r="F1921" s="21" t="s">
        <v>616</v>
      </c>
      <c r="G1921" s="15" t="s">
        <v>164</v>
      </c>
      <c r="H1921" s="15" t="s">
        <v>905</v>
      </c>
      <c r="I1921" s="13">
        <v>39</v>
      </c>
      <c r="J1921" s="15" t="s">
        <v>2672</v>
      </c>
      <c r="K1921" s="15" t="s">
        <v>2672</v>
      </c>
      <c r="L1921" s="15" t="s">
        <v>2673</v>
      </c>
      <c r="M1921" s="15" t="s">
        <v>2672</v>
      </c>
      <c r="N1921" s="15" t="s">
        <v>2673</v>
      </c>
      <c r="O1921" s="15"/>
    </row>
    <row r="1922" spans="1:15" ht="18" customHeight="1" x14ac:dyDescent="0.3">
      <c r="A1922" s="29">
        <v>1921</v>
      </c>
      <c r="B1922" s="15" t="s">
        <v>52</v>
      </c>
      <c r="C1922" s="15" t="s">
        <v>64</v>
      </c>
      <c r="D1922" s="69">
        <v>102</v>
      </c>
      <c r="E1922" s="68" t="s">
        <v>280</v>
      </c>
      <c r="F1922" s="21" t="s">
        <v>616</v>
      </c>
      <c r="G1922" s="15" t="s">
        <v>164</v>
      </c>
      <c r="H1922" s="15" t="s">
        <v>907</v>
      </c>
      <c r="I1922" s="13">
        <v>78</v>
      </c>
      <c r="J1922" s="15" t="s">
        <v>2672</v>
      </c>
      <c r="K1922" s="15" t="s">
        <v>2672</v>
      </c>
      <c r="L1922" s="15" t="s">
        <v>2673</v>
      </c>
      <c r="M1922" s="15" t="s">
        <v>2672</v>
      </c>
      <c r="N1922" s="15" t="s">
        <v>2673</v>
      </c>
      <c r="O1922" s="15"/>
    </row>
    <row r="1923" spans="1:15" ht="18" customHeight="1" x14ac:dyDescent="0.3">
      <c r="A1923" s="29">
        <v>1922</v>
      </c>
      <c r="B1923" s="15" t="s">
        <v>52</v>
      </c>
      <c r="C1923" s="15" t="s">
        <v>64</v>
      </c>
      <c r="D1923" s="69">
        <v>102</v>
      </c>
      <c r="E1923" s="68" t="s">
        <v>280</v>
      </c>
      <c r="F1923" s="21" t="s">
        <v>616</v>
      </c>
      <c r="G1923" s="15" t="s">
        <v>164</v>
      </c>
      <c r="H1923" s="15" t="s">
        <v>908</v>
      </c>
      <c r="I1923" s="13">
        <v>78</v>
      </c>
      <c r="J1923" s="15" t="s">
        <v>2672</v>
      </c>
      <c r="K1923" s="15" t="s">
        <v>2672</v>
      </c>
      <c r="L1923" s="15" t="s">
        <v>2673</v>
      </c>
      <c r="M1923" s="15" t="s">
        <v>2672</v>
      </c>
      <c r="N1923" s="15" t="s">
        <v>2673</v>
      </c>
      <c r="O1923" s="15"/>
    </row>
    <row r="1924" spans="1:15" ht="18" customHeight="1" x14ac:dyDescent="0.3">
      <c r="A1924" s="29">
        <v>1923</v>
      </c>
      <c r="B1924" s="15" t="s">
        <v>52</v>
      </c>
      <c r="C1924" s="15" t="s">
        <v>64</v>
      </c>
      <c r="D1924" s="69">
        <v>102</v>
      </c>
      <c r="E1924" s="68" t="s">
        <v>280</v>
      </c>
      <c r="F1924" s="21" t="s">
        <v>616</v>
      </c>
      <c r="G1924" s="15" t="s">
        <v>164</v>
      </c>
      <c r="H1924" s="15" t="s">
        <v>909</v>
      </c>
      <c r="I1924" s="13">
        <v>92</v>
      </c>
      <c r="J1924" s="15" t="s">
        <v>2672</v>
      </c>
      <c r="K1924" s="15" t="s">
        <v>903</v>
      </c>
      <c r="L1924" s="15" t="s">
        <v>2673</v>
      </c>
      <c r="M1924" s="15" t="s">
        <v>2672</v>
      </c>
      <c r="N1924" s="15" t="s">
        <v>2673</v>
      </c>
      <c r="O1924" s="15"/>
    </row>
    <row r="1925" spans="1:15" ht="18" customHeight="1" x14ac:dyDescent="0.3">
      <c r="A1925" s="29">
        <v>1924</v>
      </c>
      <c r="B1925" s="15" t="s">
        <v>52</v>
      </c>
      <c r="C1925" s="15" t="s">
        <v>64</v>
      </c>
      <c r="D1925" s="69">
        <v>102</v>
      </c>
      <c r="E1925" s="68" t="s">
        <v>280</v>
      </c>
      <c r="F1925" s="21" t="s">
        <v>616</v>
      </c>
      <c r="G1925" s="15" t="s">
        <v>164</v>
      </c>
      <c r="H1925" s="15" t="s">
        <v>910</v>
      </c>
      <c r="I1925" s="13">
        <v>107</v>
      </c>
      <c r="J1925" s="15" t="s">
        <v>2672</v>
      </c>
      <c r="K1925" s="15" t="s">
        <v>903</v>
      </c>
      <c r="L1925" s="15" t="s">
        <v>2673</v>
      </c>
      <c r="M1925" s="15" t="s">
        <v>2672</v>
      </c>
      <c r="N1925" s="15" t="s">
        <v>2673</v>
      </c>
      <c r="O1925" s="15"/>
    </row>
    <row r="1926" spans="1:15" ht="18" customHeight="1" x14ac:dyDescent="0.3">
      <c r="A1926" s="29">
        <v>1925</v>
      </c>
      <c r="B1926" s="15" t="s">
        <v>52</v>
      </c>
      <c r="C1926" s="15" t="s">
        <v>64</v>
      </c>
      <c r="D1926" s="69">
        <v>102</v>
      </c>
      <c r="E1926" s="68" t="s">
        <v>280</v>
      </c>
      <c r="F1926" s="21" t="s">
        <v>616</v>
      </c>
      <c r="G1926" s="15" t="s">
        <v>164</v>
      </c>
      <c r="H1926" s="15" t="s">
        <v>911</v>
      </c>
      <c r="I1926" s="13">
        <v>165</v>
      </c>
      <c r="J1926" s="15" t="s">
        <v>2674</v>
      </c>
      <c r="K1926" s="15" t="s">
        <v>903</v>
      </c>
      <c r="L1926" s="15" t="s">
        <v>2673</v>
      </c>
      <c r="M1926" s="15" t="s">
        <v>2672</v>
      </c>
      <c r="N1926" s="15" t="s">
        <v>2673</v>
      </c>
      <c r="O1926" s="15"/>
    </row>
    <row r="1927" spans="1:15" ht="18" customHeight="1" x14ac:dyDescent="0.3">
      <c r="A1927" s="29">
        <v>1926</v>
      </c>
      <c r="B1927" s="15" t="s">
        <v>52</v>
      </c>
      <c r="C1927" s="15" t="s">
        <v>1996</v>
      </c>
      <c r="D1927" s="69">
        <v>102</v>
      </c>
      <c r="E1927" s="68" t="s">
        <v>3342</v>
      </c>
      <c r="F1927" s="16" t="s">
        <v>2930</v>
      </c>
      <c r="G1927" s="15" t="s">
        <v>1553</v>
      </c>
      <c r="H1927" s="15" t="s">
        <v>2685</v>
      </c>
      <c r="I1927" s="69">
        <v>68</v>
      </c>
      <c r="J1927" s="15" t="s">
        <v>2672</v>
      </c>
      <c r="K1927" s="15" t="s">
        <v>903</v>
      </c>
      <c r="L1927" s="15" t="s">
        <v>2673</v>
      </c>
      <c r="M1927" s="15" t="s">
        <v>2672</v>
      </c>
      <c r="N1927" s="15" t="s">
        <v>2673</v>
      </c>
      <c r="O1927" s="15"/>
    </row>
    <row r="1928" spans="1:15" ht="18" customHeight="1" x14ac:dyDescent="0.3">
      <c r="A1928" s="29">
        <v>1927</v>
      </c>
      <c r="B1928" s="15" t="s">
        <v>52</v>
      </c>
      <c r="C1928" s="15" t="s">
        <v>1996</v>
      </c>
      <c r="D1928" s="69">
        <v>102</v>
      </c>
      <c r="E1928" s="68" t="s">
        <v>3342</v>
      </c>
      <c r="F1928" s="16" t="s">
        <v>2930</v>
      </c>
      <c r="G1928" s="15" t="s">
        <v>1553</v>
      </c>
      <c r="H1928" s="15" t="s">
        <v>2678</v>
      </c>
      <c r="I1928" s="69">
        <v>149</v>
      </c>
      <c r="J1928" s="15" t="s">
        <v>2672</v>
      </c>
      <c r="K1928" s="15" t="s">
        <v>903</v>
      </c>
      <c r="L1928" s="15" t="s">
        <v>2673</v>
      </c>
      <c r="M1928" s="15" t="s">
        <v>2672</v>
      </c>
      <c r="N1928" s="15" t="s">
        <v>2673</v>
      </c>
      <c r="O1928" s="15"/>
    </row>
    <row r="1929" spans="1:15" ht="18" customHeight="1" x14ac:dyDescent="0.3">
      <c r="A1929" s="29">
        <v>1928</v>
      </c>
      <c r="B1929" s="15" t="s">
        <v>52</v>
      </c>
      <c r="C1929" s="15" t="s">
        <v>1996</v>
      </c>
      <c r="D1929" s="69">
        <v>102</v>
      </c>
      <c r="E1929" s="68" t="s">
        <v>3342</v>
      </c>
      <c r="F1929" s="16" t="s">
        <v>2930</v>
      </c>
      <c r="G1929" s="15" t="s">
        <v>1553</v>
      </c>
      <c r="H1929" s="15" t="s">
        <v>2679</v>
      </c>
      <c r="I1929" s="69">
        <v>152</v>
      </c>
      <c r="J1929" s="15" t="s">
        <v>2672</v>
      </c>
      <c r="K1929" s="15" t="s">
        <v>903</v>
      </c>
      <c r="L1929" s="15" t="s">
        <v>2673</v>
      </c>
      <c r="M1929" s="15" t="s">
        <v>2672</v>
      </c>
      <c r="N1929" s="15" t="s">
        <v>2673</v>
      </c>
      <c r="O1929" s="15"/>
    </row>
    <row r="1930" spans="1:15" ht="18" customHeight="1" x14ac:dyDescent="0.3">
      <c r="A1930" s="29">
        <v>1929</v>
      </c>
      <c r="B1930" s="15" t="s">
        <v>52</v>
      </c>
      <c r="C1930" s="15" t="s">
        <v>1996</v>
      </c>
      <c r="D1930" s="69">
        <v>102</v>
      </c>
      <c r="E1930" s="68" t="s">
        <v>3342</v>
      </c>
      <c r="F1930" s="16" t="s">
        <v>2930</v>
      </c>
      <c r="G1930" s="15" t="s">
        <v>1553</v>
      </c>
      <c r="H1930" s="15" t="s">
        <v>2680</v>
      </c>
      <c r="I1930" s="69">
        <v>199</v>
      </c>
      <c r="J1930" s="15" t="s">
        <v>2672</v>
      </c>
      <c r="K1930" s="15" t="s">
        <v>903</v>
      </c>
      <c r="L1930" s="15" t="s">
        <v>2673</v>
      </c>
      <c r="M1930" s="15" t="s">
        <v>2672</v>
      </c>
      <c r="N1930" s="15" t="s">
        <v>2673</v>
      </c>
      <c r="O1930" s="15"/>
    </row>
    <row r="1931" spans="1:15" ht="18" customHeight="1" x14ac:dyDescent="0.3">
      <c r="A1931" s="29">
        <v>1930</v>
      </c>
      <c r="B1931" s="15" t="s">
        <v>52</v>
      </c>
      <c r="C1931" s="15" t="s">
        <v>1996</v>
      </c>
      <c r="D1931" s="69">
        <v>102</v>
      </c>
      <c r="E1931" s="68" t="s">
        <v>3342</v>
      </c>
      <c r="F1931" s="16" t="s">
        <v>2930</v>
      </c>
      <c r="G1931" s="15" t="s">
        <v>1553</v>
      </c>
      <c r="H1931" s="15" t="s">
        <v>2690</v>
      </c>
      <c r="I1931" s="69">
        <v>66</v>
      </c>
      <c r="J1931" s="15" t="s">
        <v>2672</v>
      </c>
      <c r="K1931" s="15" t="s">
        <v>903</v>
      </c>
      <c r="L1931" s="15" t="s">
        <v>2673</v>
      </c>
      <c r="M1931" s="15" t="s">
        <v>2672</v>
      </c>
      <c r="N1931" s="15" t="s">
        <v>2673</v>
      </c>
      <c r="O1931" s="15"/>
    </row>
    <row r="1932" spans="1:15" ht="18" customHeight="1" x14ac:dyDescent="0.3">
      <c r="A1932" s="29">
        <v>1931</v>
      </c>
      <c r="B1932" s="15" t="s">
        <v>52</v>
      </c>
      <c r="C1932" s="15" t="s">
        <v>1996</v>
      </c>
      <c r="D1932" s="69">
        <v>102</v>
      </c>
      <c r="E1932" s="68" t="s">
        <v>3342</v>
      </c>
      <c r="F1932" s="16" t="s">
        <v>2930</v>
      </c>
      <c r="G1932" s="15" t="s">
        <v>1553</v>
      </c>
      <c r="H1932" s="15" t="s">
        <v>2682</v>
      </c>
      <c r="I1932" s="69">
        <v>53</v>
      </c>
      <c r="J1932" s="15" t="s">
        <v>2672</v>
      </c>
      <c r="K1932" s="15" t="s">
        <v>903</v>
      </c>
      <c r="L1932" s="15" t="s">
        <v>2673</v>
      </c>
      <c r="M1932" s="15" t="s">
        <v>2672</v>
      </c>
      <c r="N1932" s="15" t="s">
        <v>2673</v>
      </c>
      <c r="O1932" s="15"/>
    </row>
    <row r="1933" spans="1:15" ht="18" customHeight="1" x14ac:dyDescent="0.3">
      <c r="A1933" s="29">
        <v>1932</v>
      </c>
      <c r="B1933" s="15" t="s">
        <v>52</v>
      </c>
      <c r="C1933" s="15" t="s">
        <v>1996</v>
      </c>
      <c r="D1933" s="69">
        <v>102</v>
      </c>
      <c r="E1933" s="68" t="s">
        <v>3342</v>
      </c>
      <c r="F1933" s="16" t="s">
        <v>2930</v>
      </c>
      <c r="G1933" s="15" t="s">
        <v>1553</v>
      </c>
      <c r="H1933" s="15" t="s">
        <v>2732</v>
      </c>
      <c r="I1933" s="69">
        <v>32</v>
      </c>
      <c r="J1933" s="15" t="s">
        <v>2672</v>
      </c>
      <c r="K1933" s="15" t="s">
        <v>903</v>
      </c>
      <c r="L1933" s="15" t="s">
        <v>2673</v>
      </c>
      <c r="M1933" s="15" t="s">
        <v>2672</v>
      </c>
      <c r="N1933" s="15" t="s">
        <v>2673</v>
      </c>
      <c r="O1933" s="15"/>
    </row>
    <row r="1934" spans="1:15" ht="18" customHeight="1" x14ac:dyDescent="0.3">
      <c r="A1934" s="29">
        <v>1933</v>
      </c>
      <c r="B1934" s="15" t="s">
        <v>52</v>
      </c>
      <c r="C1934" s="15" t="s">
        <v>1996</v>
      </c>
      <c r="D1934" s="69">
        <v>102</v>
      </c>
      <c r="E1934" s="68" t="s">
        <v>3342</v>
      </c>
      <c r="F1934" s="16" t="s">
        <v>2930</v>
      </c>
      <c r="G1934" s="15" t="s">
        <v>1553</v>
      </c>
      <c r="H1934" s="15" t="s">
        <v>2683</v>
      </c>
      <c r="I1934" s="69">
        <v>62</v>
      </c>
      <c r="J1934" s="15" t="s">
        <v>2672</v>
      </c>
      <c r="K1934" s="15" t="s">
        <v>903</v>
      </c>
      <c r="L1934" s="15" t="s">
        <v>2673</v>
      </c>
      <c r="M1934" s="15" t="s">
        <v>2672</v>
      </c>
      <c r="N1934" s="15" t="s">
        <v>2673</v>
      </c>
      <c r="O1934" s="15"/>
    </row>
    <row r="1935" spans="1:15" ht="18" customHeight="1" x14ac:dyDescent="0.3">
      <c r="A1935" s="29">
        <v>1934</v>
      </c>
      <c r="B1935" s="15" t="s">
        <v>52</v>
      </c>
      <c r="C1935" s="15" t="s">
        <v>1996</v>
      </c>
      <c r="D1935" s="69">
        <v>102</v>
      </c>
      <c r="E1935" s="68" t="s">
        <v>3342</v>
      </c>
      <c r="F1935" s="16" t="s">
        <v>2930</v>
      </c>
      <c r="G1935" s="15" t="s">
        <v>1553</v>
      </c>
      <c r="H1935" s="15" t="s">
        <v>2824</v>
      </c>
      <c r="I1935" s="69">
        <v>51</v>
      </c>
      <c r="J1935" s="15" t="s">
        <v>2672</v>
      </c>
      <c r="K1935" s="15" t="s">
        <v>903</v>
      </c>
      <c r="L1935" s="15" t="s">
        <v>2673</v>
      </c>
      <c r="M1935" s="15" t="s">
        <v>2672</v>
      </c>
      <c r="N1935" s="15" t="s">
        <v>2673</v>
      </c>
      <c r="O1935" s="15"/>
    </row>
    <row r="1936" spans="1:15" ht="18" customHeight="1" x14ac:dyDescent="0.3">
      <c r="A1936" s="29">
        <v>1935</v>
      </c>
      <c r="B1936" s="15" t="s">
        <v>52</v>
      </c>
      <c r="C1936" s="15" t="s">
        <v>1996</v>
      </c>
      <c r="D1936" s="69">
        <v>102</v>
      </c>
      <c r="E1936" s="68" t="s">
        <v>3342</v>
      </c>
      <c r="F1936" s="16" t="s">
        <v>2930</v>
      </c>
      <c r="G1936" s="15" t="s">
        <v>1553</v>
      </c>
      <c r="H1936" s="15" t="s">
        <v>2776</v>
      </c>
      <c r="I1936" s="69">
        <v>30</v>
      </c>
      <c r="J1936" s="15" t="s">
        <v>2672</v>
      </c>
      <c r="K1936" s="15" t="s">
        <v>903</v>
      </c>
      <c r="L1936" s="15" t="s">
        <v>2673</v>
      </c>
      <c r="M1936" s="15" t="s">
        <v>2672</v>
      </c>
      <c r="N1936" s="15" t="s">
        <v>2673</v>
      </c>
      <c r="O1936" s="15"/>
    </row>
    <row r="1937" spans="1:15" ht="18" customHeight="1" x14ac:dyDescent="0.3">
      <c r="A1937" s="29">
        <v>1936</v>
      </c>
      <c r="B1937" s="15" t="s">
        <v>1882</v>
      </c>
      <c r="C1937" s="15" t="s">
        <v>1996</v>
      </c>
      <c r="D1937" s="69">
        <v>102</v>
      </c>
      <c r="E1937" s="68" t="s">
        <v>1999</v>
      </c>
      <c r="F1937" s="21" t="s">
        <v>2931</v>
      </c>
      <c r="G1937" s="15" t="s">
        <v>1538</v>
      </c>
      <c r="H1937" s="15" t="s">
        <v>2685</v>
      </c>
      <c r="I1937" s="69">
        <v>163</v>
      </c>
      <c r="J1937" s="15" t="s">
        <v>2672</v>
      </c>
      <c r="K1937" s="15" t="s">
        <v>2672</v>
      </c>
      <c r="L1937" s="15" t="s">
        <v>2673</v>
      </c>
      <c r="M1937" s="15" t="s">
        <v>2672</v>
      </c>
      <c r="N1937" s="15" t="s">
        <v>2673</v>
      </c>
      <c r="O1937" s="15"/>
    </row>
    <row r="1938" spans="1:15" ht="18" customHeight="1" x14ac:dyDescent="0.3">
      <c r="A1938" s="29">
        <v>1937</v>
      </c>
      <c r="B1938" s="15" t="s">
        <v>1882</v>
      </c>
      <c r="C1938" s="15" t="s">
        <v>1996</v>
      </c>
      <c r="D1938" s="69">
        <v>102</v>
      </c>
      <c r="E1938" s="68" t="s">
        <v>1999</v>
      </c>
      <c r="F1938" s="21" t="s">
        <v>2931</v>
      </c>
      <c r="G1938" s="15" t="s">
        <v>1538</v>
      </c>
      <c r="H1938" s="15" t="s">
        <v>2678</v>
      </c>
      <c r="I1938" s="69">
        <v>163</v>
      </c>
      <c r="J1938" s="15" t="s">
        <v>2672</v>
      </c>
      <c r="K1938" s="15" t="s">
        <v>2672</v>
      </c>
      <c r="L1938" s="15" t="s">
        <v>2673</v>
      </c>
      <c r="M1938" s="15" t="s">
        <v>2672</v>
      </c>
      <c r="N1938" s="15" t="s">
        <v>2673</v>
      </c>
      <c r="O1938" s="15"/>
    </row>
    <row r="1939" spans="1:15" ht="18" customHeight="1" x14ac:dyDescent="0.3">
      <c r="A1939" s="29">
        <v>1938</v>
      </c>
      <c r="B1939" s="15" t="s">
        <v>1882</v>
      </c>
      <c r="C1939" s="15" t="s">
        <v>1996</v>
      </c>
      <c r="D1939" s="69">
        <v>102</v>
      </c>
      <c r="E1939" s="68" t="s">
        <v>1999</v>
      </c>
      <c r="F1939" s="21" t="s">
        <v>2931</v>
      </c>
      <c r="G1939" s="15" t="s">
        <v>1538</v>
      </c>
      <c r="H1939" s="15" t="s">
        <v>2679</v>
      </c>
      <c r="I1939" s="69">
        <v>155</v>
      </c>
      <c r="J1939" s="15" t="s">
        <v>2672</v>
      </c>
      <c r="K1939" s="15" t="s">
        <v>2672</v>
      </c>
      <c r="L1939" s="15" t="s">
        <v>2673</v>
      </c>
      <c r="M1939" s="15" t="s">
        <v>2672</v>
      </c>
      <c r="N1939" s="15" t="s">
        <v>2673</v>
      </c>
      <c r="O1939" s="15"/>
    </row>
    <row r="1940" spans="1:15" ht="18" customHeight="1" x14ac:dyDescent="0.3">
      <c r="A1940" s="29">
        <v>1939</v>
      </c>
      <c r="B1940" s="15" t="s">
        <v>1882</v>
      </c>
      <c r="C1940" s="15" t="s">
        <v>1996</v>
      </c>
      <c r="D1940" s="69">
        <v>102</v>
      </c>
      <c r="E1940" s="68" t="s">
        <v>1999</v>
      </c>
      <c r="F1940" s="21" t="s">
        <v>2931</v>
      </c>
      <c r="G1940" s="15" t="s">
        <v>1538</v>
      </c>
      <c r="H1940" s="15" t="s">
        <v>2680</v>
      </c>
      <c r="I1940" s="69">
        <v>163</v>
      </c>
      <c r="J1940" s="15" t="s">
        <v>2674</v>
      </c>
      <c r="K1940" s="15" t="s">
        <v>2672</v>
      </c>
      <c r="L1940" s="15" t="s">
        <v>2673</v>
      </c>
      <c r="M1940" s="15" t="s">
        <v>2672</v>
      </c>
      <c r="N1940" s="15" t="s">
        <v>2673</v>
      </c>
      <c r="O1940" s="15"/>
    </row>
    <row r="1941" spans="1:15" ht="18" customHeight="1" x14ac:dyDescent="0.3">
      <c r="A1941" s="29">
        <v>1940</v>
      </c>
      <c r="B1941" s="15" t="s">
        <v>1882</v>
      </c>
      <c r="C1941" s="15" t="s">
        <v>1996</v>
      </c>
      <c r="D1941" s="69">
        <v>102</v>
      </c>
      <c r="E1941" s="68" t="s">
        <v>1999</v>
      </c>
      <c r="F1941" s="21" t="s">
        <v>2931</v>
      </c>
      <c r="G1941" s="15" t="s">
        <v>1538</v>
      </c>
      <c r="H1941" s="15" t="s">
        <v>2066</v>
      </c>
      <c r="I1941" s="69">
        <v>290</v>
      </c>
      <c r="J1941" s="15" t="s">
        <v>2674</v>
      </c>
      <c r="K1941" s="15" t="s">
        <v>2674</v>
      </c>
      <c r="L1941" s="15" t="s">
        <v>2066</v>
      </c>
      <c r="M1941" s="15" t="s">
        <v>2672</v>
      </c>
      <c r="N1941" s="15" t="s">
        <v>2673</v>
      </c>
      <c r="O1941" s="15"/>
    </row>
    <row r="1942" spans="1:15" ht="18" customHeight="1" x14ac:dyDescent="0.3">
      <c r="A1942" s="29">
        <v>1941</v>
      </c>
      <c r="B1942" s="15" t="s">
        <v>1882</v>
      </c>
      <c r="C1942" s="15" t="s">
        <v>1996</v>
      </c>
      <c r="D1942" s="69">
        <v>102</v>
      </c>
      <c r="E1942" s="68" t="s">
        <v>1999</v>
      </c>
      <c r="F1942" s="21" t="s">
        <v>2931</v>
      </c>
      <c r="G1942" s="15" t="s">
        <v>1538</v>
      </c>
      <c r="H1942" s="15" t="s">
        <v>2682</v>
      </c>
      <c r="I1942" s="69">
        <v>120</v>
      </c>
      <c r="J1942" s="15" t="s">
        <v>2672</v>
      </c>
      <c r="K1942" s="15" t="s">
        <v>2672</v>
      </c>
      <c r="L1942" s="15" t="s">
        <v>2673</v>
      </c>
      <c r="M1942" s="15" t="s">
        <v>2672</v>
      </c>
      <c r="N1942" s="15" t="s">
        <v>2673</v>
      </c>
      <c r="O1942" s="15"/>
    </row>
    <row r="1943" spans="1:15" ht="18" customHeight="1" x14ac:dyDescent="0.3">
      <c r="A1943" s="29">
        <v>1942</v>
      </c>
      <c r="B1943" s="15" t="s">
        <v>1882</v>
      </c>
      <c r="C1943" s="15" t="s">
        <v>1996</v>
      </c>
      <c r="D1943" s="69">
        <v>102</v>
      </c>
      <c r="E1943" s="68" t="s">
        <v>1999</v>
      </c>
      <c r="F1943" s="21" t="s">
        <v>2931</v>
      </c>
      <c r="G1943" s="15" t="s">
        <v>1538</v>
      </c>
      <c r="H1943" s="15" t="s">
        <v>2732</v>
      </c>
      <c r="I1943" s="69">
        <v>121</v>
      </c>
      <c r="J1943" s="15" t="s">
        <v>2672</v>
      </c>
      <c r="K1943" s="15" t="s">
        <v>2672</v>
      </c>
      <c r="L1943" s="15" t="s">
        <v>2673</v>
      </c>
      <c r="M1943" s="15" t="s">
        <v>2672</v>
      </c>
      <c r="N1943" s="15" t="s">
        <v>2673</v>
      </c>
      <c r="O1943" s="15"/>
    </row>
    <row r="1944" spans="1:15" ht="18" customHeight="1" x14ac:dyDescent="0.3">
      <c r="A1944" s="29">
        <v>1943</v>
      </c>
      <c r="B1944" s="15" t="s">
        <v>1882</v>
      </c>
      <c r="C1944" s="15" t="s">
        <v>1996</v>
      </c>
      <c r="D1944" s="69">
        <v>102</v>
      </c>
      <c r="E1944" s="68" t="s">
        <v>1999</v>
      </c>
      <c r="F1944" s="21" t="s">
        <v>2931</v>
      </c>
      <c r="G1944" s="15" t="s">
        <v>1538</v>
      </c>
      <c r="H1944" s="15" t="s">
        <v>2932</v>
      </c>
      <c r="I1944" s="69">
        <v>40</v>
      </c>
      <c r="J1944" s="15" t="s">
        <v>2672</v>
      </c>
      <c r="K1944" s="15" t="s">
        <v>2674</v>
      </c>
      <c r="L1944" s="15" t="s">
        <v>1703</v>
      </c>
      <c r="M1944" s="15" t="s">
        <v>2672</v>
      </c>
      <c r="N1944" s="15" t="s">
        <v>2673</v>
      </c>
      <c r="O1944" s="15"/>
    </row>
    <row r="1945" spans="1:15" ht="18" customHeight="1" x14ac:dyDescent="0.3">
      <c r="A1945" s="29">
        <v>1944</v>
      </c>
      <c r="B1945" s="15" t="s">
        <v>52</v>
      </c>
      <c r="C1945" s="15" t="s">
        <v>64</v>
      </c>
      <c r="D1945" s="69">
        <v>102</v>
      </c>
      <c r="E1945" s="68" t="s">
        <v>914</v>
      </c>
      <c r="F1945" s="21" t="s">
        <v>618</v>
      </c>
      <c r="G1945" s="15" t="s">
        <v>164</v>
      </c>
      <c r="H1945" s="15" t="s">
        <v>901</v>
      </c>
      <c r="I1945" s="69">
        <v>177</v>
      </c>
      <c r="J1945" s="15" t="s">
        <v>2672</v>
      </c>
      <c r="K1945" s="15" t="s">
        <v>903</v>
      </c>
      <c r="L1945" s="15" t="s">
        <v>2673</v>
      </c>
      <c r="M1945" s="15" t="s">
        <v>2672</v>
      </c>
      <c r="N1945" s="15" t="s">
        <v>2673</v>
      </c>
      <c r="O1945" s="15"/>
    </row>
    <row r="1946" spans="1:15" ht="18" customHeight="1" x14ac:dyDescent="0.3">
      <c r="A1946" s="29">
        <v>1945</v>
      </c>
      <c r="B1946" s="15" t="s">
        <v>52</v>
      </c>
      <c r="C1946" s="15" t="s">
        <v>64</v>
      </c>
      <c r="D1946" s="69">
        <v>102</v>
      </c>
      <c r="E1946" s="68" t="s">
        <v>914</v>
      </c>
      <c r="F1946" s="21" t="s">
        <v>618</v>
      </c>
      <c r="G1946" s="15" t="s">
        <v>164</v>
      </c>
      <c r="H1946" s="15" t="s">
        <v>904</v>
      </c>
      <c r="I1946" s="69">
        <v>129</v>
      </c>
      <c r="J1946" s="15" t="s">
        <v>2672</v>
      </c>
      <c r="K1946" s="15" t="s">
        <v>903</v>
      </c>
      <c r="L1946" s="15" t="s">
        <v>2673</v>
      </c>
      <c r="M1946" s="15" t="s">
        <v>2672</v>
      </c>
      <c r="N1946" s="15" t="s">
        <v>2673</v>
      </c>
      <c r="O1946" s="15"/>
    </row>
    <row r="1947" spans="1:15" ht="18" customHeight="1" x14ac:dyDescent="0.3">
      <c r="A1947" s="29">
        <v>1946</v>
      </c>
      <c r="B1947" s="15" t="s">
        <v>52</v>
      </c>
      <c r="C1947" s="15" t="s">
        <v>64</v>
      </c>
      <c r="D1947" s="69">
        <v>102</v>
      </c>
      <c r="E1947" s="68" t="s">
        <v>914</v>
      </c>
      <c r="F1947" s="21" t="s">
        <v>618</v>
      </c>
      <c r="G1947" s="15" t="s">
        <v>164</v>
      </c>
      <c r="H1947" s="15" t="s">
        <v>905</v>
      </c>
      <c r="I1947" s="69">
        <v>43</v>
      </c>
      <c r="J1947" s="15" t="s">
        <v>2672</v>
      </c>
      <c r="K1947" s="15" t="s">
        <v>903</v>
      </c>
      <c r="L1947" s="15" t="s">
        <v>2673</v>
      </c>
      <c r="M1947" s="15" t="s">
        <v>2672</v>
      </c>
      <c r="N1947" s="15" t="s">
        <v>2673</v>
      </c>
      <c r="O1947" s="15"/>
    </row>
    <row r="1948" spans="1:15" ht="18" customHeight="1" x14ac:dyDescent="0.3">
      <c r="A1948" s="29">
        <v>1947</v>
      </c>
      <c r="B1948" s="15" t="s">
        <v>52</v>
      </c>
      <c r="C1948" s="15" t="s">
        <v>64</v>
      </c>
      <c r="D1948" s="69">
        <v>102</v>
      </c>
      <c r="E1948" s="68" t="s">
        <v>914</v>
      </c>
      <c r="F1948" s="21" t="s">
        <v>618</v>
      </c>
      <c r="G1948" s="15" t="s">
        <v>164</v>
      </c>
      <c r="H1948" s="15" t="s">
        <v>906</v>
      </c>
      <c r="I1948" s="69">
        <v>31</v>
      </c>
      <c r="J1948" s="15" t="s">
        <v>2672</v>
      </c>
      <c r="K1948" s="15" t="s">
        <v>903</v>
      </c>
      <c r="L1948" s="15" t="s">
        <v>2673</v>
      </c>
      <c r="M1948" s="15" t="s">
        <v>2672</v>
      </c>
      <c r="N1948" s="15" t="s">
        <v>2673</v>
      </c>
      <c r="O1948" s="15"/>
    </row>
    <row r="1949" spans="1:15" ht="18" customHeight="1" x14ac:dyDescent="0.3">
      <c r="A1949" s="29">
        <v>1948</v>
      </c>
      <c r="B1949" s="15" t="s">
        <v>52</v>
      </c>
      <c r="C1949" s="15" t="s">
        <v>64</v>
      </c>
      <c r="D1949" s="69">
        <v>102</v>
      </c>
      <c r="E1949" s="68" t="s">
        <v>914</v>
      </c>
      <c r="F1949" s="21" t="s">
        <v>618</v>
      </c>
      <c r="G1949" s="15" t="s">
        <v>164</v>
      </c>
      <c r="H1949" s="15" t="s">
        <v>907</v>
      </c>
      <c r="I1949" s="69">
        <v>35</v>
      </c>
      <c r="J1949" s="15" t="s">
        <v>2672</v>
      </c>
      <c r="K1949" s="15" t="s">
        <v>903</v>
      </c>
      <c r="L1949" s="15" t="s">
        <v>2673</v>
      </c>
      <c r="M1949" s="15" t="s">
        <v>2672</v>
      </c>
      <c r="N1949" s="15" t="s">
        <v>2673</v>
      </c>
      <c r="O1949" s="15"/>
    </row>
    <row r="1950" spans="1:15" ht="18" customHeight="1" x14ac:dyDescent="0.3">
      <c r="A1950" s="29">
        <v>1949</v>
      </c>
      <c r="B1950" s="15" t="s">
        <v>52</v>
      </c>
      <c r="C1950" s="15" t="s">
        <v>64</v>
      </c>
      <c r="D1950" s="69">
        <v>102</v>
      </c>
      <c r="E1950" s="68" t="s">
        <v>914</v>
      </c>
      <c r="F1950" s="21" t="s">
        <v>618</v>
      </c>
      <c r="G1950" s="15" t="s">
        <v>164</v>
      </c>
      <c r="H1950" s="15" t="s">
        <v>908</v>
      </c>
      <c r="I1950" s="69">
        <v>39</v>
      </c>
      <c r="J1950" s="15" t="s">
        <v>2672</v>
      </c>
      <c r="K1950" s="15" t="s">
        <v>903</v>
      </c>
      <c r="L1950" s="15" t="s">
        <v>2673</v>
      </c>
      <c r="M1950" s="15" t="s">
        <v>2672</v>
      </c>
      <c r="N1950" s="15" t="s">
        <v>2673</v>
      </c>
      <c r="O1950" s="15"/>
    </row>
    <row r="1951" spans="1:15" ht="18" customHeight="1" x14ac:dyDescent="0.3">
      <c r="A1951" s="29">
        <v>1950</v>
      </c>
      <c r="B1951" s="15" t="s">
        <v>1882</v>
      </c>
      <c r="C1951" s="15" t="s">
        <v>1996</v>
      </c>
      <c r="D1951" s="69">
        <v>102</v>
      </c>
      <c r="E1951" s="68" t="s">
        <v>2002</v>
      </c>
      <c r="F1951" s="21" t="s">
        <v>2003</v>
      </c>
      <c r="G1951" s="15" t="s">
        <v>1538</v>
      </c>
      <c r="H1951" s="15" t="s">
        <v>2685</v>
      </c>
      <c r="I1951" s="69">
        <v>181</v>
      </c>
      <c r="J1951" s="13" t="s">
        <v>902</v>
      </c>
      <c r="K1951" s="15" t="s">
        <v>903</v>
      </c>
      <c r="L1951" s="15" t="s">
        <v>2673</v>
      </c>
      <c r="M1951" s="15" t="s">
        <v>2672</v>
      </c>
      <c r="N1951" s="15" t="s">
        <v>2673</v>
      </c>
      <c r="O1951" s="15"/>
    </row>
    <row r="1952" spans="1:15" ht="18" customHeight="1" x14ac:dyDescent="0.3">
      <c r="A1952" s="29">
        <v>1951</v>
      </c>
      <c r="B1952" s="15" t="s">
        <v>1882</v>
      </c>
      <c r="C1952" s="15" t="s">
        <v>1996</v>
      </c>
      <c r="D1952" s="69">
        <v>102</v>
      </c>
      <c r="E1952" s="68" t="s">
        <v>2002</v>
      </c>
      <c r="F1952" s="21" t="s">
        <v>2003</v>
      </c>
      <c r="G1952" s="15" t="s">
        <v>1538</v>
      </c>
      <c r="H1952" s="15" t="s">
        <v>2678</v>
      </c>
      <c r="I1952" s="69">
        <v>149</v>
      </c>
      <c r="J1952" s="13" t="s">
        <v>2672</v>
      </c>
      <c r="K1952" s="15" t="s">
        <v>903</v>
      </c>
      <c r="L1952" s="15" t="s">
        <v>2673</v>
      </c>
      <c r="M1952" s="15" t="s">
        <v>2672</v>
      </c>
      <c r="N1952" s="15" t="s">
        <v>2673</v>
      </c>
      <c r="O1952" s="15"/>
    </row>
    <row r="1953" spans="1:15" ht="18" customHeight="1" x14ac:dyDescent="0.3">
      <c r="A1953" s="29">
        <v>1952</v>
      </c>
      <c r="B1953" s="15" t="s">
        <v>1882</v>
      </c>
      <c r="C1953" s="15" t="s">
        <v>1996</v>
      </c>
      <c r="D1953" s="69">
        <v>102</v>
      </c>
      <c r="E1953" s="68" t="s">
        <v>2002</v>
      </c>
      <c r="F1953" s="21" t="s">
        <v>2003</v>
      </c>
      <c r="G1953" s="15" t="s">
        <v>1538</v>
      </c>
      <c r="H1953" s="15" t="s">
        <v>2679</v>
      </c>
      <c r="I1953" s="69">
        <v>119</v>
      </c>
      <c r="J1953" s="13" t="s">
        <v>2672</v>
      </c>
      <c r="K1953" s="15" t="s">
        <v>903</v>
      </c>
      <c r="L1953" s="15" t="s">
        <v>2673</v>
      </c>
      <c r="M1953" s="15" t="s">
        <v>2672</v>
      </c>
      <c r="N1953" s="15" t="s">
        <v>2673</v>
      </c>
      <c r="O1953" s="15"/>
    </row>
    <row r="1954" spans="1:15" ht="18" customHeight="1" x14ac:dyDescent="0.3">
      <c r="A1954" s="29">
        <v>1953</v>
      </c>
      <c r="B1954" s="15" t="s">
        <v>1882</v>
      </c>
      <c r="C1954" s="15" t="s">
        <v>1996</v>
      </c>
      <c r="D1954" s="69">
        <v>102</v>
      </c>
      <c r="E1954" s="68" t="s">
        <v>2002</v>
      </c>
      <c r="F1954" s="21" t="s">
        <v>2003</v>
      </c>
      <c r="G1954" s="15" t="s">
        <v>1538</v>
      </c>
      <c r="H1954" s="15" t="s">
        <v>2680</v>
      </c>
      <c r="I1954" s="69">
        <v>163</v>
      </c>
      <c r="J1954" s="13" t="s">
        <v>2672</v>
      </c>
      <c r="K1954" s="15" t="s">
        <v>903</v>
      </c>
      <c r="L1954" s="15" t="s">
        <v>2673</v>
      </c>
      <c r="M1954" s="15" t="s">
        <v>2672</v>
      </c>
      <c r="N1954" s="15" t="s">
        <v>2673</v>
      </c>
      <c r="O1954" s="15"/>
    </row>
    <row r="1955" spans="1:15" ht="18" customHeight="1" x14ac:dyDescent="0.3">
      <c r="A1955" s="29">
        <v>1954</v>
      </c>
      <c r="B1955" s="15" t="s">
        <v>1882</v>
      </c>
      <c r="C1955" s="15" t="s">
        <v>1996</v>
      </c>
      <c r="D1955" s="69">
        <v>102</v>
      </c>
      <c r="E1955" s="68" t="s">
        <v>2002</v>
      </c>
      <c r="F1955" s="21" t="s">
        <v>2003</v>
      </c>
      <c r="G1955" s="15" t="s">
        <v>1538</v>
      </c>
      <c r="H1955" s="15" t="s">
        <v>2690</v>
      </c>
      <c r="I1955" s="69">
        <v>163</v>
      </c>
      <c r="J1955" s="13" t="s">
        <v>902</v>
      </c>
      <c r="K1955" s="15" t="s">
        <v>903</v>
      </c>
      <c r="L1955" s="15" t="s">
        <v>2673</v>
      </c>
      <c r="M1955" s="15" t="s">
        <v>2672</v>
      </c>
      <c r="N1955" s="15" t="s">
        <v>2673</v>
      </c>
      <c r="O1955" s="15"/>
    </row>
    <row r="1956" spans="1:15" ht="18" customHeight="1" x14ac:dyDescent="0.3">
      <c r="A1956" s="29">
        <v>1955</v>
      </c>
      <c r="B1956" s="15" t="s">
        <v>52</v>
      </c>
      <c r="C1956" s="15" t="s">
        <v>64</v>
      </c>
      <c r="D1956" s="69">
        <v>102</v>
      </c>
      <c r="E1956" s="68" t="s">
        <v>270</v>
      </c>
      <c r="F1956" s="14" t="s">
        <v>2004</v>
      </c>
      <c r="G1956" s="15" t="s">
        <v>154</v>
      </c>
      <c r="H1956" s="15" t="s">
        <v>901</v>
      </c>
      <c r="I1956" s="69">
        <v>116</v>
      </c>
      <c r="J1956" s="13" t="s">
        <v>902</v>
      </c>
      <c r="K1956" s="15" t="s">
        <v>903</v>
      </c>
      <c r="L1956" s="15" t="s">
        <v>2673</v>
      </c>
      <c r="M1956" s="15" t="s">
        <v>2672</v>
      </c>
      <c r="N1956" s="15" t="s">
        <v>2673</v>
      </c>
      <c r="O1956" s="15"/>
    </row>
    <row r="1957" spans="1:15" ht="18" customHeight="1" x14ac:dyDescent="0.3">
      <c r="A1957" s="29">
        <v>1956</v>
      </c>
      <c r="B1957" s="15" t="s">
        <v>52</v>
      </c>
      <c r="C1957" s="15" t="s">
        <v>64</v>
      </c>
      <c r="D1957" s="69">
        <v>102</v>
      </c>
      <c r="E1957" s="68" t="s">
        <v>270</v>
      </c>
      <c r="F1957" s="14" t="s">
        <v>2004</v>
      </c>
      <c r="G1957" s="15" t="s">
        <v>154</v>
      </c>
      <c r="H1957" s="15" t="s">
        <v>904</v>
      </c>
      <c r="I1957" s="69">
        <v>119</v>
      </c>
      <c r="J1957" s="13" t="s">
        <v>902</v>
      </c>
      <c r="K1957" s="15" t="s">
        <v>903</v>
      </c>
      <c r="L1957" s="15" t="s">
        <v>2673</v>
      </c>
      <c r="M1957" s="15" t="s">
        <v>2672</v>
      </c>
      <c r="N1957" s="15" t="s">
        <v>2673</v>
      </c>
      <c r="O1957" s="15"/>
    </row>
    <row r="1958" spans="1:15" ht="18" customHeight="1" x14ac:dyDescent="0.3">
      <c r="A1958" s="29">
        <v>1957</v>
      </c>
      <c r="B1958" s="15" t="s">
        <v>52</v>
      </c>
      <c r="C1958" s="15" t="s">
        <v>64</v>
      </c>
      <c r="D1958" s="69">
        <v>102</v>
      </c>
      <c r="E1958" s="68" t="s">
        <v>270</v>
      </c>
      <c r="F1958" s="14" t="s">
        <v>2004</v>
      </c>
      <c r="G1958" s="15" t="s">
        <v>154</v>
      </c>
      <c r="H1958" s="15" t="s">
        <v>905</v>
      </c>
      <c r="I1958" s="69">
        <v>93</v>
      </c>
      <c r="J1958" s="13" t="s">
        <v>2672</v>
      </c>
      <c r="K1958" s="15" t="s">
        <v>903</v>
      </c>
      <c r="L1958" s="15" t="s">
        <v>2673</v>
      </c>
      <c r="M1958" s="15" t="s">
        <v>2672</v>
      </c>
      <c r="N1958" s="15" t="s">
        <v>2673</v>
      </c>
      <c r="O1958" s="15"/>
    </row>
    <row r="1959" spans="1:15" ht="18" customHeight="1" x14ac:dyDescent="0.3">
      <c r="A1959" s="29">
        <v>1958</v>
      </c>
      <c r="B1959" s="15" t="s">
        <v>52</v>
      </c>
      <c r="C1959" s="15" t="s">
        <v>64</v>
      </c>
      <c r="D1959" s="69">
        <v>102</v>
      </c>
      <c r="E1959" s="68" t="s">
        <v>946</v>
      </c>
      <c r="F1959" s="21" t="s">
        <v>621</v>
      </c>
      <c r="G1959" s="15" t="s">
        <v>154</v>
      </c>
      <c r="H1959" s="15" t="s">
        <v>901</v>
      </c>
      <c r="I1959" s="69">
        <v>86</v>
      </c>
      <c r="J1959" s="13" t="s">
        <v>2672</v>
      </c>
      <c r="K1959" s="15" t="s">
        <v>903</v>
      </c>
      <c r="L1959" s="15" t="s">
        <v>2673</v>
      </c>
      <c r="M1959" s="15" t="s">
        <v>2672</v>
      </c>
      <c r="N1959" s="15" t="s">
        <v>2673</v>
      </c>
      <c r="O1959" s="15"/>
    </row>
    <row r="1960" spans="1:15" ht="18" customHeight="1" x14ac:dyDescent="0.3">
      <c r="A1960" s="29">
        <v>1959</v>
      </c>
      <c r="B1960" s="15" t="s">
        <v>52</v>
      </c>
      <c r="C1960" s="15" t="s">
        <v>64</v>
      </c>
      <c r="D1960" s="69">
        <v>102</v>
      </c>
      <c r="E1960" s="68" t="s">
        <v>946</v>
      </c>
      <c r="F1960" s="21" t="s">
        <v>621</v>
      </c>
      <c r="G1960" s="15" t="s">
        <v>154</v>
      </c>
      <c r="H1960" s="15" t="s">
        <v>904</v>
      </c>
      <c r="I1960" s="69">
        <v>86</v>
      </c>
      <c r="J1960" s="13" t="s">
        <v>902</v>
      </c>
      <c r="K1960" s="15" t="s">
        <v>903</v>
      </c>
      <c r="L1960" s="15" t="s">
        <v>2673</v>
      </c>
      <c r="M1960" s="15" t="s">
        <v>2672</v>
      </c>
      <c r="N1960" s="15" t="s">
        <v>2673</v>
      </c>
      <c r="O1960" s="15"/>
    </row>
    <row r="1961" spans="1:15" ht="18" customHeight="1" x14ac:dyDescent="0.3">
      <c r="A1961" s="29">
        <v>1960</v>
      </c>
      <c r="B1961" s="15" t="s">
        <v>52</v>
      </c>
      <c r="C1961" s="15" t="s">
        <v>65</v>
      </c>
      <c r="D1961" s="69">
        <v>103</v>
      </c>
      <c r="E1961" s="68" t="s">
        <v>2005</v>
      </c>
      <c r="F1961" s="16" t="s">
        <v>2006</v>
      </c>
      <c r="G1961" s="15" t="s">
        <v>164</v>
      </c>
      <c r="H1961" s="15" t="s">
        <v>2678</v>
      </c>
      <c r="I1961" s="69">
        <v>65</v>
      </c>
      <c r="J1961" s="13" t="s">
        <v>2672</v>
      </c>
      <c r="K1961" s="15" t="s">
        <v>2674</v>
      </c>
      <c r="L1961" s="15" t="s">
        <v>2525</v>
      </c>
      <c r="M1961" s="15" t="s">
        <v>2672</v>
      </c>
      <c r="N1961" s="15" t="s">
        <v>2673</v>
      </c>
      <c r="O1961" s="15"/>
    </row>
    <row r="1962" spans="1:15" ht="18" customHeight="1" x14ac:dyDescent="0.3">
      <c r="A1962" s="29">
        <v>1961</v>
      </c>
      <c r="B1962" s="15" t="s">
        <v>52</v>
      </c>
      <c r="C1962" s="15" t="s">
        <v>65</v>
      </c>
      <c r="D1962" s="69">
        <v>103</v>
      </c>
      <c r="E1962" s="68" t="s">
        <v>2005</v>
      </c>
      <c r="F1962" s="16" t="s">
        <v>2006</v>
      </c>
      <c r="G1962" s="15" t="s">
        <v>164</v>
      </c>
      <c r="H1962" s="15" t="s">
        <v>2679</v>
      </c>
      <c r="I1962" s="69">
        <v>62</v>
      </c>
      <c r="J1962" s="13" t="s">
        <v>2672</v>
      </c>
      <c r="K1962" s="15" t="s">
        <v>2674</v>
      </c>
      <c r="L1962" s="15" t="s">
        <v>2525</v>
      </c>
      <c r="M1962" s="15" t="s">
        <v>2672</v>
      </c>
      <c r="N1962" s="15" t="s">
        <v>2673</v>
      </c>
      <c r="O1962" s="15"/>
    </row>
    <row r="1963" spans="1:15" ht="18" customHeight="1" x14ac:dyDescent="0.3">
      <c r="A1963" s="29">
        <v>1962</v>
      </c>
      <c r="B1963" s="15" t="s">
        <v>52</v>
      </c>
      <c r="C1963" s="15" t="s">
        <v>65</v>
      </c>
      <c r="D1963" s="69">
        <v>103</v>
      </c>
      <c r="E1963" s="68" t="s">
        <v>2005</v>
      </c>
      <c r="F1963" s="16" t="s">
        <v>2006</v>
      </c>
      <c r="G1963" s="15" t="s">
        <v>164</v>
      </c>
      <c r="H1963" s="15" t="s">
        <v>2690</v>
      </c>
      <c r="I1963" s="69">
        <v>119</v>
      </c>
      <c r="J1963" s="13" t="s">
        <v>2672</v>
      </c>
      <c r="K1963" s="15" t="s">
        <v>2674</v>
      </c>
      <c r="L1963" s="15" t="s">
        <v>2525</v>
      </c>
      <c r="M1963" s="15" t="s">
        <v>2672</v>
      </c>
      <c r="N1963" s="15" t="s">
        <v>2673</v>
      </c>
      <c r="O1963" s="15"/>
    </row>
    <row r="1964" spans="1:15" ht="18" customHeight="1" x14ac:dyDescent="0.3">
      <c r="A1964" s="29">
        <v>1963</v>
      </c>
      <c r="B1964" s="15" t="s">
        <v>52</v>
      </c>
      <c r="C1964" s="15" t="s">
        <v>65</v>
      </c>
      <c r="D1964" s="69">
        <v>103</v>
      </c>
      <c r="E1964" s="68" t="s">
        <v>2005</v>
      </c>
      <c r="F1964" s="16" t="s">
        <v>2006</v>
      </c>
      <c r="G1964" s="15" t="s">
        <v>164</v>
      </c>
      <c r="H1964" s="15" t="s">
        <v>2682</v>
      </c>
      <c r="I1964" s="69">
        <v>75</v>
      </c>
      <c r="J1964" s="13" t="s">
        <v>2674</v>
      </c>
      <c r="K1964" s="15" t="s">
        <v>2674</v>
      </c>
      <c r="L1964" s="15" t="s">
        <v>2525</v>
      </c>
      <c r="M1964" s="15" t="s">
        <v>2672</v>
      </c>
      <c r="N1964" s="15" t="s">
        <v>2673</v>
      </c>
      <c r="O1964" s="15"/>
    </row>
    <row r="1965" spans="1:15" ht="18" customHeight="1" x14ac:dyDescent="0.3">
      <c r="A1965" s="29">
        <v>1964</v>
      </c>
      <c r="B1965" s="15" t="s">
        <v>52</v>
      </c>
      <c r="C1965" s="15" t="s">
        <v>65</v>
      </c>
      <c r="D1965" s="69">
        <v>103</v>
      </c>
      <c r="E1965" s="68" t="s">
        <v>2005</v>
      </c>
      <c r="F1965" s="16" t="s">
        <v>2006</v>
      </c>
      <c r="G1965" s="15" t="s">
        <v>164</v>
      </c>
      <c r="H1965" s="15" t="s">
        <v>2732</v>
      </c>
      <c r="I1965" s="69">
        <v>54</v>
      </c>
      <c r="J1965" s="13" t="s">
        <v>2672</v>
      </c>
      <c r="K1965" s="15" t="s">
        <v>2674</v>
      </c>
      <c r="L1965" s="15" t="s">
        <v>2525</v>
      </c>
      <c r="M1965" s="15" t="s">
        <v>2672</v>
      </c>
      <c r="N1965" s="15" t="s">
        <v>2673</v>
      </c>
      <c r="O1965" s="15"/>
    </row>
    <row r="1966" spans="1:15" ht="18" customHeight="1" x14ac:dyDescent="0.3">
      <c r="A1966" s="29">
        <v>1965</v>
      </c>
      <c r="B1966" s="15" t="s">
        <v>52</v>
      </c>
      <c r="C1966" s="15" t="s">
        <v>65</v>
      </c>
      <c r="D1966" s="69">
        <v>103</v>
      </c>
      <c r="E1966" s="68" t="s">
        <v>3343</v>
      </c>
      <c r="F1966" s="21" t="s">
        <v>2010</v>
      </c>
      <c r="G1966" s="15" t="s">
        <v>164</v>
      </c>
      <c r="H1966" s="15" t="s">
        <v>901</v>
      </c>
      <c r="I1966" s="69">
        <v>52</v>
      </c>
      <c r="J1966" s="15" t="s">
        <v>2672</v>
      </c>
      <c r="K1966" s="15" t="s">
        <v>903</v>
      </c>
      <c r="L1966" s="15" t="s">
        <v>2673</v>
      </c>
      <c r="M1966" s="15" t="s">
        <v>2672</v>
      </c>
      <c r="N1966" s="15" t="s">
        <v>2673</v>
      </c>
      <c r="O1966" s="15"/>
    </row>
    <row r="1967" spans="1:15" ht="18" customHeight="1" x14ac:dyDescent="0.3">
      <c r="A1967" s="29">
        <v>1966</v>
      </c>
      <c r="B1967" s="15" t="s">
        <v>52</v>
      </c>
      <c r="C1967" s="15" t="s">
        <v>65</v>
      </c>
      <c r="D1967" s="69">
        <v>103</v>
      </c>
      <c r="E1967" s="68" t="s">
        <v>3343</v>
      </c>
      <c r="F1967" s="21" t="s">
        <v>2010</v>
      </c>
      <c r="G1967" s="15" t="s">
        <v>164</v>
      </c>
      <c r="H1967" s="15" t="s">
        <v>904</v>
      </c>
      <c r="I1967" s="69">
        <v>92</v>
      </c>
      <c r="J1967" s="15" t="s">
        <v>2672</v>
      </c>
      <c r="K1967" s="15" t="s">
        <v>903</v>
      </c>
      <c r="L1967" s="15" t="s">
        <v>2673</v>
      </c>
      <c r="M1967" s="15" t="s">
        <v>2672</v>
      </c>
      <c r="N1967" s="15" t="s">
        <v>2673</v>
      </c>
      <c r="O1967" s="15"/>
    </row>
    <row r="1968" spans="1:15" ht="18" customHeight="1" x14ac:dyDescent="0.3">
      <c r="A1968" s="29">
        <v>1967</v>
      </c>
      <c r="B1968" s="15" t="s">
        <v>52</v>
      </c>
      <c r="C1968" s="15" t="s">
        <v>65</v>
      </c>
      <c r="D1968" s="69">
        <v>103</v>
      </c>
      <c r="E1968" s="68" t="s">
        <v>3343</v>
      </c>
      <c r="F1968" s="21" t="s">
        <v>1094</v>
      </c>
      <c r="G1968" s="15" t="s">
        <v>164</v>
      </c>
      <c r="H1968" s="15" t="s">
        <v>905</v>
      </c>
      <c r="I1968" s="69">
        <v>78</v>
      </c>
      <c r="J1968" s="15" t="s">
        <v>2674</v>
      </c>
      <c r="K1968" s="15" t="s">
        <v>903</v>
      </c>
      <c r="L1968" s="15" t="s">
        <v>2673</v>
      </c>
      <c r="M1968" s="15" t="s">
        <v>2672</v>
      </c>
      <c r="N1968" s="15" t="s">
        <v>2673</v>
      </c>
      <c r="O1968" s="15"/>
    </row>
    <row r="1969" spans="1:15" ht="18" customHeight="1" x14ac:dyDescent="0.3">
      <c r="A1969" s="29">
        <v>1968</v>
      </c>
      <c r="B1969" s="15" t="s">
        <v>52</v>
      </c>
      <c r="C1969" s="15" t="s">
        <v>65</v>
      </c>
      <c r="D1969" s="69">
        <v>103</v>
      </c>
      <c r="E1969" s="68" t="s">
        <v>3343</v>
      </c>
      <c r="F1969" s="21" t="s">
        <v>1094</v>
      </c>
      <c r="G1969" s="15" t="s">
        <v>164</v>
      </c>
      <c r="H1969" s="15" t="s">
        <v>906</v>
      </c>
      <c r="I1969" s="69">
        <v>68</v>
      </c>
      <c r="J1969" s="15" t="s">
        <v>2672</v>
      </c>
      <c r="K1969" s="15" t="s">
        <v>903</v>
      </c>
      <c r="L1969" s="15" t="s">
        <v>2673</v>
      </c>
      <c r="M1969" s="15" t="s">
        <v>2672</v>
      </c>
      <c r="N1969" s="15" t="s">
        <v>2673</v>
      </c>
      <c r="O1969" s="15"/>
    </row>
    <row r="1970" spans="1:15" ht="18" customHeight="1" x14ac:dyDescent="0.3">
      <c r="A1970" s="29">
        <v>1969</v>
      </c>
      <c r="B1970" s="15" t="s">
        <v>52</v>
      </c>
      <c r="C1970" s="15" t="s">
        <v>65</v>
      </c>
      <c r="D1970" s="69">
        <v>103</v>
      </c>
      <c r="E1970" s="68" t="s">
        <v>3343</v>
      </c>
      <c r="F1970" s="21" t="s">
        <v>1094</v>
      </c>
      <c r="G1970" s="15" t="s">
        <v>164</v>
      </c>
      <c r="H1970" s="15" t="s">
        <v>907</v>
      </c>
      <c r="I1970" s="69">
        <v>63</v>
      </c>
      <c r="J1970" s="15" t="s">
        <v>2672</v>
      </c>
      <c r="K1970" s="15" t="s">
        <v>903</v>
      </c>
      <c r="L1970" s="15" t="s">
        <v>2673</v>
      </c>
      <c r="M1970" s="15" t="s">
        <v>2672</v>
      </c>
      <c r="N1970" s="15" t="s">
        <v>2673</v>
      </c>
      <c r="O1970" s="15"/>
    </row>
    <row r="1971" spans="1:15" ht="18" customHeight="1" x14ac:dyDescent="0.3">
      <c r="A1971" s="29">
        <v>1970</v>
      </c>
      <c r="B1971" s="15" t="s">
        <v>52</v>
      </c>
      <c r="C1971" s="15" t="s">
        <v>65</v>
      </c>
      <c r="D1971" s="69">
        <v>103</v>
      </c>
      <c r="E1971" s="68" t="s">
        <v>3343</v>
      </c>
      <c r="F1971" s="21" t="s">
        <v>1094</v>
      </c>
      <c r="G1971" s="15" t="s">
        <v>164</v>
      </c>
      <c r="H1971" s="15" t="s">
        <v>908</v>
      </c>
      <c r="I1971" s="69">
        <v>72</v>
      </c>
      <c r="J1971" s="15" t="s">
        <v>2672</v>
      </c>
      <c r="K1971" s="15" t="s">
        <v>903</v>
      </c>
      <c r="L1971" s="15" t="s">
        <v>2673</v>
      </c>
      <c r="M1971" s="15" t="s">
        <v>2672</v>
      </c>
      <c r="N1971" s="15" t="s">
        <v>2673</v>
      </c>
      <c r="O1971" s="15"/>
    </row>
    <row r="1972" spans="1:15" ht="18" customHeight="1" x14ac:dyDescent="0.3">
      <c r="A1972" s="29">
        <v>1971</v>
      </c>
      <c r="B1972" s="15" t="s">
        <v>52</v>
      </c>
      <c r="C1972" s="15" t="s">
        <v>65</v>
      </c>
      <c r="D1972" s="69">
        <v>103</v>
      </c>
      <c r="E1972" s="68" t="s">
        <v>3343</v>
      </c>
      <c r="F1972" s="21" t="s">
        <v>1094</v>
      </c>
      <c r="G1972" s="15" t="s">
        <v>164</v>
      </c>
      <c r="H1972" s="15" t="s">
        <v>909</v>
      </c>
      <c r="I1972" s="69">
        <v>74</v>
      </c>
      <c r="J1972" s="15" t="s">
        <v>2672</v>
      </c>
      <c r="K1972" s="15" t="s">
        <v>903</v>
      </c>
      <c r="L1972" s="15" t="s">
        <v>2673</v>
      </c>
      <c r="M1972" s="15" t="s">
        <v>2672</v>
      </c>
      <c r="N1972" s="15" t="s">
        <v>2673</v>
      </c>
      <c r="O1972" s="15"/>
    </row>
    <row r="1973" spans="1:15" ht="18" customHeight="1" x14ac:dyDescent="0.3">
      <c r="A1973" s="29">
        <v>1972</v>
      </c>
      <c r="B1973" s="15" t="s">
        <v>52</v>
      </c>
      <c r="C1973" s="15" t="s">
        <v>65</v>
      </c>
      <c r="D1973" s="69">
        <v>103</v>
      </c>
      <c r="E1973" s="68" t="s">
        <v>3343</v>
      </c>
      <c r="F1973" s="21" t="s">
        <v>1094</v>
      </c>
      <c r="G1973" s="15" t="s">
        <v>164</v>
      </c>
      <c r="H1973" s="15" t="s">
        <v>910</v>
      </c>
      <c r="I1973" s="69">
        <v>53</v>
      </c>
      <c r="J1973" s="15" t="s">
        <v>2672</v>
      </c>
      <c r="K1973" s="15" t="s">
        <v>903</v>
      </c>
      <c r="L1973" s="15" t="s">
        <v>2673</v>
      </c>
      <c r="M1973" s="15" t="s">
        <v>2672</v>
      </c>
      <c r="N1973" s="15" t="s">
        <v>2673</v>
      </c>
      <c r="O1973" s="15"/>
    </row>
    <row r="1974" spans="1:15" ht="18" customHeight="1" x14ac:dyDescent="0.3">
      <c r="A1974" s="29">
        <v>1973</v>
      </c>
      <c r="B1974" s="15" t="s">
        <v>52</v>
      </c>
      <c r="C1974" s="15" t="s">
        <v>65</v>
      </c>
      <c r="D1974" s="69">
        <v>103</v>
      </c>
      <c r="E1974" s="68" t="s">
        <v>3344</v>
      </c>
      <c r="F1974" s="21" t="s">
        <v>2012</v>
      </c>
      <c r="G1974" s="15" t="s">
        <v>164</v>
      </c>
      <c r="H1974" s="15" t="s">
        <v>901</v>
      </c>
      <c r="I1974" s="69">
        <v>59</v>
      </c>
      <c r="J1974" s="15" t="s">
        <v>2672</v>
      </c>
      <c r="K1974" s="15" t="s">
        <v>903</v>
      </c>
      <c r="L1974" s="15" t="s">
        <v>2673</v>
      </c>
      <c r="M1974" s="15" t="s">
        <v>2672</v>
      </c>
      <c r="N1974" s="15" t="s">
        <v>2673</v>
      </c>
      <c r="O1974" s="15"/>
    </row>
    <row r="1975" spans="1:15" ht="18" customHeight="1" x14ac:dyDescent="0.3">
      <c r="A1975" s="29">
        <v>1974</v>
      </c>
      <c r="B1975" s="15" t="s">
        <v>52</v>
      </c>
      <c r="C1975" s="15" t="s">
        <v>65</v>
      </c>
      <c r="D1975" s="69">
        <v>103</v>
      </c>
      <c r="E1975" s="68" t="s">
        <v>3344</v>
      </c>
      <c r="F1975" s="21" t="s">
        <v>2012</v>
      </c>
      <c r="G1975" s="15" t="s">
        <v>164</v>
      </c>
      <c r="H1975" s="15" t="s">
        <v>904</v>
      </c>
      <c r="I1975" s="69">
        <v>36</v>
      </c>
      <c r="J1975" s="15" t="s">
        <v>2674</v>
      </c>
      <c r="K1975" s="15" t="s">
        <v>903</v>
      </c>
      <c r="L1975" s="15" t="s">
        <v>2673</v>
      </c>
      <c r="M1975" s="15" t="s">
        <v>2672</v>
      </c>
      <c r="N1975" s="15" t="s">
        <v>2673</v>
      </c>
      <c r="O1975" s="15"/>
    </row>
    <row r="1976" spans="1:15" ht="18" customHeight="1" x14ac:dyDescent="0.3">
      <c r="A1976" s="29">
        <v>1975</v>
      </c>
      <c r="B1976" s="15" t="s">
        <v>52</v>
      </c>
      <c r="C1976" s="15" t="s">
        <v>65</v>
      </c>
      <c r="D1976" s="69">
        <v>103</v>
      </c>
      <c r="E1976" s="68" t="s">
        <v>3344</v>
      </c>
      <c r="F1976" s="21" t="s">
        <v>1093</v>
      </c>
      <c r="G1976" s="15" t="s">
        <v>164</v>
      </c>
      <c r="H1976" s="15" t="s">
        <v>905</v>
      </c>
      <c r="I1976" s="69">
        <v>59</v>
      </c>
      <c r="J1976" s="15" t="s">
        <v>2672</v>
      </c>
      <c r="K1976" s="15" t="s">
        <v>903</v>
      </c>
      <c r="L1976" s="15" t="s">
        <v>2673</v>
      </c>
      <c r="M1976" s="15" t="s">
        <v>2672</v>
      </c>
      <c r="N1976" s="15" t="s">
        <v>2673</v>
      </c>
      <c r="O1976" s="15"/>
    </row>
    <row r="1977" spans="1:15" ht="18" customHeight="1" x14ac:dyDescent="0.3">
      <c r="A1977" s="29">
        <v>1976</v>
      </c>
      <c r="B1977" s="15" t="s">
        <v>52</v>
      </c>
      <c r="C1977" s="15" t="s">
        <v>65</v>
      </c>
      <c r="D1977" s="69">
        <v>103</v>
      </c>
      <c r="E1977" s="68" t="s">
        <v>3344</v>
      </c>
      <c r="F1977" s="21" t="s">
        <v>1093</v>
      </c>
      <c r="G1977" s="15" t="s">
        <v>164</v>
      </c>
      <c r="H1977" s="15" t="s">
        <v>906</v>
      </c>
      <c r="I1977" s="69">
        <v>35</v>
      </c>
      <c r="J1977" s="15" t="s">
        <v>2674</v>
      </c>
      <c r="K1977" s="15" t="s">
        <v>903</v>
      </c>
      <c r="L1977" s="15" t="s">
        <v>2673</v>
      </c>
      <c r="M1977" s="15" t="s">
        <v>2672</v>
      </c>
      <c r="N1977" s="15" t="s">
        <v>2673</v>
      </c>
      <c r="O1977" s="15"/>
    </row>
    <row r="1978" spans="1:15" ht="18" customHeight="1" x14ac:dyDescent="0.3">
      <c r="A1978" s="29">
        <v>1977</v>
      </c>
      <c r="B1978" s="15" t="s">
        <v>52</v>
      </c>
      <c r="C1978" s="15" t="s">
        <v>65</v>
      </c>
      <c r="D1978" s="69">
        <v>103</v>
      </c>
      <c r="E1978" s="68" t="s">
        <v>3344</v>
      </c>
      <c r="F1978" s="21" t="s">
        <v>1093</v>
      </c>
      <c r="G1978" s="15" t="s">
        <v>164</v>
      </c>
      <c r="H1978" s="15" t="s">
        <v>907</v>
      </c>
      <c r="I1978" s="69">
        <v>62</v>
      </c>
      <c r="J1978" s="15" t="s">
        <v>2672</v>
      </c>
      <c r="K1978" s="15" t="s">
        <v>903</v>
      </c>
      <c r="L1978" s="15" t="s">
        <v>2673</v>
      </c>
      <c r="M1978" s="15" t="s">
        <v>2672</v>
      </c>
      <c r="N1978" s="15" t="s">
        <v>2673</v>
      </c>
      <c r="O1978" s="15"/>
    </row>
    <row r="1979" spans="1:15" ht="18" customHeight="1" x14ac:dyDescent="0.3">
      <c r="A1979" s="29">
        <v>1978</v>
      </c>
      <c r="B1979" s="15" t="s">
        <v>52</v>
      </c>
      <c r="C1979" s="15" t="s">
        <v>65</v>
      </c>
      <c r="D1979" s="69">
        <v>103</v>
      </c>
      <c r="E1979" s="68" t="s">
        <v>3344</v>
      </c>
      <c r="F1979" s="21" t="s">
        <v>1093</v>
      </c>
      <c r="G1979" s="15" t="s">
        <v>164</v>
      </c>
      <c r="H1979" s="15" t="s">
        <v>908</v>
      </c>
      <c r="I1979" s="69">
        <v>112</v>
      </c>
      <c r="J1979" s="15" t="s">
        <v>2672</v>
      </c>
      <c r="K1979" s="15" t="s">
        <v>903</v>
      </c>
      <c r="L1979" s="15" t="s">
        <v>2673</v>
      </c>
      <c r="M1979" s="15" t="s">
        <v>2672</v>
      </c>
      <c r="N1979" s="15" t="s">
        <v>2673</v>
      </c>
      <c r="O1979" s="15"/>
    </row>
    <row r="1980" spans="1:15" ht="18" customHeight="1" x14ac:dyDescent="0.3">
      <c r="A1980" s="29">
        <v>1979</v>
      </c>
      <c r="B1980" s="15" t="s">
        <v>52</v>
      </c>
      <c r="C1980" s="15" t="s">
        <v>66</v>
      </c>
      <c r="D1980" s="69">
        <v>104</v>
      </c>
      <c r="E1980" s="68" t="s">
        <v>257</v>
      </c>
      <c r="F1980" s="21" t="s">
        <v>646</v>
      </c>
      <c r="G1980" s="15" t="s">
        <v>1553</v>
      </c>
      <c r="H1980" s="15" t="s">
        <v>901</v>
      </c>
      <c r="I1980" s="69">
        <v>76</v>
      </c>
      <c r="J1980" s="13" t="s">
        <v>2672</v>
      </c>
      <c r="K1980" s="15" t="s">
        <v>2674</v>
      </c>
      <c r="L1980" s="15" t="s">
        <v>2525</v>
      </c>
      <c r="M1980" s="15" t="s">
        <v>2672</v>
      </c>
      <c r="N1980" s="15" t="s">
        <v>2673</v>
      </c>
      <c r="O1980" s="15"/>
    </row>
    <row r="1981" spans="1:15" ht="18" customHeight="1" x14ac:dyDescent="0.3">
      <c r="A1981" s="29">
        <v>1980</v>
      </c>
      <c r="B1981" s="15" t="s">
        <v>52</v>
      </c>
      <c r="C1981" s="15" t="s">
        <v>66</v>
      </c>
      <c r="D1981" s="69">
        <v>104</v>
      </c>
      <c r="E1981" s="68" t="s">
        <v>257</v>
      </c>
      <c r="F1981" s="21" t="s">
        <v>646</v>
      </c>
      <c r="G1981" s="15" t="s">
        <v>1553</v>
      </c>
      <c r="H1981" s="15" t="s">
        <v>904</v>
      </c>
      <c r="I1981" s="69">
        <v>55</v>
      </c>
      <c r="J1981" s="13" t="s">
        <v>2672</v>
      </c>
      <c r="K1981" s="15" t="s">
        <v>2674</v>
      </c>
      <c r="L1981" s="15" t="s">
        <v>2525</v>
      </c>
      <c r="M1981" s="15" t="s">
        <v>2672</v>
      </c>
      <c r="N1981" s="15" t="s">
        <v>2673</v>
      </c>
      <c r="O1981" s="15"/>
    </row>
    <row r="1982" spans="1:15" ht="18" customHeight="1" x14ac:dyDescent="0.3">
      <c r="A1982" s="29">
        <v>1981</v>
      </c>
      <c r="B1982" s="15" t="s">
        <v>52</v>
      </c>
      <c r="C1982" s="15" t="s">
        <v>66</v>
      </c>
      <c r="D1982" s="69">
        <v>104</v>
      </c>
      <c r="E1982" s="68" t="s">
        <v>257</v>
      </c>
      <c r="F1982" s="21" t="s">
        <v>646</v>
      </c>
      <c r="G1982" s="15" t="s">
        <v>1553</v>
      </c>
      <c r="H1982" s="15" t="s">
        <v>905</v>
      </c>
      <c r="I1982" s="69">
        <v>76</v>
      </c>
      <c r="J1982" s="13" t="s">
        <v>2672</v>
      </c>
      <c r="K1982" s="15" t="s">
        <v>2674</v>
      </c>
      <c r="L1982" s="15" t="s">
        <v>2525</v>
      </c>
      <c r="M1982" s="15" t="s">
        <v>2672</v>
      </c>
      <c r="N1982" s="15" t="s">
        <v>2673</v>
      </c>
      <c r="O1982" s="15"/>
    </row>
    <row r="1983" spans="1:15" ht="18" customHeight="1" x14ac:dyDescent="0.3">
      <c r="A1983" s="29">
        <v>1982</v>
      </c>
      <c r="B1983" s="15" t="s">
        <v>52</v>
      </c>
      <c r="C1983" s="15" t="s">
        <v>66</v>
      </c>
      <c r="D1983" s="69">
        <v>104</v>
      </c>
      <c r="E1983" s="68" t="s">
        <v>257</v>
      </c>
      <c r="F1983" s="21" t="s">
        <v>646</v>
      </c>
      <c r="G1983" s="15" t="s">
        <v>1553</v>
      </c>
      <c r="H1983" s="15" t="s">
        <v>906</v>
      </c>
      <c r="I1983" s="69">
        <v>55</v>
      </c>
      <c r="J1983" s="13" t="s">
        <v>2672</v>
      </c>
      <c r="K1983" s="15" t="s">
        <v>2674</v>
      </c>
      <c r="L1983" s="15" t="s">
        <v>2525</v>
      </c>
      <c r="M1983" s="15" t="s">
        <v>2672</v>
      </c>
      <c r="N1983" s="15" t="s">
        <v>2673</v>
      </c>
      <c r="O1983" s="15"/>
    </row>
    <row r="1984" spans="1:15" ht="18" customHeight="1" x14ac:dyDescent="0.3">
      <c r="A1984" s="29">
        <v>1983</v>
      </c>
      <c r="B1984" s="15" t="s">
        <v>52</v>
      </c>
      <c r="C1984" s="15" t="s">
        <v>66</v>
      </c>
      <c r="D1984" s="69">
        <v>104</v>
      </c>
      <c r="E1984" s="68" t="s">
        <v>257</v>
      </c>
      <c r="F1984" s="21" t="s">
        <v>646</v>
      </c>
      <c r="G1984" s="15" t="s">
        <v>1553</v>
      </c>
      <c r="H1984" s="15" t="s">
        <v>907</v>
      </c>
      <c r="I1984" s="69">
        <v>76</v>
      </c>
      <c r="J1984" s="13" t="s">
        <v>2672</v>
      </c>
      <c r="K1984" s="15" t="s">
        <v>2674</v>
      </c>
      <c r="L1984" s="15" t="s">
        <v>2525</v>
      </c>
      <c r="M1984" s="15" t="s">
        <v>2672</v>
      </c>
      <c r="N1984" s="15" t="s">
        <v>2673</v>
      </c>
      <c r="O1984" s="15"/>
    </row>
    <row r="1985" spans="1:15" ht="18" customHeight="1" x14ac:dyDescent="0.3">
      <c r="A1985" s="29">
        <v>1984</v>
      </c>
      <c r="B1985" s="15" t="s">
        <v>52</v>
      </c>
      <c r="C1985" s="15" t="s">
        <v>66</v>
      </c>
      <c r="D1985" s="69">
        <v>104</v>
      </c>
      <c r="E1985" s="68" t="s">
        <v>257</v>
      </c>
      <c r="F1985" s="21" t="s">
        <v>646</v>
      </c>
      <c r="G1985" s="15" t="s">
        <v>1553</v>
      </c>
      <c r="H1985" s="15" t="s">
        <v>908</v>
      </c>
      <c r="I1985" s="69">
        <v>55</v>
      </c>
      <c r="J1985" s="13" t="s">
        <v>2672</v>
      </c>
      <c r="K1985" s="15" t="s">
        <v>2674</v>
      </c>
      <c r="L1985" s="15" t="s">
        <v>2525</v>
      </c>
      <c r="M1985" s="15" t="s">
        <v>2672</v>
      </c>
      <c r="N1985" s="15" t="s">
        <v>2673</v>
      </c>
      <c r="O1985" s="15"/>
    </row>
    <row r="1986" spans="1:15" ht="18" customHeight="1" x14ac:dyDescent="0.3">
      <c r="A1986" s="29">
        <v>1985</v>
      </c>
      <c r="B1986" s="15" t="s">
        <v>52</v>
      </c>
      <c r="C1986" s="15" t="s">
        <v>66</v>
      </c>
      <c r="D1986" s="69">
        <v>104</v>
      </c>
      <c r="E1986" s="68" t="s">
        <v>257</v>
      </c>
      <c r="F1986" s="21" t="s">
        <v>646</v>
      </c>
      <c r="G1986" s="15" t="s">
        <v>1553</v>
      </c>
      <c r="H1986" s="15" t="s">
        <v>909</v>
      </c>
      <c r="I1986" s="69">
        <v>76</v>
      </c>
      <c r="J1986" s="13" t="s">
        <v>2672</v>
      </c>
      <c r="K1986" s="15" t="s">
        <v>2674</v>
      </c>
      <c r="L1986" s="15" t="s">
        <v>2525</v>
      </c>
      <c r="M1986" s="15" t="s">
        <v>2672</v>
      </c>
      <c r="N1986" s="15" t="s">
        <v>2673</v>
      </c>
      <c r="O1986" s="15"/>
    </row>
    <row r="1987" spans="1:15" ht="18" customHeight="1" x14ac:dyDescent="0.3">
      <c r="A1987" s="29">
        <v>1986</v>
      </c>
      <c r="B1987" s="15" t="s">
        <v>52</v>
      </c>
      <c r="C1987" s="15" t="s">
        <v>66</v>
      </c>
      <c r="D1987" s="69">
        <v>104</v>
      </c>
      <c r="E1987" s="68" t="s">
        <v>257</v>
      </c>
      <c r="F1987" s="21" t="s">
        <v>646</v>
      </c>
      <c r="G1987" s="15" t="s">
        <v>1553</v>
      </c>
      <c r="H1987" s="15" t="s">
        <v>910</v>
      </c>
      <c r="I1987" s="69">
        <v>55</v>
      </c>
      <c r="J1987" s="13" t="s">
        <v>2672</v>
      </c>
      <c r="K1987" s="15" t="s">
        <v>2674</v>
      </c>
      <c r="L1987" s="15" t="s">
        <v>2525</v>
      </c>
      <c r="M1987" s="15" t="s">
        <v>2672</v>
      </c>
      <c r="N1987" s="15" t="s">
        <v>2673</v>
      </c>
      <c r="O1987" s="15"/>
    </row>
    <row r="1988" spans="1:15" ht="18" customHeight="1" x14ac:dyDescent="0.3">
      <c r="A1988" s="29">
        <v>1987</v>
      </c>
      <c r="B1988" s="15" t="s">
        <v>52</v>
      </c>
      <c r="C1988" s="15" t="s">
        <v>66</v>
      </c>
      <c r="D1988" s="69">
        <v>104</v>
      </c>
      <c r="E1988" s="68" t="s">
        <v>2933</v>
      </c>
      <c r="F1988" s="21" t="s">
        <v>648</v>
      </c>
      <c r="G1988" s="15" t="s">
        <v>164</v>
      </c>
      <c r="H1988" s="15" t="s">
        <v>901</v>
      </c>
      <c r="I1988" s="69">
        <v>222</v>
      </c>
      <c r="J1988" s="15" t="s">
        <v>2674</v>
      </c>
      <c r="K1988" s="15" t="s">
        <v>2674</v>
      </c>
      <c r="L1988" s="15" t="s">
        <v>1703</v>
      </c>
      <c r="M1988" s="15" t="s">
        <v>2672</v>
      </c>
      <c r="N1988" s="15" t="s">
        <v>2673</v>
      </c>
      <c r="O1988" s="15"/>
    </row>
    <row r="1989" spans="1:15" ht="18" customHeight="1" x14ac:dyDescent="0.3">
      <c r="A1989" s="29">
        <v>1988</v>
      </c>
      <c r="B1989" s="15" t="s">
        <v>52</v>
      </c>
      <c r="C1989" s="15" t="s">
        <v>66</v>
      </c>
      <c r="D1989" s="69">
        <v>104</v>
      </c>
      <c r="E1989" s="68" t="s">
        <v>2933</v>
      </c>
      <c r="F1989" s="21" t="s">
        <v>648</v>
      </c>
      <c r="G1989" s="15" t="s">
        <v>164</v>
      </c>
      <c r="H1989" s="15" t="s">
        <v>904</v>
      </c>
      <c r="I1989" s="69">
        <v>203</v>
      </c>
      <c r="J1989" s="15" t="s">
        <v>2672</v>
      </c>
      <c r="K1989" s="15" t="s">
        <v>903</v>
      </c>
      <c r="L1989" s="15" t="s">
        <v>2673</v>
      </c>
      <c r="M1989" s="15" t="s">
        <v>2672</v>
      </c>
      <c r="N1989" s="15" t="s">
        <v>2673</v>
      </c>
      <c r="O1989" s="15"/>
    </row>
    <row r="1990" spans="1:15" ht="18" customHeight="1" x14ac:dyDescent="0.3">
      <c r="A1990" s="29">
        <v>1989</v>
      </c>
      <c r="B1990" s="15" t="s">
        <v>52</v>
      </c>
      <c r="C1990" s="15" t="s">
        <v>66</v>
      </c>
      <c r="D1990" s="69">
        <v>104</v>
      </c>
      <c r="E1990" s="68" t="s">
        <v>2933</v>
      </c>
      <c r="F1990" s="21" t="s">
        <v>648</v>
      </c>
      <c r="G1990" s="15" t="s">
        <v>164</v>
      </c>
      <c r="H1990" s="15" t="s">
        <v>905</v>
      </c>
      <c r="I1990" s="69">
        <v>186</v>
      </c>
      <c r="J1990" s="15" t="s">
        <v>2672</v>
      </c>
      <c r="K1990" s="15" t="s">
        <v>903</v>
      </c>
      <c r="L1990" s="15" t="s">
        <v>2673</v>
      </c>
      <c r="M1990" s="15" t="s">
        <v>2672</v>
      </c>
      <c r="N1990" s="15" t="s">
        <v>2673</v>
      </c>
      <c r="O1990" s="15"/>
    </row>
    <row r="1991" spans="1:15" ht="18" customHeight="1" x14ac:dyDescent="0.3">
      <c r="A1991" s="29">
        <v>1990</v>
      </c>
      <c r="B1991" s="15" t="s">
        <v>52</v>
      </c>
      <c r="C1991" s="15" t="s">
        <v>66</v>
      </c>
      <c r="D1991" s="69">
        <v>104</v>
      </c>
      <c r="E1991" s="68" t="s">
        <v>2933</v>
      </c>
      <c r="F1991" s="21" t="s">
        <v>648</v>
      </c>
      <c r="G1991" s="15" t="s">
        <v>164</v>
      </c>
      <c r="H1991" s="15" t="s">
        <v>906</v>
      </c>
      <c r="I1991" s="69">
        <v>186</v>
      </c>
      <c r="J1991" s="15" t="s">
        <v>2672</v>
      </c>
      <c r="K1991" s="15" t="s">
        <v>903</v>
      </c>
      <c r="L1991" s="15" t="s">
        <v>2673</v>
      </c>
      <c r="M1991" s="15" t="s">
        <v>2672</v>
      </c>
      <c r="N1991" s="15" t="s">
        <v>2673</v>
      </c>
      <c r="O1991" s="15"/>
    </row>
    <row r="1992" spans="1:15" ht="18" customHeight="1" x14ac:dyDescent="0.3">
      <c r="A1992" s="29">
        <v>1991</v>
      </c>
      <c r="B1992" s="15" t="s">
        <v>52</v>
      </c>
      <c r="C1992" s="15" t="s">
        <v>66</v>
      </c>
      <c r="D1992" s="69">
        <v>104</v>
      </c>
      <c r="E1992" s="68" t="s">
        <v>2933</v>
      </c>
      <c r="F1992" s="21" t="s">
        <v>648</v>
      </c>
      <c r="G1992" s="15" t="s">
        <v>164</v>
      </c>
      <c r="H1992" s="15" t="s">
        <v>907</v>
      </c>
      <c r="I1992" s="69">
        <v>200</v>
      </c>
      <c r="J1992" s="15" t="s">
        <v>2674</v>
      </c>
      <c r="K1992" s="15" t="s">
        <v>903</v>
      </c>
      <c r="L1992" s="15" t="s">
        <v>2673</v>
      </c>
      <c r="M1992" s="15" t="s">
        <v>2672</v>
      </c>
      <c r="N1992" s="15" t="s">
        <v>2673</v>
      </c>
      <c r="O1992" s="15"/>
    </row>
    <row r="1993" spans="1:15" ht="18" customHeight="1" x14ac:dyDescent="0.3">
      <c r="A1993" s="29">
        <v>1992</v>
      </c>
      <c r="B1993" s="15" t="s">
        <v>52</v>
      </c>
      <c r="C1993" s="15" t="s">
        <v>66</v>
      </c>
      <c r="D1993" s="69">
        <v>104</v>
      </c>
      <c r="E1993" s="68" t="s">
        <v>2933</v>
      </c>
      <c r="F1993" s="21" t="s">
        <v>648</v>
      </c>
      <c r="G1993" s="15" t="s">
        <v>164</v>
      </c>
      <c r="H1993" s="15" t="s">
        <v>908</v>
      </c>
      <c r="I1993" s="69">
        <v>230</v>
      </c>
      <c r="J1993" s="15" t="s">
        <v>2672</v>
      </c>
      <c r="K1993" s="15" t="s">
        <v>903</v>
      </c>
      <c r="L1993" s="15" t="s">
        <v>2673</v>
      </c>
      <c r="M1993" s="15" t="s">
        <v>2672</v>
      </c>
      <c r="N1993" s="15" t="s">
        <v>2673</v>
      </c>
      <c r="O1993" s="15"/>
    </row>
    <row r="1994" spans="1:15" ht="18" customHeight="1" x14ac:dyDescent="0.3">
      <c r="A1994" s="29">
        <v>1993</v>
      </c>
      <c r="B1994" s="15" t="s">
        <v>52</v>
      </c>
      <c r="C1994" s="15" t="s">
        <v>66</v>
      </c>
      <c r="D1994" s="69">
        <v>104</v>
      </c>
      <c r="E1994" s="68" t="s">
        <v>3345</v>
      </c>
      <c r="F1994" s="24" t="s">
        <v>645</v>
      </c>
      <c r="G1994" s="15" t="s">
        <v>164</v>
      </c>
      <c r="H1994" s="15" t="s">
        <v>901</v>
      </c>
      <c r="I1994" s="69">
        <v>131</v>
      </c>
      <c r="J1994" s="15" t="s">
        <v>2672</v>
      </c>
      <c r="K1994" s="15" t="s">
        <v>903</v>
      </c>
      <c r="L1994" s="15" t="s">
        <v>2673</v>
      </c>
      <c r="M1994" s="15" t="s">
        <v>2672</v>
      </c>
      <c r="N1994" s="15" t="s">
        <v>2673</v>
      </c>
      <c r="O1994" s="15"/>
    </row>
    <row r="1995" spans="1:15" ht="18" customHeight="1" x14ac:dyDescent="0.3">
      <c r="A1995" s="29">
        <v>1994</v>
      </c>
      <c r="B1995" s="15" t="s">
        <v>52</v>
      </c>
      <c r="C1995" s="15" t="s">
        <v>66</v>
      </c>
      <c r="D1995" s="69">
        <v>104</v>
      </c>
      <c r="E1995" s="68" t="s">
        <v>3345</v>
      </c>
      <c r="F1995" s="24" t="s">
        <v>645</v>
      </c>
      <c r="G1995" s="15" t="s">
        <v>164</v>
      </c>
      <c r="H1995" s="15" t="s">
        <v>904</v>
      </c>
      <c r="I1995" s="69">
        <v>100</v>
      </c>
      <c r="J1995" s="15" t="s">
        <v>2674</v>
      </c>
      <c r="K1995" s="15" t="s">
        <v>903</v>
      </c>
      <c r="L1995" s="15" t="s">
        <v>2673</v>
      </c>
      <c r="M1995" s="15" t="s">
        <v>2672</v>
      </c>
      <c r="N1995" s="15" t="s">
        <v>2673</v>
      </c>
      <c r="O1995" s="15"/>
    </row>
    <row r="1996" spans="1:15" ht="18" customHeight="1" x14ac:dyDescent="0.3">
      <c r="A1996" s="29">
        <v>1995</v>
      </c>
      <c r="B1996" s="15" t="s">
        <v>52</v>
      </c>
      <c r="C1996" s="15" t="s">
        <v>66</v>
      </c>
      <c r="D1996" s="69">
        <v>104</v>
      </c>
      <c r="E1996" s="68" t="s">
        <v>3345</v>
      </c>
      <c r="F1996" s="24" t="s">
        <v>645</v>
      </c>
      <c r="G1996" s="15" t="s">
        <v>164</v>
      </c>
      <c r="H1996" s="15" t="s">
        <v>905</v>
      </c>
      <c r="I1996" s="69">
        <v>91</v>
      </c>
      <c r="J1996" s="15" t="s">
        <v>2672</v>
      </c>
      <c r="K1996" s="15" t="s">
        <v>903</v>
      </c>
      <c r="L1996" s="15" t="s">
        <v>2673</v>
      </c>
      <c r="M1996" s="15" t="s">
        <v>2672</v>
      </c>
      <c r="N1996" s="15" t="s">
        <v>2673</v>
      </c>
      <c r="O1996" s="15"/>
    </row>
    <row r="1997" spans="1:15" ht="18" customHeight="1" x14ac:dyDescent="0.3">
      <c r="A1997" s="29">
        <v>1996</v>
      </c>
      <c r="B1997" s="15" t="s">
        <v>52</v>
      </c>
      <c r="C1997" s="15" t="s">
        <v>66</v>
      </c>
      <c r="D1997" s="69">
        <v>104</v>
      </c>
      <c r="E1997" s="68" t="s">
        <v>3345</v>
      </c>
      <c r="F1997" s="24" t="s">
        <v>645</v>
      </c>
      <c r="G1997" s="15" t="s">
        <v>164</v>
      </c>
      <c r="H1997" s="15" t="s">
        <v>906</v>
      </c>
      <c r="I1997" s="69">
        <v>140</v>
      </c>
      <c r="J1997" s="15" t="s">
        <v>2674</v>
      </c>
      <c r="K1997" s="15" t="s">
        <v>903</v>
      </c>
      <c r="L1997" s="15" t="s">
        <v>2673</v>
      </c>
      <c r="M1997" s="15" t="s">
        <v>2672</v>
      </c>
      <c r="N1997" s="15" t="s">
        <v>2673</v>
      </c>
      <c r="O1997" s="15"/>
    </row>
    <row r="1998" spans="1:15" ht="18" customHeight="1" x14ac:dyDescent="0.3">
      <c r="A1998" s="29">
        <v>1997</v>
      </c>
      <c r="B1998" s="15" t="s">
        <v>52</v>
      </c>
      <c r="C1998" s="15" t="s">
        <v>66</v>
      </c>
      <c r="D1998" s="69">
        <v>104</v>
      </c>
      <c r="E1998" s="68" t="s">
        <v>3346</v>
      </c>
      <c r="F1998" s="24" t="s">
        <v>644</v>
      </c>
      <c r="G1998" s="15" t="s">
        <v>154</v>
      </c>
      <c r="H1998" s="15" t="s">
        <v>901</v>
      </c>
      <c r="I1998" s="69">
        <v>184</v>
      </c>
      <c r="J1998" s="15" t="s">
        <v>2674</v>
      </c>
      <c r="K1998" s="15" t="s">
        <v>903</v>
      </c>
      <c r="L1998" s="15" t="s">
        <v>2673</v>
      </c>
      <c r="M1998" s="15" t="s">
        <v>2672</v>
      </c>
      <c r="N1998" s="15" t="s">
        <v>2673</v>
      </c>
      <c r="O1998" s="15"/>
    </row>
    <row r="1999" spans="1:15" ht="18" customHeight="1" x14ac:dyDescent="0.3">
      <c r="A1999" s="29">
        <v>1998</v>
      </c>
      <c r="B1999" s="15" t="s">
        <v>52</v>
      </c>
      <c r="C1999" s="15" t="s">
        <v>66</v>
      </c>
      <c r="D1999" s="69">
        <v>104</v>
      </c>
      <c r="E1999" s="68" t="s">
        <v>3346</v>
      </c>
      <c r="F1999" s="24" t="s">
        <v>644</v>
      </c>
      <c r="G1999" s="15" t="s">
        <v>154</v>
      </c>
      <c r="H1999" s="15" t="s">
        <v>904</v>
      </c>
      <c r="I1999" s="69">
        <v>184</v>
      </c>
      <c r="J1999" s="15" t="s">
        <v>2672</v>
      </c>
      <c r="K1999" s="15" t="s">
        <v>903</v>
      </c>
      <c r="L1999" s="15" t="s">
        <v>2673</v>
      </c>
      <c r="M1999" s="15" t="s">
        <v>2672</v>
      </c>
      <c r="N1999" s="15" t="s">
        <v>2673</v>
      </c>
      <c r="O1999" s="15"/>
    </row>
    <row r="2000" spans="1:15" ht="18" customHeight="1" x14ac:dyDescent="0.3">
      <c r="A2000" s="29">
        <v>1999</v>
      </c>
      <c r="B2000" s="15" t="s">
        <v>52</v>
      </c>
      <c r="C2000" s="15" t="s">
        <v>66</v>
      </c>
      <c r="D2000" s="69">
        <v>104</v>
      </c>
      <c r="E2000" s="68" t="s">
        <v>3346</v>
      </c>
      <c r="F2000" s="24" t="s">
        <v>644</v>
      </c>
      <c r="G2000" s="15" t="s">
        <v>154</v>
      </c>
      <c r="H2000" s="15" t="s">
        <v>905</v>
      </c>
      <c r="I2000" s="69">
        <v>103</v>
      </c>
      <c r="J2000" s="15" t="s">
        <v>2672</v>
      </c>
      <c r="K2000" s="15" t="s">
        <v>903</v>
      </c>
      <c r="L2000" s="15" t="s">
        <v>2673</v>
      </c>
      <c r="M2000" s="15" t="s">
        <v>2672</v>
      </c>
      <c r="N2000" s="15" t="s">
        <v>2673</v>
      </c>
      <c r="O2000" s="15"/>
    </row>
    <row r="2001" spans="1:15" ht="18" customHeight="1" x14ac:dyDescent="0.3">
      <c r="A2001" s="29">
        <v>2000</v>
      </c>
      <c r="B2001" s="15" t="s">
        <v>52</v>
      </c>
      <c r="C2001" s="15" t="s">
        <v>66</v>
      </c>
      <c r="D2001" s="69">
        <v>104</v>
      </c>
      <c r="E2001" s="68" t="s">
        <v>3346</v>
      </c>
      <c r="F2001" s="24" t="s">
        <v>644</v>
      </c>
      <c r="G2001" s="15" t="s">
        <v>154</v>
      </c>
      <c r="H2001" s="15" t="s">
        <v>906</v>
      </c>
      <c r="I2001" s="69">
        <v>142</v>
      </c>
      <c r="J2001" s="15" t="s">
        <v>2672</v>
      </c>
      <c r="K2001" s="15" t="s">
        <v>903</v>
      </c>
      <c r="L2001" s="15" t="s">
        <v>2673</v>
      </c>
      <c r="M2001" s="15" t="s">
        <v>2672</v>
      </c>
      <c r="N2001" s="15" t="s">
        <v>2673</v>
      </c>
      <c r="O2001" s="15"/>
    </row>
    <row r="2002" spans="1:15" ht="18" customHeight="1" x14ac:dyDescent="0.3">
      <c r="A2002" s="29">
        <v>2001</v>
      </c>
      <c r="B2002" s="15" t="s">
        <v>52</v>
      </c>
      <c r="C2002" s="15" t="s">
        <v>66</v>
      </c>
      <c r="D2002" s="69">
        <v>104</v>
      </c>
      <c r="E2002" s="68" t="s">
        <v>3346</v>
      </c>
      <c r="F2002" s="24" t="s">
        <v>644</v>
      </c>
      <c r="G2002" s="15" t="s">
        <v>154</v>
      </c>
      <c r="H2002" s="15" t="s">
        <v>907</v>
      </c>
      <c r="I2002" s="69">
        <v>109</v>
      </c>
      <c r="J2002" s="15" t="s">
        <v>2672</v>
      </c>
      <c r="K2002" s="15" t="s">
        <v>903</v>
      </c>
      <c r="L2002" s="15" t="s">
        <v>2673</v>
      </c>
      <c r="M2002" s="15" t="s">
        <v>2672</v>
      </c>
      <c r="N2002" s="15" t="s">
        <v>2673</v>
      </c>
      <c r="O2002" s="15"/>
    </row>
    <row r="2003" spans="1:15" ht="18" customHeight="1" x14ac:dyDescent="0.3">
      <c r="A2003" s="29">
        <v>2002</v>
      </c>
      <c r="B2003" s="15" t="s">
        <v>52</v>
      </c>
      <c r="C2003" s="15" t="s">
        <v>66</v>
      </c>
      <c r="D2003" s="69">
        <v>104</v>
      </c>
      <c r="E2003" s="68" t="s">
        <v>3346</v>
      </c>
      <c r="F2003" s="24" t="s">
        <v>644</v>
      </c>
      <c r="G2003" s="15" t="s">
        <v>154</v>
      </c>
      <c r="H2003" s="15" t="s">
        <v>908</v>
      </c>
      <c r="I2003" s="69">
        <v>131</v>
      </c>
      <c r="J2003" s="15" t="s">
        <v>2672</v>
      </c>
      <c r="K2003" s="15" t="s">
        <v>903</v>
      </c>
      <c r="L2003" s="15" t="s">
        <v>2673</v>
      </c>
      <c r="M2003" s="15" t="s">
        <v>2672</v>
      </c>
      <c r="N2003" s="15" t="s">
        <v>2673</v>
      </c>
      <c r="O2003" s="15"/>
    </row>
    <row r="2004" spans="1:15" ht="18" customHeight="1" x14ac:dyDescent="0.3">
      <c r="A2004" s="29">
        <v>2003</v>
      </c>
      <c r="B2004" s="13" t="s">
        <v>1882</v>
      </c>
      <c r="C2004" s="13" t="s">
        <v>2017</v>
      </c>
      <c r="D2004" s="13">
        <v>104</v>
      </c>
      <c r="E2004" s="63" t="s">
        <v>2018</v>
      </c>
      <c r="F2004" s="21" t="s">
        <v>1314</v>
      </c>
      <c r="G2004" s="13" t="s">
        <v>1538</v>
      </c>
      <c r="H2004" s="15" t="s">
        <v>2685</v>
      </c>
      <c r="I2004" s="69">
        <v>59</v>
      </c>
      <c r="J2004" s="13" t="s">
        <v>2672</v>
      </c>
      <c r="K2004" s="15" t="s">
        <v>2674</v>
      </c>
      <c r="L2004" s="15" t="s">
        <v>2525</v>
      </c>
      <c r="M2004" s="15" t="s">
        <v>2672</v>
      </c>
      <c r="N2004" s="15" t="s">
        <v>2673</v>
      </c>
      <c r="O2004" s="15"/>
    </row>
    <row r="2005" spans="1:15" ht="18" customHeight="1" x14ac:dyDescent="0.3">
      <c r="A2005" s="29">
        <v>2004</v>
      </c>
      <c r="B2005" s="13" t="s">
        <v>1882</v>
      </c>
      <c r="C2005" s="13" t="s">
        <v>2017</v>
      </c>
      <c r="D2005" s="13">
        <v>104</v>
      </c>
      <c r="E2005" s="63" t="s">
        <v>2018</v>
      </c>
      <c r="F2005" s="21" t="s">
        <v>1314</v>
      </c>
      <c r="G2005" s="13" t="s">
        <v>1538</v>
      </c>
      <c r="H2005" s="15" t="s">
        <v>2678</v>
      </c>
      <c r="I2005" s="69">
        <v>34</v>
      </c>
      <c r="J2005" s="13" t="s">
        <v>2672</v>
      </c>
      <c r="K2005" s="15" t="s">
        <v>2674</v>
      </c>
      <c r="L2005" s="15" t="s">
        <v>2525</v>
      </c>
      <c r="M2005" s="15" t="s">
        <v>2672</v>
      </c>
      <c r="N2005" s="15" t="s">
        <v>2673</v>
      </c>
      <c r="O2005" s="15"/>
    </row>
    <row r="2006" spans="1:15" ht="18" customHeight="1" x14ac:dyDescent="0.3">
      <c r="A2006" s="29">
        <v>2005</v>
      </c>
      <c r="B2006" s="13" t="s">
        <v>1882</v>
      </c>
      <c r="C2006" s="13" t="s">
        <v>2017</v>
      </c>
      <c r="D2006" s="13">
        <v>104</v>
      </c>
      <c r="E2006" s="63" t="s">
        <v>2018</v>
      </c>
      <c r="F2006" s="21" t="s">
        <v>1314</v>
      </c>
      <c r="G2006" s="13" t="s">
        <v>1538</v>
      </c>
      <c r="H2006" s="15" t="s">
        <v>2679</v>
      </c>
      <c r="I2006" s="69">
        <v>164</v>
      </c>
      <c r="J2006" s="13" t="s">
        <v>902</v>
      </c>
      <c r="K2006" s="15" t="s">
        <v>2672</v>
      </c>
      <c r="L2006" s="15" t="s">
        <v>2673</v>
      </c>
      <c r="M2006" s="15" t="s">
        <v>2672</v>
      </c>
      <c r="N2006" s="15" t="s">
        <v>2673</v>
      </c>
      <c r="O2006" s="15"/>
    </row>
    <row r="2007" spans="1:15" ht="18" customHeight="1" x14ac:dyDescent="0.3">
      <c r="A2007" s="29">
        <v>2006</v>
      </c>
      <c r="B2007" s="13" t="s">
        <v>1882</v>
      </c>
      <c r="C2007" s="13" t="s">
        <v>2017</v>
      </c>
      <c r="D2007" s="13">
        <v>104</v>
      </c>
      <c r="E2007" s="63" t="s">
        <v>2018</v>
      </c>
      <c r="F2007" s="21" t="s">
        <v>1314</v>
      </c>
      <c r="G2007" s="13" t="s">
        <v>1538</v>
      </c>
      <c r="H2007" s="15" t="s">
        <v>2680</v>
      </c>
      <c r="I2007" s="69">
        <v>243</v>
      </c>
      <c r="J2007" s="13" t="s">
        <v>902</v>
      </c>
      <c r="K2007" s="15" t="s">
        <v>2672</v>
      </c>
      <c r="L2007" s="15" t="s">
        <v>2673</v>
      </c>
      <c r="M2007" s="15" t="s">
        <v>2672</v>
      </c>
      <c r="N2007" s="15" t="s">
        <v>2673</v>
      </c>
      <c r="O2007" s="15"/>
    </row>
    <row r="2008" spans="1:15" ht="18" customHeight="1" x14ac:dyDescent="0.3">
      <c r="A2008" s="29">
        <v>2007</v>
      </c>
      <c r="B2008" s="13" t="s">
        <v>1882</v>
      </c>
      <c r="C2008" s="13" t="s">
        <v>2017</v>
      </c>
      <c r="D2008" s="13">
        <v>104</v>
      </c>
      <c r="E2008" s="63" t="s">
        <v>2018</v>
      </c>
      <c r="F2008" s="21" t="s">
        <v>1314</v>
      </c>
      <c r="G2008" s="13" t="s">
        <v>1538</v>
      </c>
      <c r="H2008" s="15" t="s">
        <v>2690</v>
      </c>
      <c r="I2008" s="69">
        <v>152</v>
      </c>
      <c r="J2008" s="13" t="s">
        <v>2672</v>
      </c>
      <c r="K2008" s="15" t="s">
        <v>2672</v>
      </c>
      <c r="L2008" s="15" t="s">
        <v>2673</v>
      </c>
      <c r="M2008" s="15" t="s">
        <v>2672</v>
      </c>
      <c r="N2008" s="15" t="s">
        <v>2673</v>
      </c>
      <c r="O2008" s="15"/>
    </row>
    <row r="2009" spans="1:15" ht="18" customHeight="1" x14ac:dyDescent="0.3">
      <c r="A2009" s="29">
        <v>2008</v>
      </c>
      <c r="B2009" s="15" t="s">
        <v>1882</v>
      </c>
      <c r="C2009" s="15" t="s">
        <v>2017</v>
      </c>
      <c r="D2009" s="69">
        <v>104</v>
      </c>
      <c r="E2009" s="68" t="s">
        <v>3347</v>
      </c>
      <c r="F2009" s="24" t="s">
        <v>2934</v>
      </c>
      <c r="G2009" s="15" t="s">
        <v>1553</v>
      </c>
      <c r="H2009" s="15" t="s">
        <v>2685</v>
      </c>
      <c r="I2009" s="69">
        <v>83</v>
      </c>
      <c r="J2009" s="15" t="s">
        <v>2672</v>
      </c>
      <c r="K2009" s="15" t="s">
        <v>903</v>
      </c>
      <c r="L2009" s="15" t="s">
        <v>2673</v>
      </c>
      <c r="M2009" s="15" t="s">
        <v>2672</v>
      </c>
      <c r="N2009" s="15" t="s">
        <v>2673</v>
      </c>
      <c r="O2009" s="15"/>
    </row>
    <row r="2010" spans="1:15" ht="18" customHeight="1" x14ac:dyDescent="0.3">
      <c r="A2010" s="29">
        <v>2009</v>
      </c>
      <c r="B2010" s="15" t="s">
        <v>1882</v>
      </c>
      <c r="C2010" s="15" t="s">
        <v>2017</v>
      </c>
      <c r="D2010" s="69">
        <v>104</v>
      </c>
      <c r="E2010" s="68" t="s">
        <v>3347</v>
      </c>
      <c r="F2010" s="24" t="s">
        <v>2934</v>
      </c>
      <c r="G2010" s="15" t="s">
        <v>1553</v>
      </c>
      <c r="H2010" s="15" t="s">
        <v>2678</v>
      </c>
      <c r="I2010" s="69">
        <v>92</v>
      </c>
      <c r="J2010" s="15" t="s">
        <v>2672</v>
      </c>
      <c r="K2010" s="15" t="s">
        <v>903</v>
      </c>
      <c r="L2010" s="15" t="s">
        <v>2673</v>
      </c>
      <c r="M2010" s="15" t="s">
        <v>2672</v>
      </c>
      <c r="N2010" s="15" t="s">
        <v>2673</v>
      </c>
      <c r="O2010" s="15"/>
    </row>
    <row r="2011" spans="1:15" ht="18" customHeight="1" x14ac:dyDescent="0.3">
      <c r="A2011" s="29">
        <v>2010</v>
      </c>
      <c r="B2011" s="15" t="s">
        <v>1882</v>
      </c>
      <c r="C2011" s="15" t="s">
        <v>2017</v>
      </c>
      <c r="D2011" s="69">
        <v>104</v>
      </c>
      <c r="E2011" s="68" t="s">
        <v>3347</v>
      </c>
      <c r="F2011" s="24" t="s">
        <v>2934</v>
      </c>
      <c r="G2011" s="15" t="s">
        <v>1553</v>
      </c>
      <c r="H2011" s="15" t="s">
        <v>2679</v>
      </c>
      <c r="I2011" s="69">
        <v>92</v>
      </c>
      <c r="J2011" s="15" t="s">
        <v>2672</v>
      </c>
      <c r="K2011" s="15" t="s">
        <v>903</v>
      </c>
      <c r="L2011" s="15" t="s">
        <v>2673</v>
      </c>
      <c r="M2011" s="15" t="s">
        <v>2672</v>
      </c>
      <c r="N2011" s="15" t="s">
        <v>2673</v>
      </c>
      <c r="O2011" s="15"/>
    </row>
    <row r="2012" spans="1:15" ht="18" customHeight="1" x14ac:dyDescent="0.3">
      <c r="A2012" s="29">
        <v>2011</v>
      </c>
      <c r="B2012" s="15" t="s">
        <v>1882</v>
      </c>
      <c r="C2012" s="15" t="s">
        <v>2017</v>
      </c>
      <c r="D2012" s="69">
        <v>104</v>
      </c>
      <c r="E2012" s="68" t="s">
        <v>3347</v>
      </c>
      <c r="F2012" s="24" t="s">
        <v>2934</v>
      </c>
      <c r="G2012" s="15" t="s">
        <v>1553</v>
      </c>
      <c r="H2012" s="15" t="s">
        <v>2680</v>
      </c>
      <c r="I2012" s="69">
        <v>90</v>
      </c>
      <c r="J2012" s="15" t="s">
        <v>2672</v>
      </c>
      <c r="K2012" s="15" t="s">
        <v>903</v>
      </c>
      <c r="L2012" s="15" t="s">
        <v>2673</v>
      </c>
      <c r="M2012" s="15" t="s">
        <v>2672</v>
      </c>
      <c r="N2012" s="15" t="s">
        <v>2673</v>
      </c>
      <c r="O2012" s="15" t="s">
        <v>2935</v>
      </c>
    </row>
    <row r="2013" spans="1:15" ht="18" customHeight="1" x14ac:dyDescent="0.3">
      <c r="A2013" s="29">
        <v>2012</v>
      </c>
      <c r="B2013" s="15" t="s">
        <v>1882</v>
      </c>
      <c r="C2013" s="15" t="s">
        <v>2017</v>
      </c>
      <c r="D2013" s="69">
        <v>104</v>
      </c>
      <c r="E2013" s="68" t="s">
        <v>3347</v>
      </c>
      <c r="F2013" s="24" t="s">
        <v>2934</v>
      </c>
      <c r="G2013" s="15" t="s">
        <v>1553</v>
      </c>
      <c r="H2013" s="15" t="s">
        <v>2690</v>
      </c>
      <c r="I2013" s="69">
        <v>91</v>
      </c>
      <c r="J2013" s="15" t="s">
        <v>2672</v>
      </c>
      <c r="K2013" s="15" t="s">
        <v>903</v>
      </c>
      <c r="L2013" s="15" t="s">
        <v>2673</v>
      </c>
      <c r="M2013" s="15" t="s">
        <v>2672</v>
      </c>
      <c r="N2013" s="15" t="s">
        <v>2673</v>
      </c>
      <c r="O2013" s="15" t="s">
        <v>2935</v>
      </c>
    </row>
    <row r="2014" spans="1:15" ht="18" customHeight="1" x14ac:dyDescent="0.3">
      <c r="A2014" s="29">
        <v>2013</v>
      </c>
      <c r="B2014" s="15" t="s">
        <v>52</v>
      </c>
      <c r="C2014" s="15" t="s">
        <v>67</v>
      </c>
      <c r="D2014" s="69">
        <v>105</v>
      </c>
      <c r="E2014" s="68" t="s">
        <v>3348</v>
      </c>
      <c r="F2014" s="16" t="s">
        <v>610</v>
      </c>
      <c r="G2014" s="15" t="s">
        <v>164</v>
      </c>
      <c r="H2014" s="15" t="s">
        <v>901</v>
      </c>
      <c r="I2014" s="69">
        <v>106</v>
      </c>
      <c r="J2014" s="15" t="s">
        <v>2672</v>
      </c>
      <c r="K2014" s="15" t="s">
        <v>903</v>
      </c>
      <c r="L2014" s="15" t="s">
        <v>2673</v>
      </c>
      <c r="M2014" s="15" t="s">
        <v>2672</v>
      </c>
      <c r="N2014" s="15" t="s">
        <v>2673</v>
      </c>
      <c r="O2014" s="15"/>
    </row>
    <row r="2015" spans="1:15" ht="18" customHeight="1" x14ac:dyDescent="0.3">
      <c r="A2015" s="29">
        <v>2014</v>
      </c>
      <c r="B2015" s="15" t="s">
        <v>52</v>
      </c>
      <c r="C2015" s="15" t="s">
        <v>67</v>
      </c>
      <c r="D2015" s="69">
        <v>105</v>
      </c>
      <c r="E2015" s="68" t="s">
        <v>3348</v>
      </c>
      <c r="F2015" s="16" t="s">
        <v>610</v>
      </c>
      <c r="G2015" s="15" t="s">
        <v>164</v>
      </c>
      <c r="H2015" s="15" t="s">
        <v>904</v>
      </c>
      <c r="I2015" s="69">
        <v>123</v>
      </c>
      <c r="J2015" s="15" t="s">
        <v>2674</v>
      </c>
      <c r="K2015" s="15" t="s">
        <v>903</v>
      </c>
      <c r="L2015" s="15" t="s">
        <v>2673</v>
      </c>
      <c r="M2015" s="15" t="s">
        <v>2672</v>
      </c>
      <c r="N2015" s="15" t="s">
        <v>2673</v>
      </c>
      <c r="O2015" s="15"/>
    </row>
    <row r="2016" spans="1:15" ht="18" customHeight="1" x14ac:dyDescent="0.3">
      <c r="A2016" s="29">
        <v>2015</v>
      </c>
      <c r="B2016" s="15" t="s">
        <v>52</v>
      </c>
      <c r="C2016" s="15" t="s">
        <v>67</v>
      </c>
      <c r="D2016" s="69">
        <v>105</v>
      </c>
      <c r="E2016" s="68" t="s">
        <v>3348</v>
      </c>
      <c r="F2016" s="16" t="s">
        <v>610</v>
      </c>
      <c r="G2016" s="15" t="s">
        <v>164</v>
      </c>
      <c r="H2016" s="15" t="s">
        <v>905</v>
      </c>
      <c r="I2016" s="69">
        <v>131</v>
      </c>
      <c r="J2016" s="15" t="s">
        <v>2672</v>
      </c>
      <c r="K2016" s="15" t="s">
        <v>903</v>
      </c>
      <c r="L2016" s="15" t="s">
        <v>2673</v>
      </c>
      <c r="M2016" s="15" t="s">
        <v>2672</v>
      </c>
      <c r="N2016" s="15" t="s">
        <v>2673</v>
      </c>
      <c r="O2016" s="15"/>
    </row>
    <row r="2017" spans="1:15" ht="18" customHeight="1" x14ac:dyDescent="0.3">
      <c r="A2017" s="29">
        <v>2016</v>
      </c>
      <c r="B2017" s="15" t="s">
        <v>52</v>
      </c>
      <c r="C2017" s="15" t="s">
        <v>67</v>
      </c>
      <c r="D2017" s="69">
        <v>105</v>
      </c>
      <c r="E2017" s="68" t="s">
        <v>3348</v>
      </c>
      <c r="F2017" s="16" t="s">
        <v>610</v>
      </c>
      <c r="G2017" s="15" t="s">
        <v>164</v>
      </c>
      <c r="H2017" s="15" t="s">
        <v>906</v>
      </c>
      <c r="I2017" s="69">
        <v>116</v>
      </c>
      <c r="J2017" s="15" t="s">
        <v>2672</v>
      </c>
      <c r="K2017" s="15" t="s">
        <v>903</v>
      </c>
      <c r="L2017" s="15" t="s">
        <v>2673</v>
      </c>
      <c r="M2017" s="15" t="s">
        <v>2672</v>
      </c>
      <c r="N2017" s="15" t="s">
        <v>2673</v>
      </c>
      <c r="O2017" s="15"/>
    </row>
    <row r="2018" spans="1:15" ht="18" customHeight="1" x14ac:dyDescent="0.3">
      <c r="A2018" s="29">
        <v>2017</v>
      </c>
      <c r="B2018" s="15" t="s">
        <v>52</v>
      </c>
      <c r="C2018" s="15" t="s">
        <v>67</v>
      </c>
      <c r="D2018" s="69">
        <v>105</v>
      </c>
      <c r="E2018" s="68" t="s">
        <v>3348</v>
      </c>
      <c r="F2018" s="16" t="s">
        <v>610</v>
      </c>
      <c r="G2018" s="15" t="s">
        <v>164</v>
      </c>
      <c r="H2018" s="15" t="s">
        <v>907</v>
      </c>
      <c r="I2018" s="69">
        <v>133</v>
      </c>
      <c r="J2018" s="15" t="s">
        <v>2672</v>
      </c>
      <c r="K2018" s="15" t="s">
        <v>903</v>
      </c>
      <c r="L2018" s="15" t="s">
        <v>2673</v>
      </c>
      <c r="M2018" s="15" t="s">
        <v>2672</v>
      </c>
      <c r="N2018" s="15" t="s">
        <v>2673</v>
      </c>
      <c r="O2018" s="15"/>
    </row>
    <row r="2019" spans="1:15" ht="18" customHeight="1" x14ac:dyDescent="0.3">
      <c r="A2019" s="29">
        <v>2018</v>
      </c>
      <c r="B2019" s="15" t="s">
        <v>52</v>
      </c>
      <c r="C2019" s="15" t="s">
        <v>67</v>
      </c>
      <c r="D2019" s="69">
        <v>105</v>
      </c>
      <c r="E2019" s="68" t="s">
        <v>3348</v>
      </c>
      <c r="F2019" s="16" t="s">
        <v>610</v>
      </c>
      <c r="G2019" s="15" t="s">
        <v>164</v>
      </c>
      <c r="H2019" s="15" t="s">
        <v>908</v>
      </c>
      <c r="I2019" s="69">
        <v>86</v>
      </c>
      <c r="J2019" s="15" t="s">
        <v>2672</v>
      </c>
      <c r="K2019" s="15" t="s">
        <v>903</v>
      </c>
      <c r="L2019" s="15" t="s">
        <v>2673</v>
      </c>
      <c r="M2019" s="15" t="s">
        <v>2672</v>
      </c>
      <c r="N2019" s="15" t="s">
        <v>2673</v>
      </c>
      <c r="O2019" s="15"/>
    </row>
    <row r="2020" spans="1:15" ht="18" customHeight="1" x14ac:dyDescent="0.3">
      <c r="A2020" s="29">
        <v>2019</v>
      </c>
      <c r="B2020" s="15" t="s">
        <v>52</v>
      </c>
      <c r="C2020" s="15" t="s">
        <v>67</v>
      </c>
      <c r="D2020" s="69">
        <v>105</v>
      </c>
      <c r="E2020" s="68" t="s">
        <v>248</v>
      </c>
      <c r="F2020" s="14" t="s">
        <v>612</v>
      </c>
      <c r="G2020" s="15" t="s">
        <v>154</v>
      </c>
      <c r="H2020" s="15" t="s">
        <v>901</v>
      </c>
      <c r="I2020" s="69">
        <v>149</v>
      </c>
      <c r="J2020" s="13" t="s">
        <v>2672</v>
      </c>
      <c r="K2020" s="15" t="s">
        <v>903</v>
      </c>
      <c r="L2020" s="15" t="s">
        <v>2673</v>
      </c>
      <c r="M2020" s="15" t="s">
        <v>2672</v>
      </c>
      <c r="N2020" s="15" t="s">
        <v>2673</v>
      </c>
      <c r="O2020" s="15"/>
    </row>
    <row r="2021" spans="1:15" ht="18" customHeight="1" x14ac:dyDescent="0.3">
      <c r="A2021" s="29">
        <v>2020</v>
      </c>
      <c r="B2021" s="15" t="s">
        <v>52</v>
      </c>
      <c r="C2021" s="15" t="s">
        <v>67</v>
      </c>
      <c r="D2021" s="69">
        <v>105</v>
      </c>
      <c r="E2021" s="68" t="s">
        <v>248</v>
      </c>
      <c r="F2021" s="14" t="s">
        <v>612</v>
      </c>
      <c r="G2021" s="15" t="s">
        <v>154</v>
      </c>
      <c r="H2021" s="15" t="s">
        <v>904</v>
      </c>
      <c r="I2021" s="69">
        <v>149</v>
      </c>
      <c r="J2021" s="13" t="s">
        <v>2672</v>
      </c>
      <c r="K2021" s="15" t="s">
        <v>903</v>
      </c>
      <c r="L2021" s="15" t="s">
        <v>2673</v>
      </c>
      <c r="M2021" s="15" t="s">
        <v>2672</v>
      </c>
      <c r="N2021" s="15" t="s">
        <v>2673</v>
      </c>
      <c r="O2021" s="15"/>
    </row>
    <row r="2022" spans="1:15" ht="18" customHeight="1" x14ac:dyDescent="0.3">
      <c r="A2022" s="29">
        <v>2021</v>
      </c>
      <c r="B2022" s="15" t="s">
        <v>52</v>
      </c>
      <c r="C2022" s="15" t="s">
        <v>67</v>
      </c>
      <c r="D2022" s="69">
        <v>105</v>
      </c>
      <c r="E2022" s="68" t="s">
        <v>248</v>
      </c>
      <c r="F2022" s="14" t="s">
        <v>612</v>
      </c>
      <c r="G2022" s="15" t="s">
        <v>154</v>
      </c>
      <c r="H2022" s="15" t="s">
        <v>905</v>
      </c>
      <c r="I2022" s="69">
        <v>149</v>
      </c>
      <c r="J2022" s="13" t="s">
        <v>2672</v>
      </c>
      <c r="K2022" s="15" t="s">
        <v>903</v>
      </c>
      <c r="L2022" s="15" t="s">
        <v>2673</v>
      </c>
      <c r="M2022" s="15" t="s">
        <v>2672</v>
      </c>
      <c r="N2022" s="15" t="s">
        <v>2673</v>
      </c>
      <c r="O2022" s="15"/>
    </row>
    <row r="2023" spans="1:15" ht="18" customHeight="1" x14ac:dyDescent="0.3">
      <c r="A2023" s="29">
        <v>2022</v>
      </c>
      <c r="B2023" s="15" t="s">
        <v>52</v>
      </c>
      <c r="C2023" s="15" t="s">
        <v>67</v>
      </c>
      <c r="D2023" s="69">
        <v>105</v>
      </c>
      <c r="E2023" s="68" t="s">
        <v>248</v>
      </c>
      <c r="F2023" s="14" t="s">
        <v>612</v>
      </c>
      <c r="G2023" s="15" t="s">
        <v>154</v>
      </c>
      <c r="H2023" s="15" t="s">
        <v>906</v>
      </c>
      <c r="I2023" s="69">
        <v>105</v>
      </c>
      <c r="J2023" s="13" t="s">
        <v>902</v>
      </c>
      <c r="K2023" s="15" t="s">
        <v>903</v>
      </c>
      <c r="L2023" s="15" t="s">
        <v>2673</v>
      </c>
      <c r="M2023" s="15" t="s">
        <v>2672</v>
      </c>
      <c r="N2023" s="15" t="s">
        <v>2673</v>
      </c>
      <c r="O2023" s="15"/>
    </row>
    <row r="2024" spans="1:15" ht="18" customHeight="1" x14ac:dyDescent="0.3">
      <c r="A2024" s="29">
        <v>2023</v>
      </c>
      <c r="B2024" s="15" t="s">
        <v>52</v>
      </c>
      <c r="C2024" s="15" t="s">
        <v>67</v>
      </c>
      <c r="D2024" s="69">
        <v>105</v>
      </c>
      <c r="E2024" s="68" t="s">
        <v>248</v>
      </c>
      <c r="F2024" s="14" t="s">
        <v>612</v>
      </c>
      <c r="G2024" s="15" t="s">
        <v>154</v>
      </c>
      <c r="H2024" s="15" t="s">
        <v>907</v>
      </c>
      <c r="I2024" s="69">
        <v>87</v>
      </c>
      <c r="J2024" s="13" t="s">
        <v>2672</v>
      </c>
      <c r="K2024" s="15" t="s">
        <v>903</v>
      </c>
      <c r="L2024" s="15" t="s">
        <v>2673</v>
      </c>
      <c r="M2024" s="15" t="s">
        <v>2672</v>
      </c>
      <c r="N2024" s="15" t="s">
        <v>2673</v>
      </c>
      <c r="O2024" s="15"/>
    </row>
    <row r="2025" spans="1:15" ht="18" customHeight="1" x14ac:dyDescent="0.3">
      <c r="A2025" s="29">
        <v>2024</v>
      </c>
      <c r="B2025" s="15" t="s">
        <v>52</v>
      </c>
      <c r="C2025" s="15" t="s">
        <v>67</v>
      </c>
      <c r="D2025" s="69">
        <v>105</v>
      </c>
      <c r="E2025" s="68" t="s">
        <v>248</v>
      </c>
      <c r="F2025" s="14" t="s">
        <v>612</v>
      </c>
      <c r="G2025" s="15" t="s">
        <v>154</v>
      </c>
      <c r="H2025" s="15" t="s">
        <v>908</v>
      </c>
      <c r="I2025" s="69">
        <v>162</v>
      </c>
      <c r="J2025" s="13" t="s">
        <v>2672</v>
      </c>
      <c r="K2025" s="15" t="s">
        <v>903</v>
      </c>
      <c r="L2025" s="15" t="s">
        <v>2673</v>
      </c>
      <c r="M2025" s="15" t="s">
        <v>2672</v>
      </c>
      <c r="N2025" s="15" t="s">
        <v>2673</v>
      </c>
      <c r="O2025" s="15"/>
    </row>
    <row r="2026" spans="1:15" ht="18" customHeight="1" x14ac:dyDescent="0.3">
      <c r="A2026" s="29">
        <v>2025</v>
      </c>
      <c r="B2026" s="15" t="s">
        <v>52</v>
      </c>
      <c r="C2026" s="15" t="s">
        <v>67</v>
      </c>
      <c r="D2026" s="69">
        <v>105</v>
      </c>
      <c r="E2026" s="68" t="s">
        <v>248</v>
      </c>
      <c r="F2026" s="14" t="s">
        <v>612</v>
      </c>
      <c r="G2026" s="15" t="s">
        <v>154</v>
      </c>
      <c r="H2026" s="15" t="s">
        <v>909</v>
      </c>
      <c r="I2026" s="69">
        <v>179</v>
      </c>
      <c r="J2026" s="13" t="s">
        <v>902</v>
      </c>
      <c r="K2026" s="15" t="s">
        <v>903</v>
      </c>
      <c r="L2026" s="15" t="s">
        <v>2673</v>
      </c>
      <c r="M2026" s="15" t="s">
        <v>2672</v>
      </c>
      <c r="N2026" s="15" t="s">
        <v>2673</v>
      </c>
      <c r="O2026" s="15"/>
    </row>
    <row r="2027" spans="1:15" ht="18" customHeight="1" x14ac:dyDescent="0.3">
      <c r="A2027" s="29">
        <v>2026</v>
      </c>
      <c r="B2027" s="15" t="s">
        <v>1882</v>
      </c>
      <c r="C2027" s="15" t="s">
        <v>2023</v>
      </c>
      <c r="D2027" s="69">
        <v>105</v>
      </c>
      <c r="E2027" s="68" t="s">
        <v>2936</v>
      </c>
      <c r="F2027" s="21" t="s">
        <v>2025</v>
      </c>
      <c r="G2027" s="13" t="s">
        <v>1538</v>
      </c>
      <c r="H2027" s="15" t="s">
        <v>2937</v>
      </c>
      <c r="I2027" s="69">
        <v>74</v>
      </c>
      <c r="J2027" s="15" t="s">
        <v>2672</v>
      </c>
      <c r="K2027" s="15" t="s">
        <v>2674</v>
      </c>
      <c r="L2027" s="15" t="s">
        <v>1703</v>
      </c>
      <c r="M2027" s="15" t="s">
        <v>2672</v>
      </c>
      <c r="N2027" s="15" t="s">
        <v>2673</v>
      </c>
      <c r="O2027" s="15"/>
    </row>
    <row r="2028" spans="1:15" ht="18" customHeight="1" x14ac:dyDescent="0.3">
      <c r="A2028" s="29">
        <v>2027</v>
      </c>
      <c r="B2028" s="15" t="s">
        <v>1882</v>
      </c>
      <c r="C2028" s="15" t="s">
        <v>2023</v>
      </c>
      <c r="D2028" s="69">
        <v>105</v>
      </c>
      <c r="E2028" s="68" t="s">
        <v>2936</v>
      </c>
      <c r="F2028" s="21" t="s">
        <v>2025</v>
      </c>
      <c r="G2028" s="13" t="s">
        <v>1538</v>
      </c>
      <c r="H2028" s="15" t="s">
        <v>2861</v>
      </c>
      <c r="I2028" s="69">
        <v>78</v>
      </c>
      <c r="J2028" s="15" t="s">
        <v>2672</v>
      </c>
      <c r="K2028" s="15" t="s">
        <v>2674</v>
      </c>
      <c r="L2028" s="15" t="s">
        <v>1703</v>
      </c>
      <c r="M2028" s="15" t="s">
        <v>2672</v>
      </c>
      <c r="N2028" s="15" t="s">
        <v>2673</v>
      </c>
      <c r="O2028" s="15"/>
    </row>
    <row r="2029" spans="1:15" ht="18" customHeight="1" x14ac:dyDescent="0.3">
      <c r="A2029" s="29">
        <v>2028</v>
      </c>
      <c r="B2029" s="15" t="s">
        <v>1882</v>
      </c>
      <c r="C2029" s="15" t="s">
        <v>2023</v>
      </c>
      <c r="D2029" s="69">
        <v>105</v>
      </c>
      <c r="E2029" s="68" t="s">
        <v>2936</v>
      </c>
      <c r="F2029" s="21" t="s">
        <v>2025</v>
      </c>
      <c r="G2029" s="13" t="s">
        <v>1538</v>
      </c>
      <c r="H2029" s="15" t="s">
        <v>2938</v>
      </c>
      <c r="I2029" s="69">
        <v>56</v>
      </c>
      <c r="J2029" s="15" t="s">
        <v>2672</v>
      </c>
      <c r="K2029" s="15" t="s">
        <v>2674</v>
      </c>
      <c r="L2029" s="15" t="s">
        <v>1703</v>
      </c>
      <c r="M2029" s="15" t="s">
        <v>2672</v>
      </c>
      <c r="N2029" s="15" t="s">
        <v>2673</v>
      </c>
      <c r="O2029" s="15"/>
    </row>
    <row r="2030" spans="1:15" ht="18" customHeight="1" x14ac:dyDescent="0.3">
      <c r="A2030" s="29">
        <v>2029</v>
      </c>
      <c r="B2030" s="15" t="s">
        <v>1882</v>
      </c>
      <c r="C2030" s="15" t="s">
        <v>2023</v>
      </c>
      <c r="D2030" s="69">
        <v>105</v>
      </c>
      <c r="E2030" s="68" t="s">
        <v>2936</v>
      </c>
      <c r="F2030" s="21" t="s">
        <v>2025</v>
      </c>
      <c r="G2030" s="13" t="s">
        <v>1538</v>
      </c>
      <c r="H2030" s="15" t="s">
        <v>2939</v>
      </c>
      <c r="I2030" s="69">
        <v>91</v>
      </c>
      <c r="J2030" s="15" t="s">
        <v>2672</v>
      </c>
      <c r="K2030" s="15" t="s">
        <v>2674</v>
      </c>
      <c r="L2030" s="15" t="s">
        <v>1703</v>
      </c>
      <c r="M2030" s="15" t="s">
        <v>2672</v>
      </c>
      <c r="N2030" s="15" t="s">
        <v>2673</v>
      </c>
      <c r="O2030" s="15"/>
    </row>
    <row r="2031" spans="1:15" ht="18" customHeight="1" x14ac:dyDescent="0.3">
      <c r="A2031" s="29">
        <v>2030</v>
      </c>
      <c r="B2031" s="15" t="s">
        <v>1882</v>
      </c>
      <c r="C2031" s="15" t="s">
        <v>2023</v>
      </c>
      <c r="D2031" s="69">
        <v>105</v>
      </c>
      <c r="E2031" s="68" t="s">
        <v>2936</v>
      </c>
      <c r="F2031" s="21" t="s">
        <v>2025</v>
      </c>
      <c r="G2031" s="13" t="s">
        <v>1538</v>
      </c>
      <c r="H2031" s="15" t="s">
        <v>2940</v>
      </c>
      <c r="I2031" s="69">
        <v>84</v>
      </c>
      <c r="J2031" s="15" t="s">
        <v>2672</v>
      </c>
      <c r="K2031" s="15" t="s">
        <v>2674</v>
      </c>
      <c r="L2031" s="15" t="s">
        <v>1703</v>
      </c>
      <c r="M2031" s="15" t="s">
        <v>2672</v>
      </c>
      <c r="N2031" s="15" t="s">
        <v>2673</v>
      </c>
      <c r="O2031" s="15"/>
    </row>
    <row r="2032" spans="1:15" ht="18" customHeight="1" x14ac:dyDescent="0.3">
      <c r="A2032" s="29">
        <v>2031</v>
      </c>
      <c r="B2032" s="15" t="s">
        <v>1882</v>
      </c>
      <c r="C2032" s="15" t="s">
        <v>2023</v>
      </c>
      <c r="D2032" s="69">
        <v>105</v>
      </c>
      <c r="E2032" s="68" t="s">
        <v>2936</v>
      </c>
      <c r="F2032" s="21" t="s">
        <v>2025</v>
      </c>
      <c r="G2032" s="13" t="s">
        <v>1538</v>
      </c>
      <c r="H2032" s="15" t="s">
        <v>2941</v>
      </c>
      <c r="I2032" s="69">
        <v>59</v>
      </c>
      <c r="J2032" s="15" t="s">
        <v>2672</v>
      </c>
      <c r="K2032" s="15" t="s">
        <v>2674</v>
      </c>
      <c r="L2032" s="15" t="s">
        <v>1703</v>
      </c>
      <c r="M2032" s="15" t="s">
        <v>2672</v>
      </c>
      <c r="N2032" s="15" t="s">
        <v>2673</v>
      </c>
      <c r="O2032" s="15"/>
    </row>
    <row r="2033" spans="1:15" ht="18" customHeight="1" x14ac:dyDescent="0.3">
      <c r="A2033" s="29">
        <v>2032</v>
      </c>
      <c r="B2033" s="15" t="s">
        <v>1882</v>
      </c>
      <c r="C2033" s="15" t="s">
        <v>2023</v>
      </c>
      <c r="D2033" s="69">
        <v>105</v>
      </c>
      <c r="E2033" s="68" t="s">
        <v>2936</v>
      </c>
      <c r="F2033" s="21" t="s">
        <v>2025</v>
      </c>
      <c r="G2033" s="13" t="s">
        <v>1538</v>
      </c>
      <c r="H2033" s="15" t="s">
        <v>2942</v>
      </c>
      <c r="I2033" s="69">
        <v>171</v>
      </c>
      <c r="J2033" s="15" t="s">
        <v>2672</v>
      </c>
      <c r="K2033" s="15" t="s">
        <v>2674</v>
      </c>
      <c r="L2033" s="15" t="s">
        <v>1703</v>
      </c>
      <c r="M2033" s="15" t="s">
        <v>2672</v>
      </c>
      <c r="N2033" s="15" t="s">
        <v>2673</v>
      </c>
      <c r="O2033" s="15"/>
    </row>
    <row r="2034" spans="1:15" ht="18" customHeight="1" x14ac:dyDescent="0.3">
      <c r="A2034" s="29">
        <v>2033</v>
      </c>
      <c r="B2034" s="15" t="s">
        <v>1882</v>
      </c>
      <c r="C2034" s="15" t="s">
        <v>2026</v>
      </c>
      <c r="D2034" s="69">
        <v>107</v>
      </c>
      <c r="E2034" s="68" t="s">
        <v>3349</v>
      </c>
      <c r="F2034" s="21" t="s">
        <v>2028</v>
      </c>
      <c r="G2034" s="15" t="s">
        <v>1553</v>
      </c>
      <c r="H2034" s="15" t="s">
        <v>2685</v>
      </c>
      <c r="I2034" s="69">
        <v>99</v>
      </c>
      <c r="J2034" s="15" t="s">
        <v>2672</v>
      </c>
      <c r="K2034" s="15" t="s">
        <v>2672</v>
      </c>
      <c r="L2034" s="15" t="s">
        <v>2673</v>
      </c>
      <c r="M2034" s="15" t="s">
        <v>2672</v>
      </c>
      <c r="N2034" s="15" t="s">
        <v>2673</v>
      </c>
      <c r="O2034" s="15"/>
    </row>
    <row r="2035" spans="1:15" ht="18" customHeight="1" x14ac:dyDescent="0.3">
      <c r="A2035" s="29">
        <v>2034</v>
      </c>
      <c r="B2035" s="15" t="s">
        <v>1882</v>
      </c>
      <c r="C2035" s="15" t="s">
        <v>2026</v>
      </c>
      <c r="D2035" s="69">
        <v>107</v>
      </c>
      <c r="E2035" s="68" t="s">
        <v>3349</v>
      </c>
      <c r="F2035" s="21" t="s">
        <v>2028</v>
      </c>
      <c r="G2035" s="15" t="s">
        <v>1553</v>
      </c>
      <c r="H2035" s="15" t="s">
        <v>2678</v>
      </c>
      <c r="I2035" s="69">
        <v>95</v>
      </c>
      <c r="J2035" s="15" t="s">
        <v>2672</v>
      </c>
      <c r="K2035" s="15" t="s">
        <v>2672</v>
      </c>
      <c r="L2035" s="15" t="s">
        <v>2673</v>
      </c>
      <c r="M2035" s="15" t="s">
        <v>2672</v>
      </c>
      <c r="N2035" s="15" t="s">
        <v>2673</v>
      </c>
      <c r="O2035" s="15"/>
    </row>
    <row r="2036" spans="1:15" ht="18" customHeight="1" x14ac:dyDescent="0.3">
      <c r="A2036" s="29">
        <v>2035</v>
      </c>
      <c r="B2036" s="15" t="s">
        <v>1882</v>
      </c>
      <c r="C2036" s="15" t="s">
        <v>2026</v>
      </c>
      <c r="D2036" s="69">
        <v>107</v>
      </c>
      <c r="E2036" s="68" t="s">
        <v>3349</v>
      </c>
      <c r="F2036" s="21" t="s">
        <v>2028</v>
      </c>
      <c r="G2036" s="15" t="s">
        <v>1553</v>
      </c>
      <c r="H2036" s="15" t="s">
        <v>2679</v>
      </c>
      <c r="I2036" s="69">
        <v>210</v>
      </c>
      <c r="J2036" s="15" t="s">
        <v>2672</v>
      </c>
      <c r="K2036" s="15" t="s">
        <v>2672</v>
      </c>
      <c r="L2036" s="15" t="s">
        <v>2673</v>
      </c>
      <c r="M2036" s="15" t="s">
        <v>2672</v>
      </c>
      <c r="N2036" s="15" t="s">
        <v>2673</v>
      </c>
      <c r="O2036" s="15"/>
    </row>
    <row r="2037" spans="1:15" ht="18" customHeight="1" x14ac:dyDescent="0.3">
      <c r="A2037" s="29">
        <v>2036</v>
      </c>
      <c r="B2037" s="15" t="s">
        <v>1882</v>
      </c>
      <c r="C2037" s="15" t="s">
        <v>2026</v>
      </c>
      <c r="D2037" s="69">
        <v>107</v>
      </c>
      <c r="E2037" s="68" t="s">
        <v>3349</v>
      </c>
      <c r="F2037" s="21" t="s">
        <v>2028</v>
      </c>
      <c r="G2037" s="15" t="s">
        <v>1553</v>
      </c>
      <c r="H2037" s="15" t="s">
        <v>2680</v>
      </c>
      <c r="I2037" s="69">
        <v>95</v>
      </c>
      <c r="J2037" s="15" t="s">
        <v>2672</v>
      </c>
      <c r="K2037" s="15" t="s">
        <v>2672</v>
      </c>
      <c r="L2037" s="15" t="s">
        <v>2673</v>
      </c>
      <c r="M2037" s="15" t="s">
        <v>2672</v>
      </c>
      <c r="N2037" s="15" t="s">
        <v>2673</v>
      </c>
      <c r="O2037" s="15"/>
    </row>
    <row r="2038" spans="1:15" ht="18" customHeight="1" x14ac:dyDescent="0.3">
      <c r="A2038" s="29">
        <v>2037</v>
      </c>
      <c r="B2038" s="15" t="s">
        <v>1882</v>
      </c>
      <c r="C2038" s="15" t="s">
        <v>2026</v>
      </c>
      <c r="D2038" s="69">
        <v>107</v>
      </c>
      <c r="E2038" s="68" t="s">
        <v>3349</v>
      </c>
      <c r="F2038" s="21" t="s">
        <v>2028</v>
      </c>
      <c r="G2038" s="15" t="s">
        <v>1553</v>
      </c>
      <c r="H2038" s="15" t="s">
        <v>2690</v>
      </c>
      <c r="I2038" s="69">
        <v>40</v>
      </c>
      <c r="J2038" s="15" t="s">
        <v>2672</v>
      </c>
      <c r="K2038" s="15" t="s">
        <v>2672</v>
      </c>
      <c r="L2038" s="15" t="s">
        <v>2673</v>
      </c>
      <c r="M2038" s="15" t="s">
        <v>2672</v>
      </c>
      <c r="N2038" s="15" t="s">
        <v>2673</v>
      </c>
      <c r="O2038" s="15"/>
    </row>
    <row r="2039" spans="1:15" ht="18" customHeight="1" x14ac:dyDescent="0.3">
      <c r="A2039" s="29">
        <v>2038</v>
      </c>
      <c r="B2039" s="15" t="s">
        <v>1882</v>
      </c>
      <c r="C2039" s="15" t="s">
        <v>2026</v>
      </c>
      <c r="D2039" s="69">
        <v>107</v>
      </c>
      <c r="E2039" s="68" t="s">
        <v>3349</v>
      </c>
      <c r="F2039" s="21" t="s">
        <v>2028</v>
      </c>
      <c r="G2039" s="15" t="s">
        <v>1553</v>
      </c>
      <c r="H2039" s="15" t="s">
        <v>2682</v>
      </c>
      <c r="I2039" s="69">
        <v>222</v>
      </c>
      <c r="J2039" s="15" t="s">
        <v>2672</v>
      </c>
      <c r="K2039" s="15" t="s">
        <v>2672</v>
      </c>
      <c r="L2039" s="15" t="s">
        <v>2673</v>
      </c>
      <c r="M2039" s="15" t="s">
        <v>2672</v>
      </c>
      <c r="N2039" s="15" t="s">
        <v>2673</v>
      </c>
      <c r="O2039" s="15"/>
    </row>
    <row r="2040" spans="1:15" ht="18" customHeight="1" x14ac:dyDescent="0.3">
      <c r="A2040" s="29">
        <v>2039</v>
      </c>
      <c r="B2040" s="15" t="s">
        <v>1882</v>
      </c>
      <c r="C2040" s="15" t="s">
        <v>2026</v>
      </c>
      <c r="D2040" s="69">
        <v>107</v>
      </c>
      <c r="E2040" s="68" t="s">
        <v>3349</v>
      </c>
      <c r="F2040" s="21" t="s">
        <v>2028</v>
      </c>
      <c r="G2040" s="15" t="s">
        <v>1553</v>
      </c>
      <c r="H2040" s="15" t="s">
        <v>2732</v>
      </c>
      <c r="I2040" s="69">
        <v>114</v>
      </c>
      <c r="J2040" s="15" t="s">
        <v>2672</v>
      </c>
      <c r="K2040" s="15" t="s">
        <v>2672</v>
      </c>
      <c r="L2040" s="15" t="s">
        <v>2673</v>
      </c>
      <c r="M2040" s="15" t="s">
        <v>2672</v>
      </c>
      <c r="N2040" s="15" t="s">
        <v>2673</v>
      </c>
      <c r="O2040" s="15"/>
    </row>
    <row r="2041" spans="1:15" ht="18" customHeight="1" x14ac:dyDescent="0.3">
      <c r="A2041" s="29">
        <v>2040</v>
      </c>
      <c r="B2041" s="15" t="s">
        <v>52</v>
      </c>
      <c r="C2041" s="15" t="s">
        <v>68</v>
      </c>
      <c r="D2041" s="69">
        <v>107</v>
      </c>
      <c r="E2041" s="68" t="s">
        <v>920</v>
      </c>
      <c r="F2041" s="21" t="s">
        <v>701</v>
      </c>
      <c r="G2041" s="15" t="s">
        <v>164</v>
      </c>
      <c r="H2041" s="15" t="s">
        <v>901</v>
      </c>
      <c r="I2041" s="69">
        <v>42</v>
      </c>
      <c r="J2041" s="15" t="s">
        <v>2672</v>
      </c>
      <c r="K2041" s="15" t="s">
        <v>903</v>
      </c>
      <c r="L2041" s="15" t="s">
        <v>2673</v>
      </c>
      <c r="M2041" s="15" t="s">
        <v>2672</v>
      </c>
      <c r="N2041" s="15" t="s">
        <v>2673</v>
      </c>
      <c r="O2041" s="15"/>
    </row>
    <row r="2042" spans="1:15" ht="18" customHeight="1" x14ac:dyDescent="0.3">
      <c r="A2042" s="29">
        <v>2041</v>
      </c>
      <c r="B2042" s="15" t="s">
        <v>52</v>
      </c>
      <c r="C2042" s="15" t="s">
        <v>68</v>
      </c>
      <c r="D2042" s="69">
        <v>107</v>
      </c>
      <c r="E2042" s="68" t="s">
        <v>920</v>
      </c>
      <c r="F2042" s="21" t="s">
        <v>701</v>
      </c>
      <c r="G2042" s="15" t="s">
        <v>164</v>
      </c>
      <c r="H2042" s="15" t="s">
        <v>904</v>
      </c>
      <c r="I2042" s="69">
        <v>48</v>
      </c>
      <c r="J2042" s="15" t="s">
        <v>2672</v>
      </c>
      <c r="K2042" s="15" t="s">
        <v>903</v>
      </c>
      <c r="L2042" s="15" t="s">
        <v>2673</v>
      </c>
      <c r="M2042" s="15" t="s">
        <v>2672</v>
      </c>
      <c r="N2042" s="15" t="s">
        <v>2673</v>
      </c>
      <c r="O2042" s="15"/>
    </row>
    <row r="2043" spans="1:15" ht="18" customHeight="1" x14ac:dyDescent="0.3">
      <c r="A2043" s="29">
        <v>2042</v>
      </c>
      <c r="B2043" s="15" t="s">
        <v>52</v>
      </c>
      <c r="C2043" s="15" t="s">
        <v>68</v>
      </c>
      <c r="D2043" s="69">
        <v>107</v>
      </c>
      <c r="E2043" s="68" t="s">
        <v>920</v>
      </c>
      <c r="F2043" s="21" t="s">
        <v>701</v>
      </c>
      <c r="G2043" s="15" t="s">
        <v>164</v>
      </c>
      <c r="H2043" s="15" t="s">
        <v>905</v>
      </c>
      <c r="I2043" s="69">
        <v>72</v>
      </c>
      <c r="J2043" s="15" t="s">
        <v>2672</v>
      </c>
      <c r="K2043" s="15" t="s">
        <v>903</v>
      </c>
      <c r="L2043" s="15" t="s">
        <v>2673</v>
      </c>
      <c r="M2043" s="15" t="s">
        <v>2672</v>
      </c>
      <c r="N2043" s="15" t="s">
        <v>2673</v>
      </c>
      <c r="O2043" s="15"/>
    </row>
    <row r="2044" spans="1:15" ht="18" customHeight="1" x14ac:dyDescent="0.3">
      <c r="A2044" s="29">
        <v>2043</v>
      </c>
      <c r="B2044" s="15" t="s">
        <v>52</v>
      </c>
      <c r="C2044" s="15" t="s">
        <v>68</v>
      </c>
      <c r="D2044" s="69">
        <v>107</v>
      </c>
      <c r="E2044" s="68" t="s">
        <v>920</v>
      </c>
      <c r="F2044" s="21" t="s">
        <v>701</v>
      </c>
      <c r="G2044" s="15" t="s">
        <v>164</v>
      </c>
      <c r="H2044" s="15" t="s">
        <v>906</v>
      </c>
      <c r="I2044" s="69">
        <v>46</v>
      </c>
      <c r="J2044" s="15" t="s">
        <v>2672</v>
      </c>
      <c r="K2044" s="15" t="s">
        <v>903</v>
      </c>
      <c r="L2044" s="15" t="s">
        <v>2673</v>
      </c>
      <c r="M2044" s="15" t="s">
        <v>2672</v>
      </c>
      <c r="N2044" s="15" t="s">
        <v>2673</v>
      </c>
      <c r="O2044" s="15"/>
    </row>
    <row r="2045" spans="1:15" ht="18" customHeight="1" x14ac:dyDescent="0.3">
      <c r="A2045" s="29">
        <v>2044</v>
      </c>
      <c r="B2045" s="15" t="s">
        <v>52</v>
      </c>
      <c r="C2045" s="15" t="s">
        <v>68</v>
      </c>
      <c r="D2045" s="69">
        <v>107</v>
      </c>
      <c r="E2045" s="68" t="s">
        <v>920</v>
      </c>
      <c r="F2045" s="21" t="s">
        <v>701</v>
      </c>
      <c r="G2045" s="15" t="s">
        <v>164</v>
      </c>
      <c r="H2045" s="15" t="s">
        <v>907</v>
      </c>
      <c r="I2045" s="69">
        <v>42</v>
      </c>
      <c r="J2045" s="15" t="s">
        <v>2672</v>
      </c>
      <c r="K2045" s="15" t="s">
        <v>903</v>
      </c>
      <c r="L2045" s="15" t="s">
        <v>2673</v>
      </c>
      <c r="M2045" s="15" t="s">
        <v>2672</v>
      </c>
      <c r="N2045" s="15" t="s">
        <v>2673</v>
      </c>
      <c r="O2045" s="15"/>
    </row>
    <row r="2046" spans="1:15" ht="18" customHeight="1" x14ac:dyDescent="0.3">
      <c r="A2046" s="29">
        <v>2045</v>
      </c>
      <c r="B2046" s="15" t="s">
        <v>52</v>
      </c>
      <c r="C2046" s="15" t="s">
        <v>68</v>
      </c>
      <c r="D2046" s="69">
        <v>107</v>
      </c>
      <c r="E2046" s="68" t="s">
        <v>2030</v>
      </c>
      <c r="F2046" s="51" t="s">
        <v>2031</v>
      </c>
      <c r="G2046" s="29" t="s">
        <v>1553</v>
      </c>
      <c r="H2046" s="15" t="s">
        <v>2685</v>
      </c>
      <c r="I2046" s="69">
        <v>39</v>
      </c>
      <c r="J2046" s="13" t="s">
        <v>2672</v>
      </c>
      <c r="K2046" s="15" t="s">
        <v>2674</v>
      </c>
      <c r="L2046" s="15" t="s">
        <v>2525</v>
      </c>
      <c r="M2046" s="15" t="s">
        <v>2672</v>
      </c>
      <c r="N2046" s="15" t="s">
        <v>2673</v>
      </c>
      <c r="O2046" s="15"/>
    </row>
    <row r="2047" spans="1:15" ht="18" customHeight="1" x14ac:dyDescent="0.3">
      <c r="A2047" s="29">
        <v>2046</v>
      </c>
      <c r="B2047" s="15" t="s">
        <v>52</v>
      </c>
      <c r="C2047" s="15" t="s">
        <v>68</v>
      </c>
      <c r="D2047" s="69">
        <v>107</v>
      </c>
      <c r="E2047" s="68" t="s">
        <v>2030</v>
      </c>
      <c r="F2047" s="51" t="s">
        <v>2031</v>
      </c>
      <c r="G2047" s="29" t="s">
        <v>1553</v>
      </c>
      <c r="H2047" s="15" t="s">
        <v>2678</v>
      </c>
      <c r="I2047" s="69">
        <v>51</v>
      </c>
      <c r="J2047" s="13" t="s">
        <v>2672</v>
      </c>
      <c r="K2047" s="15" t="s">
        <v>2674</v>
      </c>
      <c r="L2047" s="15" t="s">
        <v>2525</v>
      </c>
      <c r="M2047" s="15" t="s">
        <v>2672</v>
      </c>
      <c r="N2047" s="15" t="s">
        <v>2673</v>
      </c>
      <c r="O2047" s="15"/>
    </row>
    <row r="2048" spans="1:15" ht="18" customHeight="1" x14ac:dyDescent="0.3">
      <c r="A2048" s="29">
        <v>2047</v>
      </c>
      <c r="B2048" s="15" t="s">
        <v>52</v>
      </c>
      <c r="C2048" s="15" t="s">
        <v>68</v>
      </c>
      <c r="D2048" s="69">
        <v>107</v>
      </c>
      <c r="E2048" s="68" t="s">
        <v>2030</v>
      </c>
      <c r="F2048" s="51" t="s">
        <v>2031</v>
      </c>
      <c r="G2048" s="29" t="s">
        <v>1553</v>
      </c>
      <c r="H2048" s="15" t="s">
        <v>2679</v>
      </c>
      <c r="I2048" s="69">
        <v>84</v>
      </c>
      <c r="J2048" s="13" t="s">
        <v>2672</v>
      </c>
      <c r="K2048" s="15" t="s">
        <v>2674</v>
      </c>
      <c r="L2048" s="15" t="s">
        <v>2525</v>
      </c>
      <c r="M2048" s="15" t="s">
        <v>2672</v>
      </c>
      <c r="N2048" s="15" t="s">
        <v>2673</v>
      </c>
      <c r="O2048" s="15"/>
    </row>
    <row r="2049" spans="1:15" ht="18" customHeight="1" x14ac:dyDescent="0.3">
      <c r="A2049" s="29">
        <v>2048</v>
      </c>
      <c r="B2049" s="15" t="s">
        <v>52</v>
      </c>
      <c r="C2049" s="15" t="s">
        <v>68</v>
      </c>
      <c r="D2049" s="69">
        <v>107</v>
      </c>
      <c r="E2049" s="68" t="s">
        <v>2030</v>
      </c>
      <c r="F2049" s="51" t="s">
        <v>2031</v>
      </c>
      <c r="G2049" s="29" t="s">
        <v>1553</v>
      </c>
      <c r="H2049" s="15" t="s">
        <v>2680</v>
      </c>
      <c r="I2049" s="69">
        <v>72</v>
      </c>
      <c r="J2049" s="13" t="s">
        <v>2672</v>
      </c>
      <c r="K2049" s="15" t="s">
        <v>2674</v>
      </c>
      <c r="L2049" s="15" t="s">
        <v>2525</v>
      </c>
      <c r="M2049" s="15" t="s">
        <v>2672</v>
      </c>
      <c r="N2049" s="15" t="s">
        <v>2673</v>
      </c>
      <c r="O2049" s="15"/>
    </row>
    <row r="2050" spans="1:15" ht="18" customHeight="1" x14ac:dyDescent="0.3">
      <c r="A2050" s="29">
        <v>2049</v>
      </c>
      <c r="B2050" s="15" t="s">
        <v>52</v>
      </c>
      <c r="C2050" s="15" t="s">
        <v>68</v>
      </c>
      <c r="D2050" s="69">
        <v>107</v>
      </c>
      <c r="E2050" s="68" t="s">
        <v>2030</v>
      </c>
      <c r="F2050" s="51" t="s">
        <v>2031</v>
      </c>
      <c r="G2050" s="29" t="s">
        <v>1553</v>
      </c>
      <c r="H2050" s="15" t="s">
        <v>2690</v>
      </c>
      <c r="I2050" s="69">
        <v>82</v>
      </c>
      <c r="J2050" s="13" t="s">
        <v>2674</v>
      </c>
      <c r="K2050" s="15" t="s">
        <v>2674</v>
      </c>
      <c r="L2050" s="15" t="s">
        <v>2525</v>
      </c>
      <c r="M2050" s="15" t="s">
        <v>2672</v>
      </c>
      <c r="N2050" s="15" t="s">
        <v>2673</v>
      </c>
      <c r="O2050" s="15"/>
    </row>
    <row r="2051" spans="1:15" ht="18" customHeight="1" x14ac:dyDescent="0.3">
      <c r="A2051" s="29">
        <v>2050</v>
      </c>
      <c r="B2051" s="15" t="s">
        <v>52</v>
      </c>
      <c r="C2051" s="15" t="s">
        <v>68</v>
      </c>
      <c r="D2051" s="69">
        <v>107</v>
      </c>
      <c r="E2051" s="68" t="s">
        <v>2030</v>
      </c>
      <c r="F2051" s="51" t="s">
        <v>2031</v>
      </c>
      <c r="G2051" s="29" t="s">
        <v>1553</v>
      </c>
      <c r="H2051" s="15" t="s">
        <v>2682</v>
      </c>
      <c r="I2051" s="69">
        <v>96</v>
      </c>
      <c r="J2051" s="13" t="s">
        <v>2672</v>
      </c>
      <c r="K2051" s="15" t="s">
        <v>2674</v>
      </c>
      <c r="L2051" s="15" t="s">
        <v>2525</v>
      </c>
      <c r="M2051" s="15" t="s">
        <v>2672</v>
      </c>
      <c r="N2051" s="15" t="s">
        <v>2673</v>
      </c>
      <c r="O2051" s="15"/>
    </row>
    <row r="2052" spans="1:15" ht="18" customHeight="1" x14ac:dyDescent="0.3">
      <c r="A2052" s="29">
        <v>2051</v>
      </c>
      <c r="B2052" s="15" t="s">
        <v>52</v>
      </c>
      <c r="C2052" s="15" t="s">
        <v>68</v>
      </c>
      <c r="D2052" s="69">
        <v>107</v>
      </c>
      <c r="E2052" s="68" t="s">
        <v>2030</v>
      </c>
      <c r="F2052" s="51" t="s">
        <v>2031</v>
      </c>
      <c r="G2052" s="29" t="s">
        <v>1553</v>
      </c>
      <c r="H2052" s="15" t="s">
        <v>2732</v>
      </c>
      <c r="I2052" s="69">
        <v>243</v>
      </c>
      <c r="J2052" s="13" t="s">
        <v>2672</v>
      </c>
      <c r="K2052" s="15" t="s">
        <v>903</v>
      </c>
      <c r="L2052" s="15" t="s">
        <v>2673</v>
      </c>
      <c r="M2052" s="15" t="s">
        <v>2672</v>
      </c>
      <c r="N2052" s="15" t="s">
        <v>2673</v>
      </c>
      <c r="O2052" s="15"/>
    </row>
    <row r="2053" spans="1:15" ht="18" customHeight="1" x14ac:dyDescent="0.3">
      <c r="A2053" s="29">
        <v>2052</v>
      </c>
      <c r="B2053" s="15" t="s">
        <v>52</v>
      </c>
      <c r="C2053" s="15" t="s">
        <v>68</v>
      </c>
      <c r="D2053" s="69">
        <v>107</v>
      </c>
      <c r="E2053" s="68" t="s">
        <v>2030</v>
      </c>
      <c r="F2053" s="51" t="s">
        <v>2031</v>
      </c>
      <c r="G2053" s="29" t="s">
        <v>1553</v>
      </c>
      <c r="H2053" s="15" t="s">
        <v>2683</v>
      </c>
      <c r="I2053" s="69">
        <v>223</v>
      </c>
      <c r="J2053" s="13" t="s">
        <v>2672</v>
      </c>
      <c r="K2053" s="15" t="s">
        <v>903</v>
      </c>
      <c r="L2053" s="15" t="s">
        <v>2673</v>
      </c>
      <c r="M2053" s="15" t="s">
        <v>2672</v>
      </c>
      <c r="N2053" s="15" t="s">
        <v>2673</v>
      </c>
      <c r="O2053" s="15"/>
    </row>
    <row r="2054" spans="1:15" ht="18" customHeight="1" x14ac:dyDescent="0.3">
      <c r="A2054" s="29">
        <v>2053</v>
      </c>
      <c r="B2054" s="15" t="s">
        <v>52</v>
      </c>
      <c r="C2054" s="15" t="s">
        <v>68</v>
      </c>
      <c r="D2054" s="69">
        <v>107</v>
      </c>
      <c r="E2054" s="68" t="s">
        <v>314</v>
      </c>
      <c r="F2054" s="21" t="s">
        <v>702</v>
      </c>
      <c r="G2054" s="15" t="s">
        <v>154</v>
      </c>
      <c r="H2054" s="15" t="s">
        <v>901</v>
      </c>
      <c r="I2054" s="69">
        <v>188</v>
      </c>
      <c r="J2054" s="15" t="s">
        <v>2674</v>
      </c>
      <c r="K2054" s="15" t="s">
        <v>903</v>
      </c>
      <c r="L2054" s="15" t="s">
        <v>2673</v>
      </c>
      <c r="M2054" s="15" t="s">
        <v>2672</v>
      </c>
      <c r="N2054" s="15" t="s">
        <v>2673</v>
      </c>
      <c r="O2054" s="15"/>
    </row>
    <row r="2055" spans="1:15" ht="18" customHeight="1" x14ac:dyDescent="0.3">
      <c r="A2055" s="29">
        <v>2054</v>
      </c>
      <c r="B2055" s="15" t="s">
        <v>52</v>
      </c>
      <c r="C2055" s="15" t="s">
        <v>68</v>
      </c>
      <c r="D2055" s="69">
        <v>107</v>
      </c>
      <c r="E2055" s="68" t="s">
        <v>314</v>
      </c>
      <c r="F2055" s="21" t="s">
        <v>702</v>
      </c>
      <c r="G2055" s="15" t="s">
        <v>154</v>
      </c>
      <c r="H2055" s="15" t="s">
        <v>904</v>
      </c>
      <c r="I2055" s="69">
        <v>188</v>
      </c>
      <c r="J2055" s="15" t="s">
        <v>2672</v>
      </c>
      <c r="K2055" s="15" t="s">
        <v>903</v>
      </c>
      <c r="L2055" s="15" t="s">
        <v>2673</v>
      </c>
      <c r="M2055" s="15" t="s">
        <v>2672</v>
      </c>
      <c r="N2055" s="15" t="s">
        <v>2673</v>
      </c>
      <c r="O2055" s="15"/>
    </row>
    <row r="2056" spans="1:15" ht="18" customHeight="1" x14ac:dyDescent="0.3">
      <c r="A2056" s="29">
        <v>2055</v>
      </c>
      <c r="B2056" s="15" t="s">
        <v>52</v>
      </c>
      <c r="C2056" s="15" t="s">
        <v>68</v>
      </c>
      <c r="D2056" s="69">
        <v>107</v>
      </c>
      <c r="E2056" s="68" t="s">
        <v>314</v>
      </c>
      <c r="F2056" s="21" t="s">
        <v>702</v>
      </c>
      <c r="G2056" s="15" t="s">
        <v>154</v>
      </c>
      <c r="H2056" s="15" t="s">
        <v>905</v>
      </c>
      <c r="I2056" s="69">
        <v>188</v>
      </c>
      <c r="J2056" s="15" t="s">
        <v>2672</v>
      </c>
      <c r="K2056" s="15" t="s">
        <v>903</v>
      </c>
      <c r="L2056" s="15" t="s">
        <v>2673</v>
      </c>
      <c r="M2056" s="15" t="s">
        <v>2672</v>
      </c>
      <c r="N2056" s="15" t="s">
        <v>2673</v>
      </c>
      <c r="O2056" s="15"/>
    </row>
    <row r="2057" spans="1:15" ht="18" customHeight="1" x14ac:dyDescent="0.3">
      <c r="A2057" s="29">
        <v>2056</v>
      </c>
      <c r="B2057" s="15" t="s">
        <v>52</v>
      </c>
      <c r="C2057" s="15" t="s">
        <v>68</v>
      </c>
      <c r="D2057" s="69">
        <v>107</v>
      </c>
      <c r="E2057" s="68" t="s">
        <v>314</v>
      </c>
      <c r="F2057" s="21" t="s">
        <v>702</v>
      </c>
      <c r="G2057" s="15" t="s">
        <v>154</v>
      </c>
      <c r="H2057" s="15" t="s">
        <v>906</v>
      </c>
      <c r="I2057" s="69">
        <v>152</v>
      </c>
      <c r="J2057" s="15" t="s">
        <v>2672</v>
      </c>
      <c r="K2057" s="15" t="s">
        <v>903</v>
      </c>
      <c r="L2057" s="15" t="s">
        <v>2673</v>
      </c>
      <c r="M2057" s="15" t="s">
        <v>2672</v>
      </c>
      <c r="N2057" s="15" t="s">
        <v>2673</v>
      </c>
      <c r="O2057" s="15"/>
    </row>
    <row r="2058" spans="1:15" ht="18" customHeight="1" x14ac:dyDescent="0.3">
      <c r="A2058" s="29">
        <v>2057</v>
      </c>
      <c r="B2058" s="15" t="s">
        <v>52</v>
      </c>
      <c r="C2058" s="15" t="s">
        <v>68</v>
      </c>
      <c r="D2058" s="69">
        <v>107</v>
      </c>
      <c r="E2058" s="68" t="s">
        <v>314</v>
      </c>
      <c r="F2058" s="21" t="s">
        <v>702</v>
      </c>
      <c r="G2058" s="15" t="s">
        <v>154</v>
      </c>
      <c r="H2058" s="15" t="s">
        <v>907</v>
      </c>
      <c r="I2058" s="69">
        <v>116</v>
      </c>
      <c r="J2058" s="15" t="s">
        <v>2672</v>
      </c>
      <c r="K2058" s="15" t="s">
        <v>903</v>
      </c>
      <c r="L2058" s="15" t="s">
        <v>2673</v>
      </c>
      <c r="M2058" s="15" t="s">
        <v>2672</v>
      </c>
      <c r="N2058" s="15" t="s">
        <v>2673</v>
      </c>
      <c r="O2058" s="15"/>
    </row>
    <row r="2059" spans="1:15" ht="18" customHeight="1" x14ac:dyDescent="0.3">
      <c r="A2059" s="29">
        <v>2058</v>
      </c>
      <c r="B2059" s="15" t="s">
        <v>52</v>
      </c>
      <c r="C2059" s="15" t="s">
        <v>68</v>
      </c>
      <c r="D2059" s="69">
        <v>107</v>
      </c>
      <c r="E2059" s="68" t="s">
        <v>314</v>
      </c>
      <c r="F2059" s="21" t="s">
        <v>702</v>
      </c>
      <c r="G2059" s="15" t="s">
        <v>154</v>
      </c>
      <c r="H2059" s="15" t="s">
        <v>908</v>
      </c>
      <c r="I2059" s="69">
        <v>187</v>
      </c>
      <c r="J2059" s="15" t="s">
        <v>2672</v>
      </c>
      <c r="K2059" s="15" t="s">
        <v>903</v>
      </c>
      <c r="L2059" s="15" t="s">
        <v>2673</v>
      </c>
      <c r="M2059" s="15" t="s">
        <v>2672</v>
      </c>
      <c r="N2059" s="15" t="s">
        <v>2673</v>
      </c>
      <c r="O2059" s="15"/>
    </row>
    <row r="2060" spans="1:15" ht="18" customHeight="1" x14ac:dyDescent="0.3">
      <c r="A2060" s="29">
        <v>2059</v>
      </c>
      <c r="B2060" s="15" t="s">
        <v>52</v>
      </c>
      <c r="C2060" s="15" t="s">
        <v>68</v>
      </c>
      <c r="D2060" s="69">
        <v>107</v>
      </c>
      <c r="E2060" s="68" t="s">
        <v>314</v>
      </c>
      <c r="F2060" s="21" t="s">
        <v>702</v>
      </c>
      <c r="G2060" s="15" t="s">
        <v>154</v>
      </c>
      <c r="H2060" s="15" t="s">
        <v>2724</v>
      </c>
      <c r="I2060" s="69">
        <v>40</v>
      </c>
      <c r="J2060" s="15" t="s">
        <v>2672</v>
      </c>
      <c r="K2060" s="15" t="s">
        <v>902</v>
      </c>
      <c r="L2060" s="15" t="s">
        <v>2723</v>
      </c>
      <c r="M2060" s="15" t="s">
        <v>2672</v>
      </c>
      <c r="N2060" s="15" t="s">
        <v>2673</v>
      </c>
      <c r="O2060" s="15"/>
    </row>
    <row r="2061" spans="1:15" ht="18" customHeight="1" x14ac:dyDescent="0.3">
      <c r="A2061" s="29">
        <v>2060</v>
      </c>
      <c r="B2061" s="15" t="s">
        <v>52</v>
      </c>
      <c r="C2061" s="15" t="s">
        <v>68</v>
      </c>
      <c r="D2061" s="69">
        <v>107</v>
      </c>
      <c r="E2061" s="68" t="s">
        <v>314</v>
      </c>
      <c r="F2061" s="21" t="s">
        <v>702</v>
      </c>
      <c r="G2061" s="15" t="s">
        <v>154</v>
      </c>
      <c r="H2061" s="15" t="s">
        <v>1244</v>
      </c>
      <c r="I2061" s="69">
        <v>62</v>
      </c>
      <c r="J2061" s="15" t="s">
        <v>2672</v>
      </c>
      <c r="K2061" s="15" t="s">
        <v>902</v>
      </c>
      <c r="L2061" s="15" t="s">
        <v>2791</v>
      </c>
      <c r="M2061" s="15" t="s">
        <v>2672</v>
      </c>
      <c r="N2061" s="15" t="s">
        <v>2673</v>
      </c>
      <c r="O2061" s="15"/>
    </row>
    <row r="2062" spans="1:15" ht="18" customHeight="1" x14ac:dyDescent="0.3">
      <c r="A2062" s="29">
        <v>2061</v>
      </c>
      <c r="B2062" s="15" t="s">
        <v>52</v>
      </c>
      <c r="C2062" s="15" t="s">
        <v>68</v>
      </c>
      <c r="D2062" s="69">
        <v>107</v>
      </c>
      <c r="E2062" s="68" t="s">
        <v>314</v>
      </c>
      <c r="F2062" s="21" t="s">
        <v>702</v>
      </c>
      <c r="G2062" s="15" t="s">
        <v>154</v>
      </c>
      <c r="H2062" s="15" t="s">
        <v>2943</v>
      </c>
      <c r="I2062" s="69">
        <v>32</v>
      </c>
      <c r="J2062" s="15" t="s">
        <v>2672</v>
      </c>
      <c r="K2062" s="15" t="s">
        <v>902</v>
      </c>
      <c r="L2062" s="15" t="s">
        <v>2843</v>
      </c>
      <c r="M2062" s="15" t="s">
        <v>2672</v>
      </c>
      <c r="N2062" s="15" t="s">
        <v>2673</v>
      </c>
      <c r="O2062" s="15"/>
    </row>
    <row r="2063" spans="1:15" ht="18" customHeight="1" x14ac:dyDescent="0.3">
      <c r="A2063" s="29">
        <v>2062</v>
      </c>
      <c r="B2063" s="15" t="s">
        <v>52</v>
      </c>
      <c r="C2063" s="15" t="s">
        <v>68</v>
      </c>
      <c r="D2063" s="69">
        <v>107</v>
      </c>
      <c r="E2063" s="68" t="s">
        <v>314</v>
      </c>
      <c r="F2063" s="21" t="s">
        <v>702</v>
      </c>
      <c r="G2063" s="15" t="s">
        <v>154</v>
      </c>
      <c r="H2063" s="15" t="s">
        <v>2944</v>
      </c>
      <c r="I2063" s="69">
        <v>32</v>
      </c>
      <c r="J2063" s="15" t="s">
        <v>2672</v>
      </c>
      <c r="K2063" s="15" t="s">
        <v>902</v>
      </c>
      <c r="L2063" s="15" t="s">
        <v>2843</v>
      </c>
      <c r="M2063" s="15" t="s">
        <v>2672</v>
      </c>
      <c r="N2063" s="15" t="s">
        <v>2673</v>
      </c>
      <c r="O2063" s="15"/>
    </row>
    <row r="2064" spans="1:15" ht="18" customHeight="1" x14ac:dyDescent="0.3">
      <c r="A2064" s="29">
        <v>2063</v>
      </c>
      <c r="B2064" s="15" t="s">
        <v>52</v>
      </c>
      <c r="C2064" s="15" t="s">
        <v>68</v>
      </c>
      <c r="D2064" s="69">
        <v>107</v>
      </c>
      <c r="E2064" s="68" t="s">
        <v>314</v>
      </c>
      <c r="F2064" s="21" t="s">
        <v>702</v>
      </c>
      <c r="G2064" s="15" t="s">
        <v>154</v>
      </c>
      <c r="H2064" s="15" t="s">
        <v>2763</v>
      </c>
      <c r="I2064" s="69">
        <v>338</v>
      </c>
      <c r="J2064" s="15" t="s">
        <v>2674</v>
      </c>
      <c r="K2064" s="15" t="s">
        <v>902</v>
      </c>
      <c r="L2064" s="15" t="s">
        <v>1852</v>
      </c>
      <c r="M2064" s="15" t="s">
        <v>2672</v>
      </c>
      <c r="N2064" s="15" t="s">
        <v>2673</v>
      </c>
      <c r="O2064" s="15" t="s">
        <v>2748</v>
      </c>
    </row>
    <row r="2065" spans="1:15" ht="18" customHeight="1" x14ac:dyDescent="0.3">
      <c r="A2065" s="29">
        <v>2064</v>
      </c>
      <c r="B2065" s="15" t="s">
        <v>52</v>
      </c>
      <c r="C2065" s="15" t="s">
        <v>68</v>
      </c>
      <c r="D2065" s="69">
        <v>107</v>
      </c>
      <c r="E2065" s="68" t="s">
        <v>3350</v>
      </c>
      <c r="F2065" s="21" t="s">
        <v>699</v>
      </c>
      <c r="G2065" s="15" t="s">
        <v>154</v>
      </c>
      <c r="H2065" s="15" t="s">
        <v>901</v>
      </c>
      <c r="I2065" s="69">
        <v>88</v>
      </c>
      <c r="J2065" s="15" t="s">
        <v>2672</v>
      </c>
      <c r="K2065" s="15" t="s">
        <v>903</v>
      </c>
      <c r="L2065" s="15" t="s">
        <v>2673</v>
      </c>
      <c r="M2065" s="15" t="s">
        <v>2672</v>
      </c>
      <c r="N2065" s="15" t="s">
        <v>2673</v>
      </c>
      <c r="O2065" s="15"/>
    </row>
    <row r="2066" spans="1:15" ht="18" customHeight="1" x14ac:dyDescent="0.3">
      <c r="A2066" s="29">
        <v>2065</v>
      </c>
      <c r="B2066" s="15" t="s">
        <v>52</v>
      </c>
      <c r="C2066" s="15" t="s">
        <v>68</v>
      </c>
      <c r="D2066" s="69">
        <v>107</v>
      </c>
      <c r="E2066" s="68" t="s">
        <v>3350</v>
      </c>
      <c r="F2066" s="21" t="s">
        <v>699</v>
      </c>
      <c r="G2066" s="15" t="s">
        <v>154</v>
      </c>
      <c r="H2066" s="15" t="s">
        <v>904</v>
      </c>
      <c r="I2066" s="69">
        <v>88</v>
      </c>
      <c r="J2066" s="15" t="s">
        <v>2672</v>
      </c>
      <c r="K2066" s="15" t="s">
        <v>903</v>
      </c>
      <c r="L2066" s="15" t="s">
        <v>2673</v>
      </c>
      <c r="M2066" s="15" t="s">
        <v>2672</v>
      </c>
      <c r="N2066" s="15" t="s">
        <v>2673</v>
      </c>
      <c r="O2066" s="15"/>
    </row>
    <row r="2067" spans="1:15" ht="18" customHeight="1" x14ac:dyDescent="0.3">
      <c r="A2067" s="29">
        <v>2066</v>
      </c>
      <c r="B2067" s="15" t="s">
        <v>52</v>
      </c>
      <c r="C2067" s="15" t="s">
        <v>68</v>
      </c>
      <c r="D2067" s="69">
        <v>107</v>
      </c>
      <c r="E2067" s="68" t="s">
        <v>3350</v>
      </c>
      <c r="F2067" s="21" t="s">
        <v>699</v>
      </c>
      <c r="G2067" s="15" t="s">
        <v>154</v>
      </c>
      <c r="H2067" s="15" t="s">
        <v>905</v>
      </c>
      <c r="I2067" s="69">
        <v>146</v>
      </c>
      <c r="J2067" s="15" t="s">
        <v>2674</v>
      </c>
      <c r="K2067" s="15" t="s">
        <v>903</v>
      </c>
      <c r="L2067" s="15" t="s">
        <v>2673</v>
      </c>
      <c r="M2067" s="15" t="s">
        <v>2672</v>
      </c>
      <c r="N2067" s="15" t="s">
        <v>2673</v>
      </c>
      <c r="O2067" s="15"/>
    </row>
    <row r="2068" spans="1:15" ht="18" customHeight="1" x14ac:dyDescent="0.3">
      <c r="A2068" s="29">
        <v>2067</v>
      </c>
      <c r="B2068" s="15" t="s">
        <v>52</v>
      </c>
      <c r="C2068" s="15" t="s">
        <v>68</v>
      </c>
      <c r="D2068" s="69">
        <v>107</v>
      </c>
      <c r="E2068" s="68" t="s">
        <v>3350</v>
      </c>
      <c r="F2068" s="21" t="s">
        <v>699</v>
      </c>
      <c r="G2068" s="15" t="s">
        <v>154</v>
      </c>
      <c r="H2068" s="15" t="s">
        <v>906</v>
      </c>
      <c r="I2068" s="69">
        <v>147</v>
      </c>
      <c r="J2068" s="15" t="s">
        <v>2672</v>
      </c>
      <c r="K2068" s="15" t="s">
        <v>903</v>
      </c>
      <c r="L2068" s="15" t="s">
        <v>2673</v>
      </c>
      <c r="M2068" s="15" t="s">
        <v>2672</v>
      </c>
      <c r="N2068" s="15" t="s">
        <v>2673</v>
      </c>
      <c r="O2068" s="15"/>
    </row>
    <row r="2069" spans="1:15" ht="18" customHeight="1" x14ac:dyDescent="0.3">
      <c r="A2069" s="29">
        <v>2068</v>
      </c>
      <c r="B2069" s="15" t="s">
        <v>52</v>
      </c>
      <c r="C2069" s="15" t="s">
        <v>68</v>
      </c>
      <c r="D2069" s="69">
        <v>107</v>
      </c>
      <c r="E2069" s="68" t="s">
        <v>3350</v>
      </c>
      <c r="F2069" s="21" t="s">
        <v>699</v>
      </c>
      <c r="G2069" s="15" t="s">
        <v>154</v>
      </c>
      <c r="H2069" s="15" t="s">
        <v>907</v>
      </c>
      <c r="I2069" s="69">
        <v>253</v>
      </c>
      <c r="J2069" s="15" t="s">
        <v>2674</v>
      </c>
      <c r="K2069" s="15" t="s">
        <v>903</v>
      </c>
      <c r="L2069" s="15" t="s">
        <v>2673</v>
      </c>
      <c r="M2069" s="15" t="s">
        <v>2672</v>
      </c>
      <c r="N2069" s="15" t="s">
        <v>2673</v>
      </c>
      <c r="O2069" s="15"/>
    </row>
    <row r="2070" spans="1:15" ht="18" customHeight="1" x14ac:dyDescent="0.3">
      <c r="A2070" s="29">
        <v>2069</v>
      </c>
      <c r="B2070" s="15" t="s">
        <v>52</v>
      </c>
      <c r="C2070" s="15" t="s">
        <v>68</v>
      </c>
      <c r="D2070" s="69">
        <v>107</v>
      </c>
      <c r="E2070" s="68" t="s">
        <v>3350</v>
      </c>
      <c r="F2070" s="21" t="s">
        <v>699</v>
      </c>
      <c r="G2070" s="15" t="s">
        <v>154</v>
      </c>
      <c r="H2070" s="15" t="s">
        <v>908</v>
      </c>
      <c r="I2070" s="69">
        <v>159</v>
      </c>
      <c r="J2070" s="15" t="s">
        <v>2672</v>
      </c>
      <c r="K2070" s="15" t="s">
        <v>903</v>
      </c>
      <c r="L2070" s="15" t="s">
        <v>2673</v>
      </c>
      <c r="M2070" s="15" t="s">
        <v>2672</v>
      </c>
      <c r="N2070" s="15" t="s">
        <v>2673</v>
      </c>
      <c r="O2070" s="15"/>
    </row>
    <row r="2071" spans="1:15" ht="18" customHeight="1" x14ac:dyDescent="0.3">
      <c r="A2071" s="29">
        <v>2070</v>
      </c>
      <c r="B2071" s="15" t="s">
        <v>52</v>
      </c>
      <c r="C2071" s="15" t="s">
        <v>69</v>
      </c>
      <c r="D2071" s="69">
        <v>108</v>
      </c>
      <c r="E2071" s="68" t="s">
        <v>918</v>
      </c>
      <c r="F2071" s="21" t="s">
        <v>1098</v>
      </c>
      <c r="G2071" s="15" t="s">
        <v>164</v>
      </c>
      <c r="H2071" s="15" t="s">
        <v>905</v>
      </c>
      <c r="I2071" s="69">
        <v>142</v>
      </c>
      <c r="J2071" s="15" t="s">
        <v>2672</v>
      </c>
      <c r="K2071" s="15" t="s">
        <v>903</v>
      </c>
      <c r="L2071" s="15" t="s">
        <v>2673</v>
      </c>
      <c r="M2071" s="15" t="s">
        <v>2672</v>
      </c>
      <c r="N2071" s="15" t="s">
        <v>2673</v>
      </c>
      <c r="O2071" s="15"/>
    </row>
    <row r="2072" spans="1:15" ht="18" customHeight="1" x14ac:dyDescent="0.3">
      <c r="A2072" s="29">
        <v>2071</v>
      </c>
      <c r="B2072" s="15" t="s">
        <v>52</v>
      </c>
      <c r="C2072" s="15" t="s">
        <v>69</v>
      </c>
      <c r="D2072" s="69">
        <v>108</v>
      </c>
      <c r="E2072" s="68" t="s">
        <v>918</v>
      </c>
      <c r="F2072" s="21" t="s">
        <v>1098</v>
      </c>
      <c r="G2072" s="15" t="s">
        <v>164</v>
      </c>
      <c r="H2072" s="15" t="s">
        <v>906</v>
      </c>
      <c r="I2072" s="69">
        <v>118</v>
      </c>
      <c r="J2072" s="15" t="s">
        <v>2672</v>
      </c>
      <c r="K2072" s="15" t="s">
        <v>903</v>
      </c>
      <c r="L2072" s="15" t="s">
        <v>2673</v>
      </c>
      <c r="M2072" s="15" t="s">
        <v>2672</v>
      </c>
      <c r="N2072" s="15" t="s">
        <v>2673</v>
      </c>
      <c r="O2072" s="15"/>
    </row>
    <row r="2073" spans="1:15" ht="18" customHeight="1" x14ac:dyDescent="0.3">
      <c r="A2073" s="29">
        <v>2072</v>
      </c>
      <c r="B2073" s="15" t="s">
        <v>52</v>
      </c>
      <c r="C2073" s="15" t="s">
        <v>69</v>
      </c>
      <c r="D2073" s="69">
        <v>108</v>
      </c>
      <c r="E2073" s="68" t="s">
        <v>918</v>
      </c>
      <c r="F2073" s="21" t="s">
        <v>1098</v>
      </c>
      <c r="G2073" s="15" t="s">
        <v>164</v>
      </c>
      <c r="H2073" s="15" t="s">
        <v>907</v>
      </c>
      <c r="I2073" s="69">
        <v>91</v>
      </c>
      <c r="J2073" s="15" t="s">
        <v>2672</v>
      </c>
      <c r="K2073" s="15" t="s">
        <v>903</v>
      </c>
      <c r="L2073" s="15" t="s">
        <v>2673</v>
      </c>
      <c r="M2073" s="15" t="s">
        <v>2672</v>
      </c>
      <c r="N2073" s="15" t="s">
        <v>2673</v>
      </c>
      <c r="O2073" s="15"/>
    </row>
    <row r="2074" spans="1:15" ht="18" customHeight="1" x14ac:dyDescent="0.3">
      <c r="A2074" s="29">
        <v>2073</v>
      </c>
      <c r="B2074" s="15" t="s">
        <v>52</v>
      </c>
      <c r="C2074" s="15" t="s">
        <v>69</v>
      </c>
      <c r="D2074" s="69">
        <v>108</v>
      </c>
      <c r="E2074" s="68" t="s">
        <v>918</v>
      </c>
      <c r="F2074" s="21" t="s">
        <v>2035</v>
      </c>
      <c r="G2074" s="15" t="s">
        <v>164</v>
      </c>
      <c r="H2074" s="15" t="s">
        <v>904</v>
      </c>
      <c r="I2074" s="69">
        <v>142</v>
      </c>
      <c r="J2074" s="15" t="s">
        <v>2672</v>
      </c>
      <c r="K2074" s="15" t="s">
        <v>903</v>
      </c>
      <c r="L2074" s="15" t="s">
        <v>2673</v>
      </c>
      <c r="M2074" s="15" t="s">
        <v>2672</v>
      </c>
      <c r="N2074" s="15" t="s">
        <v>2673</v>
      </c>
      <c r="O2074" s="15"/>
    </row>
    <row r="2075" spans="1:15" ht="18" customHeight="1" x14ac:dyDescent="0.3">
      <c r="A2075" s="29">
        <v>2074</v>
      </c>
      <c r="B2075" s="15" t="s">
        <v>52</v>
      </c>
      <c r="C2075" s="15" t="s">
        <v>69</v>
      </c>
      <c r="D2075" s="69">
        <v>108</v>
      </c>
      <c r="E2075" s="68" t="s">
        <v>918</v>
      </c>
      <c r="F2075" s="21" t="s">
        <v>2035</v>
      </c>
      <c r="G2075" s="15" t="s">
        <v>164</v>
      </c>
      <c r="H2075" s="15" t="s">
        <v>2682</v>
      </c>
      <c r="I2075" s="69">
        <v>40</v>
      </c>
      <c r="J2075" s="15" t="s">
        <v>2672</v>
      </c>
      <c r="K2075" s="15" t="s">
        <v>2674</v>
      </c>
      <c r="L2075" s="15" t="s">
        <v>1703</v>
      </c>
      <c r="M2075" s="15" t="s">
        <v>2672</v>
      </c>
      <c r="N2075" s="15" t="s">
        <v>2673</v>
      </c>
      <c r="O2075" s="15"/>
    </row>
    <row r="2076" spans="1:15" ht="18" customHeight="1" x14ac:dyDescent="0.3">
      <c r="A2076" s="29">
        <v>2075</v>
      </c>
      <c r="B2076" s="15" t="s">
        <v>52</v>
      </c>
      <c r="C2076" s="15" t="s">
        <v>69</v>
      </c>
      <c r="D2076" s="69">
        <v>108</v>
      </c>
      <c r="E2076" s="68" t="s">
        <v>918</v>
      </c>
      <c r="F2076" s="21" t="s">
        <v>2035</v>
      </c>
      <c r="G2076" s="15" t="s">
        <v>164</v>
      </c>
      <c r="H2076" s="15" t="s">
        <v>901</v>
      </c>
      <c r="I2076" s="69">
        <v>78</v>
      </c>
      <c r="J2076" s="15" t="s">
        <v>2672</v>
      </c>
      <c r="K2076" s="15" t="s">
        <v>2674</v>
      </c>
      <c r="L2076" s="15" t="s">
        <v>1703</v>
      </c>
      <c r="M2076" s="15" t="s">
        <v>2672</v>
      </c>
      <c r="N2076" s="15" t="s">
        <v>2673</v>
      </c>
      <c r="O2076" s="15"/>
    </row>
    <row r="2077" spans="1:15" ht="18" customHeight="1" x14ac:dyDescent="0.3">
      <c r="A2077" s="29">
        <v>2076</v>
      </c>
      <c r="B2077" s="15" t="s">
        <v>52</v>
      </c>
      <c r="C2077" s="15" t="s">
        <v>69</v>
      </c>
      <c r="D2077" s="69">
        <v>108</v>
      </c>
      <c r="E2077" s="68" t="s">
        <v>263</v>
      </c>
      <c r="F2077" s="21" t="s">
        <v>680</v>
      </c>
      <c r="G2077" s="15" t="s">
        <v>154</v>
      </c>
      <c r="H2077" s="15" t="s">
        <v>901</v>
      </c>
      <c r="I2077" s="69">
        <v>274</v>
      </c>
      <c r="J2077" s="13" t="s">
        <v>2672</v>
      </c>
      <c r="K2077" s="15" t="s">
        <v>903</v>
      </c>
      <c r="L2077" s="15" t="s">
        <v>2673</v>
      </c>
      <c r="M2077" s="15" t="s">
        <v>2672</v>
      </c>
      <c r="N2077" s="15" t="s">
        <v>2673</v>
      </c>
      <c r="O2077" s="15"/>
    </row>
    <row r="2078" spans="1:15" ht="18" customHeight="1" x14ac:dyDescent="0.3">
      <c r="A2078" s="29">
        <v>2077</v>
      </c>
      <c r="B2078" s="15" t="s">
        <v>52</v>
      </c>
      <c r="C2078" s="15" t="s">
        <v>69</v>
      </c>
      <c r="D2078" s="69">
        <v>108</v>
      </c>
      <c r="E2078" s="68" t="s">
        <v>263</v>
      </c>
      <c r="F2078" s="21" t="s">
        <v>680</v>
      </c>
      <c r="G2078" s="15" t="s">
        <v>154</v>
      </c>
      <c r="H2078" s="15" t="s">
        <v>904</v>
      </c>
      <c r="I2078" s="69">
        <v>176</v>
      </c>
      <c r="J2078" s="13" t="s">
        <v>2672</v>
      </c>
      <c r="K2078" s="15" t="s">
        <v>903</v>
      </c>
      <c r="L2078" s="15" t="s">
        <v>2673</v>
      </c>
      <c r="M2078" s="15" t="s">
        <v>2672</v>
      </c>
      <c r="N2078" s="15" t="s">
        <v>2673</v>
      </c>
      <c r="O2078" s="15"/>
    </row>
    <row r="2079" spans="1:15" ht="18" customHeight="1" x14ac:dyDescent="0.3">
      <c r="A2079" s="29">
        <v>2078</v>
      </c>
      <c r="B2079" s="15" t="s">
        <v>52</v>
      </c>
      <c r="C2079" s="15" t="s">
        <v>69</v>
      </c>
      <c r="D2079" s="69">
        <v>108</v>
      </c>
      <c r="E2079" s="68" t="s">
        <v>263</v>
      </c>
      <c r="F2079" s="21" t="s">
        <v>680</v>
      </c>
      <c r="G2079" s="15" t="s">
        <v>154</v>
      </c>
      <c r="H2079" s="15" t="s">
        <v>905</v>
      </c>
      <c r="I2079" s="69">
        <v>120</v>
      </c>
      <c r="J2079" s="13" t="s">
        <v>902</v>
      </c>
      <c r="K2079" s="15" t="s">
        <v>903</v>
      </c>
      <c r="L2079" s="15" t="s">
        <v>2673</v>
      </c>
      <c r="M2079" s="15" t="s">
        <v>2672</v>
      </c>
      <c r="N2079" s="15" t="s">
        <v>2673</v>
      </c>
      <c r="O2079" s="15"/>
    </row>
    <row r="2080" spans="1:15" ht="18" customHeight="1" x14ac:dyDescent="0.3">
      <c r="A2080" s="29">
        <v>2079</v>
      </c>
      <c r="B2080" s="15" t="s">
        <v>52</v>
      </c>
      <c r="C2080" s="15" t="s">
        <v>69</v>
      </c>
      <c r="D2080" s="69">
        <v>108</v>
      </c>
      <c r="E2080" s="68" t="s">
        <v>263</v>
      </c>
      <c r="F2080" s="21" t="s">
        <v>680</v>
      </c>
      <c r="G2080" s="15" t="s">
        <v>154</v>
      </c>
      <c r="H2080" s="15" t="s">
        <v>906</v>
      </c>
      <c r="I2080" s="69">
        <v>106</v>
      </c>
      <c r="J2080" s="13" t="s">
        <v>2672</v>
      </c>
      <c r="K2080" s="15" t="s">
        <v>903</v>
      </c>
      <c r="L2080" s="15" t="s">
        <v>2673</v>
      </c>
      <c r="M2080" s="15" t="s">
        <v>2672</v>
      </c>
      <c r="N2080" s="15" t="s">
        <v>2673</v>
      </c>
      <c r="O2080" s="15"/>
    </row>
    <row r="2081" spans="1:15" ht="18" customHeight="1" x14ac:dyDescent="0.3">
      <c r="A2081" s="29">
        <v>2080</v>
      </c>
      <c r="B2081" s="15" t="s">
        <v>52</v>
      </c>
      <c r="C2081" s="15" t="s">
        <v>69</v>
      </c>
      <c r="D2081" s="69">
        <v>108</v>
      </c>
      <c r="E2081" s="68" t="s">
        <v>263</v>
      </c>
      <c r="F2081" s="21" t="s">
        <v>680</v>
      </c>
      <c r="G2081" s="15" t="s">
        <v>154</v>
      </c>
      <c r="H2081" s="15" t="s">
        <v>907</v>
      </c>
      <c r="I2081" s="69">
        <v>111</v>
      </c>
      <c r="J2081" s="13" t="s">
        <v>902</v>
      </c>
      <c r="K2081" s="15" t="s">
        <v>903</v>
      </c>
      <c r="L2081" s="15" t="s">
        <v>2673</v>
      </c>
      <c r="M2081" s="15" t="s">
        <v>2672</v>
      </c>
      <c r="N2081" s="15" t="s">
        <v>2673</v>
      </c>
      <c r="O2081" s="15"/>
    </row>
    <row r="2082" spans="1:15" ht="18" customHeight="1" x14ac:dyDescent="0.3">
      <c r="A2082" s="29">
        <v>2081</v>
      </c>
      <c r="B2082" s="15" t="s">
        <v>52</v>
      </c>
      <c r="C2082" s="15" t="s">
        <v>69</v>
      </c>
      <c r="D2082" s="69">
        <v>108</v>
      </c>
      <c r="E2082" s="68" t="s">
        <v>263</v>
      </c>
      <c r="F2082" s="21" t="s">
        <v>680</v>
      </c>
      <c r="G2082" s="15" t="s">
        <v>154</v>
      </c>
      <c r="H2082" s="15" t="s">
        <v>908</v>
      </c>
      <c r="I2082" s="69">
        <v>106</v>
      </c>
      <c r="J2082" s="13" t="s">
        <v>2672</v>
      </c>
      <c r="K2082" s="15" t="s">
        <v>903</v>
      </c>
      <c r="L2082" s="15" t="s">
        <v>2673</v>
      </c>
      <c r="M2082" s="15" t="s">
        <v>2672</v>
      </c>
      <c r="N2082" s="15" t="s">
        <v>2673</v>
      </c>
      <c r="O2082" s="15"/>
    </row>
    <row r="2083" spans="1:15" ht="18" customHeight="1" x14ac:dyDescent="0.3">
      <c r="A2083" s="29">
        <v>2082</v>
      </c>
      <c r="B2083" s="15" t="s">
        <v>52</v>
      </c>
      <c r="C2083" s="15" t="s">
        <v>69</v>
      </c>
      <c r="D2083" s="69">
        <v>108</v>
      </c>
      <c r="E2083" s="68" t="s">
        <v>263</v>
      </c>
      <c r="F2083" s="21" t="s">
        <v>680</v>
      </c>
      <c r="G2083" s="15" t="s">
        <v>154</v>
      </c>
      <c r="H2083" s="15" t="s">
        <v>909</v>
      </c>
      <c r="I2083" s="69">
        <v>198</v>
      </c>
      <c r="J2083" s="13" t="s">
        <v>2672</v>
      </c>
      <c r="K2083" s="15" t="s">
        <v>903</v>
      </c>
      <c r="L2083" s="15" t="s">
        <v>2673</v>
      </c>
      <c r="M2083" s="15" t="s">
        <v>2672</v>
      </c>
      <c r="N2083" s="15" t="s">
        <v>2673</v>
      </c>
      <c r="O2083" s="15"/>
    </row>
    <row r="2084" spans="1:15" ht="18" customHeight="1" x14ac:dyDescent="0.3">
      <c r="A2084" s="29">
        <v>2083</v>
      </c>
      <c r="B2084" s="15" t="s">
        <v>52</v>
      </c>
      <c r="C2084" s="15" t="s">
        <v>69</v>
      </c>
      <c r="D2084" s="69">
        <v>108</v>
      </c>
      <c r="E2084" s="68" t="s">
        <v>3351</v>
      </c>
      <c r="F2084" s="24" t="s">
        <v>1095</v>
      </c>
      <c r="G2084" s="15" t="s">
        <v>164</v>
      </c>
      <c r="H2084" s="15" t="s">
        <v>905</v>
      </c>
      <c r="I2084" s="69">
        <v>232</v>
      </c>
      <c r="J2084" s="15" t="s">
        <v>2674</v>
      </c>
      <c r="K2084" s="15" t="s">
        <v>903</v>
      </c>
      <c r="L2084" s="15" t="s">
        <v>2673</v>
      </c>
      <c r="M2084" s="15" t="s">
        <v>2672</v>
      </c>
      <c r="N2084" s="15" t="s">
        <v>2673</v>
      </c>
      <c r="O2084" s="15"/>
    </row>
    <row r="2085" spans="1:15" ht="18" customHeight="1" x14ac:dyDescent="0.3">
      <c r="A2085" s="29">
        <v>2084</v>
      </c>
      <c r="B2085" s="15" t="s">
        <v>52</v>
      </c>
      <c r="C2085" s="15" t="s">
        <v>69</v>
      </c>
      <c r="D2085" s="69">
        <v>108</v>
      </c>
      <c r="E2085" s="68" t="s">
        <v>3351</v>
      </c>
      <c r="F2085" s="24" t="s">
        <v>1095</v>
      </c>
      <c r="G2085" s="15" t="s">
        <v>164</v>
      </c>
      <c r="H2085" s="15" t="s">
        <v>906</v>
      </c>
      <c r="I2085" s="69">
        <v>246</v>
      </c>
      <c r="J2085" s="15" t="s">
        <v>2674</v>
      </c>
      <c r="K2085" s="15" t="s">
        <v>903</v>
      </c>
      <c r="L2085" s="15" t="s">
        <v>2673</v>
      </c>
      <c r="M2085" s="15" t="s">
        <v>2672</v>
      </c>
      <c r="N2085" s="15" t="s">
        <v>2673</v>
      </c>
      <c r="O2085" s="15"/>
    </row>
    <row r="2086" spans="1:15" ht="18" customHeight="1" x14ac:dyDescent="0.3">
      <c r="A2086" s="29">
        <v>2085</v>
      </c>
      <c r="B2086" s="15" t="s">
        <v>52</v>
      </c>
      <c r="C2086" s="15" t="s">
        <v>69</v>
      </c>
      <c r="D2086" s="69">
        <v>108</v>
      </c>
      <c r="E2086" s="68" t="s">
        <v>3351</v>
      </c>
      <c r="F2086" s="24" t="s">
        <v>1095</v>
      </c>
      <c r="G2086" s="15" t="s">
        <v>164</v>
      </c>
      <c r="H2086" s="15" t="s">
        <v>907</v>
      </c>
      <c r="I2086" s="69">
        <v>114</v>
      </c>
      <c r="J2086" s="15" t="s">
        <v>2674</v>
      </c>
      <c r="K2086" s="15" t="s">
        <v>903</v>
      </c>
      <c r="L2086" s="15" t="s">
        <v>2673</v>
      </c>
      <c r="M2086" s="15" t="s">
        <v>2672</v>
      </c>
      <c r="N2086" s="15" t="s">
        <v>2673</v>
      </c>
      <c r="O2086" s="15"/>
    </row>
    <row r="2087" spans="1:15" ht="18" customHeight="1" x14ac:dyDescent="0.3">
      <c r="A2087" s="29">
        <v>2086</v>
      </c>
      <c r="B2087" s="15" t="s">
        <v>52</v>
      </c>
      <c r="C2087" s="15" t="s">
        <v>69</v>
      </c>
      <c r="D2087" s="69">
        <v>108</v>
      </c>
      <c r="E2087" s="68" t="s">
        <v>3351</v>
      </c>
      <c r="F2087" s="24" t="s">
        <v>1095</v>
      </c>
      <c r="G2087" s="15" t="s">
        <v>164</v>
      </c>
      <c r="H2087" s="15" t="s">
        <v>908</v>
      </c>
      <c r="I2087" s="69">
        <v>103</v>
      </c>
      <c r="J2087" s="15" t="s">
        <v>2672</v>
      </c>
      <c r="K2087" s="15" t="s">
        <v>903</v>
      </c>
      <c r="L2087" s="15" t="s">
        <v>2673</v>
      </c>
      <c r="M2087" s="15" t="s">
        <v>2672</v>
      </c>
      <c r="N2087" s="15" t="s">
        <v>2673</v>
      </c>
      <c r="O2087" s="15"/>
    </row>
    <row r="2088" spans="1:15" ht="18" customHeight="1" x14ac:dyDescent="0.3">
      <c r="A2088" s="29">
        <v>2087</v>
      </c>
      <c r="B2088" s="15" t="s">
        <v>52</v>
      </c>
      <c r="C2088" s="15" t="s">
        <v>69</v>
      </c>
      <c r="D2088" s="69">
        <v>108</v>
      </c>
      <c r="E2088" s="68" t="s">
        <v>3351</v>
      </c>
      <c r="F2088" s="24" t="s">
        <v>1095</v>
      </c>
      <c r="G2088" s="15" t="s">
        <v>164</v>
      </c>
      <c r="H2088" s="15" t="s">
        <v>909</v>
      </c>
      <c r="I2088" s="69">
        <v>126</v>
      </c>
      <c r="J2088" s="15" t="s">
        <v>2672</v>
      </c>
      <c r="K2088" s="15" t="s">
        <v>903</v>
      </c>
      <c r="L2088" s="15" t="s">
        <v>2673</v>
      </c>
      <c r="M2088" s="15" t="s">
        <v>2672</v>
      </c>
      <c r="N2088" s="15" t="s">
        <v>2673</v>
      </c>
      <c r="O2088" s="15"/>
    </row>
    <row r="2089" spans="1:15" ht="18" customHeight="1" x14ac:dyDescent="0.3">
      <c r="A2089" s="29">
        <v>2088</v>
      </c>
      <c r="B2089" s="15" t="s">
        <v>52</v>
      </c>
      <c r="C2089" s="15" t="s">
        <v>69</v>
      </c>
      <c r="D2089" s="69">
        <v>108</v>
      </c>
      <c r="E2089" s="68" t="s">
        <v>3351</v>
      </c>
      <c r="F2089" s="24" t="s">
        <v>1095</v>
      </c>
      <c r="G2089" s="15" t="s">
        <v>164</v>
      </c>
      <c r="H2089" s="15" t="s">
        <v>910</v>
      </c>
      <c r="I2089" s="69">
        <v>103</v>
      </c>
      <c r="J2089" s="15" t="s">
        <v>2672</v>
      </c>
      <c r="K2089" s="15" t="s">
        <v>903</v>
      </c>
      <c r="L2089" s="15" t="s">
        <v>2673</v>
      </c>
      <c r="M2089" s="15" t="s">
        <v>2672</v>
      </c>
      <c r="N2089" s="15" t="s">
        <v>2673</v>
      </c>
      <c r="O2089" s="15"/>
    </row>
    <row r="2090" spans="1:15" ht="18" customHeight="1" x14ac:dyDescent="0.3">
      <c r="A2090" s="29">
        <v>2089</v>
      </c>
      <c r="B2090" s="15" t="s">
        <v>52</v>
      </c>
      <c r="C2090" s="15" t="s">
        <v>69</v>
      </c>
      <c r="D2090" s="69">
        <v>108</v>
      </c>
      <c r="E2090" s="68" t="s">
        <v>3351</v>
      </c>
      <c r="F2090" s="24" t="s">
        <v>677</v>
      </c>
      <c r="G2090" s="15" t="s">
        <v>164</v>
      </c>
      <c r="H2090" s="15" t="s">
        <v>901</v>
      </c>
      <c r="I2090" s="69">
        <v>116</v>
      </c>
      <c r="J2090" s="15" t="s">
        <v>2672</v>
      </c>
      <c r="K2090" s="15" t="s">
        <v>903</v>
      </c>
      <c r="L2090" s="15" t="s">
        <v>2673</v>
      </c>
      <c r="M2090" s="15" t="s">
        <v>2672</v>
      </c>
      <c r="N2090" s="15" t="s">
        <v>2673</v>
      </c>
      <c r="O2090" s="15"/>
    </row>
    <row r="2091" spans="1:15" ht="18" customHeight="1" x14ac:dyDescent="0.3">
      <c r="A2091" s="29">
        <v>2090</v>
      </c>
      <c r="B2091" s="15" t="s">
        <v>52</v>
      </c>
      <c r="C2091" s="15" t="s">
        <v>69</v>
      </c>
      <c r="D2091" s="69">
        <v>108</v>
      </c>
      <c r="E2091" s="68" t="s">
        <v>3351</v>
      </c>
      <c r="F2091" s="24" t="s">
        <v>677</v>
      </c>
      <c r="G2091" s="15" t="s">
        <v>164</v>
      </c>
      <c r="H2091" s="15" t="s">
        <v>904</v>
      </c>
      <c r="I2091" s="69">
        <v>104</v>
      </c>
      <c r="J2091" s="15" t="s">
        <v>2672</v>
      </c>
      <c r="K2091" s="15" t="s">
        <v>903</v>
      </c>
      <c r="L2091" s="15" t="s">
        <v>2673</v>
      </c>
      <c r="M2091" s="15" t="s">
        <v>2672</v>
      </c>
      <c r="N2091" s="15" t="s">
        <v>2673</v>
      </c>
      <c r="O2091" s="15"/>
    </row>
    <row r="2092" spans="1:15" ht="18" customHeight="1" x14ac:dyDescent="0.3">
      <c r="A2092" s="29">
        <v>2091</v>
      </c>
      <c r="B2092" s="15" t="s">
        <v>1882</v>
      </c>
      <c r="C2092" s="15" t="s">
        <v>2033</v>
      </c>
      <c r="D2092" s="69">
        <v>108</v>
      </c>
      <c r="E2092" s="68" t="s">
        <v>2039</v>
      </c>
      <c r="F2092" s="21" t="s">
        <v>2040</v>
      </c>
      <c r="G2092" s="15" t="s">
        <v>1538</v>
      </c>
      <c r="H2092" s="15" t="s">
        <v>2685</v>
      </c>
      <c r="I2092" s="69">
        <v>44</v>
      </c>
      <c r="J2092" s="15" t="s">
        <v>2672</v>
      </c>
      <c r="K2092" s="15" t="s">
        <v>2674</v>
      </c>
      <c r="L2092" s="15" t="s">
        <v>1703</v>
      </c>
      <c r="M2092" s="15" t="s">
        <v>2672</v>
      </c>
      <c r="N2092" s="15" t="s">
        <v>2673</v>
      </c>
      <c r="O2092" s="15"/>
    </row>
    <row r="2093" spans="1:15" ht="18" customHeight="1" x14ac:dyDescent="0.3">
      <c r="A2093" s="29">
        <v>2092</v>
      </c>
      <c r="B2093" s="15" t="s">
        <v>1882</v>
      </c>
      <c r="C2093" s="15" t="s">
        <v>2033</v>
      </c>
      <c r="D2093" s="69">
        <v>108</v>
      </c>
      <c r="E2093" s="68" t="s">
        <v>2039</v>
      </c>
      <c r="F2093" s="21" t="s">
        <v>2040</v>
      </c>
      <c r="G2093" s="15" t="s">
        <v>1538</v>
      </c>
      <c r="H2093" s="15" t="s">
        <v>2678</v>
      </c>
      <c r="I2093" s="69">
        <v>39</v>
      </c>
      <c r="J2093" s="15" t="s">
        <v>2672</v>
      </c>
      <c r="K2093" s="15" t="s">
        <v>2674</v>
      </c>
      <c r="L2093" s="15" t="s">
        <v>1703</v>
      </c>
      <c r="M2093" s="15" t="s">
        <v>2672</v>
      </c>
      <c r="N2093" s="15" t="s">
        <v>2673</v>
      </c>
      <c r="O2093" s="15"/>
    </row>
    <row r="2094" spans="1:15" ht="18" customHeight="1" x14ac:dyDescent="0.3">
      <c r="A2094" s="29">
        <v>2093</v>
      </c>
      <c r="B2094" s="15" t="s">
        <v>1882</v>
      </c>
      <c r="C2094" s="15" t="s">
        <v>2033</v>
      </c>
      <c r="D2094" s="69">
        <v>108</v>
      </c>
      <c r="E2094" s="68" t="s">
        <v>2039</v>
      </c>
      <c r="F2094" s="21" t="s">
        <v>2040</v>
      </c>
      <c r="G2094" s="15" t="s">
        <v>1538</v>
      </c>
      <c r="H2094" s="15" t="s">
        <v>2679</v>
      </c>
      <c r="I2094" s="69">
        <v>44</v>
      </c>
      <c r="J2094" s="15" t="s">
        <v>2672</v>
      </c>
      <c r="K2094" s="15" t="s">
        <v>2674</v>
      </c>
      <c r="L2094" s="15" t="s">
        <v>1703</v>
      </c>
      <c r="M2094" s="15" t="s">
        <v>2672</v>
      </c>
      <c r="N2094" s="15" t="s">
        <v>2673</v>
      </c>
      <c r="O2094" s="15"/>
    </row>
    <row r="2095" spans="1:15" ht="18" customHeight="1" x14ac:dyDescent="0.3">
      <c r="A2095" s="29">
        <v>2094</v>
      </c>
      <c r="B2095" s="15" t="s">
        <v>1882</v>
      </c>
      <c r="C2095" s="15" t="s">
        <v>2033</v>
      </c>
      <c r="D2095" s="69">
        <v>108</v>
      </c>
      <c r="E2095" s="68" t="s">
        <v>2039</v>
      </c>
      <c r="F2095" s="21" t="s">
        <v>2040</v>
      </c>
      <c r="G2095" s="15" t="s">
        <v>1538</v>
      </c>
      <c r="H2095" s="15" t="s">
        <v>2680</v>
      </c>
      <c r="I2095" s="69">
        <v>39</v>
      </c>
      <c r="J2095" s="15" t="s">
        <v>2672</v>
      </c>
      <c r="K2095" s="15" t="s">
        <v>2674</v>
      </c>
      <c r="L2095" s="15" t="s">
        <v>1703</v>
      </c>
      <c r="M2095" s="15" t="s">
        <v>2672</v>
      </c>
      <c r="N2095" s="15" t="s">
        <v>2673</v>
      </c>
      <c r="O2095" s="15"/>
    </row>
    <row r="2096" spans="1:15" ht="18" customHeight="1" x14ac:dyDescent="0.3">
      <c r="A2096" s="29">
        <v>2095</v>
      </c>
      <c r="B2096" s="15" t="s">
        <v>1882</v>
      </c>
      <c r="C2096" s="15" t="s">
        <v>2033</v>
      </c>
      <c r="D2096" s="69">
        <v>108</v>
      </c>
      <c r="E2096" s="68" t="s">
        <v>2039</v>
      </c>
      <c r="F2096" s="21" t="s">
        <v>2040</v>
      </c>
      <c r="G2096" s="15" t="s">
        <v>1538</v>
      </c>
      <c r="H2096" s="15" t="s">
        <v>2690</v>
      </c>
      <c r="I2096" s="69">
        <v>44</v>
      </c>
      <c r="J2096" s="15" t="s">
        <v>2672</v>
      </c>
      <c r="K2096" s="15" t="s">
        <v>2674</v>
      </c>
      <c r="L2096" s="15" t="s">
        <v>1703</v>
      </c>
      <c r="M2096" s="15" t="s">
        <v>2672</v>
      </c>
      <c r="N2096" s="15" t="s">
        <v>2673</v>
      </c>
      <c r="O2096" s="15"/>
    </row>
    <row r="2097" spans="1:15" ht="18" customHeight="1" x14ac:dyDescent="0.3">
      <c r="A2097" s="29">
        <v>2096</v>
      </c>
      <c r="B2097" s="15" t="s">
        <v>1882</v>
      </c>
      <c r="C2097" s="15" t="s">
        <v>2033</v>
      </c>
      <c r="D2097" s="69">
        <v>108</v>
      </c>
      <c r="E2097" s="68" t="s">
        <v>2039</v>
      </c>
      <c r="F2097" s="21" t="s">
        <v>2040</v>
      </c>
      <c r="G2097" s="15" t="s">
        <v>1538</v>
      </c>
      <c r="H2097" s="15" t="s">
        <v>2682</v>
      </c>
      <c r="I2097" s="69">
        <v>44</v>
      </c>
      <c r="J2097" s="15" t="s">
        <v>2672</v>
      </c>
      <c r="K2097" s="15" t="s">
        <v>2674</v>
      </c>
      <c r="L2097" s="15" t="s">
        <v>1703</v>
      </c>
      <c r="M2097" s="15" t="s">
        <v>2672</v>
      </c>
      <c r="N2097" s="15" t="s">
        <v>2673</v>
      </c>
      <c r="O2097" s="15"/>
    </row>
    <row r="2098" spans="1:15" ht="18" customHeight="1" x14ac:dyDescent="0.3">
      <c r="A2098" s="29">
        <v>2097</v>
      </c>
      <c r="B2098" s="15" t="s">
        <v>52</v>
      </c>
      <c r="C2098" s="15" t="s">
        <v>69</v>
      </c>
      <c r="D2098" s="69">
        <v>108</v>
      </c>
      <c r="E2098" s="68" t="s">
        <v>3352</v>
      </c>
      <c r="F2098" s="24" t="s">
        <v>676</v>
      </c>
      <c r="G2098" s="15" t="s">
        <v>164</v>
      </c>
      <c r="H2098" s="15" t="s">
        <v>901</v>
      </c>
      <c r="I2098" s="69">
        <v>63</v>
      </c>
      <c r="J2098" s="15" t="s">
        <v>2672</v>
      </c>
      <c r="K2098" s="15" t="s">
        <v>903</v>
      </c>
      <c r="L2098" s="15" t="s">
        <v>2673</v>
      </c>
      <c r="M2098" s="15" t="s">
        <v>2672</v>
      </c>
      <c r="N2098" s="15" t="s">
        <v>2673</v>
      </c>
      <c r="O2098" s="15"/>
    </row>
    <row r="2099" spans="1:15" ht="18" customHeight="1" x14ac:dyDescent="0.3">
      <c r="A2099" s="29">
        <v>2098</v>
      </c>
      <c r="B2099" s="15" t="s">
        <v>52</v>
      </c>
      <c r="C2099" s="15" t="s">
        <v>69</v>
      </c>
      <c r="D2099" s="69">
        <v>108</v>
      </c>
      <c r="E2099" s="68" t="s">
        <v>3352</v>
      </c>
      <c r="F2099" s="24" t="s">
        <v>676</v>
      </c>
      <c r="G2099" s="15" t="s">
        <v>164</v>
      </c>
      <c r="H2099" s="15" t="s">
        <v>904</v>
      </c>
      <c r="I2099" s="69">
        <v>118</v>
      </c>
      <c r="J2099" s="15" t="s">
        <v>2672</v>
      </c>
      <c r="K2099" s="15" t="s">
        <v>903</v>
      </c>
      <c r="L2099" s="15" t="s">
        <v>2673</v>
      </c>
      <c r="M2099" s="15" t="s">
        <v>2672</v>
      </c>
      <c r="N2099" s="15" t="s">
        <v>2673</v>
      </c>
      <c r="O2099" s="15"/>
    </row>
    <row r="2100" spans="1:15" ht="18" customHeight="1" x14ac:dyDescent="0.3">
      <c r="A2100" s="29">
        <v>2099</v>
      </c>
      <c r="B2100" s="15" t="s">
        <v>52</v>
      </c>
      <c r="C2100" s="15" t="s">
        <v>69</v>
      </c>
      <c r="D2100" s="69">
        <v>108</v>
      </c>
      <c r="E2100" s="68" t="s">
        <v>3352</v>
      </c>
      <c r="F2100" s="24" t="s">
        <v>676</v>
      </c>
      <c r="G2100" s="15" t="s">
        <v>164</v>
      </c>
      <c r="H2100" s="15" t="s">
        <v>905</v>
      </c>
      <c r="I2100" s="69">
        <v>107</v>
      </c>
      <c r="J2100" s="15" t="s">
        <v>2672</v>
      </c>
      <c r="K2100" s="15" t="s">
        <v>903</v>
      </c>
      <c r="L2100" s="15" t="s">
        <v>2673</v>
      </c>
      <c r="M2100" s="15" t="s">
        <v>2672</v>
      </c>
      <c r="N2100" s="15" t="s">
        <v>2673</v>
      </c>
      <c r="O2100" s="15"/>
    </row>
    <row r="2101" spans="1:15" ht="18" customHeight="1" x14ac:dyDescent="0.3">
      <c r="A2101" s="29">
        <v>2100</v>
      </c>
      <c r="B2101" s="15" t="s">
        <v>52</v>
      </c>
      <c r="C2101" s="15" t="s">
        <v>69</v>
      </c>
      <c r="D2101" s="69">
        <v>108</v>
      </c>
      <c r="E2101" s="68" t="s">
        <v>3352</v>
      </c>
      <c r="F2101" s="24" t="s">
        <v>676</v>
      </c>
      <c r="G2101" s="15" t="s">
        <v>164</v>
      </c>
      <c r="H2101" s="15" t="s">
        <v>906</v>
      </c>
      <c r="I2101" s="69">
        <v>118</v>
      </c>
      <c r="J2101" s="15" t="s">
        <v>2674</v>
      </c>
      <c r="K2101" s="15" t="s">
        <v>903</v>
      </c>
      <c r="L2101" s="15" t="s">
        <v>2673</v>
      </c>
      <c r="M2101" s="15" t="s">
        <v>2672</v>
      </c>
      <c r="N2101" s="15" t="s">
        <v>2673</v>
      </c>
      <c r="O2101" s="15"/>
    </row>
    <row r="2102" spans="1:15" ht="18" customHeight="1" x14ac:dyDescent="0.3">
      <c r="A2102" s="29">
        <v>2101</v>
      </c>
      <c r="B2102" s="15" t="s">
        <v>52</v>
      </c>
      <c r="C2102" s="15" t="s">
        <v>69</v>
      </c>
      <c r="D2102" s="69">
        <v>108</v>
      </c>
      <c r="E2102" s="68" t="s">
        <v>953</v>
      </c>
      <c r="F2102" s="24" t="s">
        <v>2043</v>
      </c>
      <c r="G2102" s="15" t="s">
        <v>154</v>
      </c>
      <c r="H2102" s="15" t="s">
        <v>901</v>
      </c>
      <c r="I2102" s="69">
        <v>396</v>
      </c>
      <c r="J2102" s="13" t="s">
        <v>2672</v>
      </c>
      <c r="K2102" s="15" t="s">
        <v>2674</v>
      </c>
      <c r="L2102" s="15" t="s">
        <v>2747</v>
      </c>
      <c r="M2102" s="15" t="s">
        <v>2672</v>
      </c>
      <c r="N2102" s="15" t="s">
        <v>2673</v>
      </c>
      <c r="O2102" s="15"/>
    </row>
    <row r="2103" spans="1:15" ht="18" customHeight="1" x14ac:dyDescent="0.3">
      <c r="A2103" s="29">
        <v>2102</v>
      </c>
      <c r="B2103" s="15" t="s">
        <v>52</v>
      </c>
      <c r="C2103" s="15" t="s">
        <v>69</v>
      </c>
      <c r="D2103" s="69">
        <v>108</v>
      </c>
      <c r="E2103" s="68" t="s">
        <v>953</v>
      </c>
      <c r="F2103" s="24" t="s">
        <v>2043</v>
      </c>
      <c r="G2103" s="15" t="s">
        <v>154</v>
      </c>
      <c r="H2103" s="15" t="s">
        <v>904</v>
      </c>
      <c r="I2103" s="69">
        <v>279</v>
      </c>
      <c r="J2103" s="13" t="s">
        <v>902</v>
      </c>
      <c r="K2103" s="15" t="s">
        <v>903</v>
      </c>
      <c r="L2103" s="15" t="s">
        <v>2673</v>
      </c>
      <c r="M2103" s="15" t="s">
        <v>2672</v>
      </c>
      <c r="N2103" s="15" t="s">
        <v>2673</v>
      </c>
      <c r="O2103" s="15"/>
    </row>
    <row r="2104" spans="1:15" ht="18" customHeight="1" x14ac:dyDescent="0.3">
      <c r="A2104" s="29">
        <v>2103</v>
      </c>
      <c r="B2104" s="15" t="s">
        <v>52</v>
      </c>
      <c r="C2104" s="15" t="s">
        <v>69</v>
      </c>
      <c r="D2104" s="69">
        <v>108</v>
      </c>
      <c r="E2104" s="68" t="s">
        <v>953</v>
      </c>
      <c r="F2104" s="24" t="s">
        <v>1096</v>
      </c>
      <c r="G2104" s="15" t="s">
        <v>154</v>
      </c>
      <c r="H2104" s="15" t="s">
        <v>905</v>
      </c>
      <c r="I2104" s="69">
        <v>71</v>
      </c>
      <c r="J2104" s="13" t="s">
        <v>2672</v>
      </c>
      <c r="K2104" s="15" t="s">
        <v>2674</v>
      </c>
      <c r="L2104" s="15" t="s">
        <v>2525</v>
      </c>
      <c r="M2104" s="15" t="s">
        <v>2672</v>
      </c>
      <c r="N2104" s="15" t="s">
        <v>2673</v>
      </c>
      <c r="O2104" s="15"/>
    </row>
    <row r="2105" spans="1:15" ht="18" customHeight="1" x14ac:dyDescent="0.3">
      <c r="A2105" s="29">
        <v>2104</v>
      </c>
      <c r="B2105" s="15" t="s">
        <v>52</v>
      </c>
      <c r="C2105" s="15" t="s">
        <v>69</v>
      </c>
      <c r="D2105" s="69">
        <v>108</v>
      </c>
      <c r="E2105" s="68" t="s">
        <v>953</v>
      </c>
      <c r="F2105" s="24" t="s">
        <v>1096</v>
      </c>
      <c r="G2105" s="15" t="s">
        <v>154</v>
      </c>
      <c r="H2105" s="15" t="s">
        <v>906</v>
      </c>
      <c r="I2105" s="69">
        <v>63</v>
      </c>
      <c r="J2105" s="13" t="s">
        <v>2672</v>
      </c>
      <c r="K2105" s="15" t="s">
        <v>2674</v>
      </c>
      <c r="L2105" s="15" t="s">
        <v>2525</v>
      </c>
      <c r="M2105" s="15" t="s">
        <v>2672</v>
      </c>
      <c r="N2105" s="15" t="s">
        <v>2673</v>
      </c>
      <c r="O2105" s="15"/>
    </row>
    <row r="2106" spans="1:15" ht="18" customHeight="1" x14ac:dyDescent="0.3">
      <c r="A2106" s="29">
        <v>2105</v>
      </c>
      <c r="B2106" s="15" t="s">
        <v>52</v>
      </c>
      <c r="C2106" s="15" t="s">
        <v>69</v>
      </c>
      <c r="D2106" s="69">
        <v>108</v>
      </c>
      <c r="E2106" s="68" t="s">
        <v>953</v>
      </c>
      <c r="F2106" s="24" t="s">
        <v>1096</v>
      </c>
      <c r="G2106" s="15" t="s">
        <v>154</v>
      </c>
      <c r="H2106" s="15" t="s">
        <v>907</v>
      </c>
      <c r="I2106" s="69">
        <v>81</v>
      </c>
      <c r="J2106" s="13" t="s">
        <v>902</v>
      </c>
      <c r="K2106" s="15" t="s">
        <v>2674</v>
      </c>
      <c r="L2106" s="15" t="s">
        <v>2525</v>
      </c>
      <c r="M2106" s="15" t="s">
        <v>2672</v>
      </c>
      <c r="N2106" s="15" t="s">
        <v>2673</v>
      </c>
      <c r="O2106" s="15"/>
    </row>
    <row r="2107" spans="1:15" ht="18" customHeight="1" x14ac:dyDescent="0.3">
      <c r="A2107" s="29">
        <v>2106</v>
      </c>
      <c r="B2107" s="15" t="s">
        <v>52</v>
      </c>
      <c r="C2107" s="15" t="s">
        <v>69</v>
      </c>
      <c r="D2107" s="69">
        <v>108</v>
      </c>
      <c r="E2107" s="68" t="s">
        <v>953</v>
      </c>
      <c r="F2107" s="24" t="s">
        <v>1096</v>
      </c>
      <c r="G2107" s="15" t="s">
        <v>154</v>
      </c>
      <c r="H2107" s="15" t="s">
        <v>908</v>
      </c>
      <c r="I2107" s="69">
        <v>161</v>
      </c>
      <c r="J2107" s="13" t="s">
        <v>902</v>
      </c>
      <c r="K2107" s="15" t="s">
        <v>903</v>
      </c>
      <c r="L2107" s="15" t="s">
        <v>2673</v>
      </c>
      <c r="M2107" s="15" t="s">
        <v>2672</v>
      </c>
      <c r="N2107" s="15" t="s">
        <v>2673</v>
      </c>
      <c r="O2107" s="15"/>
    </row>
    <row r="2108" spans="1:15" ht="18" customHeight="1" x14ac:dyDescent="0.3">
      <c r="A2108" s="29">
        <v>2107</v>
      </c>
      <c r="B2108" s="15" t="s">
        <v>52</v>
      </c>
      <c r="C2108" s="15" t="s">
        <v>69</v>
      </c>
      <c r="D2108" s="69">
        <v>108</v>
      </c>
      <c r="E2108" s="68" t="s">
        <v>953</v>
      </c>
      <c r="F2108" s="24" t="s">
        <v>1096</v>
      </c>
      <c r="G2108" s="15" t="s">
        <v>154</v>
      </c>
      <c r="H2108" s="15" t="s">
        <v>909</v>
      </c>
      <c r="I2108" s="69">
        <v>107</v>
      </c>
      <c r="J2108" s="13" t="s">
        <v>2672</v>
      </c>
      <c r="K2108" s="15" t="s">
        <v>903</v>
      </c>
      <c r="L2108" s="15" t="s">
        <v>2673</v>
      </c>
      <c r="M2108" s="15" t="s">
        <v>2672</v>
      </c>
      <c r="N2108" s="15" t="s">
        <v>2673</v>
      </c>
      <c r="O2108" s="15"/>
    </row>
    <row r="2109" spans="1:15" ht="18" customHeight="1" x14ac:dyDescent="0.3">
      <c r="A2109" s="29">
        <v>2108</v>
      </c>
      <c r="B2109" s="15" t="s">
        <v>52</v>
      </c>
      <c r="C2109" s="15" t="s">
        <v>69</v>
      </c>
      <c r="D2109" s="69">
        <v>108</v>
      </c>
      <c r="E2109" s="68" t="s">
        <v>953</v>
      </c>
      <c r="F2109" s="24" t="s">
        <v>1096</v>
      </c>
      <c r="G2109" s="15" t="s">
        <v>154</v>
      </c>
      <c r="H2109" s="15" t="s">
        <v>910</v>
      </c>
      <c r="I2109" s="69">
        <v>173</v>
      </c>
      <c r="J2109" s="13" t="s">
        <v>902</v>
      </c>
      <c r="K2109" s="15" t="s">
        <v>903</v>
      </c>
      <c r="L2109" s="15" t="s">
        <v>2673</v>
      </c>
      <c r="M2109" s="15" t="s">
        <v>2672</v>
      </c>
      <c r="N2109" s="15" t="s">
        <v>2673</v>
      </c>
      <c r="O2109" s="15"/>
    </row>
    <row r="2110" spans="1:15" ht="18" customHeight="1" x14ac:dyDescent="0.3">
      <c r="A2110" s="29">
        <v>2109</v>
      </c>
      <c r="B2110" s="15" t="s">
        <v>52</v>
      </c>
      <c r="C2110" s="15" t="s">
        <v>69</v>
      </c>
      <c r="D2110" s="69">
        <v>108</v>
      </c>
      <c r="E2110" s="68" t="s">
        <v>3353</v>
      </c>
      <c r="F2110" s="24" t="s">
        <v>678</v>
      </c>
      <c r="G2110" s="15" t="s">
        <v>164</v>
      </c>
      <c r="H2110" s="15" t="s">
        <v>901</v>
      </c>
      <c r="I2110" s="69">
        <v>121</v>
      </c>
      <c r="J2110" s="15" t="s">
        <v>2674</v>
      </c>
      <c r="K2110" s="15" t="s">
        <v>903</v>
      </c>
      <c r="L2110" s="15" t="s">
        <v>2673</v>
      </c>
      <c r="M2110" s="15" t="s">
        <v>2672</v>
      </c>
      <c r="N2110" s="15" t="s">
        <v>2673</v>
      </c>
      <c r="O2110" s="15"/>
    </row>
    <row r="2111" spans="1:15" ht="18" customHeight="1" x14ac:dyDescent="0.3">
      <c r="A2111" s="29">
        <v>2110</v>
      </c>
      <c r="B2111" s="15" t="s">
        <v>52</v>
      </c>
      <c r="C2111" s="15" t="s">
        <v>69</v>
      </c>
      <c r="D2111" s="69">
        <v>108</v>
      </c>
      <c r="E2111" s="68" t="s">
        <v>3353</v>
      </c>
      <c r="F2111" s="24" t="s">
        <v>678</v>
      </c>
      <c r="G2111" s="15" t="s">
        <v>164</v>
      </c>
      <c r="H2111" s="15" t="s">
        <v>904</v>
      </c>
      <c r="I2111" s="69">
        <v>95</v>
      </c>
      <c r="J2111" s="15" t="s">
        <v>2674</v>
      </c>
      <c r="K2111" s="15" t="s">
        <v>903</v>
      </c>
      <c r="L2111" s="15" t="s">
        <v>2673</v>
      </c>
      <c r="M2111" s="15" t="s">
        <v>2672</v>
      </c>
      <c r="N2111" s="15" t="s">
        <v>2673</v>
      </c>
      <c r="O2111" s="15"/>
    </row>
    <row r="2112" spans="1:15" ht="18" customHeight="1" x14ac:dyDescent="0.3">
      <c r="A2112" s="29">
        <v>2111</v>
      </c>
      <c r="B2112" s="15" t="s">
        <v>52</v>
      </c>
      <c r="C2112" s="15" t="s">
        <v>69</v>
      </c>
      <c r="D2112" s="69">
        <v>108</v>
      </c>
      <c r="E2112" s="68" t="s">
        <v>3353</v>
      </c>
      <c r="F2112" s="24" t="s">
        <v>678</v>
      </c>
      <c r="G2112" s="15" t="s">
        <v>164</v>
      </c>
      <c r="H2112" s="15" t="s">
        <v>905</v>
      </c>
      <c r="I2112" s="69">
        <v>95</v>
      </c>
      <c r="J2112" s="15" t="s">
        <v>2672</v>
      </c>
      <c r="K2112" s="15" t="s">
        <v>903</v>
      </c>
      <c r="L2112" s="15" t="s">
        <v>2673</v>
      </c>
      <c r="M2112" s="15" t="s">
        <v>2672</v>
      </c>
      <c r="N2112" s="15" t="s">
        <v>2673</v>
      </c>
      <c r="O2112" s="15"/>
    </row>
    <row r="2113" spans="1:15" ht="18" customHeight="1" x14ac:dyDescent="0.3">
      <c r="A2113" s="29">
        <v>2112</v>
      </c>
      <c r="B2113" s="15" t="s">
        <v>52</v>
      </c>
      <c r="C2113" s="15" t="s">
        <v>69</v>
      </c>
      <c r="D2113" s="69">
        <v>108</v>
      </c>
      <c r="E2113" s="68" t="s">
        <v>3353</v>
      </c>
      <c r="F2113" s="24" t="s">
        <v>678</v>
      </c>
      <c r="G2113" s="15" t="s">
        <v>164</v>
      </c>
      <c r="H2113" s="15" t="s">
        <v>906</v>
      </c>
      <c r="I2113" s="69">
        <v>84</v>
      </c>
      <c r="J2113" s="15" t="s">
        <v>2674</v>
      </c>
      <c r="K2113" s="15" t="s">
        <v>903</v>
      </c>
      <c r="L2113" s="15" t="s">
        <v>2673</v>
      </c>
      <c r="M2113" s="15" t="s">
        <v>2672</v>
      </c>
      <c r="N2113" s="15" t="s">
        <v>2673</v>
      </c>
      <c r="O2113" s="15"/>
    </row>
    <row r="2114" spans="1:15" ht="18" customHeight="1" x14ac:dyDescent="0.3">
      <c r="A2114" s="29">
        <v>2113</v>
      </c>
      <c r="B2114" s="15" t="s">
        <v>52</v>
      </c>
      <c r="C2114" s="15" t="s">
        <v>69</v>
      </c>
      <c r="D2114" s="69">
        <v>108</v>
      </c>
      <c r="E2114" s="68" t="s">
        <v>3353</v>
      </c>
      <c r="F2114" s="24" t="s">
        <v>678</v>
      </c>
      <c r="G2114" s="15" t="s">
        <v>164</v>
      </c>
      <c r="H2114" s="15" t="s">
        <v>2690</v>
      </c>
      <c r="I2114" s="69">
        <v>56</v>
      </c>
      <c r="J2114" s="15" t="s">
        <v>2672</v>
      </c>
      <c r="K2114" s="15" t="s">
        <v>903</v>
      </c>
      <c r="L2114" s="15" t="s">
        <v>2673</v>
      </c>
      <c r="M2114" s="15" t="s">
        <v>2672</v>
      </c>
      <c r="N2114" s="15" t="s">
        <v>2673</v>
      </c>
      <c r="O2114" s="15"/>
    </row>
    <row r="2115" spans="1:15" ht="18" customHeight="1" x14ac:dyDescent="0.3">
      <c r="A2115" s="29">
        <v>2114</v>
      </c>
      <c r="B2115" s="15" t="s">
        <v>52</v>
      </c>
      <c r="C2115" s="15" t="s">
        <v>69</v>
      </c>
      <c r="D2115" s="69">
        <v>108</v>
      </c>
      <c r="E2115" s="68" t="s">
        <v>3353</v>
      </c>
      <c r="F2115" s="24" t="s">
        <v>678</v>
      </c>
      <c r="G2115" s="15" t="s">
        <v>164</v>
      </c>
      <c r="H2115" s="15" t="s">
        <v>908</v>
      </c>
      <c r="I2115" s="69">
        <v>74</v>
      </c>
      <c r="J2115" s="15" t="s">
        <v>2672</v>
      </c>
      <c r="K2115" s="15" t="s">
        <v>2672</v>
      </c>
      <c r="L2115" s="15" t="s">
        <v>2673</v>
      </c>
      <c r="M2115" s="15" t="s">
        <v>2672</v>
      </c>
      <c r="N2115" s="15" t="s">
        <v>2673</v>
      </c>
      <c r="O2115" s="15"/>
    </row>
    <row r="2116" spans="1:15" ht="18" customHeight="1" x14ac:dyDescent="0.3">
      <c r="A2116" s="29">
        <v>2115</v>
      </c>
      <c r="B2116" s="15" t="s">
        <v>52</v>
      </c>
      <c r="C2116" s="15" t="s">
        <v>69</v>
      </c>
      <c r="D2116" s="69">
        <v>108</v>
      </c>
      <c r="E2116" s="68" t="s">
        <v>3353</v>
      </c>
      <c r="F2116" s="24" t="s">
        <v>678</v>
      </c>
      <c r="G2116" s="15" t="s">
        <v>164</v>
      </c>
      <c r="H2116" s="15" t="s">
        <v>2732</v>
      </c>
      <c r="I2116" s="69">
        <v>56</v>
      </c>
      <c r="J2116" s="15" t="s">
        <v>2672</v>
      </c>
      <c r="K2116" s="15" t="s">
        <v>903</v>
      </c>
      <c r="L2116" s="15" t="s">
        <v>2673</v>
      </c>
      <c r="M2116" s="15" t="s">
        <v>2672</v>
      </c>
      <c r="N2116" s="15" t="s">
        <v>2673</v>
      </c>
      <c r="O2116" s="15"/>
    </row>
    <row r="2117" spans="1:15" ht="18" customHeight="1" x14ac:dyDescent="0.3">
      <c r="A2117" s="29">
        <v>2116</v>
      </c>
      <c r="B2117" s="15" t="s">
        <v>52</v>
      </c>
      <c r="C2117" s="15" t="s">
        <v>69</v>
      </c>
      <c r="D2117" s="69">
        <v>108</v>
      </c>
      <c r="E2117" s="68" t="s">
        <v>3353</v>
      </c>
      <c r="F2117" s="24" t="s">
        <v>678</v>
      </c>
      <c r="G2117" s="15" t="s">
        <v>164</v>
      </c>
      <c r="H2117" s="15" t="s">
        <v>2683</v>
      </c>
      <c r="I2117" s="69">
        <v>90</v>
      </c>
      <c r="J2117" s="15" t="s">
        <v>2672</v>
      </c>
      <c r="K2117" s="15" t="s">
        <v>903</v>
      </c>
      <c r="L2117" s="15" t="s">
        <v>2673</v>
      </c>
      <c r="M2117" s="15" t="s">
        <v>2672</v>
      </c>
      <c r="N2117" s="15" t="s">
        <v>2673</v>
      </c>
      <c r="O2117" s="15"/>
    </row>
    <row r="2118" spans="1:15" ht="18" customHeight="1" x14ac:dyDescent="0.3">
      <c r="A2118" s="29">
        <v>2117</v>
      </c>
      <c r="B2118" s="15" t="s">
        <v>52</v>
      </c>
      <c r="C2118" s="15" t="s">
        <v>69</v>
      </c>
      <c r="D2118" s="69">
        <v>108</v>
      </c>
      <c r="E2118" s="68" t="s">
        <v>954</v>
      </c>
      <c r="F2118" s="24" t="s">
        <v>1097</v>
      </c>
      <c r="G2118" s="15" t="s">
        <v>154</v>
      </c>
      <c r="H2118" s="15" t="s">
        <v>906</v>
      </c>
      <c r="I2118" s="69">
        <v>214</v>
      </c>
      <c r="J2118" s="13" t="s">
        <v>2672</v>
      </c>
      <c r="K2118" s="15" t="s">
        <v>903</v>
      </c>
      <c r="L2118" s="15" t="s">
        <v>2673</v>
      </c>
      <c r="M2118" s="15" t="s">
        <v>2672</v>
      </c>
      <c r="N2118" s="15" t="s">
        <v>2673</v>
      </c>
      <c r="O2118" s="15"/>
    </row>
    <row r="2119" spans="1:15" ht="18" customHeight="1" x14ac:dyDescent="0.3">
      <c r="A2119" s="29">
        <v>2118</v>
      </c>
      <c r="B2119" s="15" t="s">
        <v>52</v>
      </c>
      <c r="C2119" s="15" t="s">
        <v>69</v>
      </c>
      <c r="D2119" s="69">
        <v>108</v>
      </c>
      <c r="E2119" s="68" t="s">
        <v>954</v>
      </c>
      <c r="F2119" s="24" t="s">
        <v>1097</v>
      </c>
      <c r="G2119" s="15" t="s">
        <v>154</v>
      </c>
      <c r="H2119" s="15" t="s">
        <v>907</v>
      </c>
      <c r="I2119" s="69">
        <v>276</v>
      </c>
      <c r="J2119" s="13" t="s">
        <v>2672</v>
      </c>
      <c r="K2119" s="15" t="s">
        <v>903</v>
      </c>
      <c r="L2119" s="15" t="s">
        <v>2673</v>
      </c>
      <c r="M2119" s="15" t="s">
        <v>2672</v>
      </c>
      <c r="N2119" s="15" t="s">
        <v>2673</v>
      </c>
      <c r="O2119" s="15"/>
    </row>
    <row r="2120" spans="1:15" ht="18" customHeight="1" x14ac:dyDescent="0.3">
      <c r="A2120" s="29">
        <v>2119</v>
      </c>
      <c r="B2120" s="15" t="s">
        <v>52</v>
      </c>
      <c r="C2120" s="15" t="s">
        <v>69</v>
      </c>
      <c r="D2120" s="69">
        <v>108</v>
      </c>
      <c r="E2120" s="68" t="s">
        <v>954</v>
      </c>
      <c r="F2120" s="24" t="s">
        <v>1097</v>
      </c>
      <c r="G2120" s="15" t="s">
        <v>154</v>
      </c>
      <c r="H2120" s="15" t="s">
        <v>908</v>
      </c>
      <c r="I2120" s="69">
        <v>78</v>
      </c>
      <c r="J2120" s="13" t="s">
        <v>2672</v>
      </c>
      <c r="K2120" s="15" t="s">
        <v>2674</v>
      </c>
      <c r="L2120" s="15" t="s">
        <v>2525</v>
      </c>
      <c r="M2120" s="15" t="s">
        <v>2672</v>
      </c>
      <c r="N2120" s="15" t="s">
        <v>2673</v>
      </c>
      <c r="O2120" s="15"/>
    </row>
    <row r="2121" spans="1:15" ht="18" customHeight="1" x14ac:dyDescent="0.3">
      <c r="A2121" s="29">
        <v>2120</v>
      </c>
      <c r="B2121" s="15" t="s">
        <v>52</v>
      </c>
      <c r="C2121" s="15" t="s">
        <v>69</v>
      </c>
      <c r="D2121" s="69">
        <v>108</v>
      </c>
      <c r="E2121" s="68" t="s">
        <v>954</v>
      </c>
      <c r="F2121" s="24" t="s">
        <v>1097</v>
      </c>
      <c r="G2121" s="15" t="s">
        <v>154</v>
      </c>
      <c r="H2121" s="15" t="s">
        <v>909</v>
      </c>
      <c r="I2121" s="69">
        <v>160</v>
      </c>
      <c r="J2121" s="13" t="s">
        <v>2672</v>
      </c>
      <c r="K2121" s="15" t="s">
        <v>903</v>
      </c>
      <c r="L2121" s="15" t="s">
        <v>2673</v>
      </c>
      <c r="M2121" s="15" t="s">
        <v>2672</v>
      </c>
      <c r="N2121" s="15" t="s">
        <v>2673</v>
      </c>
      <c r="O2121" s="15"/>
    </row>
    <row r="2122" spans="1:15" ht="18" customHeight="1" x14ac:dyDescent="0.3">
      <c r="A2122" s="29">
        <v>2121</v>
      </c>
      <c r="B2122" s="15" t="s">
        <v>52</v>
      </c>
      <c r="C2122" s="15" t="s">
        <v>69</v>
      </c>
      <c r="D2122" s="69">
        <v>108</v>
      </c>
      <c r="E2122" s="68" t="s">
        <v>954</v>
      </c>
      <c r="F2122" s="24" t="s">
        <v>2047</v>
      </c>
      <c r="G2122" s="15" t="s">
        <v>154</v>
      </c>
      <c r="H2122" s="15" t="s">
        <v>901</v>
      </c>
      <c r="I2122" s="69">
        <v>108</v>
      </c>
      <c r="J2122" s="13" t="s">
        <v>902</v>
      </c>
      <c r="K2122" s="15" t="s">
        <v>903</v>
      </c>
      <c r="L2122" s="15" t="s">
        <v>2673</v>
      </c>
      <c r="M2122" s="15" t="s">
        <v>2672</v>
      </c>
      <c r="N2122" s="15" t="s">
        <v>2673</v>
      </c>
      <c r="O2122" s="15"/>
    </row>
    <row r="2123" spans="1:15" ht="18" customHeight="1" x14ac:dyDescent="0.3">
      <c r="A2123" s="29">
        <v>2122</v>
      </c>
      <c r="B2123" s="15" t="s">
        <v>52</v>
      </c>
      <c r="C2123" s="15" t="s">
        <v>69</v>
      </c>
      <c r="D2123" s="69">
        <v>108</v>
      </c>
      <c r="E2123" s="68" t="s">
        <v>954</v>
      </c>
      <c r="F2123" s="24" t="s">
        <v>2047</v>
      </c>
      <c r="G2123" s="15" t="s">
        <v>154</v>
      </c>
      <c r="H2123" s="15" t="s">
        <v>904</v>
      </c>
      <c r="I2123" s="69">
        <v>57</v>
      </c>
      <c r="J2123" s="13" t="s">
        <v>902</v>
      </c>
      <c r="K2123" s="15" t="s">
        <v>2674</v>
      </c>
      <c r="L2123" s="15" t="s">
        <v>2525</v>
      </c>
      <c r="M2123" s="15" t="s">
        <v>2672</v>
      </c>
      <c r="N2123" s="15" t="s">
        <v>2673</v>
      </c>
      <c r="O2123" s="15"/>
    </row>
    <row r="2124" spans="1:15" ht="18" customHeight="1" x14ac:dyDescent="0.3">
      <c r="A2124" s="29">
        <v>2123</v>
      </c>
      <c r="B2124" s="15" t="s">
        <v>52</v>
      </c>
      <c r="C2124" s="15" t="s">
        <v>69</v>
      </c>
      <c r="D2124" s="69">
        <v>108</v>
      </c>
      <c r="E2124" s="68" t="s">
        <v>954</v>
      </c>
      <c r="F2124" s="24" t="s">
        <v>2047</v>
      </c>
      <c r="G2124" s="15" t="s">
        <v>154</v>
      </c>
      <c r="H2124" s="15" t="s">
        <v>905</v>
      </c>
      <c r="I2124" s="69">
        <v>109</v>
      </c>
      <c r="J2124" s="13" t="s">
        <v>2672</v>
      </c>
      <c r="K2124" s="15" t="s">
        <v>2674</v>
      </c>
      <c r="L2124" s="15" t="s">
        <v>2525</v>
      </c>
      <c r="M2124" s="15" t="s">
        <v>2672</v>
      </c>
      <c r="N2124" s="15" t="s">
        <v>2673</v>
      </c>
      <c r="O2124" s="15"/>
    </row>
    <row r="2125" spans="1:15" ht="18" customHeight="1" x14ac:dyDescent="0.3">
      <c r="A2125" s="29">
        <v>2124</v>
      </c>
      <c r="B2125" s="15" t="s">
        <v>1882</v>
      </c>
      <c r="C2125" s="15" t="s">
        <v>2033</v>
      </c>
      <c r="D2125" s="69">
        <v>110</v>
      </c>
      <c r="E2125" s="68" t="s">
        <v>3354</v>
      </c>
      <c r="F2125" s="327" t="s">
        <v>2050</v>
      </c>
      <c r="G2125" s="15" t="s">
        <v>1553</v>
      </c>
      <c r="H2125" s="15" t="s">
        <v>2685</v>
      </c>
      <c r="I2125" s="69">
        <v>89</v>
      </c>
      <c r="J2125" s="15" t="s">
        <v>2672</v>
      </c>
      <c r="K2125" s="15" t="s">
        <v>903</v>
      </c>
      <c r="L2125" s="15" t="s">
        <v>2673</v>
      </c>
      <c r="M2125" s="15" t="s">
        <v>2672</v>
      </c>
      <c r="N2125" s="15" t="s">
        <v>2673</v>
      </c>
      <c r="O2125" s="15"/>
    </row>
    <row r="2126" spans="1:15" ht="18" customHeight="1" x14ac:dyDescent="0.3">
      <c r="A2126" s="29">
        <v>2125</v>
      </c>
      <c r="B2126" s="15" t="s">
        <v>1882</v>
      </c>
      <c r="C2126" s="15" t="s">
        <v>2033</v>
      </c>
      <c r="D2126" s="69">
        <v>110</v>
      </c>
      <c r="E2126" s="68" t="s">
        <v>3354</v>
      </c>
      <c r="F2126" s="327" t="s">
        <v>2050</v>
      </c>
      <c r="G2126" s="15" t="s">
        <v>1553</v>
      </c>
      <c r="H2126" s="15" t="s">
        <v>2678</v>
      </c>
      <c r="I2126" s="69">
        <v>89</v>
      </c>
      <c r="J2126" s="15" t="s">
        <v>2672</v>
      </c>
      <c r="K2126" s="15" t="s">
        <v>903</v>
      </c>
      <c r="L2126" s="15" t="s">
        <v>2673</v>
      </c>
      <c r="M2126" s="15" t="s">
        <v>2672</v>
      </c>
      <c r="N2126" s="15" t="s">
        <v>2673</v>
      </c>
      <c r="O2126" s="15"/>
    </row>
    <row r="2127" spans="1:15" ht="18" customHeight="1" x14ac:dyDescent="0.3">
      <c r="A2127" s="29">
        <v>2126</v>
      </c>
      <c r="B2127" s="15" t="s">
        <v>1882</v>
      </c>
      <c r="C2127" s="15" t="s">
        <v>2033</v>
      </c>
      <c r="D2127" s="69">
        <v>110</v>
      </c>
      <c r="E2127" s="68" t="s">
        <v>3354</v>
      </c>
      <c r="F2127" s="327" t="s">
        <v>2050</v>
      </c>
      <c r="G2127" s="15" t="s">
        <v>1553</v>
      </c>
      <c r="H2127" s="15" t="s">
        <v>2679</v>
      </c>
      <c r="I2127" s="69">
        <v>127</v>
      </c>
      <c r="J2127" s="15" t="s">
        <v>2672</v>
      </c>
      <c r="K2127" s="15" t="s">
        <v>903</v>
      </c>
      <c r="L2127" s="15" t="s">
        <v>2673</v>
      </c>
      <c r="M2127" s="15" t="s">
        <v>2672</v>
      </c>
      <c r="N2127" s="15" t="s">
        <v>2673</v>
      </c>
      <c r="O2127" s="15"/>
    </row>
    <row r="2128" spans="1:15" ht="18" customHeight="1" x14ac:dyDescent="0.3">
      <c r="A2128" s="29">
        <v>2127</v>
      </c>
      <c r="B2128" s="15" t="s">
        <v>1882</v>
      </c>
      <c r="C2128" s="15" t="s">
        <v>2033</v>
      </c>
      <c r="D2128" s="69">
        <v>110</v>
      </c>
      <c r="E2128" s="68" t="s">
        <v>3354</v>
      </c>
      <c r="F2128" s="327" t="s">
        <v>2050</v>
      </c>
      <c r="G2128" s="15" t="s">
        <v>1553</v>
      </c>
      <c r="H2128" s="15" t="s">
        <v>2680</v>
      </c>
      <c r="I2128" s="69">
        <v>133</v>
      </c>
      <c r="J2128" s="15" t="s">
        <v>2672</v>
      </c>
      <c r="K2128" s="15" t="s">
        <v>903</v>
      </c>
      <c r="L2128" s="15" t="s">
        <v>2673</v>
      </c>
      <c r="M2128" s="15" t="s">
        <v>2672</v>
      </c>
      <c r="N2128" s="15" t="s">
        <v>2673</v>
      </c>
      <c r="O2128" s="15"/>
    </row>
    <row r="2129" spans="1:15" ht="18" customHeight="1" x14ac:dyDescent="0.3">
      <c r="A2129" s="29">
        <v>2128</v>
      </c>
      <c r="B2129" s="15" t="s">
        <v>1882</v>
      </c>
      <c r="C2129" s="15" t="s">
        <v>2033</v>
      </c>
      <c r="D2129" s="69">
        <v>110</v>
      </c>
      <c r="E2129" s="68" t="s">
        <v>3354</v>
      </c>
      <c r="F2129" s="327" t="s">
        <v>2050</v>
      </c>
      <c r="G2129" s="15" t="s">
        <v>1553</v>
      </c>
      <c r="H2129" s="15" t="s">
        <v>2690</v>
      </c>
      <c r="I2129" s="69">
        <v>139</v>
      </c>
      <c r="J2129" s="15" t="s">
        <v>2672</v>
      </c>
      <c r="K2129" s="15" t="s">
        <v>903</v>
      </c>
      <c r="L2129" s="15" t="s">
        <v>2673</v>
      </c>
      <c r="M2129" s="15" t="s">
        <v>2672</v>
      </c>
      <c r="N2129" s="15" t="s">
        <v>2673</v>
      </c>
      <c r="O2129" s="15"/>
    </row>
    <row r="2130" spans="1:15" ht="18" customHeight="1" x14ac:dyDescent="0.3">
      <c r="A2130" s="29">
        <v>2129</v>
      </c>
      <c r="B2130" s="15" t="s">
        <v>1882</v>
      </c>
      <c r="C2130" s="15" t="s">
        <v>2033</v>
      </c>
      <c r="D2130" s="69">
        <v>110</v>
      </c>
      <c r="E2130" s="68" t="s">
        <v>3354</v>
      </c>
      <c r="F2130" s="327" t="s">
        <v>2050</v>
      </c>
      <c r="G2130" s="15" t="s">
        <v>1553</v>
      </c>
      <c r="H2130" s="15" t="s">
        <v>2682</v>
      </c>
      <c r="I2130" s="69">
        <v>167</v>
      </c>
      <c r="J2130" s="15" t="s">
        <v>2672</v>
      </c>
      <c r="K2130" s="15" t="s">
        <v>903</v>
      </c>
      <c r="L2130" s="15" t="s">
        <v>2673</v>
      </c>
      <c r="M2130" s="15" t="s">
        <v>2672</v>
      </c>
      <c r="N2130" s="15" t="s">
        <v>2673</v>
      </c>
      <c r="O2130" s="15"/>
    </row>
    <row r="2131" spans="1:15" ht="18" customHeight="1" x14ac:dyDescent="0.3">
      <c r="A2131" s="29">
        <v>2130</v>
      </c>
      <c r="B2131" s="15" t="s">
        <v>1882</v>
      </c>
      <c r="C2131" s="15" t="s">
        <v>2051</v>
      </c>
      <c r="D2131" s="69">
        <v>112</v>
      </c>
      <c r="E2131" s="68" t="s">
        <v>3355</v>
      </c>
      <c r="F2131" s="24" t="s">
        <v>2053</v>
      </c>
      <c r="G2131" s="15" t="s">
        <v>1553</v>
      </c>
      <c r="H2131" s="15" t="s">
        <v>2685</v>
      </c>
      <c r="I2131" s="69">
        <v>87</v>
      </c>
      <c r="J2131" s="15" t="s">
        <v>2672</v>
      </c>
      <c r="K2131" s="15" t="s">
        <v>2672</v>
      </c>
      <c r="L2131" s="15" t="s">
        <v>2673</v>
      </c>
      <c r="M2131" s="15" t="s">
        <v>2672</v>
      </c>
      <c r="N2131" s="15" t="s">
        <v>2673</v>
      </c>
      <c r="O2131" s="15"/>
    </row>
    <row r="2132" spans="1:15" ht="18" customHeight="1" x14ac:dyDescent="0.3">
      <c r="A2132" s="29">
        <v>2131</v>
      </c>
      <c r="B2132" s="15" t="s">
        <v>1882</v>
      </c>
      <c r="C2132" s="15" t="s">
        <v>2051</v>
      </c>
      <c r="D2132" s="69">
        <v>112</v>
      </c>
      <c r="E2132" s="68" t="s">
        <v>3355</v>
      </c>
      <c r="F2132" s="24" t="s">
        <v>2053</v>
      </c>
      <c r="G2132" s="15" t="s">
        <v>1553</v>
      </c>
      <c r="H2132" s="15" t="s">
        <v>2678</v>
      </c>
      <c r="I2132" s="69">
        <v>44</v>
      </c>
      <c r="J2132" s="15" t="s">
        <v>2672</v>
      </c>
      <c r="K2132" s="15" t="s">
        <v>2672</v>
      </c>
      <c r="L2132" s="15" t="s">
        <v>2673</v>
      </c>
      <c r="M2132" s="15" t="s">
        <v>2672</v>
      </c>
      <c r="N2132" s="15" t="s">
        <v>2673</v>
      </c>
      <c r="O2132" s="15"/>
    </row>
    <row r="2133" spans="1:15" ht="18" customHeight="1" x14ac:dyDescent="0.3">
      <c r="A2133" s="29">
        <v>2132</v>
      </c>
      <c r="B2133" s="15" t="s">
        <v>1882</v>
      </c>
      <c r="C2133" s="15" t="s">
        <v>2051</v>
      </c>
      <c r="D2133" s="69">
        <v>112</v>
      </c>
      <c r="E2133" s="68" t="s">
        <v>3355</v>
      </c>
      <c r="F2133" s="24" t="s">
        <v>2053</v>
      </c>
      <c r="G2133" s="15" t="s">
        <v>1553</v>
      </c>
      <c r="H2133" s="15" t="s">
        <v>2679</v>
      </c>
      <c r="I2133" s="69">
        <v>88</v>
      </c>
      <c r="J2133" s="15" t="s">
        <v>2672</v>
      </c>
      <c r="K2133" s="15" t="s">
        <v>2672</v>
      </c>
      <c r="L2133" s="15" t="s">
        <v>2673</v>
      </c>
      <c r="M2133" s="15" t="s">
        <v>2672</v>
      </c>
      <c r="N2133" s="15" t="s">
        <v>2673</v>
      </c>
      <c r="O2133" s="15"/>
    </row>
    <row r="2134" spans="1:15" ht="18" customHeight="1" x14ac:dyDescent="0.3">
      <c r="A2134" s="29">
        <v>2133</v>
      </c>
      <c r="B2134" s="15" t="s">
        <v>1882</v>
      </c>
      <c r="C2134" s="15" t="s">
        <v>2051</v>
      </c>
      <c r="D2134" s="69">
        <v>112</v>
      </c>
      <c r="E2134" s="68" t="s">
        <v>3355</v>
      </c>
      <c r="F2134" s="24" t="s">
        <v>2053</v>
      </c>
      <c r="G2134" s="15" t="s">
        <v>1553</v>
      </c>
      <c r="H2134" s="15" t="s">
        <v>2680</v>
      </c>
      <c r="I2134" s="69">
        <v>101</v>
      </c>
      <c r="J2134" s="15" t="s">
        <v>2672</v>
      </c>
      <c r="K2134" s="15" t="s">
        <v>2672</v>
      </c>
      <c r="L2134" s="15" t="s">
        <v>2673</v>
      </c>
      <c r="M2134" s="15" t="s">
        <v>2672</v>
      </c>
      <c r="N2134" s="15" t="s">
        <v>2673</v>
      </c>
      <c r="O2134" s="15"/>
    </row>
    <row r="2135" spans="1:15" ht="18" customHeight="1" x14ac:dyDescent="0.3">
      <c r="A2135" s="29">
        <v>2134</v>
      </c>
      <c r="B2135" s="15" t="s">
        <v>1882</v>
      </c>
      <c r="C2135" s="15" t="s">
        <v>2051</v>
      </c>
      <c r="D2135" s="69">
        <v>112</v>
      </c>
      <c r="E2135" s="68" t="s">
        <v>3355</v>
      </c>
      <c r="F2135" s="24" t="s">
        <v>2053</v>
      </c>
      <c r="G2135" s="15" t="s">
        <v>1553</v>
      </c>
      <c r="H2135" s="15" t="s">
        <v>2690</v>
      </c>
      <c r="I2135" s="69">
        <v>94</v>
      </c>
      <c r="J2135" s="15" t="s">
        <v>2674</v>
      </c>
      <c r="K2135" s="15" t="s">
        <v>2672</v>
      </c>
      <c r="L2135" s="15" t="s">
        <v>2673</v>
      </c>
      <c r="M2135" s="15" t="s">
        <v>2672</v>
      </c>
      <c r="N2135" s="15" t="s">
        <v>2673</v>
      </c>
      <c r="O2135" s="15"/>
    </row>
    <row r="2136" spans="1:15" ht="18" customHeight="1" x14ac:dyDescent="0.3">
      <c r="A2136" s="29">
        <v>2135</v>
      </c>
      <c r="B2136" s="15" t="s">
        <v>52</v>
      </c>
      <c r="C2136" s="15" t="s">
        <v>70</v>
      </c>
      <c r="D2136" s="69">
        <v>112</v>
      </c>
      <c r="E2136" s="68" t="s">
        <v>3356</v>
      </c>
      <c r="F2136" s="21" t="s">
        <v>691</v>
      </c>
      <c r="G2136" s="15" t="s">
        <v>164</v>
      </c>
      <c r="H2136" s="15" t="s">
        <v>904</v>
      </c>
      <c r="I2136" s="69">
        <v>146</v>
      </c>
      <c r="J2136" s="15" t="s">
        <v>2674</v>
      </c>
      <c r="K2136" s="15" t="s">
        <v>903</v>
      </c>
      <c r="L2136" s="15" t="s">
        <v>2673</v>
      </c>
      <c r="M2136" s="15" t="s">
        <v>2672</v>
      </c>
      <c r="N2136" s="15" t="s">
        <v>2673</v>
      </c>
      <c r="O2136" s="15"/>
    </row>
    <row r="2137" spans="1:15" ht="18" customHeight="1" x14ac:dyDescent="0.3">
      <c r="A2137" s="29">
        <v>2136</v>
      </c>
      <c r="B2137" s="15" t="s">
        <v>52</v>
      </c>
      <c r="C2137" s="15" t="s">
        <v>70</v>
      </c>
      <c r="D2137" s="69">
        <v>112</v>
      </c>
      <c r="E2137" s="68" t="s">
        <v>2945</v>
      </c>
      <c r="F2137" s="21" t="s">
        <v>691</v>
      </c>
      <c r="G2137" s="15" t="s">
        <v>164</v>
      </c>
      <c r="H2137" s="15" t="s">
        <v>905</v>
      </c>
      <c r="I2137" s="69">
        <v>95</v>
      </c>
      <c r="J2137" s="15" t="s">
        <v>2672</v>
      </c>
      <c r="K2137" s="15" t="s">
        <v>903</v>
      </c>
      <c r="L2137" s="15" t="s">
        <v>2673</v>
      </c>
      <c r="M2137" s="15" t="s">
        <v>2672</v>
      </c>
      <c r="N2137" s="15" t="s">
        <v>2673</v>
      </c>
      <c r="O2137" s="15"/>
    </row>
    <row r="2138" spans="1:15" ht="18" customHeight="1" x14ac:dyDescent="0.3">
      <c r="A2138" s="29">
        <v>2137</v>
      </c>
      <c r="B2138" s="15" t="s">
        <v>52</v>
      </c>
      <c r="C2138" s="15" t="s">
        <v>70</v>
      </c>
      <c r="D2138" s="69">
        <v>112</v>
      </c>
      <c r="E2138" s="68" t="s">
        <v>2945</v>
      </c>
      <c r="F2138" s="21" t="s">
        <v>691</v>
      </c>
      <c r="G2138" s="15" t="s">
        <v>164</v>
      </c>
      <c r="H2138" s="15" t="s">
        <v>906</v>
      </c>
      <c r="I2138" s="69">
        <v>96</v>
      </c>
      <c r="J2138" s="15" t="s">
        <v>2672</v>
      </c>
      <c r="K2138" s="15" t="s">
        <v>903</v>
      </c>
      <c r="L2138" s="15" t="s">
        <v>2673</v>
      </c>
      <c r="M2138" s="15" t="s">
        <v>2672</v>
      </c>
      <c r="N2138" s="15" t="s">
        <v>2673</v>
      </c>
      <c r="O2138" s="15"/>
    </row>
    <row r="2139" spans="1:15" ht="18" customHeight="1" x14ac:dyDescent="0.3">
      <c r="A2139" s="29">
        <v>2138</v>
      </c>
      <c r="B2139" s="15" t="s">
        <v>52</v>
      </c>
      <c r="C2139" s="15" t="s">
        <v>70</v>
      </c>
      <c r="D2139" s="69">
        <v>112</v>
      </c>
      <c r="E2139" s="68" t="s">
        <v>2945</v>
      </c>
      <c r="F2139" s="21" t="s">
        <v>691</v>
      </c>
      <c r="G2139" s="15" t="s">
        <v>164</v>
      </c>
      <c r="H2139" s="15" t="s">
        <v>907</v>
      </c>
      <c r="I2139" s="69">
        <v>96</v>
      </c>
      <c r="J2139" s="15" t="s">
        <v>2674</v>
      </c>
      <c r="K2139" s="15" t="s">
        <v>903</v>
      </c>
      <c r="L2139" s="15" t="s">
        <v>2673</v>
      </c>
      <c r="M2139" s="15" t="s">
        <v>2672</v>
      </c>
      <c r="N2139" s="15" t="s">
        <v>2673</v>
      </c>
      <c r="O2139" s="15"/>
    </row>
    <row r="2140" spans="1:15" ht="18" customHeight="1" x14ac:dyDescent="0.3">
      <c r="A2140" s="29">
        <v>2139</v>
      </c>
      <c r="B2140" s="15" t="s">
        <v>52</v>
      </c>
      <c r="C2140" s="15" t="s">
        <v>70</v>
      </c>
      <c r="D2140" s="69">
        <v>112</v>
      </c>
      <c r="E2140" s="68" t="s">
        <v>2945</v>
      </c>
      <c r="F2140" s="21" t="s">
        <v>691</v>
      </c>
      <c r="G2140" s="15" t="s">
        <v>164</v>
      </c>
      <c r="H2140" s="15" t="s">
        <v>908</v>
      </c>
      <c r="I2140" s="69">
        <v>110</v>
      </c>
      <c r="J2140" s="15" t="s">
        <v>2672</v>
      </c>
      <c r="K2140" s="15" t="s">
        <v>903</v>
      </c>
      <c r="L2140" s="15" t="s">
        <v>2673</v>
      </c>
      <c r="M2140" s="15" t="s">
        <v>2672</v>
      </c>
      <c r="N2140" s="15" t="s">
        <v>2673</v>
      </c>
      <c r="O2140" s="15"/>
    </row>
    <row r="2141" spans="1:15" ht="18" customHeight="1" x14ac:dyDescent="0.3">
      <c r="A2141" s="29">
        <v>2140</v>
      </c>
      <c r="B2141" s="15" t="s">
        <v>52</v>
      </c>
      <c r="C2141" s="15" t="s">
        <v>70</v>
      </c>
      <c r="D2141" s="69">
        <v>112</v>
      </c>
      <c r="E2141" s="68" t="s">
        <v>2945</v>
      </c>
      <c r="F2141" s="21" t="s">
        <v>691</v>
      </c>
      <c r="G2141" s="15" t="s">
        <v>164</v>
      </c>
      <c r="H2141" s="15" t="s">
        <v>901</v>
      </c>
      <c r="I2141" s="69">
        <v>139</v>
      </c>
      <c r="J2141" s="15" t="s">
        <v>2672</v>
      </c>
      <c r="K2141" s="15" t="s">
        <v>903</v>
      </c>
      <c r="L2141" s="15" t="s">
        <v>2673</v>
      </c>
      <c r="M2141" s="15" t="s">
        <v>2672</v>
      </c>
      <c r="N2141" s="15" t="s">
        <v>2673</v>
      </c>
      <c r="O2141" s="15"/>
    </row>
    <row r="2142" spans="1:15" ht="18" customHeight="1" x14ac:dyDescent="0.3">
      <c r="A2142" s="29">
        <v>2141</v>
      </c>
      <c r="B2142" s="15" t="s">
        <v>52</v>
      </c>
      <c r="C2142" s="15" t="s">
        <v>70</v>
      </c>
      <c r="D2142" s="69">
        <v>112</v>
      </c>
      <c r="E2142" s="68" t="s">
        <v>2945</v>
      </c>
      <c r="F2142" s="21" t="s">
        <v>691</v>
      </c>
      <c r="G2142" s="15" t="s">
        <v>164</v>
      </c>
      <c r="H2142" s="15" t="s">
        <v>909</v>
      </c>
      <c r="I2142" s="69">
        <v>200</v>
      </c>
      <c r="J2142" s="15" t="s">
        <v>2672</v>
      </c>
      <c r="K2142" s="15" t="s">
        <v>903</v>
      </c>
      <c r="L2142" s="15" t="s">
        <v>2673</v>
      </c>
      <c r="M2142" s="15" t="s">
        <v>2672</v>
      </c>
      <c r="N2142" s="15" t="s">
        <v>2673</v>
      </c>
      <c r="O2142" s="15"/>
    </row>
    <row r="2143" spans="1:15" ht="18" customHeight="1" x14ac:dyDescent="0.3">
      <c r="A2143" s="29">
        <v>2142</v>
      </c>
      <c r="B2143" s="15" t="s">
        <v>52</v>
      </c>
      <c r="C2143" s="15" t="s">
        <v>70</v>
      </c>
      <c r="D2143" s="69">
        <v>112</v>
      </c>
      <c r="E2143" s="68" t="s">
        <v>313</v>
      </c>
      <c r="F2143" s="21" t="s">
        <v>692</v>
      </c>
      <c r="G2143" s="15" t="s">
        <v>154</v>
      </c>
      <c r="H2143" s="15" t="s">
        <v>901</v>
      </c>
      <c r="I2143" s="69">
        <v>164</v>
      </c>
      <c r="J2143" s="15" t="s">
        <v>2672</v>
      </c>
      <c r="K2143" s="15" t="s">
        <v>903</v>
      </c>
      <c r="L2143" s="15" t="s">
        <v>2673</v>
      </c>
      <c r="M2143" s="15" t="s">
        <v>2672</v>
      </c>
      <c r="N2143" s="15" t="s">
        <v>2673</v>
      </c>
      <c r="O2143" s="15"/>
    </row>
    <row r="2144" spans="1:15" ht="18" customHeight="1" x14ac:dyDescent="0.3">
      <c r="A2144" s="29">
        <v>2143</v>
      </c>
      <c r="B2144" s="15" t="s">
        <v>52</v>
      </c>
      <c r="C2144" s="15" t="s">
        <v>70</v>
      </c>
      <c r="D2144" s="69">
        <v>112</v>
      </c>
      <c r="E2144" s="68" t="s">
        <v>313</v>
      </c>
      <c r="F2144" s="21" t="s">
        <v>692</v>
      </c>
      <c r="G2144" s="15" t="s">
        <v>154</v>
      </c>
      <c r="H2144" s="15" t="s">
        <v>904</v>
      </c>
      <c r="I2144" s="69">
        <v>170</v>
      </c>
      <c r="J2144" s="15" t="s">
        <v>2672</v>
      </c>
      <c r="K2144" s="15" t="s">
        <v>903</v>
      </c>
      <c r="L2144" s="15" t="s">
        <v>2673</v>
      </c>
      <c r="M2144" s="15" t="s">
        <v>2672</v>
      </c>
      <c r="N2144" s="15" t="s">
        <v>2673</v>
      </c>
      <c r="O2144" s="15"/>
    </row>
    <row r="2145" spans="1:15" ht="18" customHeight="1" x14ac:dyDescent="0.3">
      <c r="A2145" s="29">
        <v>2144</v>
      </c>
      <c r="B2145" s="15" t="s">
        <v>52</v>
      </c>
      <c r="C2145" s="15" t="s">
        <v>70</v>
      </c>
      <c r="D2145" s="69">
        <v>112</v>
      </c>
      <c r="E2145" s="68" t="s">
        <v>313</v>
      </c>
      <c r="F2145" s="21" t="s">
        <v>692</v>
      </c>
      <c r="G2145" s="15" t="s">
        <v>154</v>
      </c>
      <c r="H2145" s="15" t="s">
        <v>905</v>
      </c>
      <c r="I2145" s="69">
        <v>168</v>
      </c>
      <c r="J2145" s="15" t="s">
        <v>2672</v>
      </c>
      <c r="K2145" s="15" t="s">
        <v>903</v>
      </c>
      <c r="L2145" s="15" t="s">
        <v>2673</v>
      </c>
      <c r="M2145" s="15" t="s">
        <v>2672</v>
      </c>
      <c r="N2145" s="15" t="s">
        <v>2673</v>
      </c>
      <c r="O2145" s="15"/>
    </row>
    <row r="2146" spans="1:15" ht="18" customHeight="1" x14ac:dyDescent="0.3">
      <c r="A2146" s="29">
        <v>2145</v>
      </c>
      <c r="B2146" s="15" t="s">
        <v>52</v>
      </c>
      <c r="C2146" s="15" t="s">
        <v>70</v>
      </c>
      <c r="D2146" s="69">
        <v>112</v>
      </c>
      <c r="E2146" s="68" t="s">
        <v>313</v>
      </c>
      <c r="F2146" s="21" t="s">
        <v>692</v>
      </c>
      <c r="G2146" s="15" t="s">
        <v>154</v>
      </c>
      <c r="H2146" s="15" t="s">
        <v>906</v>
      </c>
      <c r="I2146" s="69">
        <v>166</v>
      </c>
      <c r="J2146" s="15" t="s">
        <v>2672</v>
      </c>
      <c r="K2146" s="15" t="s">
        <v>903</v>
      </c>
      <c r="L2146" s="15" t="s">
        <v>2673</v>
      </c>
      <c r="M2146" s="15" t="s">
        <v>2672</v>
      </c>
      <c r="N2146" s="15" t="s">
        <v>2673</v>
      </c>
      <c r="O2146" s="15"/>
    </row>
    <row r="2147" spans="1:15" ht="18" customHeight="1" x14ac:dyDescent="0.3">
      <c r="A2147" s="29">
        <v>2146</v>
      </c>
      <c r="B2147" s="15" t="s">
        <v>52</v>
      </c>
      <c r="C2147" s="15" t="s">
        <v>70</v>
      </c>
      <c r="D2147" s="69">
        <v>112</v>
      </c>
      <c r="E2147" s="68" t="s">
        <v>313</v>
      </c>
      <c r="F2147" s="21" t="s">
        <v>692</v>
      </c>
      <c r="G2147" s="15" t="s">
        <v>154</v>
      </c>
      <c r="H2147" s="15" t="s">
        <v>907</v>
      </c>
      <c r="I2147" s="69">
        <v>172</v>
      </c>
      <c r="J2147" s="15" t="s">
        <v>2674</v>
      </c>
      <c r="K2147" s="15" t="s">
        <v>903</v>
      </c>
      <c r="L2147" s="15" t="s">
        <v>2673</v>
      </c>
      <c r="M2147" s="15" t="s">
        <v>2672</v>
      </c>
      <c r="N2147" s="15" t="s">
        <v>2673</v>
      </c>
      <c r="O2147" s="15"/>
    </row>
    <row r="2148" spans="1:15" ht="18" customHeight="1" x14ac:dyDescent="0.3">
      <c r="A2148" s="29">
        <v>2147</v>
      </c>
      <c r="B2148" s="15" t="s">
        <v>52</v>
      </c>
      <c r="C2148" s="15" t="s">
        <v>70</v>
      </c>
      <c r="D2148" s="69">
        <v>112</v>
      </c>
      <c r="E2148" s="68" t="s">
        <v>313</v>
      </c>
      <c r="F2148" s="21" t="s">
        <v>692</v>
      </c>
      <c r="G2148" s="15" t="s">
        <v>154</v>
      </c>
      <c r="H2148" s="15" t="s">
        <v>908</v>
      </c>
      <c r="I2148" s="69">
        <v>172</v>
      </c>
      <c r="J2148" s="15" t="s">
        <v>2672</v>
      </c>
      <c r="K2148" s="15" t="s">
        <v>903</v>
      </c>
      <c r="L2148" s="15" t="s">
        <v>2673</v>
      </c>
      <c r="M2148" s="15" t="s">
        <v>2672</v>
      </c>
      <c r="N2148" s="15" t="s">
        <v>2673</v>
      </c>
      <c r="O2148" s="15"/>
    </row>
    <row r="2149" spans="1:15" ht="18" customHeight="1" x14ac:dyDescent="0.3">
      <c r="A2149" s="29">
        <v>2148</v>
      </c>
      <c r="B2149" s="15" t="s">
        <v>52</v>
      </c>
      <c r="C2149" s="15" t="s">
        <v>70</v>
      </c>
      <c r="D2149" s="69">
        <v>112</v>
      </c>
      <c r="E2149" s="68" t="s">
        <v>313</v>
      </c>
      <c r="F2149" s="21" t="s">
        <v>692</v>
      </c>
      <c r="G2149" s="15" t="s">
        <v>154</v>
      </c>
      <c r="H2149" s="15" t="s">
        <v>909</v>
      </c>
      <c r="I2149" s="69">
        <v>172</v>
      </c>
      <c r="J2149" s="15" t="s">
        <v>2672</v>
      </c>
      <c r="K2149" s="15" t="s">
        <v>903</v>
      </c>
      <c r="L2149" s="15" t="s">
        <v>2673</v>
      </c>
      <c r="M2149" s="15" t="s">
        <v>2672</v>
      </c>
      <c r="N2149" s="15" t="s">
        <v>2673</v>
      </c>
      <c r="O2149" s="15"/>
    </row>
    <row r="2150" spans="1:15" ht="18" customHeight="1" x14ac:dyDescent="0.3">
      <c r="A2150" s="29">
        <v>2149</v>
      </c>
      <c r="B2150" s="15" t="s">
        <v>52</v>
      </c>
      <c r="C2150" s="15" t="s">
        <v>70</v>
      </c>
      <c r="D2150" s="69">
        <v>112</v>
      </c>
      <c r="E2150" s="68" t="s">
        <v>313</v>
      </c>
      <c r="F2150" s="21" t="s">
        <v>692</v>
      </c>
      <c r="G2150" s="15" t="s">
        <v>154</v>
      </c>
      <c r="H2150" s="15" t="s">
        <v>910</v>
      </c>
      <c r="I2150" s="69">
        <v>341</v>
      </c>
      <c r="J2150" s="15" t="s">
        <v>2672</v>
      </c>
      <c r="K2150" s="15" t="s">
        <v>903</v>
      </c>
      <c r="L2150" s="15" t="s">
        <v>2673</v>
      </c>
      <c r="M2150" s="15" t="s">
        <v>2672</v>
      </c>
      <c r="N2150" s="15" t="s">
        <v>2673</v>
      </c>
      <c r="O2150" s="15"/>
    </row>
    <row r="2151" spans="1:15" ht="18" customHeight="1" x14ac:dyDescent="0.3">
      <c r="A2151" s="29">
        <v>2150</v>
      </c>
      <c r="B2151" s="15" t="s">
        <v>52</v>
      </c>
      <c r="C2151" s="15" t="s">
        <v>70</v>
      </c>
      <c r="D2151" s="69">
        <v>112</v>
      </c>
      <c r="E2151" s="68" t="s">
        <v>313</v>
      </c>
      <c r="F2151" s="21" t="s">
        <v>692</v>
      </c>
      <c r="G2151" s="15" t="s">
        <v>154</v>
      </c>
      <c r="H2151" s="15" t="s">
        <v>911</v>
      </c>
      <c r="I2151" s="69">
        <v>128</v>
      </c>
      <c r="J2151" s="15" t="s">
        <v>2672</v>
      </c>
      <c r="K2151" s="15" t="s">
        <v>903</v>
      </c>
      <c r="L2151" s="15" t="s">
        <v>2673</v>
      </c>
      <c r="M2151" s="15" t="s">
        <v>2672</v>
      </c>
      <c r="N2151" s="15" t="s">
        <v>2673</v>
      </c>
      <c r="O2151" s="15"/>
    </row>
    <row r="2152" spans="1:15" ht="18" customHeight="1" x14ac:dyDescent="0.3">
      <c r="A2152" s="29">
        <v>2151</v>
      </c>
      <c r="B2152" s="15" t="s">
        <v>52</v>
      </c>
      <c r="C2152" s="15" t="s">
        <v>70</v>
      </c>
      <c r="D2152" s="69">
        <v>112</v>
      </c>
      <c r="E2152" s="68" t="s">
        <v>3357</v>
      </c>
      <c r="F2152" s="24" t="s">
        <v>1100</v>
      </c>
      <c r="G2152" s="15" t="s">
        <v>154</v>
      </c>
      <c r="H2152" s="15" t="s">
        <v>905</v>
      </c>
      <c r="I2152" s="69">
        <v>97</v>
      </c>
      <c r="J2152" s="15" t="s">
        <v>2672</v>
      </c>
      <c r="K2152" s="15" t="s">
        <v>903</v>
      </c>
      <c r="L2152" s="15" t="s">
        <v>2673</v>
      </c>
      <c r="M2152" s="15" t="s">
        <v>2672</v>
      </c>
      <c r="N2152" s="15" t="s">
        <v>2673</v>
      </c>
      <c r="O2152" s="15"/>
    </row>
    <row r="2153" spans="1:15" ht="18" customHeight="1" x14ac:dyDescent="0.3">
      <c r="A2153" s="29">
        <v>2152</v>
      </c>
      <c r="B2153" s="15" t="s">
        <v>52</v>
      </c>
      <c r="C2153" s="15" t="s">
        <v>70</v>
      </c>
      <c r="D2153" s="69">
        <v>112</v>
      </c>
      <c r="E2153" s="68" t="s">
        <v>3357</v>
      </c>
      <c r="F2153" s="24" t="s">
        <v>694</v>
      </c>
      <c r="G2153" s="15" t="s">
        <v>154</v>
      </c>
      <c r="H2153" s="15" t="s">
        <v>901</v>
      </c>
      <c r="I2153" s="69">
        <v>131</v>
      </c>
      <c r="J2153" s="15" t="s">
        <v>2674</v>
      </c>
      <c r="K2153" s="15" t="s">
        <v>903</v>
      </c>
      <c r="L2153" s="15" t="s">
        <v>2673</v>
      </c>
      <c r="M2153" s="15" t="s">
        <v>2672</v>
      </c>
      <c r="N2153" s="15" t="s">
        <v>2673</v>
      </c>
      <c r="O2153" s="15"/>
    </row>
    <row r="2154" spans="1:15" ht="18" customHeight="1" x14ac:dyDescent="0.3">
      <c r="A2154" s="29">
        <v>2153</v>
      </c>
      <c r="B2154" s="15" t="s">
        <v>52</v>
      </c>
      <c r="C2154" s="15" t="s">
        <v>70</v>
      </c>
      <c r="D2154" s="69">
        <v>112</v>
      </c>
      <c r="E2154" s="68" t="s">
        <v>3357</v>
      </c>
      <c r="F2154" s="24" t="s">
        <v>694</v>
      </c>
      <c r="G2154" s="15" t="s">
        <v>154</v>
      </c>
      <c r="H2154" s="15" t="s">
        <v>904</v>
      </c>
      <c r="I2154" s="69">
        <v>113</v>
      </c>
      <c r="J2154" s="15" t="s">
        <v>2674</v>
      </c>
      <c r="K2154" s="15" t="s">
        <v>903</v>
      </c>
      <c r="L2154" s="15" t="s">
        <v>2673</v>
      </c>
      <c r="M2154" s="15" t="s">
        <v>2672</v>
      </c>
      <c r="N2154" s="15" t="s">
        <v>2673</v>
      </c>
      <c r="O2154" s="15"/>
    </row>
    <row r="2155" spans="1:15" ht="18" customHeight="1" x14ac:dyDescent="0.3">
      <c r="A2155" s="29">
        <v>2154</v>
      </c>
      <c r="B2155" s="15" t="s">
        <v>52</v>
      </c>
      <c r="C2155" s="15" t="s">
        <v>70</v>
      </c>
      <c r="D2155" s="69">
        <v>112</v>
      </c>
      <c r="E2155" s="68" t="s">
        <v>919</v>
      </c>
      <c r="F2155" s="21" t="s">
        <v>689</v>
      </c>
      <c r="G2155" s="15" t="s">
        <v>164</v>
      </c>
      <c r="H2155" s="15" t="s">
        <v>901</v>
      </c>
      <c r="I2155" s="69">
        <v>148</v>
      </c>
      <c r="J2155" s="15" t="s">
        <v>2672</v>
      </c>
      <c r="K2155" s="15" t="s">
        <v>903</v>
      </c>
      <c r="L2155" s="15" t="s">
        <v>2673</v>
      </c>
      <c r="M2155" s="15" t="s">
        <v>2672</v>
      </c>
      <c r="N2155" s="15" t="s">
        <v>2673</v>
      </c>
      <c r="O2155" s="15"/>
    </row>
    <row r="2156" spans="1:15" ht="18" customHeight="1" x14ac:dyDescent="0.3">
      <c r="A2156" s="29">
        <v>2155</v>
      </c>
      <c r="B2156" s="15" t="s">
        <v>52</v>
      </c>
      <c r="C2156" s="15" t="s">
        <v>70</v>
      </c>
      <c r="D2156" s="69">
        <v>112</v>
      </c>
      <c r="E2156" s="68" t="s">
        <v>919</v>
      </c>
      <c r="F2156" s="21" t="s">
        <v>689</v>
      </c>
      <c r="G2156" s="15" t="s">
        <v>164</v>
      </c>
      <c r="H2156" s="15" t="s">
        <v>904</v>
      </c>
      <c r="I2156" s="69">
        <v>82</v>
      </c>
      <c r="J2156" s="15" t="s">
        <v>2672</v>
      </c>
      <c r="K2156" s="15" t="s">
        <v>903</v>
      </c>
      <c r="L2156" s="15" t="s">
        <v>2673</v>
      </c>
      <c r="M2156" s="15" t="s">
        <v>2672</v>
      </c>
      <c r="N2156" s="15" t="s">
        <v>2673</v>
      </c>
      <c r="O2156" s="15"/>
    </row>
    <row r="2157" spans="1:15" ht="18" customHeight="1" x14ac:dyDescent="0.3">
      <c r="A2157" s="29">
        <v>2156</v>
      </c>
      <c r="B2157" s="15" t="s">
        <v>52</v>
      </c>
      <c r="C2157" s="15" t="s">
        <v>70</v>
      </c>
      <c r="D2157" s="69">
        <v>112</v>
      </c>
      <c r="E2157" s="68" t="s">
        <v>919</v>
      </c>
      <c r="F2157" s="21" t="s">
        <v>689</v>
      </c>
      <c r="G2157" s="15" t="s">
        <v>164</v>
      </c>
      <c r="H2157" s="15" t="s">
        <v>905</v>
      </c>
      <c r="I2157" s="69">
        <v>182</v>
      </c>
      <c r="J2157" s="15" t="s">
        <v>2674</v>
      </c>
      <c r="K2157" s="15" t="s">
        <v>903</v>
      </c>
      <c r="L2157" s="15" t="s">
        <v>2673</v>
      </c>
      <c r="M2157" s="15" t="s">
        <v>2672</v>
      </c>
      <c r="N2157" s="15" t="s">
        <v>2673</v>
      </c>
      <c r="O2157" s="15"/>
    </row>
    <row r="2158" spans="1:15" ht="18" customHeight="1" x14ac:dyDescent="0.3">
      <c r="A2158" s="29">
        <v>2157</v>
      </c>
      <c r="B2158" s="15" t="s">
        <v>52</v>
      </c>
      <c r="C2158" s="15" t="s">
        <v>70</v>
      </c>
      <c r="D2158" s="69">
        <v>112</v>
      </c>
      <c r="E2158" s="68" t="s">
        <v>919</v>
      </c>
      <c r="F2158" s="21" t="s">
        <v>689</v>
      </c>
      <c r="G2158" s="15" t="s">
        <v>164</v>
      </c>
      <c r="H2158" s="15" t="s">
        <v>906</v>
      </c>
      <c r="I2158" s="69">
        <v>182</v>
      </c>
      <c r="J2158" s="15" t="s">
        <v>2672</v>
      </c>
      <c r="K2158" s="15" t="s">
        <v>903</v>
      </c>
      <c r="L2158" s="15" t="s">
        <v>2673</v>
      </c>
      <c r="M2158" s="15" t="s">
        <v>2672</v>
      </c>
      <c r="N2158" s="15" t="s">
        <v>2673</v>
      </c>
      <c r="O2158" s="15"/>
    </row>
    <row r="2159" spans="1:15" ht="18" customHeight="1" x14ac:dyDescent="0.3">
      <c r="A2159" s="29">
        <v>2158</v>
      </c>
      <c r="B2159" s="15" t="s">
        <v>52</v>
      </c>
      <c r="C2159" s="15" t="s">
        <v>70</v>
      </c>
      <c r="D2159" s="69">
        <v>112</v>
      </c>
      <c r="E2159" s="68" t="s">
        <v>919</v>
      </c>
      <c r="F2159" s="21" t="s">
        <v>689</v>
      </c>
      <c r="G2159" s="15" t="s">
        <v>164</v>
      </c>
      <c r="H2159" s="15" t="s">
        <v>908</v>
      </c>
      <c r="I2159" s="69">
        <v>115</v>
      </c>
      <c r="J2159" s="15" t="s">
        <v>2672</v>
      </c>
      <c r="K2159" s="15" t="s">
        <v>903</v>
      </c>
      <c r="L2159" s="15" t="s">
        <v>2673</v>
      </c>
      <c r="M2159" s="15" t="s">
        <v>2672</v>
      </c>
      <c r="N2159" s="15" t="s">
        <v>2673</v>
      </c>
      <c r="O2159" s="15"/>
    </row>
    <row r="2160" spans="1:15" ht="18" customHeight="1" x14ac:dyDescent="0.3">
      <c r="A2160" s="29">
        <v>2159</v>
      </c>
      <c r="B2160" s="15" t="s">
        <v>52</v>
      </c>
      <c r="C2160" s="15" t="s">
        <v>70</v>
      </c>
      <c r="D2160" s="69">
        <v>112</v>
      </c>
      <c r="E2160" s="68" t="s">
        <v>919</v>
      </c>
      <c r="F2160" s="21" t="s">
        <v>1229</v>
      </c>
      <c r="G2160" s="15" t="s">
        <v>164</v>
      </c>
      <c r="H2160" s="15" t="s">
        <v>907</v>
      </c>
      <c r="I2160" s="69">
        <v>36</v>
      </c>
      <c r="J2160" s="15" t="s">
        <v>2672</v>
      </c>
      <c r="K2160" s="15" t="s">
        <v>2672</v>
      </c>
      <c r="L2160" s="15" t="s">
        <v>2673</v>
      </c>
      <c r="M2160" s="15" t="s">
        <v>2672</v>
      </c>
      <c r="N2160" s="15" t="s">
        <v>2673</v>
      </c>
      <c r="O2160" s="15"/>
    </row>
    <row r="2161" spans="1:15" ht="18" customHeight="1" x14ac:dyDescent="0.3">
      <c r="A2161" s="29">
        <v>2160</v>
      </c>
      <c r="B2161" s="15" t="s">
        <v>52</v>
      </c>
      <c r="C2161" s="15" t="s">
        <v>70</v>
      </c>
      <c r="D2161" s="69">
        <v>112</v>
      </c>
      <c r="E2161" s="68" t="s">
        <v>919</v>
      </c>
      <c r="F2161" s="21" t="s">
        <v>1229</v>
      </c>
      <c r="G2161" s="15" t="s">
        <v>164</v>
      </c>
      <c r="H2161" s="15" t="s">
        <v>2732</v>
      </c>
      <c r="I2161" s="69">
        <v>176</v>
      </c>
      <c r="J2161" s="15" t="s">
        <v>2672</v>
      </c>
      <c r="K2161" s="15" t="s">
        <v>2674</v>
      </c>
      <c r="L2161" s="15" t="s">
        <v>1703</v>
      </c>
      <c r="M2161" s="15" t="s">
        <v>2672</v>
      </c>
      <c r="N2161" s="15" t="s">
        <v>2673</v>
      </c>
      <c r="O2161" s="15"/>
    </row>
    <row r="2162" spans="1:15" ht="18" customHeight="1" x14ac:dyDescent="0.3">
      <c r="A2162" s="29">
        <v>2161</v>
      </c>
      <c r="B2162" s="15" t="s">
        <v>52</v>
      </c>
      <c r="C2162" s="15" t="s">
        <v>70</v>
      </c>
      <c r="D2162" s="69">
        <v>112</v>
      </c>
      <c r="E2162" s="68" t="s">
        <v>273</v>
      </c>
      <c r="F2162" s="14" t="s">
        <v>2057</v>
      </c>
      <c r="G2162" s="15" t="s">
        <v>154</v>
      </c>
      <c r="H2162" s="15" t="s">
        <v>901</v>
      </c>
      <c r="I2162" s="69">
        <v>202</v>
      </c>
      <c r="J2162" s="13" t="s">
        <v>2672</v>
      </c>
      <c r="K2162" s="15" t="s">
        <v>903</v>
      </c>
      <c r="L2162" s="15" t="s">
        <v>2673</v>
      </c>
      <c r="M2162" s="15" t="s">
        <v>2672</v>
      </c>
      <c r="N2162" s="15" t="s">
        <v>2673</v>
      </c>
      <c r="O2162" s="15"/>
    </row>
    <row r="2163" spans="1:15" ht="18" customHeight="1" x14ac:dyDescent="0.3">
      <c r="A2163" s="29">
        <v>2162</v>
      </c>
      <c r="B2163" s="15" t="s">
        <v>52</v>
      </c>
      <c r="C2163" s="15" t="s">
        <v>70</v>
      </c>
      <c r="D2163" s="69">
        <v>112</v>
      </c>
      <c r="E2163" s="68" t="s">
        <v>273</v>
      </c>
      <c r="F2163" s="14" t="s">
        <v>2057</v>
      </c>
      <c r="G2163" s="15" t="s">
        <v>154</v>
      </c>
      <c r="H2163" s="15" t="s">
        <v>904</v>
      </c>
      <c r="I2163" s="69">
        <v>143</v>
      </c>
      <c r="J2163" s="13" t="s">
        <v>902</v>
      </c>
      <c r="K2163" s="15" t="s">
        <v>903</v>
      </c>
      <c r="L2163" s="15" t="s">
        <v>2673</v>
      </c>
      <c r="M2163" s="15" t="s">
        <v>2672</v>
      </c>
      <c r="N2163" s="15" t="s">
        <v>2673</v>
      </c>
      <c r="O2163" s="15"/>
    </row>
    <row r="2164" spans="1:15" ht="18" customHeight="1" x14ac:dyDescent="0.3">
      <c r="A2164" s="29">
        <v>2163</v>
      </c>
      <c r="B2164" s="15" t="s">
        <v>52</v>
      </c>
      <c r="C2164" s="15" t="s">
        <v>70</v>
      </c>
      <c r="D2164" s="69">
        <v>112</v>
      </c>
      <c r="E2164" s="68" t="s">
        <v>273</v>
      </c>
      <c r="F2164" s="14" t="s">
        <v>1274</v>
      </c>
      <c r="G2164" s="15" t="s">
        <v>154</v>
      </c>
      <c r="H2164" s="15" t="s">
        <v>905</v>
      </c>
      <c r="I2164" s="69">
        <v>143</v>
      </c>
      <c r="J2164" s="13" t="s">
        <v>2672</v>
      </c>
      <c r="K2164" s="15" t="s">
        <v>903</v>
      </c>
      <c r="L2164" s="15" t="s">
        <v>2673</v>
      </c>
      <c r="M2164" s="15" t="s">
        <v>2672</v>
      </c>
      <c r="N2164" s="15" t="s">
        <v>2673</v>
      </c>
      <c r="O2164" s="15"/>
    </row>
    <row r="2165" spans="1:15" ht="18" customHeight="1" x14ac:dyDescent="0.3">
      <c r="A2165" s="29">
        <v>2164</v>
      </c>
      <c r="B2165" s="15" t="s">
        <v>52</v>
      </c>
      <c r="C2165" s="15" t="s">
        <v>70</v>
      </c>
      <c r="D2165" s="69">
        <v>112</v>
      </c>
      <c r="E2165" s="68" t="s">
        <v>273</v>
      </c>
      <c r="F2165" s="14" t="s">
        <v>1274</v>
      </c>
      <c r="G2165" s="15" t="s">
        <v>154</v>
      </c>
      <c r="H2165" s="15" t="s">
        <v>906</v>
      </c>
      <c r="I2165" s="69">
        <v>358</v>
      </c>
      <c r="J2165" s="13" t="s">
        <v>902</v>
      </c>
      <c r="K2165" s="15" t="s">
        <v>2674</v>
      </c>
      <c r="L2165" s="15" t="s">
        <v>2747</v>
      </c>
      <c r="M2165" s="15" t="s">
        <v>2672</v>
      </c>
      <c r="N2165" s="15" t="s">
        <v>2673</v>
      </c>
      <c r="O2165" s="15" t="s">
        <v>2876</v>
      </c>
    </row>
    <row r="2166" spans="1:15" ht="18" customHeight="1" x14ac:dyDescent="0.3">
      <c r="A2166" s="29">
        <v>2165</v>
      </c>
      <c r="B2166" s="15" t="s">
        <v>52</v>
      </c>
      <c r="C2166" s="15" t="s">
        <v>70</v>
      </c>
      <c r="D2166" s="69">
        <v>112</v>
      </c>
      <c r="E2166" s="68" t="s">
        <v>273</v>
      </c>
      <c r="F2166" s="14" t="s">
        <v>1274</v>
      </c>
      <c r="G2166" s="15" t="s">
        <v>154</v>
      </c>
      <c r="H2166" s="15" t="s">
        <v>907</v>
      </c>
      <c r="I2166" s="69">
        <v>102</v>
      </c>
      <c r="J2166" s="13" t="s">
        <v>2672</v>
      </c>
      <c r="K2166" s="15" t="s">
        <v>903</v>
      </c>
      <c r="L2166" s="15" t="s">
        <v>2673</v>
      </c>
      <c r="M2166" s="15" t="s">
        <v>2672</v>
      </c>
      <c r="N2166" s="15" t="s">
        <v>2673</v>
      </c>
      <c r="O2166" s="15"/>
    </row>
    <row r="2167" spans="1:15" ht="18" customHeight="1" x14ac:dyDescent="0.3">
      <c r="A2167" s="29">
        <v>2166</v>
      </c>
      <c r="B2167" s="15" t="s">
        <v>52</v>
      </c>
      <c r="C2167" s="15" t="s">
        <v>70</v>
      </c>
      <c r="D2167" s="69">
        <v>112</v>
      </c>
      <c r="E2167" s="68" t="s">
        <v>273</v>
      </c>
      <c r="F2167" s="14" t="s">
        <v>1274</v>
      </c>
      <c r="G2167" s="15" t="s">
        <v>154</v>
      </c>
      <c r="H2167" s="15" t="s">
        <v>908</v>
      </c>
      <c r="I2167" s="69">
        <v>102</v>
      </c>
      <c r="J2167" s="13" t="s">
        <v>2672</v>
      </c>
      <c r="K2167" s="15" t="s">
        <v>903</v>
      </c>
      <c r="L2167" s="15" t="s">
        <v>2673</v>
      </c>
      <c r="M2167" s="15" t="s">
        <v>2672</v>
      </c>
      <c r="N2167" s="15" t="s">
        <v>2673</v>
      </c>
      <c r="O2167" s="15"/>
    </row>
    <row r="2168" spans="1:15" ht="18" customHeight="1" x14ac:dyDescent="0.3">
      <c r="A2168" s="29">
        <v>2167</v>
      </c>
      <c r="B2168" s="15" t="s">
        <v>52</v>
      </c>
      <c r="C2168" s="15" t="s">
        <v>70</v>
      </c>
      <c r="D2168" s="69">
        <v>112</v>
      </c>
      <c r="E2168" s="68" t="s">
        <v>273</v>
      </c>
      <c r="F2168" s="14" t="s">
        <v>1274</v>
      </c>
      <c r="G2168" s="15" t="s">
        <v>154</v>
      </c>
      <c r="H2168" s="15" t="s">
        <v>909</v>
      </c>
      <c r="I2168" s="69">
        <v>188</v>
      </c>
      <c r="J2168" s="13" t="s">
        <v>2672</v>
      </c>
      <c r="K2168" s="15" t="s">
        <v>903</v>
      </c>
      <c r="L2168" s="15" t="s">
        <v>2673</v>
      </c>
      <c r="M2168" s="15" t="s">
        <v>2672</v>
      </c>
      <c r="N2168" s="15" t="s">
        <v>2673</v>
      </c>
      <c r="O2168" s="15"/>
    </row>
    <row r="2169" spans="1:15" ht="18" customHeight="1" x14ac:dyDescent="0.3">
      <c r="A2169" s="29">
        <v>2168</v>
      </c>
      <c r="B2169" s="15" t="s">
        <v>52</v>
      </c>
      <c r="C2169" s="15" t="s">
        <v>70</v>
      </c>
      <c r="D2169" s="69">
        <v>112</v>
      </c>
      <c r="E2169" s="68" t="s">
        <v>1008</v>
      </c>
      <c r="F2169" s="24" t="s">
        <v>2060</v>
      </c>
      <c r="G2169" s="15" t="s">
        <v>2673</v>
      </c>
      <c r="H2169" s="15" t="s">
        <v>901</v>
      </c>
      <c r="I2169" s="69">
        <v>30</v>
      </c>
      <c r="J2169" s="15" t="s">
        <v>2672</v>
      </c>
      <c r="K2169" s="15" t="s">
        <v>903</v>
      </c>
      <c r="L2169" s="15" t="s">
        <v>2673</v>
      </c>
      <c r="M2169" s="15" t="s">
        <v>2674</v>
      </c>
      <c r="N2169" s="15" t="s">
        <v>1508</v>
      </c>
      <c r="O2169" s="15"/>
    </row>
    <row r="2170" spans="1:15" ht="18" customHeight="1" x14ac:dyDescent="0.3">
      <c r="A2170" s="29">
        <v>2169</v>
      </c>
      <c r="B2170" s="15" t="s">
        <v>52</v>
      </c>
      <c r="C2170" s="15" t="s">
        <v>71</v>
      </c>
      <c r="D2170" s="69">
        <v>113</v>
      </c>
      <c r="E2170" s="68" t="s">
        <v>3358</v>
      </c>
      <c r="F2170" s="24" t="s">
        <v>687</v>
      </c>
      <c r="G2170" s="15" t="s">
        <v>164</v>
      </c>
      <c r="H2170" s="15" t="s">
        <v>2685</v>
      </c>
      <c r="I2170" s="69">
        <v>183</v>
      </c>
      <c r="J2170" s="15" t="s">
        <v>2674</v>
      </c>
      <c r="K2170" s="15" t="s">
        <v>2672</v>
      </c>
      <c r="L2170" s="15" t="s">
        <v>2673</v>
      </c>
      <c r="M2170" s="15" t="s">
        <v>2672</v>
      </c>
      <c r="N2170" s="15" t="s">
        <v>2673</v>
      </c>
      <c r="O2170" s="15"/>
    </row>
    <row r="2171" spans="1:15" ht="18" customHeight="1" x14ac:dyDescent="0.3">
      <c r="A2171" s="29">
        <v>2170</v>
      </c>
      <c r="B2171" s="15" t="s">
        <v>52</v>
      </c>
      <c r="C2171" s="15" t="s">
        <v>71</v>
      </c>
      <c r="D2171" s="69">
        <v>113</v>
      </c>
      <c r="E2171" s="68" t="s">
        <v>3358</v>
      </c>
      <c r="F2171" s="24" t="s">
        <v>687</v>
      </c>
      <c r="G2171" s="15" t="s">
        <v>164</v>
      </c>
      <c r="H2171" s="15" t="s">
        <v>904</v>
      </c>
      <c r="I2171" s="69">
        <v>134</v>
      </c>
      <c r="J2171" s="15" t="s">
        <v>2672</v>
      </c>
      <c r="K2171" s="15" t="s">
        <v>903</v>
      </c>
      <c r="L2171" s="15" t="s">
        <v>2673</v>
      </c>
      <c r="M2171" s="15" t="s">
        <v>2672</v>
      </c>
      <c r="N2171" s="15" t="s">
        <v>2673</v>
      </c>
      <c r="O2171" s="15"/>
    </row>
    <row r="2172" spans="1:15" ht="18" customHeight="1" x14ac:dyDescent="0.3">
      <c r="A2172" s="29">
        <v>2171</v>
      </c>
      <c r="B2172" s="15" t="s">
        <v>52</v>
      </c>
      <c r="C2172" s="15" t="s">
        <v>71</v>
      </c>
      <c r="D2172" s="69">
        <v>113</v>
      </c>
      <c r="E2172" s="68" t="s">
        <v>3358</v>
      </c>
      <c r="F2172" s="24" t="s">
        <v>687</v>
      </c>
      <c r="G2172" s="15" t="s">
        <v>164</v>
      </c>
      <c r="H2172" s="15" t="s">
        <v>905</v>
      </c>
      <c r="I2172" s="69">
        <v>139</v>
      </c>
      <c r="J2172" s="15" t="s">
        <v>2674</v>
      </c>
      <c r="K2172" s="15" t="s">
        <v>903</v>
      </c>
      <c r="L2172" s="15" t="s">
        <v>2673</v>
      </c>
      <c r="M2172" s="15" t="s">
        <v>2672</v>
      </c>
      <c r="N2172" s="15" t="s">
        <v>2673</v>
      </c>
      <c r="O2172" s="15"/>
    </row>
    <row r="2173" spans="1:15" ht="18" customHeight="1" x14ac:dyDescent="0.3">
      <c r="A2173" s="29">
        <v>2172</v>
      </c>
      <c r="B2173" s="15" t="s">
        <v>52</v>
      </c>
      <c r="C2173" s="15" t="s">
        <v>71</v>
      </c>
      <c r="D2173" s="69">
        <v>113</v>
      </c>
      <c r="E2173" s="68" t="s">
        <v>3358</v>
      </c>
      <c r="F2173" s="24" t="s">
        <v>687</v>
      </c>
      <c r="G2173" s="15" t="s">
        <v>164</v>
      </c>
      <c r="H2173" s="15" t="s">
        <v>906</v>
      </c>
      <c r="I2173" s="69">
        <v>114</v>
      </c>
      <c r="J2173" s="15" t="s">
        <v>2674</v>
      </c>
      <c r="K2173" s="15" t="s">
        <v>903</v>
      </c>
      <c r="L2173" s="15" t="s">
        <v>2673</v>
      </c>
      <c r="M2173" s="15" t="s">
        <v>2672</v>
      </c>
      <c r="N2173" s="15" t="s">
        <v>2673</v>
      </c>
      <c r="O2173" s="15"/>
    </row>
    <row r="2174" spans="1:15" ht="18" customHeight="1" x14ac:dyDescent="0.3">
      <c r="A2174" s="29">
        <v>2173</v>
      </c>
      <c r="B2174" s="15" t="s">
        <v>52</v>
      </c>
      <c r="C2174" s="15" t="s">
        <v>71</v>
      </c>
      <c r="D2174" s="69">
        <v>113</v>
      </c>
      <c r="E2174" s="68" t="s">
        <v>3358</v>
      </c>
      <c r="F2174" s="24" t="s">
        <v>687</v>
      </c>
      <c r="G2174" s="15" t="s">
        <v>164</v>
      </c>
      <c r="H2174" s="15" t="s">
        <v>907</v>
      </c>
      <c r="I2174" s="69">
        <v>141</v>
      </c>
      <c r="J2174" s="15" t="s">
        <v>2672</v>
      </c>
      <c r="K2174" s="15" t="s">
        <v>903</v>
      </c>
      <c r="L2174" s="15" t="s">
        <v>2673</v>
      </c>
      <c r="M2174" s="15" t="s">
        <v>2672</v>
      </c>
      <c r="N2174" s="15" t="s">
        <v>2673</v>
      </c>
      <c r="O2174" s="15"/>
    </row>
    <row r="2175" spans="1:15" ht="18" customHeight="1" x14ac:dyDescent="0.3">
      <c r="A2175" s="29">
        <v>2174</v>
      </c>
      <c r="B2175" s="15" t="s">
        <v>52</v>
      </c>
      <c r="C2175" s="15" t="s">
        <v>71</v>
      </c>
      <c r="D2175" s="69">
        <v>113</v>
      </c>
      <c r="E2175" s="68" t="s">
        <v>3358</v>
      </c>
      <c r="F2175" s="24" t="s">
        <v>687</v>
      </c>
      <c r="G2175" s="15" t="s">
        <v>164</v>
      </c>
      <c r="H2175" s="15" t="s">
        <v>908</v>
      </c>
      <c r="I2175" s="69">
        <v>125</v>
      </c>
      <c r="J2175" s="15" t="s">
        <v>2672</v>
      </c>
      <c r="K2175" s="15" t="s">
        <v>903</v>
      </c>
      <c r="L2175" s="15" t="s">
        <v>2673</v>
      </c>
      <c r="M2175" s="15" t="s">
        <v>2672</v>
      </c>
      <c r="N2175" s="15" t="s">
        <v>2673</v>
      </c>
      <c r="O2175" s="15"/>
    </row>
    <row r="2176" spans="1:15" ht="18" customHeight="1" x14ac:dyDescent="0.3">
      <c r="A2176" s="29">
        <v>2175</v>
      </c>
      <c r="B2176" s="15" t="s">
        <v>52</v>
      </c>
      <c r="C2176" s="15" t="s">
        <v>71</v>
      </c>
      <c r="D2176" s="69">
        <v>113</v>
      </c>
      <c r="E2176" s="68" t="s">
        <v>3358</v>
      </c>
      <c r="F2176" s="24" t="s">
        <v>687</v>
      </c>
      <c r="G2176" s="15" t="s">
        <v>164</v>
      </c>
      <c r="H2176" s="15" t="s">
        <v>909</v>
      </c>
      <c r="I2176" s="69">
        <v>175</v>
      </c>
      <c r="J2176" s="15" t="s">
        <v>2674</v>
      </c>
      <c r="K2176" s="15" t="s">
        <v>903</v>
      </c>
      <c r="L2176" s="15" t="s">
        <v>2673</v>
      </c>
      <c r="M2176" s="15" t="s">
        <v>2672</v>
      </c>
      <c r="N2176" s="15" t="s">
        <v>2673</v>
      </c>
      <c r="O2176" s="15"/>
    </row>
    <row r="2177" spans="1:15" ht="18" customHeight="1" x14ac:dyDescent="0.3">
      <c r="A2177" s="29">
        <v>2176</v>
      </c>
      <c r="B2177" s="15" t="s">
        <v>52</v>
      </c>
      <c r="C2177" s="15" t="s">
        <v>71</v>
      </c>
      <c r="D2177" s="69">
        <v>113</v>
      </c>
      <c r="E2177" s="68" t="s">
        <v>3358</v>
      </c>
      <c r="F2177" s="24" t="s">
        <v>687</v>
      </c>
      <c r="G2177" s="15" t="s">
        <v>164</v>
      </c>
      <c r="H2177" s="15" t="s">
        <v>2683</v>
      </c>
      <c r="I2177" s="69">
        <v>36</v>
      </c>
      <c r="J2177" s="15" t="s">
        <v>2672</v>
      </c>
      <c r="K2177" s="15" t="s">
        <v>2672</v>
      </c>
      <c r="L2177" s="15" t="s">
        <v>2673</v>
      </c>
      <c r="M2177" s="15" t="s">
        <v>2672</v>
      </c>
      <c r="N2177" s="15" t="s">
        <v>2673</v>
      </c>
      <c r="O2177" s="15"/>
    </row>
    <row r="2178" spans="1:15" ht="18" customHeight="1" x14ac:dyDescent="0.3">
      <c r="A2178" s="29">
        <v>2177</v>
      </c>
      <c r="B2178" s="15" t="s">
        <v>52</v>
      </c>
      <c r="C2178" s="15" t="s">
        <v>71</v>
      </c>
      <c r="D2178" s="69">
        <v>113</v>
      </c>
      <c r="E2178" s="68" t="s">
        <v>3358</v>
      </c>
      <c r="F2178" s="24" t="s">
        <v>687</v>
      </c>
      <c r="G2178" s="15" t="s">
        <v>164</v>
      </c>
      <c r="H2178" s="15" t="s">
        <v>2946</v>
      </c>
      <c r="I2178" s="69">
        <v>66</v>
      </c>
      <c r="J2178" s="15" t="s">
        <v>2672</v>
      </c>
      <c r="K2178" s="15" t="s">
        <v>2672</v>
      </c>
      <c r="L2178" s="15" t="s">
        <v>2673</v>
      </c>
      <c r="M2178" s="15" t="s">
        <v>2672</v>
      </c>
      <c r="N2178" s="15" t="s">
        <v>2673</v>
      </c>
      <c r="O2178" s="15"/>
    </row>
    <row r="2179" spans="1:15" ht="18" customHeight="1" x14ac:dyDescent="0.3">
      <c r="A2179" s="29">
        <v>2178</v>
      </c>
      <c r="B2179" s="15" t="s">
        <v>52</v>
      </c>
      <c r="C2179" s="15" t="s">
        <v>71</v>
      </c>
      <c r="D2179" s="69">
        <v>113</v>
      </c>
      <c r="E2179" s="68" t="s">
        <v>3358</v>
      </c>
      <c r="F2179" s="24" t="s">
        <v>687</v>
      </c>
      <c r="G2179" s="15" t="s">
        <v>164</v>
      </c>
      <c r="H2179" s="15" t="s">
        <v>2776</v>
      </c>
      <c r="I2179" s="69">
        <v>30</v>
      </c>
      <c r="J2179" s="15" t="s">
        <v>2672</v>
      </c>
      <c r="K2179" s="15" t="s">
        <v>903</v>
      </c>
      <c r="L2179" s="15" t="s">
        <v>2673</v>
      </c>
      <c r="M2179" s="15" t="s">
        <v>2672</v>
      </c>
      <c r="N2179" s="15" t="s">
        <v>2673</v>
      </c>
      <c r="O2179" s="15"/>
    </row>
    <row r="2180" spans="1:15" ht="18" customHeight="1" x14ac:dyDescent="0.3">
      <c r="A2180" s="29">
        <v>2179</v>
      </c>
      <c r="B2180" s="15" t="s">
        <v>1882</v>
      </c>
      <c r="C2180" s="15" t="s">
        <v>2063</v>
      </c>
      <c r="D2180" s="69">
        <v>114</v>
      </c>
      <c r="E2180" s="68" t="s">
        <v>2064</v>
      </c>
      <c r="F2180" s="21" t="s">
        <v>2065</v>
      </c>
      <c r="G2180" s="15" t="s">
        <v>1538</v>
      </c>
      <c r="H2180" s="15" t="s">
        <v>2685</v>
      </c>
      <c r="I2180" s="69">
        <v>130</v>
      </c>
      <c r="J2180" s="15" t="s">
        <v>2672</v>
      </c>
      <c r="K2180" s="15" t="s">
        <v>903</v>
      </c>
      <c r="L2180" s="15" t="s">
        <v>2673</v>
      </c>
      <c r="M2180" s="15" t="s">
        <v>2672</v>
      </c>
      <c r="N2180" s="15" t="s">
        <v>2673</v>
      </c>
      <c r="O2180" s="15"/>
    </row>
    <row r="2181" spans="1:15" ht="18" customHeight="1" x14ac:dyDescent="0.3">
      <c r="A2181" s="29">
        <v>2180</v>
      </c>
      <c r="B2181" s="15" t="s">
        <v>1882</v>
      </c>
      <c r="C2181" s="15" t="s">
        <v>2063</v>
      </c>
      <c r="D2181" s="69">
        <v>114</v>
      </c>
      <c r="E2181" s="68" t="s">
        <v>2064</v>
      </c>
      <c r="F2181" s="21" t="s">
        <v>2065</v>
      </c>
      <c r="G2181" s="15" t="s">
        <v>1538</v>
      </c>
      <c r="H2181" s="15" t="s">
        <v>2678</v>
      </c>
      <c r="I2181" s="69">
        <v>254</v>
      </c>
      <c r="J2181" s="15" t="s">
        <v>2672</v>
      </c>
      <c r="K2181" s="15" t="s">
        <v>903</v>
      </c>
      <c r="L2181" s="15" t="s">
        <v>2673</v>
      </c>
      <c r="M2181" s="15" t="s">
        <v>2672</v>
      </c>
      <c r="N2181" s="15" t="s">
        <v>2673</v>
      </c>
      <c r="O2181" s="15"/>
    </row>
    <row r="2182" spans="1:15" ht="18" customHeight="1" x14ac:dyDescent="0.3">
      <c r="A2182" s="29">
        <v>2181</v>
      </c>
      <c r="B2182" s="15" t="s">
        <v>1882</v>
      </c>
      <c r="C2182" s="15" t="s">
        <v>2063</v>
      </c>
      <c r="D2182" s="69">
        <v>114</v>
      </c>
      <c r="E2182" s="68" t="s">
        <v>2064</v>
      </c>
      <c r="F2182" s="21" t="s">
        <v>2065</v>
      </c>
      <c r="G2182" s="15" t="s">
        <v>1538</v>
      </c>
      <c r="H2182" s="15" t="s">
        <v>2679</v>
      </c>
      <c r="I2182" s="69">
        <v>262</v>
      </c>
      <c r="J2182" s="15" t="s">
        <v>2672</v>
      </c>
      <c r="K2182" s="15" t="s">
        <v>903</v>
      </c>
      <c r="L2182" s="15" t="s">
        <v>2673</v>
      </c>
      <c r="M2182" s="15" t="s">
        <v>2672</v>
      </c>
      <c r="N2182" s="15" t="s">
        <v>2673</v>
      </c>
      <c r="O2182" s="15"/>
    </row>
    <row r="2183" spans="1:15" ht="18" customHeight="1" x14ac:dyDescent="0.3">
      <c r="A2183" s="29">
        <v>2182</v>
      </c>
      <c r="B2183" s="15" t="s">
        <v>1882</v>
      </c>
      <c r="C2183" s="15" t="s">
        <v>2063</v>
      </c>
      <c r="D2183" s="69">
        <v>114</v>
      </c>
      <c r="E2183" s="68" t="s">
        <v>2064</v>
      </c>
      <c r="F2183" s="21" t="s">
        <v>2065</v>
      </c>
      <c r="G2183" s="15" t="s">
        <v>1538</v>
      </c>
      <c r="H2183" s="15" t="s">
        <v>2680</v>
      </c>
      <c r="I2183" s="69">
        <v>181</v>
      </c>
      <c r="J2183" s="15" t="s">
        <v>2672</v>
      </c>
      <c r="K2183" s="15" t="s">
        <v>903</v>
      </c>
      <c r="L2183" s="15" t="s">
        <v>2673</v>
      </c>
      <c r="M2183" s="15" t="s">
        <v>2672</v>
      </c>
      <c r="N2183" s="15" t="s">
        <v>2673</v>
      </c>
      <c r="O2183" s="15"/>
    </row>
    <row r="2184" spans="1:15" ht="18" customHeight="1" x14ac:dyDescent="0.3">
      <c r="A2184" s="29">
        <v>2183</v>
      </c>
      <c r="B2184" s="15" t="s">
        <v>1882</v>
      </c>
      <c r="C2184" s="15" t="s">
        <v>2063</v>
      </c>
      <c r="D2184" s="69">
        <v>114</v>
      </c>
      <c r="E2184" s="68" t="s">
        <v>2064</v>
      </c>
      <c r="F2184" s="21" t="s">
        <v>2065</v>
      </c>
      <c r="G2184" s="15" t="s">
        <v>1538</v>
      </c>
      <c r="H2184" s="15" t="s">
        <v>2732</v>
      </c>
      <c r="I2184" s="69">
        <v>42</v>
      </c>
      <c r="J2184" s="15" t="s">
        <v>2672</v>
      </c>
      <c r="K2184" s="15" t="s">
        <v>903</v>
      </c>
      <c r="L2184" s="15" t="s">
        <v>2673</v>
      </c>
      <c r="M2184" s="15" t="s">
        <v>2672</v>
      </c>
      <c r="N2184" s="15" t="s">
        <v>2673</v>
      </c>
      <c r="O2184" s="15"/>
    </row>
    <row r="2185" spans="1:15" ht="18" customHeight="1" x14ac:dyDescent="0.3">
      <c r="A2185" s="29">
        <v>2184</v>
      </c>
      <c r="B2185" s="15" t="s">
        <v>1882</v>
      </c>
      <c r="C2185" s="15" t="s">
        <v>2063</v>
      </c>
      <c r="D2185" s="69">
        <v>114</v>
      </c>
      <c r="E2185" s="68" t="s">
        <v>2064</v>
      </c>
      <c r="F2185" s="21" t="s">
        <v>2065</v>
      </c>
      <c r="G2185" s="15" t="s">
        <v>1538</v>
      </c>
      <c r="H2185" s="15" t="s">
        <v>2682</v>
      </c>
      <c r="I2185" s="69">
        <v>133</v>
      </c>
      <c r="J2185" s="15" t="s">
        <v>2672</v>
      </c>
      <c r="K2185" s="15" t="s">
        <v>903</v>
      </c>
      <c r="L2185" s="15" t="s">
        <v>2673</v>
      </c>
      <c r="M2185" s="15" t="s">
        <v>2672</v>
      </c>
      <c r="N2185" s="15" t="s">
        <v>2673</v>
      </c>
      <c r="O2185" s="15"/>
    </row>
    <row r="2186" spans="1:15" ht="18" customHeight="1" x14ac:dyDescent="0.3">
      <c r="A2186" s="29">
        <v>2185</v>
      </c>
      <c r="B2186" s="15" t="s">
        <v>1882</v>
      </c>
      <c r="C2186" s="15" t="s">
        <v>2063</v>
      </c>
      <c r="D2186" s="69">
        <v>114</v>
      </c>
      <c r="E2186" s="68" t="s">
        <v>2064</v>
      </c>
      <c r="F2186" s="21" t="s">
        <v>2065</v>
      </c>
      <c r="G2186" s="15" t="s">
        <v>1538</v>
      </c>
      <c r="H2186" s="15" t="s">
        <v>2066</v>
      </c>
      <c r="I2186" s="69">
        <v>254</v>
      </c>
      <c r="J2186" s="15" t="s">
        <v>2674</v>
      </c>
      <c r="K2186" s="15" t="s">
        <v>2674</v>
      </c>
      <c r="L2186" s="15" t="s">
        <v>2066</v>
      </c>
      <c r="M2186" s="15" t="s">
        <v>2672</v>
      </c>
      <c r="N2186" s="15" t="s">
        <v>2673</v>
      </c>
      <c r="O2186" s="15"/>
    </row>
    <row r="2187" spans="1:15" ht="18" customHeight="1" x14ac:dyDescent="0.3">
      <c r="A2187" s="29">
        <v>2186</v>
      </c>
      <c r="B2187" s="15" t="s">
        <v>52</v>
      </c>
      <c r="C2187" s="15" t="s">
        <v>72</v>
      </c>
      <c r="D2187" s="69">
        <v>114</v>
      </c>
      <c r="E2187" s="68" t="s">
        <v>258</v>
      </c>
      <c r="F2187" s="21" t="s">
        <v>660</v>
      </c>
      <c r="G2187" s="15" t="s">
        <v>1553</v>
      </c>
      <c r="H2187" s="15" t="s">
        <v>901</v>
      </c>
      <c r="I2187" s="69">
        <v>85</v>
      </c>
      <c r="J2187" s="13" t="s">
        <v>2672</v>
      </c>
      <c r="K2187" s="15" t="s">
        <v>903</v>
      </c>
      <c r="L2187" s="15" t="s">
        <v>2673</v>
      </c>
      <c r="M2187" s="15" t="s">
        <v>2672</v>
      </c>
      <c r="N2187" s="15" t="s">
        <v>2673</v>
      </c>
      <c r="O2187" s="15"/>
    </row>
    <row r="2188" spans="1:15" ht="18" customHeight="1" x14ac:dyDescent="0.3">
      <c r="A2188" s="29">
        <v>2187</v>
      </c>
      <c r="B2188" s="15" t="s">
        <v>52</v>
      </c>
      <c r="C2188" s="15" t="s">
        <v>72</v>
      </c>
      <c r="D2188" s="69">
        <v>114</v>
      </c>
      <c r="E2188" s="68" t="s">
        <v>258</v>
      </c>
      <c r="F2188" s="21" t="s">
        <v>660</v>
      </c>
      <c r="G2188" s="15" t="s">
        <v>1553</v>
      </c>
      <c r="H2188" s="15" t="s">
        <v>904</v>
      </c>
      <c r="I2188" s="69">
        <v>79</v>
      </c>
      <c r="J2188" s="13" t="s">
        <v>2672</v>
      </c>
      <c r="K2188" s="15" t="s">
        <v>903</v>
      </c>
      <c r="L2188" s="15" t="s">
        <v>2673</v>
      </c>
      <c r="M2188" s="15" t="s">
        <v>2672</v>
      </c>
      <c r="N2188" s="15" t="s">
        <v>2673</v>
      </c>
      <c r="O2188" s="15"/>
    </row>
    <row r="2189" spans="1:15" ht="18" customHeight="1" x14ac:dyDescent="0.3">
      <c r="A2189" s="29">
        <v>2188</v>
      </c>
      <c r="B2189" s="15" t="s">
        <v>52</v>
      </c>
      <c r="C2189" s="15" t="s">
        <v>72</v>
      </c>
      <c r="D2189" s="69">
        <v>114</v>
      </c>
      <c r="E2189" s="68" t="s">
        <v>3359</v>
      </c>
      <c r="F2189" s="24" t="s">
        <v>658</v>
      </c>
      <c r="G2189" s="15" t="s">
        <v>164</v>
      </c>
      <c r="H2189" s="15" t="s">
        <v>901</v>
      </c>
      <c r="I2189" s="69">
        <v>173</v>
      </c>
      <c r="J2189" s="15" t="s">
        <v>2674</v>
      </c>
      <c r="K2189" s="15" t="s">
        <v>903</v>
      </c>
      <c r="L2189" s="15" t="s">
        <v>2673</v>
      </c>
      <c r="M2189" s="15" t="s">
        <v>2672</v>
      </c>
      <c r="N2189" s="15" t="s">
        <v>2673</v>
      </c>
      <c r="O2189" s="15"/>
    </row>
    <row r="2190" spans="1:15" ht="18" customHeight="1" x14ac:dyDescent="0.3">
      <c r="A2190" s="29">
        <v>2189</v>
      </c>
      <c r="B2190" s="15" t="s">
        <v>52</v>
      </c>
      <c r="C2190" s="15" t="s">
        <v>72</v>
      </c>
      <c r="D2190" s="69">
        <v>114</v>
      </c>
      <c r="E2190" s="68" t="s">
        <v>3359</v>
      </c>
      <c r="F2190" s="24" t="s">
        <v>658</v>
      </c>
      <c r="G2190" s="15" t="s">
        <v>164</v>
      </c>
      <c r="H2190" s="15" t="s">
        <v>904</v>
      </c>
      <c r="I2190" s="69">
        <v>50</v>
      </c>
      <c r="J2190" s="15" t="s">
        <v>2672</v>
      </c>
      <c r="K2190" s="15" t="s">
        <v>903</v>
      </c>
      <c r="L2190" s="15" t="s">
        <v>2673</v>
      </c>
      <c r="M2190" s="15" t="s">
        <v>2672</v>
      </c>
      <c r="N2190" s="15" t="s">
        <v>2673</v>
      </c>
      <c r="O2190" s="15"/>
    </row>
    <row r="2191" spans="1:15" ht="18" customHeight="1" x14ac:dyDescent="0.3">
      <c r="A2191" s="29">
        <v>2190</v>
      </c>
      <c r="B2191" s="15" t="s">
        <v>52</v>
      </c>
      <c r="C2191" s="15" t="s">
        <v>72</v>
      </c>
      <c r="D2191" s="69">
        <v>114</v>
      </c>
      <c r="E2191" s="68" t="s">
        <v>3359</v>
      </c>
      <c r="F2191" s="24" t="s">
        <v>658</v>
      </c>
      <c r="G2191" s="15" t="s">
        <v>164</v>
      </c>
      <c r="H2191" s="15" t="s">
        <v>905</v>
      </c>
      <c r="I2191" s="69">
        <v>119</v>
      </c>
      <c r="J2191" s="15" t="s">
        <v>2672</v>
      </c>
      <c r="K2191" s="15" t="s">
        <v>903</v>
      </c>
      <c r="L2191" s="15" t="s">
        <v>2673</v>
      </c>
      <c r="M2191" s="15" t="s">
        <v>2672</v>
      </c>
      <c r="N2191" s="15" t="s">
        <v>2673</v>
      </c>
      <c r="O2191" s="15"/>
    </row>
    <row r="2192" spans="1:15" ht="18" customHeight="1" x14ac:dyDescent="0.3">
      <c r="A2192" s="29">
        <v>2191</v>
      </c>
      <c r="B2192" s="15" t="s">
        <v>52</v>
      </c>
      <c r="C2192" s="15" t="s">
        <v>72</v>
      </c>
      <c r="D2192" s="69">
        <v>114</v>
      </c>
      <c r="E2192" s="68" t="s">
        <v>3359</v>
      </c>
      <c r="F2192" s="24" t="s">
        <v>658</v>
      </c>
      <c r="G2192" s="15" t="s">
        <v>164</v>
      </c>
      <c r="H2192" s="15" t="s">
        <v>906</v>
      </c>
      <c r="I2192" s="69">
        <v>136</v>
      </c>
      <c r="J2192" s="15" t="s">
        <v>2674</v>
      </c>
      <c r="K2192" s="15" t="s">
        <v>903</v>
      </c>
      <c r="L2192" s="15" t="s">
        <v>2673</v>
      </c>
      <c r="M2192" s="15" t="s">
        <v>2672</v>
      </c>
      <c r="N2192" s="15" t="s">
        <v>2673</v>
      </c>
      <c r="O2192" s="15"/>
    </row>
    <row r="2193" spans="1:15" ht="18" customHeight="1" x14ac:dyDescent="0.3">
      <c r="A2193" s="29">
        <v>2192</v>
      </c>
      <c r="B2193" s="15" t="s">
        <v>52</v>
      </c>
      <c r="C2193" s="15" t="s">
        <v>72</v>
      </c>
      <c r="D2193" s="69">
        <v>114</v>
      </c>
      <c r="E2193" s="68" t="s">
        <v>3359</v>
      </c>
      <c r="F2193" s="24" t="s">
        <v>658</v>
      </c>
      <c r="G2193" s="15" t="s">
        <v>164</v>
      </c>
      <c r="H2193" s="15" t="s">
        <v>907</v>
      </c>
      <c r="I2193" s="69">
        <v>187</v>
      </c>
      <c r="J2193" s="15" t="s">
        <v>2672</v>
      </c>
      <c r="K2193" s="15" t="s">
        <v>903</v>
      </c>
      <c r="L2193" s="15" t="s">
        <v>2673</v>
      </c>
      <c r="M2193" s="15" t="s">
        <v>2672</v>
      </c>
      <c r="N2193" s="15" t="s">
        <v>2673</v>
      </c>
      <c r="O2193" s="15"/>
    </row>
    <row r="2194" spans="1:15" ht="18" customHeight="1" x14ac:dyDescent="0.3">
      <c r="A2194" s="29">
        <v>2193</v>
      </c>
      <c r="B2194" s="15" t="s">
        <v>52</v>
      </c>
      <c r="C2194" s="15" t="s">
        <v>72</v>
      </c>
      <c r="D2194" s="69">
        <v>114</v>
      </c>
      <c r="E2194" s="68" t="s">
        <v>3359</v>
      </c>
      <c r="F2194" s="24" t="s">
        <v>658</v>
      </c>
      <c r="G2194" s="15" t="s">
        <v>164</v>
      </c>
      <c r="H2194" s="15" t="s">
        <v>908</v>
      </c>
      <c r="I2194" s="69">
        <v>85</v>
      </c>
      <c r="J2194" s="15" t="s">
        <v>2672</v>
      </c>
      <c r="K2194" s="15" t="s">
        <v>903</v>
      </c>
      <c r="L2194" s="15" t="s">
        <v>2673</v>
      </c>
      <c r="M2194" s="15" t="s">
        <v>2672</v>
      </c>
      <c r="N2194" s="15" t="s">
        <v>2673</v>
      </c>
      <c r="O2194" s="15"/>
    </row>
    <row r="2195" spans="1:15" ht="18" customHeight="1" x14ac:dyDescent="0.3">
      <c r="A2195" s="29">
        <v>2194</v>
      </c>
      <c r="B2195" s="15" t="s">
        <v>52</v>
      </c>
      <c r="C2195" s="15" t="s">
        <v>72</v>
      </c>
      <c r="D2195" s="69">
        <v>114</v>
      </c>
      <c r="E2195" s="68" t="s">
        <v>3359</v>
      </c>
      <c r="F2195" s="24" t="s">
        <v>658</v>
      </c>
      <c r="G2195" s="15" t="s">
        <v>164</v>
      </c>
      <c r="H2195" s="15" t="s">
        <v>909</v>
      </c>
      <c r="I2195" s="69">
        <v>119</v>
      </c>
      <c r="J2195" s="15" t="s">
        <v>2672</v>
      </c>
      <c r="K2195" s="15" t="s">
        <v>903</v>
      </c>
      <c r="L2195" s="15" t="s">
        <v>2673</v>
      </c>
      <c r="M2195" s="15" t="s">
        <v>2672</v>
      </c>
      <c r="N2195" s="15" t="s">
        <v>2673</v>
      </c>
      <c r="O2195" s="15"/>
    </row>
    <row r="2196" spans="1:15" ht="18" customHeight="1" x14ac:dyDescent="0.3">
      <c r="A2196" s="29">
        <v>2195</v>
      </c>
      <c r="B2196" s="15" t="s">
        <v>52</v>
      </c>
      <c r="C2196" s="15" t="s">
        <v>72</v>
      </c>
      <c r="D2196" s="69">
        <v>114</v>
      </c>
      <c r="E2196" s="68" t="s">
        <v>3359</v>
      </c>
      <c r="F2196" s="24" t="s">
        <v>658</v>
      </c>
      <c r="G2196" s="15" t="s">
        <v>164</v>
      </c>
      <c r="H2196" s="15" t="s">
        <v>910</v>
      </c>
      <c r="I2196" s="69">
        <v>132</v>
      </c>
      <c r="J2196" s="15" t="s">
        <v>2672</v>
      </c>
      <c r="K2196" s="15" t="s">
        <v>903</v>
      </c>
      <c r="L2196" s="15" t="s">
        <v>2673</v>
      </c>
      <c r="M2196" s="15" t="s">
        <v>2672</v>
      </c>
      <c r="N2196" s="15" t="s">
        <v>2673</v>
      </c>
      <c r="O2196" s="15"/>
    </row>
    <row r="2197" spans="1:15" ht="18" customHeight="1" x14ac:dyDescent="0.3">
      <c r="A2197" s="29">
        <v>2196</v>
      </c>
      <c r="B2197" s="15" t="s">
        <v>52</v>
      </c>
      <c r="C2197" s="15" t="s">
        <v>73</v>
      </c>
      <c r="D2197" s="69">
        <v>115</v>
      </c>
      <c r="E2197" s="68" t="s">
        <v>3360</v>
      </c>
      <c r="F2197" s="21" t="s">
        <v>2070</v>
      </c>
      <c r="G2197" s="15" t="s">
        <v>164</v>
      </c>
      <c r="H2197" s="15" t="s">
        <v>901</v>
      </c>
      <c r="I2197" s="69">
        <v>153</v>
      </c>
      <c r="J2197" s="15" t="s">
        <v>2672</v>
      </c>
      <c r="K2197" s="15" t="s">
        <v>903</v>
      </c>
      <c r="L2197" s="15" t="s">
        <v>2673</v>
      </c>
      <c r="M2197" s="15" t="s">
        <v>2672</v>
      </c>
      <c r="N2197" s="15" t="s">
        <v>2673</v>
      </c>
      <c r="O2197" s="15"/>
    </row>
    <row r="2198" spans="1:15" ht="18" customHeight="1" x14ac:dyDescent="0.3">
      <c r="A2198" s="29">
        <v>2197</v>
      </c>
      <c r="B2198" s="15" t="s">
        <v>52</v>
      </c>
      <c r="C2198" s="15" t="s">
        <v>73</v>
      </c>
      <c r="D2198" s="69">
        <v>115</v>
      </c>
      <c r="E2198" s="68" t="s">
        <v>3360</v>
      </c>
      <c r="F2198" s="21" t="s">
        <v>2070</v>
      </c>
      <c r="G2198" s="15" t="s">
        <v>164</v>
      </c>
      <c r="H2198" s="15" t="s">
        <v>904</v>
      </c>
      <c r="I2198" s="69">
        <v>151</v>
      </c>
      <c r="J2198" s="15" t="s">
        <v>2674</v>
      </c>
      <c r="K2198" s="15" t="s">
        <v>903</v>
      </c>
      <c r="L2198" s="15" t="s">
        <v>2673</v>
      </c>
      <c r="M2198" s="15" t="s">
        <v>2672</v>
      </c>
      <c r="N2198" s="15" t="s">
        <v>2673</v>
      </c>
      <c r="O2198" s="15"/>
    </row>
    <row r="2199" spans="1:15" ht="18" customHeight="1" x14ac:dyDescent="0.3">
      <c r="A2199" s="29">
        <v>2198</v>
      </c>
      <c r="B2199" s="15" t="s">
        <v>52</v>
      </c>
      <c r="C2199" s="15" t="s">
        <v>73</v>
      </c>
      <c r="D2199" s="69">
        <v>115</v>
      </c>
      <c r="E2199" s="68" t="s">
        <v>3360</v>
      </c>
      <c r="F2199" s="21" t="s">
        <v>1080</v>
      </c>
      <c r="G2199" s="15" t="s">
        <v>164</v>
      </c>
      <c r="H2199" s="15" t="s">
        <v>905</v>
      </c>
      <c r="I2199" s="69">
        <v>138</v>
      </c>
      <c r="J2199" s="15" t="s">
        <v>2672</v>
      </c>
      <c r="K2199" s="15" t="s">
        <v>903</v>
      </c>
      <c r="L2199" s="15" t="s">
        <v>2673</v>
      </c>
      <c r="M2199" s="15" t="s">
        <v>2672</v>
      </c>
      <c r="N2199" s="15" t="s">
        <v>2673</v>
      </c>
      <c r="O2199" s="15"/>
    </row>
    <row r="2200" spans="1:15" ht="18" customHeight="1" x14ac:dyDescent="0.3">
      <c r="A2200" s="29">
        <v>2199</v>
      </c>
      <c r="B2200" s="15" t="s">
        <v>52</v>
      </c>
      <c r="C2200" s="15" t="s">
        <v>73</v>
      </c>
      <c r="D2200" s="69">
        <v>115</v>
      </c>
      <c r="E2200" s="68" t="s">
        <v>3360</v>
      </c>
      <c r="F2200" s="21" t="s">
        <v>1080</v>
      </c>
      <c r="G2200" s="15" t="s">
        <v>164</v>
      </c>
      <c r="H2200" s="15" t="s">
        <v>2680</v>
      </c>
      <c r="I2200" s="69">
        <v>36</v>
      </c>
      <c r="J2200" s="15" t="s">
        <v>2672</v>
      </c>
      <c r="K2200" s="15" t="s">
        <v>903</v>
      </c>
      <c r="L2200" s="15" t="s">
        <v>2673</v>
      </c>
      <c r="M2200" s="15" t="s">
        <v>2672</v>
      </c>
      <c r="N2200" s="15" t="s">
        <v>2673</v>
      </c>
      <c r="O2200" s="15"/>
    </row>
    <row r="2201" spans="1:15" ht="18" customHeight="1" x14ac:dyDescent="0.3">
      <c r="A2201" s="29">
        <v>2200</v>
      </c>
      <c r="B2201" s="15" t="s">
        <v>52</v>
      </c>
      <c r="C2201" s="15" t="s">
        <v>73</v>
      </c>
      <c r="D2201" s="69">
        <v>115</v>
      </c>
      <c r="E2201" s="68" t="s">
        <v>3361</v>
      </c>
      <c r="F2201" s="24" t="s">
        <v>1081</v>
      </c>
      <c r="G2201" s="15" t="s">
        <v>154</v>
      </c>
      <c r="H2201" s="15" t="s">
        <v>905</v>
      </c>
      <c r="I2201" s="69">
        <v>114</v>
      </c>
      <c r="J2201" s="15" t="s">
        <v>2672</v>
      </c>
      <c r="K2201" s="15" t="s">
        <v>903</v>
      </c>
      <c r="L2201" s="15" t="s">
        <v>2673</v>
      </c>
      <c r="M2201" s="15" t="s">
        <v>2672</v>
      </c>
      <c r="N2201" s="15" t="s">
        <v>2673</v>
      </c>
      <c r="O2201" s="15"/>
    </row>
    <row r="2202" spans="1:15" ht="18" customHeight="1" x14ac:dyDescent="0.3">
      <c r="A2202" s="29">
        <v>2201</v>
      </c>
      <c r="B2202" s="15" t="s">
        <v>52</v>
      </c>
      <c r="C2202" s="15" t="s">
        <v>73</v>
      </c>
      <c r="D2202" s="69">
        <v>115</v>
      </c>
      <c r="E2202" s="68" t="s">
        <v>3361</v>
      </c>
      <c r="F2202" s="24" t="s">
        <v>1081</v>
      </c>
      <c r="G2202" s="15" t="s">
        <v>154</v>
      </c>
      <c r="H2202" s="15" t="s">
        <v>906</v>
      </c>
      <c r="I2202" s="69">
        <v>112</v>
      </c>
      <c r="J2202" s="15" t="s">
        <v>2672</v>
      </c>
      <c r="K2202" s="15" t="s">
        <v>903</v>
      </c>
      <c r="L2202" s="15" t="s">
        <v>2673</v>
      </c>
      <c r="M2202" s="15" t="s">
        <v>2672</v>
      </c>
      <c r="N2202" s="15" t="s">
        <v>2673</v>
      </c>
      <c r="O2202" s="15"/>
    </row>
    <row r="2203" spans="1:15" ht="18" customHeight="1" x14ac:dyDescent="0.3">
      <c r="A2203" s="29">
        <v>2202</v>
      </c>
      <c r="B2203" s="15" t="s">
        <v>52</v>
      </c>
      <c r="C2203" s="15" t="s">
        <v>73</v>
      </c>
      <c r="D2203" s="69">
        <v>115</v>
      </c>
      <c r="E2203" s="68" t="s">
        <v>3361</v>
      </c>
      <c r="F2203" s="24" t="s">
        <v>614</v>
      </c>
      <c r="G2203" s="15" t="s">
        <v>154</v>
      </c>
      <c r="H2203" s="15" t="s">
        <v>901</v>
      </c>
      <c r="I2203" s="69">
        <v>84</v>
      </c>
      <c r="J2203" s="15" t="s">
        <v>2674</v>
      </c>
      <c r="K2203" s="15" t="s">
        <v>903</v>
      </c>
      <c r="L2203" s="15" t="s">
        <v>2673</v>
      </c>
      <c r="M2203" s="15" t="s">
        <v>2672</v>
      </c>
      <c r="N2203" s="15" t="s">
        <v>2673</v>
      </c>
      <c r="O2203" s="15"/>
    </row>
    <row r="2204" spans="1:15" ht="18" customHeight="1" x14ac:dyDescent="0.3">
      <c r="A2204" s="29">
        <v>2203</v>
      </c>
      <c r="B2204" s="15" t="s">
        <v>52</v>
      </c>
      <c r="C2204" s="15" t="s">
        <v>73</v>
      </c>
      <c r="D2204" s="69">
        <v>115</v>
      </c>
      <c r="E2204" s="68" t="s">
        <v>3361</v>
      </c>
      <c r="F2204" s="24" t="s">
        <v>614</v>
      </c>
      <c r="G2204" s="15" t="s">
        <v>154</v>
      </c>
      <c r="H2204" s="15" t="s">
        <v>904</v>
      </c>
      <c r="I2204" s="69">
        <v>114</v>
      </c>
      <c r="J2204" s="15" t="s">
        <v>2674</v>
      </c>
      <c r="K2204" s="15" t="s">
        <v>903</v>
      </c>
      <c r="L2204" s="15" t="s">
        <v>2673</v>
      </c>
      <c r="M2204" s="15" t="s">
        <v>2672</v>
      </c>
      <c r="N2204" s="15" t="s">
        <v>2673</v>
      </c>
      <c r="O2204" s="15"/>
    </row>
    <row r="2205" spans="1:15" ht="18" customHeight="1" x14ac:dyDescent="0.3">
      <c r="A2205" s="29">
        <v>2204</v>
      </c>
      <c r="B2205" s="15" t="s">
        <v>52</v>
      </c>
      <c r="C2205" s="15" t="s">
        <v>73</v>
      </c>
      <c r="D2205" s="69">
        <v>115</v>
      </c>
      <c r="E2205" s="68" t="s">
        <v>279</v>
      </c>
      <c r="F2205" s="21" t="s">
        <v>615</v>
      </c>
      <c r="G2205" s="15" t="s">
        <v>154</v>
      </c>
      <c r="H2205" s="15" t="s">
        <v>901</v>
      </c>
      <c r="I2205" s="69">
        <v>137</v>
      </c>
      <c r="J2205" s="15" t="s">
        <v>2672</v>
      </c>
      <c r="K2205" s="15" t="s">
        <v>903</v>
      </c>
      <c r="L2205" s="15" t="s">
        <v>2673</v>
      </c>
      <c r="M2205" s="15" t="s">
        <v>2672</v>
      </c>
      <c r="N2205" s="15" t="s">
        <v>2673</v>
      </c>
      <c r="O2205" s="15"/>
    </row>
    <row r="2206" spans="1:15" ht="18" customHeight="1" x14ac:dyDescent="0.3">
      <c r="A2206" s="29">
        <v>2205</v>
      </c>
      <c r="B2206" s="15" t="s">
        <v>52</v>
      </c>
      <c r="C2206" s="15" t="s">
        <v>73</v>
      </c>
      <c r="D2206" s="69">
        <v>115</v>
      </c>
      <c r="E2206" s="68" t="s">
        <v>279</v>
      </c>
      <c r="F2206" s="21" t="s">
        <v>615</v>
      </c>
      <c r="G2206" s="15" t="s">
        <v>154</v>
      </c>
      <c r="H2206" s="15" t="s">
        <v>904</v>
      </c>
      <c r="I2206" s="69">
        <v>150</v>
      </c>
      <c r="J2206" s="15" t="s">
        <v>2672</v>
      </c>
      <c r="K2206" s="15" t="s">
        <v>903</v>
      </c>
      <c r="L2206" s="15" t="s">
        <v>2673</v>
      </c>
      <c r="M2206" s="15" t="s">
        <v>2672</v>
      </c>
      <c r="N2206" s="15" t="s">
        <v>2673</v>
      </c>
      <c r="O2206" s="15"/>
    </row>
    <row r="2207" spans="1:15" ht="18" customHeight="1" x14ac:dyDescent="0.3">
      <c r="A2207" s="29">
        <v>2206</v>
      </c>
      <c r="B2207" s="15" t="s">
        <v>52</v>
      </c>
      <c r="C2207" s="15" t="s">
        <v>73</v>
      </c>
      <c r="D2207" s="69">
        <v>115</v>
      </c>
      <c r="E2207" s="68" t="s">
        <v>279</v>
      </c>
      <c r="F2207" s="21" t="s">
        <v>615</v>
      </c>
      <c r="G2207" s="15" t="s">
        <v>154</v>
      </c>
      <c r="H2207" s="15" t="s">
        <v>905</v>
      </c>
      <c r="I2207" s="69">
        <v>138</v>
      </c>
      <c r="J2207" s="15" t="s">
        <v>2674</v>
      </c>
      <c r="K2207" s="15" t="s">
        <v>903</v>
      </c>
      <c r="L2207" s="15" t="s">
        <v>2673</v>
      </c>
      <c r="M2207" s="15" t="s">
        <v>2672</v>
      </c>
      <c r="N2207" s="15" t="s">
        <v>2673</v>
      </c>
      <c r="O2207" s="15"/>
    </row>
    <row r="2208" spans="1:15" ht="18" customHeight="1" x14ac:dyDescent="0.3">
      <c r="A2208" s="29">
        <v>2207</v>
      </c>
      <c r="B2208" s="15" t="s">
        <v>52</v>
      </c>
      <c r="C2208" s="15" t="s">
        <v>73</v>
      </c>
      <c r="D2208" s="69">
        <v>115</v>
      </c>
      <c r="E2208" s="68" t="s">
        <v>279</v>
      </c>
      <c r="F2208" s="21" t="s">
        <v>615</v>
      </c>
      <c r="G2208" s="15" t="s">
        <v>154</v>
      </c>
      <c r="H2208" s="15" t="s">
        <v>906</v>
      </c>
      <c r="I2208" s="69">
        <v>150</v>
      </c>
      <c r="J2208" s="15" t="s">
        <v>2672</v>
      </c>
      <c r="K2208" s="15" t="s">
        <v>903</v>
      </c>
      <c r="L2208" s="15" t="s">
        <v>2673</v>
      </c>
      <c r="M2208" s="15" t="s">
        <v>2672</v>
      </c>
      <c r="N2208" s="15" t="s">
        <v>2673</v>
      </c>
      <c r="O2208" s="15"/>
    </row>
    <row r="2209" spans="1:15" ht="18" customHeight="1" x14ac:dyDescent="0.3">
      <c r="A2209" s="29">
        <v>2208</v>
      </c>
      <c r="B2209" s="15" t="s">
        <v>52</v>
      </c>
      <c r="C2209" s="15" t="s">
        <v>73</v>
      </c>
      <c r="D2209" s="69">
        <v>115</v>
      </c>
      <c r="E2209" s="68" t="s">
        <v>279</v>
      </c>
      <c r="F2209" s="21" t="s">
        <v>615</v>
      </c>
      <c r="G2209" s="15" t="s">
        <v>154</v>
      </c>
      <c r="H2209" s="15" t="s">
        <v>907</v>
      </c>
      <c r="I2209" s="69">
        <v>137</v>
      </c>
      <c r="J2209" s="15" t="s">
        <v>2672</v>
      </c>
      <c r="K2209" s="15" t="s">
        <v>903</v>
      </c>
      <c r="L2209" s="15" t="s">
        <v>2673</v>
      </c>
      <c r="M2209" s="15" t="s">
        <v>2672</v>
      </c>
      <c r="N2209" s="15" t="s">
        <v>2673</v>
      </c>
      <c r="O2209" s="15"/>
    </row>
    <row r="2210" spans="1:15" ht="18" customHeight="1" x14ac:dyDescent="0.3">
      <c r="A2210" s="29">
        <v>2209</v>
      </c>
      <c r="B2210" s="15" t="s">
        <v>1882</v>
      </c>
      <c r="C2210" s="15" t="s">
        <v>2072</v>
      </c>
      <c r="D2210" s="69">
        <v>115</v>
      </c>
      <c r="E2210" s="68" t="s">
        <v>3362</v>
      </c>
      <c r="F2210" s="327" t="s">
        <v>2075</v>
      </c>
      <c r="G2210" s="15" t="s">
        <v>1538</v>
      </c>
      <c r="H2210" s="15" t="s">
        <v>2685</v>
      </c>
      <c r="I2210" s="69">
        <v>130</v>
      </c>
      <c r="J2210" s="15" t="s">
        <v>2672</v>
      </c>
      <c r="K2210" s="15" t="s">
        <v>903</v>
      </c>
      <c r="L2210" s="15" t="s">
        <v>2673</v>
      </c>
      <c r="M2210" s="15" t="s">
        <v>2672</v>
      </c>
      <c r="N2210" s="15" t="s">
        <v>2673</v>
      </c>
      <c r="O2210" s="15"/>
    </row>
    <row r="2211" spans="1:15" ht="18" customHeight="1" x14ac:dyDescent="0.3">
      <c r="A2211" s="29">
        <v>2210</v>
      </c>
      <c r="B2211" s="15" t="s">
        <v>1882</v>
      </c>
      <c r="C2211" s="15" t="s">
        <v>2072</v>
      </c>
      <c r="D2211" s="69">
        <v>115</v>
      </c>
      <c r="E2211" s="68" t="s">
        <v>3362</v>
      </c>
      <c r="F2211" s="327" t="s">
        <v>2075</v>
      </c>
      <c r="G2211" s="15" t="s">
        <v>1538</v>
      </c>
      <c r="H2211" s="15" t="s">
        <v>2678</v>
      </c>
      <c r="I2211" s="69">
        <v>119</v>
      </c>
      <c r="J2211" s="15" t="s">
        <v>2672</v>
      </c>
      <c r="K2211" s="15" t="s">
        <v>903</v>
      </c>
      <c r="L2211" s="15" t="s">
        <v>2673</v>
      </c>
      <c r="M2211" s="15" t="s">
        <v>2672</v>
      </c>
      <c r="N2211" s="15" t="s">
        <v>2673</v>
      </c>
      <c r="O2211" s="15"/>
    </row>
    <row r="2212" spans="1:15" ht="18" customHeight="1" x14ac:dyDescent="0.3">
      <c r="A2212" s="29">
        <v>2211</v>
      </c>
      <c r="B2212" s="15" t="s">
        <v>1882</v>
      </c>
      <c r="C2212" s="15" t="s">
        <v>2072</v>
      </c>
      <c r="D2212" s="69">
        <v>115</v>
      </c>
      <c r="E2212" s="68" t="s">
        <v>3362</v>
      </c>
      <c r="F2212" s="327" t="s">
        <v>2075</v>
      </c>
      <c r="G2212" s="15" t="s">
        <v>1538</v>
      </c>
      <c r="H2212" s="15" t="s">
        <v>2679</v>
      </c>
      <c r="I2212" s="69">
        <v>130</v>
      </c>
      <c r="J2212" s="15" t="s">
        <v>2672</v>
      </c>
      <c r="K2212" s="15" t="s">
        <v>903</v>
      </c>
      <c r="L2212" s="15" t="s">
        <v>2673</v>
      </c>
      <c r="M2212" s="15" t="s">
        <v>2672</v>
      </c>
      <c r="N2212" s="15" t="s">
        <v>2673</v>
      </c>
      <c r="O2212" s="15"/>
    </row>
    <row r="2213" spans="1:15" ht="18" customHeight="1" x14ac:dyDescent="0.3">
      <c r="A2213" s="29">
        <v>2212</v>
      </c>
      <c r="B2213" s="15" t="s">
        <v>1882</v>
      </c>
      <c r="C2213" s="15" t="s">
        <v>2072</v>
      </c>
      <c r="D2213" s="69">
        <v>115</v>
      </c>
      <c r="E2213" s="68" t="s">
        <v>3362</v>
      </c>
      <c r="F2213" s="327" t="s">
        <v>2075</v>
      </c>
      <c r="G2213" s="15" t="s">
        <v>1538</v>
      </c>
      <c r="H2213" s="15" t="s">
        <v>2680</v>
      </c>
      <c r="I2213" s="69">
        <v>154</v>
      </c>
      <c r="J2213" s="15" t="s">
        <v>2672</v>
      </c>
      <c r="K2213" s="15" t="s">
        <v>903</v>
      </c>
      <c r="L2213" s="15" t="s">
        <v>2673</v>
      </c>
      <c r="M2213" s="15" t="s">
        <v>2672</v>
      </c>
      <c r="N2213" s="15" t="s">
        <v>2673</v>
      </c>
      <c r="O2213" s="15"/>
    </row>
    <row r="2214" spans="1:15" ht="18" customHeight="1" x14ac:dyDescent="0.3">
      <c r="A2214" s="29">
        <v>2213</v>
      </c>
      <c r="B2214" s="15" t="s">
        <v>1882</v>
      </c>
      <c r="C2214" s="15" t="s">
        <v>2072</v>
      </c>
      <c r="D2214" s="69">
        <v>115</v>
      </c>
      <c r="E2214" s="68" t="s">
        <v>3362</v>
      </c>
      <c r="F2214" s="327" t="s">
        <v>2075</v>
      </c>
      <c r="G2214" s="15" t="s">
        <v>1538</v>
      </c>
      <c r="H2214" s="15" t="s">
        <v>2690</v>
      </c>
      <c r="I2214" s="69">
        <v>141</v>
      </c>
      <c r="J2214" s="15" t="s">
        <v>2672</v>
      </c>
      <c r="K2214" s="15" t="s">
        <v>903</v>
      </c>
      <c r="L2214" s="15" t="s">
        <v>2673</v>
      </c>
      <c r="M2214" s="15" t="s">
        <v>2672</v>
      </c>
      <c r="N2214" s="15" t="s">
        <v>2673</v>
      </c>
      <c r="O2214" s="15"/>
    </row>
    <row r="2215" spans="1:15" ht="18" customHeight="1" x14ac:dyDescent="0.3">
      <c r="A2215" s="29">
        <v>2214</v>
      </c>
      <c r="B2215" s="15" t="s">
        <v>1882</v>
      </c>
      <c r="C2215" s="15" t="s">
        <v>2072</v>
      </c>
      <c r="D2215" s="69">
        <v>115</v>
      </c>
      <c r="E2215" s="68" t="s">
        <v>3362</v>
      </c>
      <c r="F2215" s="327" t="s">
        <v>2075</v>
      </c>
      <c r="G2215" s="15" t="s">
        <v>1538</v>
      </c>
      <c r="H2215" s="15" t="s">
        <v>2682</v>
      </c>
      <c r="I2215" s="69">
        <v>132</v>
      </c>
      <c r="J2215" s="15" t="s">
        <v>2672</v>
      </c>
      <c r="K2215" s="15" t="s">
        <v>903</v>
      </c>
      <c r="L2215" s="15" t="s">
        <v>2673</v>
      </c>
      <c r="M2215" s="15" t="s">
        <v>2672</v>
      </c>
      <c r="N2215" s="15" t="s">
        <v>2673</v>
      </c>
      <c r="O2215" s="15"/>
    </row>
    <row r="2216" spans="1:15" ht="18" customHeight="1" x14ac:dyDescent="0.3">
      <c r="A2216" s="29">
        <v>2215</v>
      </c>
      <c r="B2216" s="15" t="s">
        <v>1882</v>
      </c>
      <c r="C2216" s="15" t="s">
        <v>2076</v>
      </c>
      <c r="D2216" s="69">
        <v>116</v>
      </c>
      <c r="E2216" s="68" t="s">
        <v>3363</v>
      </c>
      <c r="F2216" s="24" t="s">
        <v>2947</v>
      </c>
      <c r="G2216" s="15" t="s">
        <v>1538</v>
      </c>
      <c r="H2216" s="15" t="s">
        <v>2685</v>
      </c>
      <c r="I2216" s="69">
        <v>98</v>
      </c>
      <c r="J2216" s="15" t="s">
        <v>2674</v>
      </c>
      <c r="K2216" s="15" t="s">
        <v>2672</v>
      </c>
      <c r="L2216" s="15" t="s">
        <v>2673</v>
      </c>
      <c r="M2216" s="15" t="s">
        <v>2672</v>
      </c>
      <c r="N2216" s="15" t="s">
        <v>2673</v>
      </c>
      <c r="O2216" s="15"/>
    </row>
    <row r="2217" spans="1:15" ht="18" customHeight="1" x14ac:dyDescent="0.3">
      <c r="A2217" s="29">
        <v>2216</v>
      </c>
      <c r="B2217" s="15" t="s">
        <v>1882</v>
      </c>
      <c r="C2217" s="15" t="s">
        <v>2076</v>
      </c>
      <c r="D2217" s="69">
        <v>116</v>
      </c>
      <c r="E2217" s="68" t="s">
        <v>3363</v>
      </c>
      <c r="F2217" s="24" t="s">
        <v>2947</v>
      </c>
      <c r="G2217" s="15" t="s">
        <v>1538</v>
      </c>
      <c r="H2217" s="15" t="s">
        <v>2678</v>
      </c>
      <c r="I2217" s="69">
        <v>98</v>
      </c>
      <c r="J2217" s="15" t="s">
        <v>2674</v>
      </c>
      <c r="K2217" s="15" t="s">
        <v>2672</v>
      </c>
      <c r="L2217" s="15" t="s">
        <v>2673</v>
      </c>
      <c r="M2217" s="15" t="s">
        <v>2672</v>
      </c>
      <c r="N2217" s="15" t="s">
        <v>2673</v>
      </c>
      <c r="O2217" s="15"/>
    </row>
    <row r="2218" spans="1:15" ht="18" customHeight="1" x14ac:dyDescent="0.3">
      <c r="A2218" s="29">
        <v>2217</v>
      </c>
      <c r="B2218" s="15" t="s">
        <v>1882</v>
      </c>
      <c r="C2218" s="15" t="s">
        <v>2076</v>
      </c>
      <c r="D2218" s="69">
        <v>116</v>
      </c>
      <c r="E2218" s="68" t="s">
        <v>3363</v>
      </c>
      <c r="F2218" s="24" t="s">
        <v>2947</v>
      </c>
      <c r="G2218" s="15" t="s">
        <v>1538</v>
      </c>
      <c r="H2218" s="15" t="s">
        <v>2679</v>
      </c>
      <c r="I2218" s="69">
        <v>111</v>
      </c>
      <c r="J2218" s="15" t="s">
        <v>2672</v>
      </c>
      <c r="K2218" s="15" t="s">
        <v>2672</v>
      </c>
      <c r="L2218" s="15" t="s">
        <v>2673</v>
      </c>
      <c r="M2218" s="15" t="s">
        <v>2672</v>
      </c>
      <c r="N2218" s="15" t="s">
        <v>2673</v>
      </c>
      <c r="O2218" s="15"/>
    </row>
    <row r="2219" spans="1:15" ht="18" customHeight="1" x14ac:dyDescent="0.3">
      <c r="A2219" s="29">
        <v>2218</v>
      </c>
      <c r="B2219" s="15" t="s">
        <v>1882</v>
      </c>
      <c r="C2219" s="15" t="s">
        <v>2076</v>
      </c>
      <c r="D2219" s="69">
        <v>116</v>
      </c>
      <c r="E2219" s="68" t="s">
        <v>3363</v>
      </c>
      <c r="F2219" s="24" t="s">
        <v>2947</v>
      </c>
      <c r="G2219" s="15" t="s">
        <v>1538</v>
      </c>
      <c r="H2219" s="15" t="s">
        <v>2680</v>
      </c>
      <c r="I2219" s="69">
        <v>111</v>
      </c>
      <c r="J2219" s="15" t="s">
        <v>2672</v>
      </c>
      <c r="K2219" s="15" t="s">
        <v>2672</v>
      </c>
      <c r="L2219" s="15" t="s">
        <v>2673</v>
      </c>
      <c r="M2219" s="15" t="s">
        <v>2672</v>
      </c>
      <c r="N2219" s="15" t="s">
        <v>2673</v>
      </c>
      <c r="O2219" s="15"/>
    </row>
    <row r="2220" spans="1:15" ht="18" customHeight="1" x14ac:dyDescent="0.3">
      <c r="A2220" s="29">
        <v>2219</v>
      </c>
      <c r="B2220" s="15" t="s">
        <v>1882</v>
      </c>
      <c r="C2220" s="15" t="s">
        <v>2076</v>
      </c>
      <c r="D2220" s="69">
        <v>116</v>
      </c>
      <c r="E2220" s="68" t="s">
        <v>3363</v>
      </c>
      <c r="F2220" s="24" t="s">
        <v>2947</v>
      </c>
      <c r="G2220" s="15" t="s">
        <v>1538</v>
      </c>
      <c r="H2220" s="15" t="s">
        <v>2690</v>
      </c>
      <c r="I2220" s="69">
        <v>111</v>
      </c>
      <c r="J2220" s="15" t="s">
        <v>2672</v>
      </c>
      <c r="K2220" s="15" t="s">
        <v>2672</v>
      </c>
      <c r="L2220" s="15" t="s">
        <v>2673</v>
      </c>
      <c r="M2220" s="15" t="s">
        <v>2672</v>
      </c>
      <c r="N2220" s="15" t="s">
        <v>2673</v>
      </c>
      <c r="O2220" s="15"/>
    </row>
    <row r="2221" spans="1:15" ht="18" customHeight="1" x14ac:dyDescent="0.3">
      <c r="A2221" s="29">
        <v>2220</v>
      </c>
      <c r="B2221" s="15" t="s">
        <v>1882</v>
      </c>
      <c r="C2221" s="15" t="s">
        <v>2076</v>
      </c>
      <c r="D2221" s="69">
        <v>116</v>
      </c>
      <c r="E2221" s="68" t="s">
        <v>3363</v>
      </c>
      <c r="F2221" s="24" t="s">
        <v>2947</v>
      </c>
      <c r="G2221" s="15" t="s">
        <v>1538</v>
      </c>
      <c r="H2221" s="15" t="s">
        <v>2682</v>
      </c>
      <c r="I2221" s="69">
        <v>111</v>
      </c>
      <c r="J2221" s="15" t="s">
        <v>2674</v>
      </c>
      <c r="K2221" s="15" t="s">
        <v>2672</v>
      </c>
      <c r="L2221" s="15" t="s">
        <v>2673</v>
      </c>
      <c r="M2221" s="15" t="s">
        <v>2672</v>
      </c>
      <c r="N2221" s="15" t="s">
        <v>2673</v>
      </c>
      <c r="O2221" s="15"/>
    </row>
    <row r="2222" spans="1:15" ht="18" customHeight="1" x14ac:dyDescent="0.3">
      <c r="A2222" s="29">
        <v>2221</v>
      </c>
      <c r="B2222" s="15" t="s">
        <v>52</v>
      </c>
      <c r="C2222" s="15" t="s">
        <v>74</v>
      </c>
      <c r="D2222" s="69">
        <v>116</v>
      </c>
      <c r="E2222" s="68" t="s">
        <v>3364</v>
      </c>
      <c r="F2222" s="24" t="s">
        <v>2948</v>
      </c>
      <c r="G2222" s="15" t="s">
        <v>154</v>
      </c>
      <c r="H2222" s="15" t="s">
        <v>901</v>
      </c>
      <c r="I2222" s="69">
        <v>182</v>
      </c>
      <c r="J2222" s="15" t="s">
        <v>2672</v>
      </c>
      <c r="K2222" s="15" t="s">
        <v>902</v>
      </c>
      <c r="L2222" s="15" t="s">
        <v>1069</v>
      </c>
      <c r="M2222" s="15" t="s">
        <v>2672</v>
      </c>
      <c r="N2222" s="15" t="s">
        <v>2673</v>
      </c>
      <c r="O2222" s="15"/>
    </row>
    <row r="2223" spans="1:15" ht="18" customHeight="1" x14ac:dyDescent="0.3">
      <c r="A2223" s="29">
        <v>2222</v>
      </c>
      <c r="B2223" s="15" t="s">
        <v>52</v>
      </c>
      <c r="C2223" s="15" t="s">
        <v>74</v>
      </c>
      <c r="D2223" s="69">
        <v>116</v>
      </c>
      <c r="E2223" s="68" t="s">
        <v>3364</v>
      </c>
      <c r="F2223" s="24" t="s">
        <v>2948</v>
      </c>
      <c r="G2223" s="15" t="s">
        <v>154</v>
      </c>
      <c r="H2223" s="15" t="s">
        <v>904</v>
      </c>
      <c r="I2223" s="69">
        <v>164</v>
      </c>
      <c r="J2223" s="15" t="s">
        <v>2672</v>
      </c>
      <c r="K2223" s="15" t="s">
        <v>903</v>
      </c>
      <c r="L2223" s="15" t="s">
        <v>2673</v>
      </c>
      <c r="M2223" s="15" t="s">
        <v>2672</v>
      </c>
      <c r="N2223" s="15" t="s">
        <v>2673</v>
      </c>
      <c r="O2223" s="15"/>
    </row>
    <row r="2224" spans="1:15" ht="18" customHeight="1" x14ac:dyDescent="0.3">
      <c r="A2224" s="29">
        <v>2223</v>
      </c>
      <c r="B2224" s="15" t="s">
        <v>52</v>
      </c>
      <c r="C2224" s="15" t="s">
        <v>74</v>
      </c>
      <c r="D2224" s="69">
        <v>116</v>
      </c>
      <c r="E2224" s="68" t="s">
        <v>3364</v>
      </c>
      <c r="F2224" s="24" t="s">
        <v>2948</v>
      </c>
      <c r="G2224" s="15" t="s">
        <v>154</v>
      </c>
      <c r="H2224" s="15" t="s">
        <v>2679</v>
      </c>
      <c r="I2224" s="69">
        <v>78</v>
      </c>
      <c r="J2224" s="15" t="s">
        <v>2672</v>
      </c>
      <c r="K2224" s="15" t="s">
        <v>2672</v>
      </c>
      <c r="L2224" s="15" t="s">
        <v>2673</v>
      </c>
      <c r="M2224" s="15" t="s">
        <v>2672</v>
      </c>
      <c r="N2224" s="15" t="s">
        <v>2673</v>
      </c>
      <c r="O2224" s="15"/>
    </row>
    <row r="2225" spans="1:15" ht="18" customHeight="1" x14ac:dyDescent="0.3">
      <c r="A2225" s="29">
        <v>2224</v>
      </c>
      <c r="B2225" s="15" t="s">
        <v>52</v>
      </c>
      <c r="C2225" s="15" t="s">
        <v>74</v>
      </c>
      <c r="D2225" s="69">
        <v>116</v>
      </c>
      <c r="E2225" s="68" t="s">
        <v>3364</v>
      </c>
      <c r="F2225" s="24" t="s">
        <v>2948</v>
      </c>
      <c r="G2225" s="15" t="s">
        <v>154</v>
      </c>
      <c r="H2225" s="15" t="s">
        <v>906</v>
      </c>
      <c r="I2225" s="69">
        <v>184</v>
      </c>
      <c r="J2225" s="15" t="s">
        <v>2674</v>
      </c>
      <c r="K2225" s="15" t="s">
        <v>903</v>
      </c>
      <c r="L2225" s="15" t="s">
        <v>2673</v>
      </c>
      <c r="M2225" s="15" t="s">
        <v>2672</v>
      </c>
      <c r="N2225" s="15" t="s">
        <v>2673</v>
      </c>
      <c r="O2225" s="15"/>
    </row>
    <row r="2226" spans="1:15" ht="18" customHeight="1" x14ac:dyDescent="0.3">
      <c r="A2226" s="29">
        <v>2225</v>
      </c>
      <c r="B2226" s="15" t="s">
        <v>52</v>
      </c>
      <c r="C2226" s="15" t="s">
        <v>74</v>
      </c>
      <c r="D2226" s="69">
        <v>116</v>
      </c>
      <c r="E2226" s="68" t="s">
        <v>3364</v>
      </c>
      <c r="F2226" s="24" t="s">
        <v>2948</v>
      </c>
      <c r="G2226" s="15" t="s">
        <v>154</v>
      </c>
      <c r="H2226" s="15" t="s">
        <v>907</v>
      </c>
      <c r="I2226" s="69">
        <v>154</v>
      </c>
      <c r="J2226" s="15" t="s">
        <v>2672</v>
      </c>
      <c r="K2226" s="15" t="s">
        <v>903</v>
      </c>
      <c r="L2226" s="15" t="s">
        <v>2673</v>
      </c>
      <c r="M2226" s="15" t="s">
        <v>2672</v>
      </c>
      <c r="N2226" s="15" t="s">
        <v>2673</v>
      </c>
      <c r="O2226" s="15"/>
    </row>
    <row r="2227" spans="1:15" ht="18" customHeight="1" x14ac:dyDescent="0.3">
      <c r="A2227" s="29">
        <v>2226</v>
      </c>
      <c r="B2227" s="15" t="s">
        <v>52</v>
      </c>
      <c r="C2227" s="15" t="s">
        <v>74</v>
      </c>
      <c r="D2227" s="69">
        <v>116</v>
      </c>
      <c r="E2227" s="68" t="s">
        <v>3364</v>
      </c>
      <c r="F2227" s="24" t="s">
        <v>2948</v>
      </c>
      <c r="G2227" s="15" t="s">
        <v>154</v>
      </c>
      <c r="H2227" s="15" t="s">
        <v>908</v>
      </c>
      <c r="I2227" s="69">
        <v>180</v>
      </c>
      <c r="J2227" s="15" t="s">
        <v>2672</v>
      </c>
      <c r="K2227" s="15" t="s">
        <v>903</v>
      </c>
      <c r="L2227" s="15" t="s">
        <v>2673</v>
      </c>
      <c r="M2227" s="15" t="s">
        <v>2672</v>
      </c>
      <c r="N2227" s="15" t="s">
        <v>2673</v>
      </c>
      <c r="O2227" s="15"/>
    </row>
    <row r="2228" spans="1:15" ht="18" customHeight="1" x14ac:dyDescent="0.3">
      <c r="A2228" s="29">
        <v>2227</v>
      </c>
      <c r="B2228" s="15" t="s">
        <v>52</v>
      </c>
      <c r="C2228" s="15" t="s">
        <v>74</v>
      </c>
      <c r="D2228" s="69">
        <v>116</v>
      </c>
      <c r="E2228" s="68" t="s">
        <v>3364</v>
      </c>
      <c r="F2228" s="24" t="s">
        <v>2948</v>
      </c>
      <c r="G2228" s="15" t="s">
        <v>154</v>
      </c>
      <c r="H2228" s="15" t="s">
        <v>983</v>
      </c>
      <c r="I2228" s="69">
        <v>84</v>
      </c>
      <c r="J2228" s="15" t="s">
        <v>2674</v>
      </c>
      <c r="K2228" s="15" t="s">
        <v>902</v>
      </c>
      <c r="L2228" s="15" t="s">
        <v>1797</v>
      </c>
      <c r="M2228" s="15" t="s">
        <v>2672</v>
      </c>
      <c r="N2228" s="15" t="s">
        <v>2673</v>
      </c>
      <c r="O2228" s="15"/>
    </row>
    <row r="2229" spans="1:15" ht="18" customHeight="1" x14ac:dyDescent="0.3">
      <c r="A2229" s="29">
        <v>2228</v>
      </c>
      <c r="B2229" s="15" t="s">
        <v>1882</v>
      </c>
      <c r="C2229" s="15" t="s">
        <v>2076</v>
      </c>
      <c r="D2229" s="69">
        <v>116</v>
      </c>
      <c r="E2229" s="68" t="s">
        <v>2080</v>
      </c>
      <c r="F2229" s="24" t="s">
        <v>2081</v>
      </c>
      <c r="G2229" s="13" t="s">
        <v>2673</v>
      </c>
      <c r="H2229" s="18" t="s">
        <v>2685</v>
      </c>
      <c r="I2229" s="127">
        <v>40</v>
      </c>
      <c r="J2229" s="15" t="s">
        <v>2672</v>
      </c>
      <c r="K2229" s="15" t="s">
        <v>2672</v>
      </c>
      <c r="L2229" s="15" t="s">
        <v>2673</v>
      </c>
      <c r="M2229" s="15" t="s">
        <v>2672</v>
      </c>
      <c r="N2229" s="15" t="s">
        <v>2673</v>
      </c>
      <c r="O2229" s="15"/>
    </row>
    <row r="2230" spans="1:15" ht="18" customHeight="1" x14ac:dyDescent="0.3">
      <c r="A2230" s="29">
        <v>2229</v>
      </c>
      <c r="B2230" s="15" t="s">
        <v>52</v>
      </c>
      <c r="C2230" s="15" t="s">
        <v>74</v>
      </c>
      <c r="D2230" s="69">
        <v>116</v>
      </c>
      <c r="E2230" s="68" t="s">
        <v>2084</v>
      </c>
      <c r="F2230" s="51" t="s">
        <v>2085</v>
      </c>
      <c r="G2230" s="29" t="s">
        <v>1538</v>
      </c>
      <c r="H2230" s="15" t="s">
        <v>2678</v>
      </c>
      <c r="I2230" s="69">
        <v>81</v>
      </c>
      <c r="J2230" s="13" t="s">
        <v>2672</v>
      </c>
      <c r="K2230" s="15" t="s">
        <v>2674</v>
      </c>
      <c r="L2230" s="15" t="s">
        <v>2525</v>
      </c>
      <c r="M2230" s="15" t="s">
        <v>2672</v>
      </c>
      <c r="N2230" s="15" t="s">
        <v>2673</v>
      </c>
      <c r="O2230" s="15"/>
    </row>
    <row r="2231" spans="1:15" ht="18" customHeight="1" x14ac:dyDescent="0.3">
      <c r="A2231" s="29">
        <v>2230</v>
      </c>
      <c r="B2231" s="15" t="s">
        <v>52</v>
      </c>
      <c r="C2231" s="15" t="s">
        <v>74</v>
      </c>
      <c r="D2231" s="69">
        <v>116</v>
      </c>
      <c r="E2231" s="68" t="s">
        <v>2084</v>
      </c>
      <c r="F2231" s="51" t="s">
        <v>2085</v>
      </c>
      <c r="G2231" s="29" t="s">
        <v>1538</v>
      </c>
      <c r="H2231" s="15" t="s">
        <v>2679</v>
      </c>
      <c r="I2231" s="69">
        <v>197</v>
      </c>
      <c r="J2231" s="13" t="s">
        <v>902</v>
      </c>
      <c r="K2231" s="15" t="s">
        <v>903</v>
      </c>
      <c r="L2231" s="15" t="s">
        <v>2673</v>
      </c>
      <c r="M2231" s="15" t="s">
        <v>2672</v>
      </c>
      <c r="N2231" s="15" t="s">
        <v>2673</v>
      </c>
      <c r="O2231" s="15"/>
    </row>
    <row r="2232" spans="1:15" ht="18" customHeight="1" x14ac:dyDescent="0.3">
      <c r="A2232" s="29">
        <v>2231</v>
      </c>
      <c r="B2232" s="15" t="s">
        <v>52</v>
      </c>
      <c r="C2232" s="15" t="s">
        <v>74</v>
      </c>
      <c r="D2232" s="69">
        <v>116</v>
      </c>
      <c r="E2232" s="68" t="s">
        <v>2084</v>
      </c>
      <c r="F2232" s="51" t="s">
        <v>2085</v>
      </c>
      <c r="G2232" s="29" t="s">
        <v>1538</v>
      </c>
      <c r="H2232" s="15" t="s">
        <v>2680</v>
      </c>
      <c r="I2232" s="69">
        <v>341</v>
      </c>
      <c r="J2232" s="13" t="s">
        <v>902</v>
      </c>
      <c r="K2232" s="15" t="s">
        <v>2674</v>
      </c>
      <c r="L2232" s="15" t="s">
        <v>2747</v>
      </c>
      <c r="M2232" s="15" t="s">
        <v>2672</v>
      </c>
      <c r="N2232" s="15" t="s">
        <v>2673</v>
      </c>
      <c r="O2232" s="15" t="s">
        <v>2949</v>
      </c>
    </row>
    <row r="2233" spans="1:15" ht="18" customHeight="1" x14ac:dyDescent="0.3">
      <c r="A2233" s="29">
        <v>2232</v>
      </c>
      <c r="B2233" s="15" t="s">
        <v>52</v>
      </c>
      <c r="C2233" s="15" t="s">
        <v>74</v>
      </c>
      <c r="D2233" s="69">
        <v>116</v>
      </c>
      <c r="E2233" s="68" t="s">
        <v>2084</v>
      </c>
      <c r="F2233" s="51" t="s">
        <v>2085</v>
      </c>
      <c r="G2233" s="29" t="s">
        <v>1538</v>
      </c>
      <c r="H2233" s="15" t="s">
        <v>2690</v>
      </c>
      <c r="I2233" s="69">
        <v>183</v>
      </c>
      <c r="J2233" s="13" t="s">
        <v>2672</v>
      </c>
      <c r="K2233" s="15" t="s">
        <v>903</v>
      </c>
      <c r="L2233" s="15" t="s">
        <v>2673</v>
      </c>
      <c r="M2233" s="15" t="s">
        <v>2672</v>
      </c>
      <c r="N2233" s="15" t="s">
        <v>2673</v>
      </c>
      <c r="O2233" s="15"/>
    </row>
    <row r="2234" spans="1:15" ht="18" customHeight="1" x14ac:dyDescent="0.3">
      <c r="A2234" s="29">
        <v>2233</v>
      </c>
      <c r="B2234" s="15" t="s">
        <v>52</v>
      </c>
      <c r="C2234" s="15" t="s">
        <v>74</v>
      </c>
      <c r="D2234" s="69">
        <v>116</v>
      </c>
      <c r="E2234" s="68" t="s">
        <v>2084</v>
      </c>
      <c r="F2234" s="51" t="s">
        <v>2085</v>
      </c>
      <c r="G2234" s="29" t="s">
        <v>1538</v>
      </c>
      <c r="H2234" s="15" t="s">
        <v>2682</v>
      </c>
      <c r="I2234" s="69">
        <v>132</v>
      </c>
      <c r="J2234" s="13" t="s">
        <v>2672</v>
      </c>
      <c r="K2234" s="15" t="s">
        <v>903</v>
      </c>
      <c r="L2234" s="15" t="s">
        <v>2673</v>
      </c>
      <c r="M2234" s="15" t="s">
        <v>2672</v>
      </c>
      <c r="N2234" s="15" t="s">
        <v>2673</v>
      </c>
      <c r="O2234" s="15"/>
    </row>
    <row r="2235" spans="1:15" ht="18" customHeight="1" x14ac:dyDescent="0.3">
      <c r="A2235" s="29">
        <v>2234</v>
      </c>
      <c r="B2235" s="15" t="s">
        <v>52</v>
      </c>
      <c r="C2235" s="15" t="s">
        <v>74</v>
      </c>
      <c r="D2235" s="69">
        <v>116</v>
      </c>
      <c r="E2235" s="68" t="s">
        <v>2084</v>
      </c>
      <c r="F2235" s="51" t="s">
        <v>2085</v>
      </c>
      <c r="G2235" s="29" t="s">
        <v>1538</v>
      </c>
      <c r="H2235" s="15" t="s">
        <v>2732</v>
      </c>
      <c r="I2235" s="69">
        <v>183</v>
      </c>
      <c r="J2235" s="13" t="s">
        <v>2672</v>
      </c>
      <c r="K2235" s="15" t="s">
        <v>903</v>
      </c>
      <c r="L2235" s="15" t="s">
        <v>2673</v>
      </c>
      <c r="M2235" s="15" t="s">
        <v>2672</v>
      </c>
      <c r="N2235" s="15" t="s">
        <v>2673</v>
      </c>
      <c r="O2235" s="15"/>
    </row>
    <row r="2236" spans="1:15" ht="18" customHeight="1" x14ac:dyDescent="0.3">
      <c r="A2236" s="29">
        <v>2235</v>
      </c>
      <c r="B2236" s="15" t="s">
        <v>52</v>
      </c>
      <c r="C2236" s="15" t="s">
        <v>74</v>
      </c>
      <c r="D2236" s="69">
        <v>116</v>
      </c>
      <c r="E2236" s="68" t="s">
        <v>2084</v>
      </c>
      <c r="F2236" s="51" t="s">
        <v>2085</v>
      </c>
      <c r="G2236" s="29" t="s">
        <v>1538</v>
      </c>
      <c r="H2236" s="15" t="s">
        <v>2691</v>
      </c>
      <c r="I2236" s="69">
        <v>40</v>
      </c>
      <c r="J2236" s="13" t="s">
        <v>2672</v>
      </c>
      <c r="K2236" s="15" t="s">
        <v>2674</v>
      </c>
      <c r="L2236" s="15" t="s">
        <v>2692</v>
      </c>
      <c r="M2236" s="15" t="s">
        <v>2672</v>
      </c>
      <c r="N2236" s="15" t="s">
        <v>2673</v>
      </c>
      <c r="O2236" s="15"/>
    </row>
    <row r="2237" spans="1:15" ht="18" customHeight="1" x14ac:dyDescent="0.3">
      <c r="A2237" s="29">
        <v>2236</v>
      </c>
      <c r="B2237" s="15" t="s">
        <v>52</v>
      </c>
      <c r="C2237" s="15" t="s">
        <v>74</v>
      </c>
      <c r="D2237" s="69">
        <v>116</v>
      </c>
      <c r="E2237" s="68" t="s">
        <v>3365</v>
      </c>
      <c r="F2237" s="24" t="s">
        <v>703</v>
      </c>
      <c r="G2237" s="15" t="s">
        <v>154</v>
      </c>
      <c r="H2237" s="15" t="s">
        <v>901</v>
      </c>
      <c r="I2237" s="69">
        <v>130</v>
      </c>
      <c r="J2237" s="15" t="s">
        <v>2672</v>
      </c>
      <c r="K2237" s="15" t="s">
        <v>903</v>
      </c>
      <c r="L2237" s="15" t="s">
        <v>2673</v>
      </c>
      <c r="M2237" s="15" t="s">
        <v>2672</v>
      </c>
      <c r="N2237" s="15" t="s">
        <v>2673</v>
      </c>
      <c r="O2237" s="15"/>
    </row>
    <row r="2238" spans="1:15" ht="18" customHeight="1" x14ac:dyDescent="0.3">
      <c r="A2238" s="29">
        <v>2237</v>
      </c>
      <c r="B2238" s="15" t="s">
        <v>52</v>
      </c>
      <c r="C2238" s="15" t="s">
        <v>74</v>
      </c>
      <c r="D2238" s="69">
        <v>116</v>
      </c>
      <c r="E2238" s="68" t="s">
        <v>3365</v>
      </c>
      <c r="F2238" s="24" t="s">
        <v>703</v>
      </c>
      <c r="G2238" s="15" t="s">
        <v>154</v>
      </c>
      <c r="H2238" s="15" t="s">
        <v>904</v>
      </c>
      <c r="I2238" s="69">
        <v>130</v>
      </c>
      <c r="J2238" s="15" t="s">
        <v>2674</v>
      </c>
      <c r="K2238" s="15" t="s">
        <v>903</v>
      </c>
      <c r="L2238" s="15" t="s">
        <v>2673</v>
      </c>
      <c r="M2238" s="15" t="s">
        <v>2672</v>
      </c>
      <c r="N2238" s="15" t="s">
        <v>2673</v>
      </c>
      <c r="O2238" s="15"/>
    </row>
    <row r="2239" spans="1:15" ht="18" customHeight="1" x14ac:dyDescent="0.3">
      <c r="A2239" s="29">
        <v>2238</v>
      </c>
      <c r="B2239" s="15" t="s">
        <v>52</v>
      </c>
      <c r="C2239" s="15" t="s">
        <v>74</v>
      </c>
      <c r="D2239" s="69">
        <v>116</v>
      </c>
      <c r="E2239" s="68" t="s">
        <v>3365</v>
      </c>
      <c r="F2239" s="24" t="s">
        <v>703</v>
      </c>
      <c r="G2239" s="15" t="s">
        <v>154</v>
      </c>
      <c r="H2239" s="15" t="s">
        <v>905</v>
      </c>
      <c r="I2239" s="69">
        <v>158</v>
      </c>
      <c r="J2239" s="15" t="s">
        <v>2674</v>
      </c>
      <c r="K2239" s="15" t="s">
        <v>903</v>
      </c>
      <c r="L2239" s="15" t="s">
        <v>2673</v>
      </c>
      <c r="M2239" s="15" t="s">
        <v>2672</v>
      </c>
      <c r="N2239" s="15" t="s">
        <v>2673</v>
      </c>
      <c r="O2239" s="15"/>
    </row>
    <row r="2240" spans="1:15" ht="18" customHeight="1" x14ac:dyDescent="0.3">
      <c r="A2240" s="29">
        <v>2239</v>
      </c>
      <c r="B2240" s="15" t="s">
        <v>52</v>
      </c>
      <c r="C2240" s="15" t="s">
        <v>74</v>
      </c>
      <c r="D2240" s="69">
        <v>116</v>
      </c>
      <c r="E2240" s="68" t="s">
        <v>3365</v>
      </c>
      <c r="F2240" s="24" t="s">
        <v>703</v>
      </c>
      <c r="G2240" s="15" t="s">
        <v>154</v>
      </c>
      <c r="H2240" s="15" t="s">
        <v>906</v>
      </c>
      <c r="I2240" s="69">
        <v>222</v>
      </c>
      <c r="J2240" s="15" t="s">
        <v>2674</v>
      </c>
      <c r="K2240" s="15" t="s">
        <v>903</v>
      </c>
      <c r="L2240" s="15" t="s">
        <v>2673</v>
      </c>
      <c r="M2240" s="15" t="s">
        <v>2672</v>
      </c>
      <c r="N2240" s="15" t="s">
        <v>2673</v>
      </c>
      <c r="O2240" s="15"/>
    </row>
    <row r="2241" spans="1:15" ht="18" customHeight="1" x14ac:dyDescent="0.3">
      <c r="A2241" s="29">
        <v>2240</v>
      </c>
      <c r="B2241" s="15" t="s">
        <v>52</v>
      </c>
      <c r="C2241" s="15" t="s">
        <v>74</v>
      </c>
      <c r="D2241" s="69">
        <v>116</v>
      </c>
      <c r="E2241" s="68" t="s">
        <v>3365</v>
      </c>
      <c r="F2241" s="24" t="s">
        <v>703</v>
      </c>
      <c r="G2241" s="15" t="s">
        <v>154</v>
      </c>
      <c r="H2241" s="15" t="s">
        <v>907</v>
      </c>
      <c r="I2241" s="69">
        <v>222</v>
      </c>
      <c r="J2241" s="15" t="s">
        <v>2672</v>
      </c>
      <c r="K2241" s="15" t="s">
        <v>903</v>
      </c>
      <c r="L2241" s="15" t="s">
        <v>2673</v>
      </c>
      <c r="M2241" s="15" t="s">
        <v>2672</v>
      </c>
      <c r="N2241" s="15" t="s">
        <v>2673</v>
      </c>
      <c r="O2241" s="15"/>
    </row>
    <row r="2242" spans="1:15" ht="18" customHeight="1" x14ac:dyDescent="0.3">
      <c r="A2242" s="29">
        <v>2241</v>
      </c>
      <c r="B2242" s="15" t="s">
        <v>52</v>
      </c>
      <c r="C2242" s="15" t="s">
        <v>74</v>
      </c>
      <c r="D2242" s="69">
        <v>116</v>
      </c>
      <c r="E2242" s="68" t="s">
        <v>3365</v>
      </c>
      <c r="F2242" s="24" t="s">
        <v>703</v>
      </c>
      <c r="G2242" s="15" t="s">
        <v>154</v>
      </c>
      <c r="H2242" s="15" t="s">
        <v>979</v>
      </c>
      <c r="I2242" s="69">
        <v>246</v>
      </c>
      <c r="J2242" s="15" t="s">
        <v>2674</v>
      </c>
      <c r="K2242" s="15" t="s">
        <v>2674</v>
      </c>
      <c r="L2242" s="15" t="s">
        <v>2715</v>
      </c>
      <c r="M2242" s="15" t="s">
        <v>2672</v>
      </c>
      <c r="N2242" s="15" t="s">
        <v>2673</v>
      </c>
      <c r="O2242" s="15" t="s">
        <v>2950</v>
      </c>
    </row>
    <row r="2243" spans="1:15" ht="18" customHeight="1" x14ac:dyDescent="0.3">
      <c r="A2243" s="29">
        <v>2242</v>
      </c>
      <c r="B2243" s="15" t="s">
        <v>52</v>
      </c>
      <c r="C2243" s="15" t="s">
        <v>74</v>
      </c>
      <c r="D2243" s="69">
        <v>116</v>
      </c>
      <c r="E2243" s="68" t="s">
        <v>3365</v>
      </c>
      <c r="F2243" s="24" t="s">
        <v>703</v>
      </c>
      <c r="G2243" s="15" t="s">
        <v>154</v>
      </c>
      <c r="H2243" s="15" t="s">
        <v>910</v>
      </c>
      <c r="I2243" s="69">
        <v>124</v>
      </c>
      <c r="J2243" s="15" t="s">
        <v>2672</v>
      </c>
      <c r="K2243" s="15" t="s">
        <v>903</v>
      </c>
      <c r="L2243" s="15" t="s">
        <v>2673</v>
      </c>
      <c r="M2243" s="15" t="s">
        <v>2672</v>
      </c>
      <c r="N2243" s="15" t="s">
        <v>2673</v>
      </c>
      <c r="O2243" s="15"/>
    </row>
    <row r="2244" spans="1:15" ht="18" customHeight="1" x14ac:dyDescent="0.3">
      <c r="A2244" s="29">
        <v>2243</v>
      </c>
      <c r="B2244" s="15" t="s">
        <v>52</v>
      </c>
      <c r="C2244" s="15" t="s">
        <v>74</v>
      </c>
      <c r="D2244" s="69">
        <v>116</v>
      </c>
      <c r="E2244" s="68" t="s">
        <v>3365</v>
      </c>
      <c r="F2244" s="24" t="s">
        <v>2951</v>
      </c>
      <c r="G2244" s="15" t="s">
        <v>154</v>
      </c>
      <c r="H2244" s="15" t="s">
        <v>908</v>
      </c>
      <c r="I2244" s="69">
        <v>174</v>
      </c>
      <c r="J2244" s="15" t="s">
        <v>2674</v>
      </c>
      <c r="K2244" s="15" t="s">
        <v>902</v>
      </c>
      <c r="L2244" s="15" t="s">
        <v>1069</v>
      </c>
      <c r="M2244" s="15" t="s">
        <v>2672</v>
      </c>
      <c r="N2244" s="15" t="s">
        <v>2673</v>
      </c>
      <c r="O2244" s="15"/>
    </row>
    <row r="2245" spans="1:15" ht="18" customHeight="1" x14ac:dyDescent="0.3">
      <c r="A2245" s="29">
        <v>2244</v>
      </c>
      <c r="B2245" s="15" t="s">
        <v>52</v>
      </c>
      <c r="C2245" s="15" t="s">
        <v>74</v>
      </c>
      <c r="D2245" s="69">
        <v>116</v>
      </c>
      <c r="E2245" s="68" t="s">
        <v>921</v>
      </c>
      <c r="F2245" s="21" t="s">
        <v>1102</v>
      </c>
      <c r="G2245" s="15" t="s">
        <v>164</v>
      </c>
      <c r="H2245" s="15" t="s">
        <v>3206</v>
      </c>
      <c r="I2245" s="69">
        <v>85</v>
      </c>
      <c r="J2245" s="15" t="s">
        <v>2672</v>
      </c>
      <c r="K2245" s="15" t="s">
        <v>2674</v>
      </c>
      <c r="L2245" s="15" t="s">
        <v>1703</v>
      </c>
      <c r="M2245" s="15" t="s">
        <v>2672</v>
      </c>
      <c r="N2245" s="15" t="s">
        <v>2673</v>
      </c>
      <c r="O2245" s="15"/>
    </row>
    <row r="2246" spans="1:15" ht="18" customHeight="1" x14ac:dyDescent="0.3">
      <c r="A2246" s="29">
        <v>2245</v>
      </c>
      <c r="B2246" s="15" t="s">
        <v>52</v>
      </c>
      <c r="C2246" s="15" t="s">
        <v>74</v>
      </c>
      <c r="D2246" s="69">
        <v>116</v>
      </c>
      <c r="E2246" s="68" t="s">
        <v>921</v>
      </c>
      <c r="F2246" s="21" t="s">
        <v>1102</v>
      </c>
      <c r="G2246" s="15" t="s">
        <v>164</v>
      </c>
      <c r="H2246" s="15" t="s">
        <v>2897</v>
      </c>
      <c r="I2246" s="69">
        <v>89</v>
      </c>
      <c r="J2246" s="15" t="s">
        <v>2674</v>
      </c>
      <c r="K2246" s="15" t="s">
        <v>2674</v>
      </c>
      <c r="L2246" s="15" t="s">
        <v>1703</v>
      </c>
      <c r="M2246" s="15" t="s">
        <v>2672</v>
      </c>
      <c r="N2246" s="15" t="s">
        <v>2673</v>
      </c>
      <c r="O2246" s="15"/>
    </row>
    <row r="2247" spans="1:15" ht="18" customHeight="1" x14ac:dyDescent="0.3">
      <c r="A2247" s="29">
        <v>2246</v>
      </c>
      <c r="B2247" s="15" t="s">
        <v>52</v>
      </c>
      <c r="C2247" s="15" t="s">
        <v>74</v>
      </c>
      <c r="D2247" s="69">
        <v>116</v>
      </c>
      <c r="E2247" s="68" t="s">
        <v>921</v>
      </c>
      <c r="F2247" s="21" t="s">
        <v>1102</v>
      </c>
      <c r="G2247" s="15" t="s">
        <v>164</v>
      </c>
      <c r="H2247" s="15" t="s">
        <v>2769</v>
      </c>
      <c r="I2247" s="69">
        <v>92</v>
      </c>
      <c r="J2247" s="15" t="s">
        <v>2672</v>
      </c>
      <c r="K2247" s="15" t="s">
        <v>2674</v>
      </c>
      <c r="L2247" s="15" t="s">
        <v>1703</v>
      </c>
      <c r="M2247" s="15" t="s">
        <v>2672</v>
      </c>
      <c r="N2247" s="15" t="s">
        <v>2673</v>
      </c>
      <c r="O2247" s="15"/>
    </row>
    <row r="2248" spans="1:15" ht="18" customHeight="1" x14ac:dyDescent="0.3">
      <c r="A2248" s="29">
        <v>2247</v>
      </c>
      <c r="B2248" s="15" t="s">
        <v>52</v>
      </c>
      <c r="C2248" s="15" t="s">
        <v>74</v>
      </c>
      <c r="D2248" s="69">
        <v>116</v>
      </c>
      <c r="E2248" s="68" t="s">
        <v>921</v>
      </c>
      <c r="F2248" s="21" t="s">
        <v>1102</v>
      </c>
      <c r="G2248" s="15" t="s">
        <v>164</v>
      </c>
      <c r="H2248" s="15" t="s">
        <v>2766</v>
      </c>
      <c r="I2248" s="69">
        <v>92</v>
      </c>
      <c r="J2248" s="15" t="s">
        <v>2672</v>
      </c>
      <c r="K2248" s="15" t="s">
        <v>2674</v>
      </c>
      <c r="L2248" s="15" t="s">
        <v>1703</v>
      </c>
      <c r="M2248" s="15" t="s">
        <v>2672</v>
      </c>
      <c r="N2248" s="15" t="s">
        <v>2673</v>
      </c>
      <c r="O2248" s="15"/>
    </row>
    <row r="2249" spans="1:15" ht="18" customHeight="1" x14ac:dyDescent="0.3">
      <c r="A2249" s="29">
        <v>2248</v>
      </c>
      <c r="B2249" s="15" t="s">
        <v>52</v>
      </c>
      <c r="C2249" s="15" t="s">
        <v>74</v>
      </c>
      <c r="D2249" s="69">
        <v>116</v>
      </c>
      <c r="E2249" s="68" t="s">
        <v>921</v>
      </c>
      <c r="F2249" s="21" t="s">
        <v>1102</v>
      </c>
      <c r="G2249" s="15" t="s">
        <v>164</v>
      </c>
      <c r="H2249" s="15" t="s">
        <v>2813</v>
      </c>
      <c r="I2249" s="69">
        <v>85</v>
      </c>
      <c r="J2249" s="15" t="s">
        <v>2672</v>
      </c>
      <c r="K2249" s="15" t="s">
        <v>2674</v>
      </c>
      <c r="L2249" s="15" t="s">
        <v>1703</v>
      </c>
      <c r="M2249" s="15" t="s">
        <v>2672</v>
      </c>
      <c r="N2249" s="15" t="s">
        <v>2673</v>
      </c>
      <c r="O2249" s="15"/>
    </row>
    <row r="2250" spans="1:15" ht="18" customHeight="1" x14ac:dyDescent="0.3">
      <c r="A2250" s="29">
        <v>2249</v>
      </c>
      <c r="B2250" s="15" t="s">
        <v>52</v>
      </c>
      <c r="C2250" s="15" t="s">
        <v>74</v>
      </c>
      <c r="D2250" s="69">
        <v>116</v>
      </c>
      <c r="E2250" s="68" t="s">
        <v>921</v>
      </c>
      <c r="F2250" s="21" t="s">
        <v>1102</v>
      </c>
      <c r="G2250" s="15" t="s">
        <v>164</v>
      </c>
      <c r="H2250" s="15" t="s">
        <v>2814</v>
      </c>
      <c r="I2250" s="69">
        <v>89</v>
      </c>
      <c r="J2250" s="15" t="s">
        <v>2672</v>
      </c>
      <c r="K2250" s="15" t="s">
        <v>2674</v>
      </c>
      <c r="L2250" s="15" t="s">
        <v>1703</v>
      </c>
      <c r="M2250" s="15" t="s">
        <v>2672</v>
      </c>
      <c r="N2250" s="15" t="s">
        <v>2673</v>
      </c>
      <c r="O2250" s="15"/>
    </row>
    <row r="2251" spans="1:15" ht="18" customHeight="1" x14ac:dyDescent="0.3">
      <c r="A2251" s="29">
        <v>2250</v>
      </c>
      <c r="B2251" s="15" t="s">
        <v>52</v>
      </c>
      <c r="C2251" s="15" t="s">
        <v>74</v>
      </c>
      <c r="D2251" s="69">
        <v>116</v>
      </c>
      <c r="E2251" s="68" t="s">
        <v>921</v>
      </c>
      <c r="F2251" s="21" t="s">
        <v>708</v>
      </c>
      <c r="G2251" s="15" t="s">
        <v>164</v>
      </c>
      <c r="H2251" s="15" t="s">
        <v>2767</v>
      </c>
      <c r="I2251" s="69">
        <v>92</v>
      </c>
      <c r="J2251" s="15" t="s">
        <v>2674</v>
      </c>
      <c r="K2251" s="15" t="s">
        <v>2674</v>
      </c>
      <c r="L2251" s="15" t="s">
        <v>1703</v>
      </c>
      <c r="M2251" s="15" t="s">
        <v>2672</v>
      </c>
      <c r="N2251" s="15" t="s">
        <v>2673</v>
      </c>
      <c r="O2251" s="15"/>
    </row>
    <row r="2252" spans="1:15" ht="18" customHeight="1" x14ac:dyDescent="0.3">
      <c r="A2252" s="29">
        <v>2251</v>
      </c>
      <c r="B2252" s="15" t="s">
        <v>52</v>
      </c>
      <c r="C2252" s="15" t="s">
        <v>74</v>
      </c>
      <c r="D2252" s="69">
        <v>116</v>
      </c>
      <c r="E2252" s="68" t="s">
        <v>921</v>
      </c>
      <c r="F2252" s="21" t="s">
        <v>708</v>
      </c>
      <c r="G2252" s="15" t="s">
        <v>164</v>
      </c>
      <c r="H2252" s="15" t="s">
        <v>2952</v>
      </c>
      <c r="I2252" s="69">
        <v>92</v>
      </c>
      <c r="J2252" s="15" t="s">
        <v>2672</v>
      </c>
      <c r="K2252" s="15" t="s">
        <v>2674</v>
      </c>
      <c r="L2252" s="15" t="s">
        <v>1703</v>
      </c>
      <c r="M2252" s="15" t="s">
        <v>2672</v>
      </c>
      <c r="N2252" s="15" t="s">
        <v>2673</v>
      </c>
      <c r="O2252" s="15"/>
    </row>
    <row r="2253" spans="1:15" ht="18" customHeight="1" x14ac:dyDescent="0.3">
      <c r="A2253" s="29">
        <v>2252</v>
      </c>
      <c r="B2253" s="13" t="s">
        <v>1882</v>
      </c>
      <c r="C2253" s="13" t="s">
        <v>2076</v>
      </c>
      <c r="D2253" s="13">
        <v>116</v>
      </c>
      <c r="E2253" s="24" t="s">
        <v>2091</v>
      </c>
      <c r="F2253" s="24" t="s">
        <v>2092</v>
      </c>
      <c r="G2253" s="13" t="s">
        <v>2673</v>
      </c>
      <c r="H2253" s="18" t="s">
        <v>2685</v>
      </c>
      <c r="I2253" s="127">
        <v>75</v>
      </c>
      <c r="J2253" s="15" t="s">
        <v>2672</v>
      </c>
      <c r="K2253" s="15" t="s">
        <v>2672</v>
      </c>
      <c r="L2253" s="15" t="s">
        <v>2673</v>
      </c>
      <c r="M2253" s="15" t="s">
        <v>2672</v>
      </c>
      <c r="N2253" s="15" t="s">
        <v>2673</v>
      </c>
      <c r="O2253" s="15"/>
    </row>
    <row r="2254" spans="1:15" ht="18" customHeight="1" x14ac:dyDescent="0.3">
      <c r="A2254" s="29">
        <v>2253</v>
      </c>
      <c r="B2254" s="13" t="s">
        <v>1882</v>
      </c>
      <c r="C2254" s="13" t="s">
        <v>2076</v>
      </c>
      <c r="D2254" s="13">
        <v>116</v>
      </c>
      <c r="E2254" s="24" t="s">
        <v>2091</v>
      </c>
      <c r="F2254" s="24" t="s">
        <v>2092</v>
      </c>
      <c r="G2254" s="13" t="s">
        <v>2673</v>
      </c>
      <c r="H2254" s="18" t="s">
        <v>2678</v>
      </c>
      <c r="I2254" s="127">
        <v>75</v>
      </c>
      <c r="J2254" s="15" t="s">
        <v>2672</v>
      </c>
      <c r="K2254" s="15" t="s">
        <v>2672</v>
      </c>
      <c r="L2254" s="15" t="s">
        <v>2673</v>
      </c>
      <c r="M2254" s="15" t="s">
        <v>2672</v>
      </c>
      <c r="N2254" s="15" t="s">
        <v>2673</v>
      </c>
      <c r="O2254" s="15"/>
    </row>
    <row r="2255" spans="1:15" ht="18" customHeight="1" x14ac:dyDescent="0.3">
      <c r="A2255" s="29">
        <v>2254</v>
      </c>
      <c r="B2255" s="15" t="s">
        <v>52</v>
      </c>
      <c r="C2255" s="15" t="s">
        <v>74</v>
      </c>
      <c r="D2255" s="69">
        <v>116</v>
      </c>
      <c r="E2255" s="68" t="s">
        <v>3366</v>
      </c>
      <c r="F2255" s="24" t="s">
        <v>2096</v>
      </c>
      <c r="G2255" s="15" t="s">
        <v>164</v>
      </c>
      <c r="H2255" s="15" t="s">
        <v>901</v>
      </c>
      <c r="I2255" s="69">
        <v>177</v>
      </c>
      <c r="J2255" s="15" t="s">
        <v>2672</v>
      </c>
      <c r="K2255" s="15" t="s">
        <v>903</v>
      </c>
      <c r="L2255" s="15" t="s">
        <v>2673</v>
      </c>
      <c r="M2255" s="15" t="s">
        <v>2672</v>
      </c>
      <c r="N2255" s="15" t="s">
        <v>2673</v>
      </c>
      <c r="O2255" s="15"/>
    </row>
    <row r="2256" spans="1:15" ht="18" customHeight="1" x14ac:dyDescent="0.3">
      <c r="A2256" s="29">
        <v>2255</v>
      </c>
      <c r="B2256" s="15" t="s">
        <v>52</v>
      </c>
      <c r="C2256" s="15" t="s">
        <v>74</v>
      </c>
      <c r="D2256" s="69">
        <v>116</v>
      </c>
      <c r="E2256" s="68" t="s">
        <v>3366</v>
      </c>
      <c r="F2256" s="24" t="s">
        <v>2096</v>
      </c>
      <c r="G2256" s="15" t="s">
        <v>164</v>
      </c>
      <c r="H2256" s="15" t="s">
        <v>904</v>
      </c>
      <c r="I2256" s="69">
        <v>42</v>
      </c>
      <c r="J2256" s="15" t="s">
        <v>2672</v>
      </c>
      <c r="K2256" s="15" t="s">
        <v>903</v>
      </c>
      <c r="L2256" s="15" t="s">
        <v>2673</v>
      </c>
      <c r="M2256" s="15" t="s">
        <v>2672</v>
      </c>
      <c r="N2256" s="15" t="s">
        <v>2673</v>
      </c>
      <c r="O2256" s="15"/>
    </row>
    <row r="2257" spans="1:15" ht="18" customHeight="1" x14ac:dyDescent="0.3">
      <c r="A2257" s="29">
        <v>2256</v>
      </c>
      <c r="B2257" s="15" t="s">
        <v>52</v>
      </c>
      <c r="C2257" s="15" t="s">
        <v>74</v>
      </c>
      <c r="D2257" s="69">
        <v>116</v>
      </c>
      <c r="E2257" s="68" t="s">
        <v>3366</v>
      </c>
      <c r="F2257" s="24" t="s">
        <v>1101</v>
      </c>
      <c r="G2257" s="15" t="s">
        <v>164</v>
      </c>
      <c r="H2257" s="15" t="s">
        <v>905</v>
      </c>
      <c r="I2257" s="69">
        <v>54</v>
      </c>
      <c r="J2257" s="15" t="s">
        <v>2672</v>
      </c>
      <c r="K2257" s="15" t="s">
        <v>903</v>
      </c>
      <c r="L2257" s="15" t="s">
        <v>2673</v>
      </c>
      <c r="M2257" s="15" t="s">
        <v>2672</v>
      </c>
      <c r="N2257" s="15" t="s">
        <v>2673</v>
      </c>
      <c r="O2257" s="15"/>
    </row>
    <row r="2258" spans="1:15" ht="18" customHeight="1" x14ac:dyDescent="0.3">
      <c r="A2258" s="29">
        <v>2257</v>
      </c>
      <c r="B2258" s="15" t="s">
        <v>52</v>
      </c>
      <c r="C2258" s="15" t="s">
        <v>74</v>
      </c>
      <c r="D2258" s="69">
        <v>116</v>
      </c>
      <c r="E2258" s="68" t="s">
        <v>3366</v>
      </c>
      <c r="F2258" s="24" t="s">
        <v>1101</v>
      </c>
      <c r="G2258" s="15" t="s">
        <v>164</v>
      </c>
      <c r="H2258" s="15" t="s">
        <v>906</v>
      </c>
      <c r="I2258" s="69">
        <v>106</v>
      </c>
      <c r="J2258" s="15" t="s">
        <v>2672</v>
      </c>
      <c r="K2258" s="15" t="s">
        <v>903</v>
      </c>
      <c r="L2258" s="15" t="s">
        <v>2673</v>
      </c>
      <c r="M2258" s="15" t="s">
        <v>2672</v>
      </c>
      <c r="N2258" s="15" t="s">
        <v>2673</v>
      </c>
      <c r="O2258" s="15"/>
    </row>
    <row r="2259" spans="1:15" ht="18" customHeight="1" x14ac:dyDescent="0.3">
      <c r="A2259" s="29">
        <v>2258</v>
      </c>
      <c r="B2259" s="15" t="s">
        <v>52</v>
      </c>
      <c r="C2259" s="15" t="s">
        <v>74</v>
      </c>
      <c r="D2259" s="69">
        <v>116</v>
      </c>
      <c r="E2259" s="68" t="s">
        <v>275</v>
      </c>
      <c r="F2259" s="14" t="s">
        <v>706</v>
      </c>
      <c r="G2259" s="15" t="s">
        <v>154</v>
      </c>
      <c r="H2259" s="15" t="s">
        <v>901</v>
      </c>
      <c r="I2259" s="69">
        <v>138</v>
      </c>
      <c r="J2259" s="13" t="s">
        <v>902</v>
      </c>
      <c r="K2259" s="15" t="s">
        <v>903</v>
      </c>
      <c r="L2259" s="15" t="s">
        <v>2673</v>
      </c>
      <c r="M2259" s="15" t="s">
        <v>2672</v>
      </c>
      <c r="N2259" s="15" t="s">
        <v>2673</v>
      </c>
      <c r="O2259" s="15"/>
    </row>
    <row r="2260" spans="1:15" ht="18" customHeight="1" x14ac:dyDescent="0.3">
      <c r="A2260" s="29">
        <v>2259</v>
      </c>
      <c r="B2260" s="15" t="s">
        <v>52</v>
      </c>
      <c r="C2260" s="15" t="s">
        <v>74</v>
      </c>
      <c r="D2260" s="69">
        <v>116</v>
      </c>
      <c r="E2260" s="68" t="s">
        <v>275</v>
      </c>
      <c r="F2260" s="14" t="s">
        <v>706</v>
      </c>
      <c r="G2260" s="15" t="s">
        <v>154</v>
      </c>
      <c r="H2260" s="15" t="s">
        <v>904</v>
      </c>
      <c r="I2260" s="69">
        <v>138</v>
      </c>
      <c r="J2260" s="13" t="s">
        <v>902</v>
      </c>
      <c r="K2260" s="15" t="s">
        <v>903</v>
      </c>
      <c r="L2260" s="15" t="s">
        <v>2673</v>
      </c>
      <c r="M2260" s="15" t="s">
        <v>2672</v>
      </c>
      <c r="N2260" s="15" t="s">
        <v>2673</v>
      </c>
      <c r="O2260" s="15"/>
    </row>
    <row r="2261" spans="1:15" ht="18" customHeight="1" x14ac:dyDescent="0.3">
      <c r="A2261" s="29">
        <v>2260</v>
      </c>
      <c r="B2261" s="15" t="s">
        <v>52</v>
      </c>
      <c r="C2261" s="15" t="s">
        <v>74</v>
      </c>
      <c r="D2261" s="69">
        <v>116</v>
      </c>
      <c r="E2261" s="68" t="s">
        <v>275</v>
      </c>
      <c r="F2261" s="14" t="s">
        <v>706</v>
      </c>
      <c r="G2261" s="15" t="s">
        <v>154</v>
      </c>
      <c r="H2261" s="15" t="s">
        <v>905</v>
      </c>
      <c r="I2261" s="69">
        <v>128</v>
      </c>
      <c r="J2261" s="13" t="s">
        <v>2672</v>
      </c>
      <c r="K2261" s="15" t="s">
        <v>903</v>
      </c>
      <c r="L2261" s="15" t="s">
        <v>2673</v>
      </c>
      <c r="M2261" s="15" t="s">
        <v>2672</v>
      </c>
      <c r="N2261" s="15" t="s">
        <v>2673</v>
      </c>
      <c r="O2261" s="15"/>
    </row>
    <row r="2262" spans="1:15" ht="18" customHeight="1" x14ac:dyDescent="0.3">
      <c r="A2262" s="29">
        <v>2261</v>
      </c>
      <c r="B2262" s="15" t="s">
        <v>52</v>
      </c>
      <c r="C2262" s="15" t="s">
        <v>74</v>
      </c>
      <c r="D2262" s="69">
        <v>116</v>
      </c>
      <c r="E2262" s="68" t="s">
        <v>275</v>
      </c>
      <c r="F2262" s="14" t="s">
        <v>706</v>
      </c>
      <c r="G2262" s="15" t="s">
        <v>154</v>
      </c>
      <c r="H2262" s="15" t="s">
        <v>906</v>
      </c>
      <c r="I2262" s="69">
        <v>138</v>
      </c>
      <c r="J2262" s="13" t="s">
        <v>2672</v>
      </c>
      <c r="K2262" s="15" t="s">
        <v>903</v>
      </c>
      <c r="L2262" s="15" t="s">
        <v>2673</v>
      </c>
      <c r="M2262" s="15" t="s">
        <v>2672</v>
      </c>
      <c r="N2262" s="15" t="s">
        <v>2673</v>
      </c>
      <c r="O2262" s="15"/>
    </row>
    <row r="2263" spans="1:15" ht="18" customHeight="1" x14ac:dyDescent="0.3">
      <c r="A2263" s="29">
        <v>2262</v>
      </c>
      <c r="B2263" s="15" t="s">
        <v>52</v>
      </c>
      <c r="C2263" s="15" t="s">
        <v>74</v>
      </c>
      <c r="D2263" s="69">
        <v>116</v>
      </c>
      <c r="E2263" s="68" t="s">
        <v>275</v>
      </c>
      <c r="F2263" s="14" t="s">
        <v>706</v>
      </c>
      <c r="G2263" s="15" t="s">
        <v>154</v>
      </c>
      <c r="H2263" s="15" t="s">
        <v>907</v>
      </c>
      <c r="I2263" s="69">
        <v>138</v>
      </c>
      <c r="J2263" s="13" t="s">
        <v>2672</v>
      </c>
      <c r="K2263" s="15" t="s">
        <v>903</v>
      </c>
      <c r="L2263" s="15" t="s">
        <v>2673</v>
      </c>
      <c r="M2263" s="15" t="s">
        <v>2672</v>
      </c>
      <c r="N2263" s="15" t="s">
        <v>2673</v>
      </c>
      <c r="O2263" s="15"/>
    </row>
    <row r="2264" spans="1:15" ht="18" customHeight="1" x14ac:dyDescent="0.3">
      <c r="A2264" s="29">
        <v>2263</v>
      </c>
      <c r="B2264" s="15" t="s">
        <v>52</v>
      </c>
      <c r="C2264" s="15" t="s">
        <v>74</v>
      </c>
      <c r="D2264" s="69">
        <v>116</v>
      </c>
      <c r="E2264" s="68" t="s">
        <v>244</v>
      </c>
      <c r="F2264" s="14" t="s">
        <v>705</v>
      </c>
      <c r="G2264" s="15" t="s">
        <v>154</v>
      </c>
      <c r="H2264" s="15" t="s">
        <v>901</v>
      </c>
      <c r="I2264" s="69">
        <v>131</v>
      </c>
      <c r="J2264" s="13" t="s">
        <v>902</v>
      </c>
      <c r="K2264" s="15" t="s">
        <v>903</v>
      </c>
      <c r="L2264" s="15" t="s">
        <v>2673</v>
      </c>
      <c r="M2264" s="15" t="s">
        <v>2672</v>
      </c>
      <c r="N2264" s="15" t="s">
        <v>2673</v>
      </c>
      <c r="O2264" s="15"/>
    </row>
    <row r="2265" spans="1:15" ht="18" customHeight="1" x14ac:dyDescent="0.3">
      <c r="A2265" s="29">
        <v>2264</v>
      </c>
      <c r="B2265" s="15" t="s">
        <v>52</v>
      </c>
      <c r="C2265" s="15" t="s">
        <v>74</v>
      </c>
      <c r="D2265" s="69">
        <v>116</v>
      </c>
      <c r="E2265" s="68" t="s">
        <v>244</v>
      </c>
      <c r="F2265" s="14" t="s">
        <v>705</v>
      </c>
      <c r="G2265" s="15" t="s">
        <v>154</v>
      </c>
      <c r="H2265" s="15" t="s">
        <v>904</v>
      </c>
      <c r="I2265" s="69">
        <v>133</v>
      </c>
      <c r="J2265" s="13" t="s">
        <v>2672</v>
      </c>
      <c r="K2265" s="15" t="s">
        <v>903</v>
      </c>
      <c r="L2265" s="15" t="s">
        <v>2673</v>
      </c>
      <c r="M2265" s="15" t="s">
        <v>2672</v>
      </c>
      <c r="N2265" s="15" t="s">
        <v>2673</v>
      </c>
      <c r="O2265" s="15"/>
    </row>
    <row r="2266" spans="1:15" ht="18" customHeight="1" x14ac:dyDescent="0.3">
      <c r="A2266" s="29">
        <v>2265</v>
      </c>
      <c r="B2266" s="15" t="s">
        <v>52</v>
      </c>
      <c r="C2266" s="15" t="s">
        <v>74</v>
      </c>
      <c r="D2266" s="69">
        <v>116</v>
      </c>
      <c r="E2266" s="68" t="s">
        <v>244</v>
      </c>
      <c r="F2266" s="14" t="s">
        <v>705</v>
      </c>
      <c r="G2266" s="15" t="s">
        <v>154</v>
      </c>
      <c r="H2266" s="15" t="s">
        <v>905</v>
      </c>
      <c r="I2266" s="69">
        <v>133</v>
      </c>
      <c r="J2266" s="13" t="s">
        <v>2672</v>
      </c>
      <c r="K2266" s="15" t="s">
        <v>903</v>
      </c>
      <c r="L2266" s="15" t="s">
        <v>2673</v>
      </c>
      <c r="M2266" s="15" t="s">
        <v>2672</v>
      </c>
      <c r="N2266" s="15" t="s">
        <v>2673</v>
      </c>
      <c r="O2266" s="15"/>
    </row>
    <row r="2267" spans="1:15" ht="18" customHeight="1" x14ac:dyDescent="0.3">
      <c r="A2267" s="29">
        <v>2266</v>
      </c>
      <c r="B2267" s="15" t="s">
        <v>52</v>
      </c>
      <c r="C2267" s="15" t="s">
        <v>74</v>
      </c>
      <c r="D2267" s="69">
        <v>116</v>
      </c>
      <c r="E2267" s="68" t="s">
        <v>244</v>
      </c>
      <c r="F2267" s="14" t="s">
        <v>705</v>
      </c>
      <c r="G2267" s="15" t="s">
        <v>154</v>
      </c>
      <c r="H2267" s="15" t="s">
        <v>906</v>
      </c>
      <c r="I2267" s="69">
        <v>175</v>
      </c>
      <c r="J2267" s="13" t="s">
        <v>902</v>
      </c>
      <c r="K2267" s="15" t="s">
        <v>903</v>
      </c>
      <c r="L2267" s="15" t="s">
        <v>2673</v>
      </c>
      <c r="M2267" s="15" t="s">
        <v>2672</v>
      </c>
      <c r="N2267" s="15" t="s">
        <v>2673</v>
      </c>
      <c r="O2267" s="15"/>
    </row>
    <row r="2268" spans="1:15" ht="18" customHeight="1" x14ac:dyDescent="0.3">
      <c r="A2268" s="29">
        <v>2267</v>
      </c>
      <c r="B2268" s="15" t="s">
        <v>52</v>
      </c>
      <c r="C2268" s="15" t="s">
        <v>74</v>
      </c>
      <c r="D2268" s="69">
        <v>116</v>
      </c>
      <c r="E2268" s="68" t="s">
        <v>244</v>
      </c>
      <c r="F2268" s="14" t="s">
        <v>705</v>
      </c>
      <c r="G2268" s="15" t="s">
        <v>154</v>
      </c>
      <c r="H2268" s="15" t="s">
        <v>907</v>
      </c>
      <c r="I2268" s="69">
        <v>117</v>
      </c>
      <c r="J2268" s="13" t="s">
        <v>2672</v>
      </c>
      <c r="K2268" s="15" t="s">
        <v>903</v>
      </c>
      <c r="L2268" s="15" t="s">
        <v>2673</v>
      </c>
      <c r="M2268" s="15" t="s">
        <v>2672</v>
      </c>
      <c r="N2268" s="15" t="s">
        <v>2673</v>
      </c>
      <c r="O2268" s="15"/>
    </row>
    <row r="2269" spans="1:15" ht="18" customHeight="1" x14ac:dyDescent="0.3">
      <c r="A2269" s="29">
        <v>2268</v>
      </c>
      <c r="B2269" s="15" t="s">
        <v>52</v>
      </c>
      <c r="C2269" s="15" t="s">
        <v>74</v>
      </c>
      <c r="D2269" s="69">
        <v>116</v>
      </c>
      <c r="E2269" s="68" t="s">
        <v>244</v>
      </c>
      <c r="F2269" s="14" t="s">
        <v>705</v>
      </c>
      <c r="G2269" s="15" t="s">
        <v>154</v>
      </c>
      <c r="H2269" s="15" t="s">
        <v>908</v>
      </c>
      <c r="I2269" s="69">
        <v>119</v>
      </c>
      <c r="J2269" s="13" t="s">
        <v>2672</v>
      </c>
      <c r="K2269" s="15" t="s">
        <v>903</v>
      </c>
      <c r="L2269" s="15" t="s">
        <v>2673</v>
      </c>
      <c r="M2269" s="15" t="s">
        <v>2672</v>
      </c>
      <c r="N2269" s="15" t="s">
        <v>2673</v>
      </c>
      <c r="O2269" s="15"/>
    </row>
    <row r="2270" spans="1:15" ht="18" customHeight="1" x14ac:dyDescent="0.3">
      <c r="A2270" s="29">
        <v>2269</v>
      </c>
      <c r="B2270" s="15" t="s">
        <v>52</v>
      </c>
      <c r="C2270" s="15" t="s">
        <v>74</v>
      </c>
      <c r="D2270" s="69">
        <v>116</v>
      </c>
      <c r="E2270" s="68" t="s">
        <v>244</v>
      </c>
      <c r="F2270" s="14" t="s">
        <v>705</v>
      </c>
      <c r="G2270" s="15" t="s">
        <v>154</v>
      </c>
      <c r="H2270" s="15" t="s">
        <v>909</v>
      </c>
      <c r="I2270" s="69">
        <v>119</v>
      </c>
      <c r="J2270" s="13" t="s">
        <v>2672</v>
      </c>
      <c r="K2270" s="15" t="s">
        <v>903</v>
      </c>
      <c r="L2270" s="15" t="s">
        <v>2673</v>
      </c>
      <c r="M2270" s="15" t="s">
        <v>2672</v>
      </c>
      <c r="N2270" s="15" t="s">
        <v>2673</v>
      </c>
      <c r="O2270" s="15"/>
    </row>
    <row r="2271" spans="1:15" ht="18" customHeight="1" x14ac:dyDescent="0.3">
      <c r="A2271" s="29">
        <v>2270</v>
      </c>
      <c r="B2271" s="15" t="s">
        <v>52</v>
      </c>
      <c r="C2271" s="15" t="s">
        <v>74</v>
      </c>
      <c r="D2271" s="69">
        <v>116</v>
      </c>
      <c r="E2271" s="68" t="s">
        <v>244</v>
      </c>
      <c r="F2271" s="14" t="s">
        <v>705</v>
      </c>
      <c r="G2271" s="15" t="s">
        <v>154</v>
      </c>
      <c r="H2271" s="15" t="s">
        <v>910</v>
      </c>
      <c r="I2271" s="69">
        <v>171</v>
      </c>
      <c r="J2271" s="13" t="s">
        <v>2672</v>
      </c>
      <c r="K2271" s="15" t="s">
        <v>903</v>
      </c>
      <c r="L2271" s="15" t="s">
        <v>2673</v>
      </c>
      <c r="M2271" s="15" t="s">
        <v>2672</v>
      </c>
      <c r="N2271" s="15" t="s">
        <v>2673</v>
      </c>
      <c r="O2271" s="15"/>
    </row>
    <row r="2272" spans="1:15" ht="18" customHeight="1" x14ac:dyDescent="0.3">
      <c r="A2272" s="29">
        <v>2271</v>
      </c>
      <c r="B2272" s="15" t="s">
        <v>52</v>
      </c>
      <c r="C2272" s="15" t="s">
        <v>75</v>
      </c>
      <c r="D2272" s="69">
        <v>117</v>
      </c>
      <c r="E2272" s="68" t="s">
        <v>230</v>
      </c>
      <c r="F2272" s="14" t="s">
        <v>605</v>
      </c>
      <c r="G2272" s="15" t="s">
        <v>154</v>
      </c>
      <c r="H2272" s="15" t="s">
        <v>901</v>
      </c>
      <c r="I2272" s="69">
        <v>59</v>
      </c>
      <c r="J2272" s="13" t="s">
        <v>902</v>
      </c>
      <c r="K2272" s="15" t="s">
        <v>903</v>
      </c>
      <c r="L2272" s="15" t="s">
        <v>2673</v>
      </c>
      <c r="M2272" s="15" t="s">
        <v>2672</v>
      </c>
      <c r="N2272" s="15" t="s">
        <v>2673</v>
      </c>
      <c r="O2272" s="15"/>
    </row>
    <row r="2273" spans="1:15" ht="18" customHeight="1" x14ac:dyDescent="0.3">
      <c r="A2273" s="29">
        <v>2272</v>
      </c>
      <c r="B2273" s="15" t="s">
        <v>52</v>
      </c>
      <c r="C2273" s="15" t="s">
        <v>75</v>
      </c>
      <c r="D2273" s="69">
        <v>117</v>
      </c>
      <c r="E2273" s="68" t="s">
        <v>230</v>
      </c>
      <c r="F2273" s="14" t="s">
        <v>605</v>
      </c>
      <c r="G2273" s="15" t="s">
        <v>154</v>
      </c>
      <c r="H2273" s="15" t="s">
        <v>904</v>
      </c>
      <c r="I2273" s="69">
        <v>104</v>
      </c>
      <c r="J2273" s="13" t="s">
        <v>902</v>
      </c>
      <c r="K2273" s="15" t="s">
        <v>903</v>
      </c>
      <c r="L2273" s="15" t="s">
        <v>2673</v>
      </c>
      <c r="M2273" s="15" t="s">
        <v>2672</v>
      </c>
      <c r="N2273" s="15" t="s">
        <v>2673</v>
      </c>
      <c r="O2273" s="15"/>
    </row>
    <row r="2274" spans="1:15" ht="18" customHeight="1" x14ac:dyDescent="0.3">
      <c r="A2274" s="29">
        <v>2273</v>
      </c>
      <c r="B2274" s="15" t="s">
        <v>52</v>
      </c>
      <c r="C2274" s="15" t="s">
        <v>75</v>
      </c>
      <c r="D2274" s="69">
        <v>117</v>
      </c>
      <c r="E2274" s="68" t="s">
        <v>230</v>
      </c>
      <c r="F2274" s="14" t="s">
        <v>605</v>
      </c>
      <c r="G2274" s="15" t="s">
        <v>154</v>
      </c>
      <c r="H2274" s="15" t="s">
        <v>905</v>
      </c>
      <c r="I2274" s="69">
        <v>68</v>
      </c>
      <c r="J2274" s="13" t="s">
        <v>2672</v>
      </c>
      <c r="K2274" s="15" t="s">
        <v>903</v>
      </c>
      <c r="L2274" s="15" t="s">
        <v>2673</v>
      </c>
      <c r="M2274" s="15" t="s">
        <v>2672</v>
      </c>
      <c r="N2274" s="15" t="s">
        <v>2673</v>
      </c>
      <c r="O2274" s="15"/>
    </row>
    <row r="2275" spans="1:15" ht="18" customHeight="1" x14ac:dyDescent="0.3">
      <c r="A2275" s="29">
        <v>2274</v>
      </c>
      <c r="B2275" s="15" t="s">
        <v>52</v>
      </c>
      <c r="C2275" s="15" t="s">
        <v>75</v>
      </c>
      <c r="D2275" s="69">
        <v>117</v>
      </c>
      <c r="E2275" s="68" t="s">
        <v>3367</v>
      </c>
      <c r="F2275" s="16" t="s">
        <v>1078</v>
      </c>
      <c r="G2275" s="15" t="s">
        <v>164</v>
      </c>
      <c r="H2275" s="15" t="s">
        <v>905</v>
      </c>
      <c r="I2275" s="69">
        <v>120</v>
      </c>
      <c r="J2275" s="15" t="s">
        <v>2674</v>
      </c>
      <c r="K2275" s="15" t="s">
        <v>903</v>
      </c>
      <c r="L2275" s="15" t="s">
        <v>2673</v>
      </c>
      <c r="M2275" s="15" t="s">
        <v>2672</v>
      </c>
      <c r="N2275" s="15" t="s">
        <v>2673</v>
      </c>
      <c r="O2275" s="15"/>
    </row>
    <row r="2276" spans="1:15" ht="18" customHeight="1" x14ac:dyDescent="0.3">
      <c r="A2276" s="29">
        <v>2275</v>
      </c>
      <c r="B2276" s="15" t="s">
        <v>52</v>
      </c>
      <c r="C2276" s="15" t="s">
        <v>75</v>
      </c>
      <c r="D2276" s="69">
        <v>117</v>
      </c>
      <c r="E2276" s="68" t="s">
        <v>3367</v>
      </c>
      <c r="F2276" s="16" t="s">
        <v>1078</v>
      </c>
      <c r="G2276" s="15" t="s">
        <v>164</v>
      </c>
      <c r="H2276" s="15" t="s">
        <v>906</v>
      </c>
      <c r="I2276" s="69">
        <v>158</v>
      </c>
      <c r="J2276" s="15" t="s">
        <v>2672</v>
      </c>
      <c r="K2276" s="15" t="s">
        <v>903</v>
      </c>
      <c r="L2276" s="15" t="s">
        <v>2673</v>
      </c>
      <c r="M2276" s="15" t="s">
        <v>2672</v>
      </c>
      <c r="N2276" s="15" t="s">
        <v>2673</v>
      </c>
      <c r="O2276" s="15"/>
    </row>
    <row r="2277" spans="1:15" ht="18" customHeight="1" x14ac:dyDescent="0.3">
      <c r="A2277" s="29">
        <v>2276</v>
      </c>
      <c r="B2277" s="15" t="s">
        <v>52</v>
      </c>
      <c r="C2277" s="15" t="s">
        <v>75</v>
      </c>
      <c r="D2277" s="69">
        <v>117</v>
      </c>
      <c r="E2277" s="68" t="s">
        <v>3367</v>
      </c>
      <c r="F2277" s="16" t="s">
        <v>1078</v>
      </c>
      <c r="G2277" s="15" t="s">
        <v>164</v>
      </c>
      <c r="H2277" s="15" t="s">
        <v>907</v>
      </c>
      <c r="I2277" s="69">
        <v>184</v>
      </c>
      <c r="J2277" s="15" t="s">
        <v>2672</v>
      </c>
      <c r="K2277" s="15" t="s">
        <v>903</v>
      </c>
      <c r="L2277" s="15" t="s">
        <v>2673</v>
      </c>
      <c r="M2277" s="15" t="s">
        <v>2672</v>
      </c>
      <c r="N2277" s="15" t="s">
        <v>2673</v>
      </c>
      <c r="O2277" s="15"/>
    </row>
    <row r="2278" spans="1:15" ht="18" customHeight="1" x14ac:dyDescent="0.3">
      <c r="A2278" s="29">
        <v>2277</v>
      </c>
      <c r="B2278" s="15" t="s">
        <v>52</v>
      </c>
      <c r="C2278" s="15" t="s">
        <v>75</v>
      </c>
      <c r="D2278" s="69">
        <v>117</v>
      </c>
      <c r="E2278" s="68" t="s">
        <v>3367</v>
      </c>
      <c r="F2278" s="16" t="s">
        <v>1078</v>
      </c>
      <c r="G2278" s="15" t="s">
        <v>164</v>
      </c>
      <c r="H2278" s="15" t="s">
        <v>908</v>
      </c>
      <c r="I2278" s="69">
        <v>138</v>
      </c>
      <c r="J2278" s="15" t="s">
        <v>2672</v>
      </c>
      <c r="K2278" s="15" t="s">
        <v>903</v>
      </c>
      <c r="L2278" s="15" t="s">
        <v>2673</v>
      </c>
      <c r="M2278" s="15" t="s">
        <v>2672</v>
      </c>
      <c r="N2278" s="15" t="s">
        <v>2673</v>
      </c>
      <c r="O2278" s="15"/>
    </row>
    <row r="2279" spans="1:15" ht="18" customHeight="1" x14ac:dyDescent="0.3">
      <c r="A2279" s="29">
        <v>2278</v>
      </c>
      <c r="B2279" s="15" t="s">
        <v>52</v>
      </c>
      <c r="C2279" s="15" t="s">
        <v>75</v>
      </c>
      <c r="D2279" s="69">
        <v>117</v>
      </c>
      <c r="E2279" s="68" t="s">
        <v>3367</v>
      </c>
      <c r="F2279" s="16" t="s">
        <v>1078</v>
      </c>
      <c r="G2279" s="15" t="s">
        <v>164</v>
      </c>
      <c r="H2279" s="15" t="s">
        <v>909</v>
      </c>
      <c r="I2279" s="69">
        <v>122</v>
      </c>
      <c r="J2279" s="15" t="s">
        <v>2672</v>
      </c>
      <c r="K2279" s="15" t="s">
        <v>903</v>
      </c>
      <c r="L2279" s="15" t="s">
        <v>2673</v>
      </c>
      <c r="M2279" s="15" t="s">
        <v>2672</v>
      </c>
      <c r="N2279" s="15" t="s">
        <v>2673</v>
      </c>
      <c r="O2279" s="15"/>
    </row>
    <row r="2280" spans="1:15" ht="18" customHeight="1" x14ac:dyDescent="0.3">
      <c r="A2280" s="29">
        <v>2279</v>
      </c>
      <c r="B2280" s="15" t="s">
        <v>52</v>
      </c>
      <c r="C2280" s="15" t="s">
        <v>75</v>
      </c>
      <c r="D2280" s="69">
        <v>117</v>
      </c>
      <c r="E2280" s="68" t="s">
        <v>3367</v>
      </c>
      <c r="F2280" s="16" t="s">
        <v>1078</v>
      </c>
      <c r="G2280" s="15" t="s">
        <v>164</v>
      </c>
      <c r="H2280" s="15" t="s">
        <v>910</v>
      </c>
      <c r="I2280" s="69">
        <v>158</v>
      </c>
      <c r="J2280" s="15" t="s">
        <v>2672</v>
      </c>
      <c r="K2280" s="15" t="s">
        <v>903</v>
      </c>
      <c r="L2280" s="15" t="s">
        <v>2673</v>
      </c>
      <c r="M2280" s="15" t="s">
        <v>2672</v>
      </c>
      <c r="N2280" s="15" t="s">
        <v>2673</v>
      </c>
      <c r="O2280" s="15"/>
    </row>
    <row r="2281" spans="1:15" ht="18" customHeight="1" x14ac:dyDescent="0.3">
      <c r="A2281" s="29">
        <v>2280</v>
      </c>
      <c r="B2281" s="15" t="s">
        <v>52</v>
      </c>
      <c r="C2281" s="15" t="s">
        <v>75</v>
      </c>
      <c r="D2281" s="69">
        <v>117</v>
      </c>
      <c r="E2281" s="68" t="s">
        <v>3367</v>
      </c>
      <c r="F2281" s="16" t="s">
        <v>604</v>
      </c>
      <c r="G2281" s="15" t="s">
        <v>164</v>
      </c>
      <c r="H2281" s="15" t="s">
        <v>901</v>
      </c>
      <c r="I2281" s="69">
        <v>184</v>
      </c>
      <c r="J2281" s="15" t="s">
        <v>2674</v>
      </c>
      <c r="K2281" s="15" t="s">
        <v>903</v>
      </c>
      <c r="L2281" s="15" t="s">
        <v>2673</v>
      </c>
      <c r="M2281" s="15" t="s">
        <v>2672</v>
      </c>
      <c r="N2281" s="15" t="s">
        <v>2673</v>
      </c>
      <c r="O2281" s="15"/>
    </row>
    <row r="2282" spans="1:15" ht="18" customHeight="1" x14ac:dyDescent="0.3">
      <c r="A2282" s="29">
        <v>2281</v>
      </c>
      <c r="B2282" s="15" t="s">
        <v>52</v>
      </c>
      <c r="C2282" s="15" t="s">
        <v>75</v>
      </c>
      <c r="D2282" s="69">
        <v>117</v>
      </c>
      <c r="E2282" s="68" t="s">
        <v>3367</v>
      </c>
      <c r="F2282" s="16" t="s">
        <v>604</v>
      </c>
      <c r="G2282" s="15" t="s">
        <v>164</v>
      </c>
      <c r="H2282" s="15" t="s">
        <v>904</v>
      </c>
      <c r="I2282" s="69">
        <v>138</v>
      </c>
      <c r="J2282" s="15" t="s">
        <v>2672</v>
      </c>
      <c r="K2282" s="15" t="s">
        <v>903</v>
      </c>
      <c r="L2282" s="15" t="s">
        <v>2673</v>
      </c>
      <c r="M2282" s="15" t="s">
        <v>2672</v>
      </c>
      <c r="N2282" s="15" t="s">
        <v>2673</v>
      </c>
      <c r="O2282" s="15"/>
    </row>
    <row r="2283" spans="1:15" ht="18" customHeight="1" x14ac:dyDescent="0.3">
      <c r="A2283" s="29">
        <v>2282</v>
      </c>
      <c r="B2283" s="15" t="s">
        <v>52</v>
      </c>
      <c r="C2283" s="15" t="s">
        <v>76</v>
      </c>
      <c r="D2283" s="69">
        <v>118</v>
      </c>
      <c r="E2283" s="68" t="s">
        <v>297</v>
      </c>
      <c r="F2283" s="21" t="s">
        <v>674</v>
      </c>
      <c r="G2283" s="15" t="s">
        <v>164</v>
      </c>
      <c r="H2283" s="15" t="s">
        <v>2851</v>
      </c>
      <c r="I2283" s="69">
        <v>103</v>
      </c>
      <c r="J2283" s="15" t="s">
        <v>2674</v>
      </c>
      <c r="K2283" s="15" t="s">
        <v>2674</v>
      </c>
      <c r="L2283" s="15" t="s">
        <v>1703</v>
      </c>
      <c r="M2283" s="15" t="s">
        <v>2672</v>
      </c>
      <c r="N2283" s="15" t="s">
        <v>2673</v>
      </c>
      <c r="O2283" s="15"/>
    </row>
    <row r="2284" spans="1:15" ht="18" customHeight="1" x14ac:dyDescent="0.3">
      <c r="A2284" s="29">
        <v>2283</v>
      </c>
      <c r="B2284" s="15" t="s">
        <v>52</v>
      </c>
      <c r="C2284" s="15" t="s">
        <v>76</v>
      </c>
      <c r="D2284" s="69">
        <v>118</v>
      </c>
      <c r="E2284" s="68" t="s">
        <v>297</v>
      </c>
      <c r="F2284" s="21" t="s">
        <v>674</v>
      </c>
      <c r="G2284" s="15" t="s">
        <v>164</v>
      </c>
      <c r="H2284" s="15" t="s">
        <v>2767</v>
      </c>
      <c r="I2284" s="69">
        <v>78</v>
      </c>
      <c r="J2284" s="15" t="s">
        <v>2674</v>
      </c>
      <c r="K2284" s="15" t="s">
        <v>2674</v>
      </c>
      <c r="L2284" s="15" t="s">
        <v>1703</v>
      </c>
      <c r="M2284" s="15" t="s">
        <v>2672</v>
      </c>
      <c r="N2284" s="15" t="s">
        <v>2673</v>
      </c>
      <c r="O2284" s="15"/>
    </row>
    <row r="2285" spans="1:15" ht="18" customHeight="1" x14ac:dyDescent="0.3">
      <c r="A2285" s="29">
        <v>2284</v>
      </c>
      <c r="B2285" s="15" t="s">
        <v>52</v>
      </c>
      <c r="C2285" s="15" t="s">
        <v>76</v>
      </c>
      <c r="D2285" s="69">
        <v>118</v>
      </c>
      <c r="E2285" s="68" t="s">
        <v>297</v>
      </c>
      <c r="F2285" s="21" t="s">
        <v>674</v>
      </c>
      <c r="G2285" s="15" t="s">
        <v>164</v>
      </c>
      <c r="H2285" s="15" t="s">
        <v>905</v>
      </c>
      <c r="I2285" s="69">
        <v>70</v>
      </c>
      <c r="J2285" s="15" t="s">
        <v>2672</v>
      </c>
      <c r="K2285" s="15" t="s">
        <v>903</v>
      </c>
      <c r="L2285" s="15" t="s">
        <v>2673</v>
      </c>
      <c r="M2285" s="15" t="s">
        <v>2672</v>
      </c>
      <c r="N2285" s="15" t="s">
        <v>2673</v>
      </c>
      <c r="O2285" s="15"/>
    </row>
    <row r="2286" spans="1:15" ht="18" customHeight="1" x14ac:dyDescent="0.3">
      <c r="A2286" s="29">
        <v>2285</v>
      </c>
      <c r="B2286" s="15" t="s">
        <v>52</v>
      </c>
      <c r="C2286" s="15" t="s">
        <v>76</v>
      </c>
      <c r="D2286" s="69">
        <v>118</v>
      </c>
      <c r="E2286" s="68" t="s">
        <v>297</v>
      </c>
      <c r="F2286" s="21" t="s">
        <v>674</v>
      </c>
      <c r="G2286" s="15" t="s">
        <v>164</v>
      </c>
      <c r="H2286" s="15" t="s">
        <v>2897</v>
      </c>
      <c r="I2286" s="69">
        <v>87</v>
      </c>
      <c r="J2286" s="15" t="s">
        <v>2672</v>
      </c>
      <c r="K2286" s="15" t="s">
        <v>2674</v>
      </c>
      <c r="L2286" s="15" t="s">
        <v>1703</v>
      </c>
      <c r="M2286" s="15" t="s">
        <v>2672</v>
      </c>
      <c r="N2286" s="15" t="s">
        <v>2673</v>
      </c>
      <c r="O2286" s="15"/>
    </row>
    <row r="2287" spans="1:15" ht="18" customHeight="1" x14ac:dyDescent="0.3">
      <c r="A2287" s="29">
        <v>2286</v>
      </c>
      <c r="B2287" s="62" t="s">
        <v>1882</v>
      </c>
      <c r="C2287" s="62" t="s">
        <v>2099</v>
      </c>
      <c r="D2287" s="69">
        <v>118</v>
      </c>
      <c r="E2287" s="72" t="s">
        <v>3368</v>
      </c>
      <c r="F2287" s="24" t="s">
        <v>2101</v>
      </c>
      <c r="G2287" s="62" t="s">
        <v>1538</v>
      </c>
      <c r="H2287" s="62" t="s">
        <v>2685</v>
      </c>
      <c r="I2287" s="90">
        <v>110</v>
      </c>
      <c r="J2287" s="15" t="s">
        <v>2674</v>
      </c>
      <c r="K2287" s="62" t="s">
        <v>903</v>
      </c>
      <c r="L2287" s="15" t="s">
        <v>2673</v>
      </c>
      <c r="M2287" s="15" t="s">
        <v>2672</v>
      </c>
      <c r="N2287" s="15" t="s">
        <v>2673</v>
      </c>
      <c r="O2287" s="62"/>
    </row>
    <row r="2288" spans="1:15" ht="18" customHeight="1" x14ac:dyDescent="0.3">
      <c r="A2288" s="29">
        <v>2287</v>
      </c>
      <c r="B2288" s="62" t="s">
        <v>1882</v>
      </c>
      <c r="C2288" s="62" t="s">
        <v>2099</v>
      </c>
      <c r="D2288" s="69">
        <v>118</v>
      </c>
      <c r="E2288" s="72" t="s">
        <v>3368</v>
      </c>
      <c r="F2288" s="24" t="s">
        <v>2101</v>
      </c>
      <c r="G2288" s="62" t="s">
        <v>1538</v>
      </c>
      <c r="H2288" s="62" t="s">
        <v>2678</v>
      </c>
      <c r="I2288" s="90">
        <v>110</v>
      </c>
      <c r="J2288" s="15" t="s">
        <v>2672</v>
      </c>
      <c r="K2288" s="62" t="s">
        <v>903</v>
      </c>
      <c r="L2288" s="15" t="s">
        <v>2673</v>
      </c>
      <c r="M2288" s="15" t="s">
        <v>2672</v>
      </c>
      <c r="N2288" s="15" t="s">
        <v>2673</v>
      </c>
      <c r="O2288" s="62"/>
    </row>
    <row r="2289" spans="1:15" ht="18" customHeight="1" x14ac:dyDescent="0.3">
      <c r="A2289" s="29">
        <v>2288</v>
      </c>
      <c r="B2289" s="62" t="s">
        <v>1882</v>
      </c>
      <c r="C2289" s="62" t="s">
        <v>2099</v>
      </c>
      <c r="D2289" s="69">
        <v>118</v>
      </c>
      <c r="E2289" s="72" t="s">
        <v>3368</v>
      </c>
      <c r="F2289" s="24" t="s">
        <v>2101</v>
      </c>
      <c r="G2289" s="62" t="s">
        <v>1538</v>
      </c>
      <c r="H2289" s="62" t="s">
        <v>2679</v>
      </c>
      <c r="I2289" s="90">
        <v>92</v>
      </c>
      <c r="J2289" s="15" t="s">
        <v>2672</v>
      </c>
      <c r="K2289" s="62" t="s">
        <v>903</v>
      </c>
      <c r="L2289" s="15" t="s">
        <v>2673</v>
      </c>
      <c r="M2289" s="15" t="s">
        <v>2672</v>
      </c>
      <c r="N2289" s="15" t="s">
        <v>2673</v>
      </c>
      <c r="O2289" s="62"/>
    </row>
    <row r="2290" spans="1:15" ht="18" customHeight="1" x14ac:dyDescent="0.3">
      <c r="A2290" s="29">
        <v>2289</v>
      </c>
      <c r="B2290" s="62" t="s">
        <v>1882</v>
      </c>
      <c r="C2290" s="62" t="s">
        <v>2099</v>
      </c>
      <c r="D2290" s="69">
        <v>118</v>
      </c>
      <c r="E2290" s="72" t="s">
        <v>3368</v>
      </c>
      <c r="F2290" s="24" t="s">
        <v>2101</v>
      </c>
      <c r="G2290" s="62" t="s">
        <v>1538</v>
      </c>
      <c r="H2290" s="62" t="s">
        <v>2680</v>
      </c>
      <c r="I2290" s="90">
        <v>110</v>
      </c>
      <c r="J2290" s="15" t="s">
        <v>2672</v>
      </c>
      <c r="K2290" s="62" t="s">
        <v>903</v>
      </c>
      <c r="L2290" s="15" t="s">
        <v>2673</v>
      </c>
      <c r="M2290" s="15" t="s">
        <v>2672</v>
      </c>
      <c r="N2290" s="15" t="s">
        <v>2673</v>
      </c>
      <c r="O2290" s="62"/>
    </row>
    <row r="2291" spans="1:15" ht="18" customHeight="1" x14ac:dyDescent="0.3">
      <c r="A2291" s="29">
        <v>2290</v>
      </c>
      <c r="B2291" s="62" t="s">
        <v>1882</v>
      </c>
      <c r="C2291" s="62" t="s">
        <v>2099</v>
      </c>
      <c r="D2291" s="69">
        <v>118</v>
      </c>
      <c r="E2291" s="72" t="s">
        <v>3368</v>
      </c>
      <c r="F2291" s="24" t="s">
        <v>2101</v>
      </c>
      <c r="G2291" s="62" t="s">
        <v>1538</v>
      </c>
      <c r="H2291" s="62" t="s">
        <v>2690</v>
      </c>
      <c r="I2291" s="90">
        <v>110</v>
      </c>
      <c r="J2291" s="15" t="s">
        <v>2672</v>
      </c>
      <c r="K2291" s="62" t="s">
        <v>903</v>
      </c>
      <c r="L2291" s="15" t="s">
        <v>2673</v>
      </c>
      <c r="M2291" s="15" t="s">
        <v>2672</v>
      </c>
      <c r="N2291" s="15" t="s">
        <v>2673</v>
      </c>
      <c r="O2291" s="62"/>
    </row>
    <row r="2292" spans="1:15" ht="18" customHeight="1" x14ac:dyDescent="0.3">
      <c r="A2292" s="29">
        <v>2291</v>
      </c>
      <c r="B2292" s="62" t="s">
        <v>1882</v>
      </c>
      <c r="C2292" s="62" t="s">
        <v>2099</v>
      </c>
      <c r="D2292" s="69">
        <v>118</v>
      </c>
      <c r="E2292" s="72" t="s">
        <v>3368</v>
      </c>
      <c r="F2292" s="24" t="s">
        <v>2101</v>
      </c>
      <c r="G2292" s="62" t="s">
        <v>1538</v>
      </c>
      <c r="H2292" s="62" t="s">
        <v>2682</v>
      </c>
      <c r="I2292" s="90">
        <v>92</v>
      </c>
      <c r="J2292" s="15" t="s">
        <v>2674</v>
      </c>
      <c r="K2292" s="62" t="s">
        <v>903</v>
      </c>
      <c r="L2292" s="15" t="s">
        <v>2673</v>
      </c>
      <c r="M2292" s="15" t="s">
        <v>2672</v>
      </c>
      <c r="N2292" s="15" t="s">
        <v>2673</v>
      </c>
      <c r="O2292" s="62"/>
    </row>
    <row r="2293" spans="1:15" ht="18" customHeight="1" x14ac:dyDescent="0.3">
      <c r="A2293" s="29">
        <v>2292</v>
      </c>
      <c r="B2293" s="62" t="s">
        <v>1882</v>
      </c>
      <c r="C2293" s="62" t="s">
        <v>2099</v>
      </c>
      <c r="D2293" s="69">
        <v>118</v>
      </c>
      <c r="E2293" s="72" t="s">
        <v>3368</v>
      </c>
      <c r="F2293" s="24" t="s">
        <v>2101</v>
      </c>
      <c r="G2293" s="62" t="s">
        <v>1538</v>
      </c>
      <c r="H2293" s="62" t="s">
        <v>2732</v>
      </c>
      <c r="I2293" s="90">
        <v>100</v>
      </c>
      <c r="J2293" s="15" t="s">
        <v>2674</v>
      </c>
      <c r="K2293" s="62" t="s">
        <v>903</v>
      </c>
      <c r="L2293" s="15" t="s">
        <v>2673</v>
      </c>
      <c r="M2293" s="15" t="s">
        <v>2672</v>
      </c>
      <c r="N2293" s="15" t="s">
        <v>2673</v>
      </c>
      <c r="O2293" s="62"/>
    </row>
    <row r="2294" spans="1:15" ht="18" customHeight="1" x14ac:dyDescent="0.3">
      <c r="A2294" s="29">
        <v>2293</v>
      </c>
      <c r="B2294" s="15" t="s">
        <v>1882</v>
      </c>
      <c r="C2294" s="15" t="s">
        <v>2102</v>
      </c>
      <c r="D2294" s="69">
        <v>119</v>
      </c>
      <c r="E2294" s="68" t="s">
        <v>3369</v>
      </c>
      <c r="F2294" s="21" t="s">
        <v>2104</v>
      </c>
      <c r="G2294" s="15" t="s">
        <v>1553</v>
      </c>
      <c r="H2294" s="15" t="s">
        <v>2685</v>
      </c>
      <c r="I2294" s="69">
        <v>96</v>
      </c>
      <c r="J2294" s="15" t="s">
        <v>2672</v>
      </c>
      <c r="K2294" s="15" t="s">
        <v>903</v>
      </c>
      <c r="L2294" s="15" t="s">
        <v>2673</v>
      </c>
      <c r="M2294" s="15" t="s">
        <v>2672</v>
      </c>
      <c r="N2294" s="15" t="s">
        <v>2673</v>
      </c>
      <c r="O2294" s="15"/>
    </row>
    <row r="2295" spans="1:15" ht="18" customHeight="1" x14ac:dyDescent="0.3">
      <c r="A2295" s="29">
        <v>2294</v>
      </c>
      <c r="B2295" s="15" t="s">
        <v>1882</v>
      </c>
      <c r="C2295" s="15" t="s">
        <v>2102</v>
      </c>
      <c r="D2295" s="69">
        <v>119</v>
      </c>
      <c r="E2295" s="68" t="s">
        <v>3369</v>
      </c>
      <c r="F2295" s="21" t="s">
        <v>2104</v>
      </c>
      <c r="G2295" s="15" t="s">
        <v>1553</v>
      </c>
      <c r="H2295" s="15" t="s">
        <v>2678</v>
      </c>
      <c r="I2295" s="69">
        <v>72</v>
      </c>
      <c r="J2295" s="15" t="s">
        <v>2672</v>
      </c>
      <c r="K2295" s="15" t="s">
        <v>903</v>
      </c>
      <c r="L2295" s="15" t="s">
        <v>2673</v>
      </c>
      <c r="M2295" s="15" t="s">
        <v>2672</v>
      </c>
      <c r="N2295" s="15" t="s">
        <v>2673</v>
      </c>
      <c r="O2295" s="15"/>
    </row>
    <row r="2296" spans="1:15" ht="18" customHeight="1" x14ac:dyDescent="0.3">
      <c r="A2296" s="29">
        <v>2295</v>
      </c>
      <c r="B2296" s="15" t="s">
        <v>1882</v>
      </c>
      <c r="C2296" s="15" t="s">
        <v>2102</v>
      </c>
      <c r="D2296" s="69">
        <v>119</v>
      </c>
      <c r="E2296" s="68" t="s">
        <v>3369</v>
      </c>
      <c r="F2296" s="21" t="s">
        <v>2104</v>
      </c>
      <c r="G2296" s="15" t="s">
        <v>1553</v>
      </c>
      <c r="H2296" s="15" t="s">
        <v>2679</v>
      </c>
      <c r="I2296" s="69">
        <v>84</v>
      </c>
      <c r="J2296" s="15" t="s">
        <v>2672</v>
      </c>
      <c r="K2296" s="15" t="s">
        <v>903</v>
      </c>
      <c r="L2296" s="15" t="s">
        <v>2673</v>
      </c>
      <c r="M2296" s="15" t="s">
        <v>2672</v>
      </c>
      <c r="N2296" s="15" t="s">
        <v>2673</v>
      </c>
      <c r="O2296" s="15"/>
    </row>
    <row r="2297" spans="1:15" ht="18" customHeight="1" x14ac:dyDescent="0.3">
      <c r="A2297" s="29">
        <v>2296</v>
      </c>
      <c r="B2297" s="15" t="s">
        <v>1882</v>
      </c>
      <c r="C2297" s="15" t="s">
        <v>2102</v>
      </c>
      <c r="D2297" s="69">
        <v>119</v>
      </c>
      <c r="E2297" s="68" t="s">
        <v>3369</v>
      </c>
      <c r="F2297" s="21" t="s">
        <v>2104</v>
      </c>
      <c r="G2297" s="15" t="s">
        <v>1553</v>
      </c>
      <c r="H2297" s="15" t="s">
        <v>2680</v>
      </c>
      <c r="I2297" s="69">
        <v>84</v>
      </c>
      <c r="J2297" s="15" t="s">
        <v>2672</v>
      </c>
      <c r="K2297" s="15" t="s">
        <v>903</v>
      </c>
      <c r="L2297" s="15" t="s">
        <v>2673</v>
      </c>
      <c r="M2297" s="15" t="s">
        <v>2672</v>
      </c>
      <c r="N2297" s="15" t="s">
        <v>2673</v>
      </c>
      <c r="O2297" s="15"/>
    </row>
    <row r="2298" spans="1:15" ht="18" customHeight="1" x14ac:dyDescent="0.3">
      <c r="A2298" s="29">
        <v>2297</v>
      </c>
      <c r="B2298" s="15" t="s">
        <v>1882</v>
      </c>
      <c r="C2298" s="15" t="s">
        <v>2102</v>
      </c>
      <c r="D2298" s="69">
        <v>119</v>
      </c>
      <c r="E2298" s="68" t="s">
        <v>3369</v>
      </c>
      <c r="F2298" s="21" t="s">
        <v>2104</v>
      </c>
      <c r="G2298" s="15" t="s">
        <v>1553</v>
      </c>
      <c r="H2298" s="15" t="s">
        <v>2690</v>
      </c>
      <c r="I2298" s="69">
        <v>79</v>
      </c>
      <c r="J2298" s="15" t="s">
        <v>2674</v>
      </c>
      <c r="K2298" s="15" t="s">
        <v>903</v>
      </c>
      <c r="L2298" s="15" t="s">
        <v>2673</v>
      </c>
      <c r="M2298" s="15" t="s">
        <v>2672</v>
      </c>
      <c r="N2298" s="15" t="s">
        <v>2673</v>
      </c>
      <c r="O2298" s="15"/>
    </row>
    <row r="2299" spans="1:15" ht="18" customHeight="1" x14ac:dyDescent="0.3">
      <c r="A2299" s="29">
        <v>2298</v>
      </c>
      <c r="B2299" s="15" t="s">
        <v>1882</v>
      </c>
      <c r="C2299" s="15" t="s">
        <v>2102</v>
      </c>
      <c r="D2299" s="69">
        <v>119</v>
      </c>
      <c r="E2299" s="6" t="s">
        <v>2105</v>
      </c>
      <c r="F2299" s="21" t="s">
        <v>2106</v>
      </c>
      <c r="G2299" s="15" t="s">
        <v>2673</v>
      </c>
      <c r="H2299" s="15" t="s">
        <v>2685</v>
      </c>
      <c r="I2299" s="69">
        <v>49</v>
      </c>
      <c r="J2299" s="15" t="s">
        <v>2674</v>
      </c>
      <c r="K2299" s="15" t="s">
        <v>903</v>
      </c>
      <c r="L2299" s="15" t="s">
        <v>2673</v>
      </c>
      <c r="M2299" s="15" t="s">
        <v>2672</v>
      </c>
      <c r="N2299" s="15" t="s">
        <v>2673</v>
      </c>
      <c r="O2299" s="15"/>
    </row>
    <row r="2300" spans="1:15" ht="18" customHeight="1" x14ac:dyDescent="0.3">
      <c r="A2300" s="29">
        <v>2299</v>
      </c>
      <c r="B2300" s="15" t="s">
        <v>1882</v>
      </c>
      <c r="C2300" s="15" t="s">
        <v>2102</v>
      </c>
      <c r="D2300" s="69">
        <v>119</v>
      </c>
      <c r="E2300" s="6" t="s">
        <v>2105</v>
      </c>
      <c r="F2300" s="21" t="s">
        <v>2106</v>
      </c>
      <c r="G2300" s="15" t="s">
        <v>2673</v>
      </c>
      <c r="H2300" s="15" t="s">
        <v>2678</v>
      </c>
      <c r="I2300" s="69">
        <v>49</v>
      </c>
      <c r="J2300" s="15" t="s">
        <v>2672</v>
      </c>
      <c r="K2300" s="15" t="s">
        <v>903</v>
      </c>
      <c r="L2300" s="15" t="s">
        <v>2673</v>
      </c>
      <c r="M2300" s="15" t="s">
        <v>2672</v>
      </c>
      <c r="N2300" s="15" t="s">
        <v>2673</v>
      </c>
      <c r="O2300" s="15"/>
    </row>
    <row r="2301" spans="1:15" ht="18" customHeight="1" x14ac:dyDescent="0.3">
      <c r="A2301" s="29">
        <v>2300</v>
      </c>
      <c r="B2301" s="13" t="s">
        <v>1882</v>
      </c>
      <c r="C2301" s="13" t="s">
        <v>2109</v>
      </c>
      <c r="D2301" s="13">
        <v>122</v>
      </c>
      <c r="E2301" s="63" t="s">
        <v>2953</v>
      </c>
      <c r="F2301" s="21" t="s">
        <v>2111</v>
      </c>
      <c r="G2301" s="13" t="s">
        <v>2673</v>
      </c>
      <c r="H2301" s="15" t="s">
        <v>2685</v>
      </c>
      <c r="I2301" s="69">
        <v>63</v>
      </c>
      <c r="J2301" s="15" t="s">
        <v>2672</v>
      </c>
      <c r="K2301" s="15" t="s">
        <v>903</v>
      </c>
      <c r="L2301" s="15" t="s">
        <v>2673</v>
      </c>
      <c r="M2301" s="15" t="s">
        <v>2672</v>
      </c>
      <c r="N2301" s="15" t="s">
        <v>2673</v>
      </c>
      <c r="O2301" s="15"/>
    </row>
    <row r="2302" spans="1:15" ht="18" customHeight="1" x14ac:dyDescent="0.3">
      <c r="A2302" s="29">
        <v>2301</v>
      </c>
      <c r="B2302" s="13" t="s">
        <v>1882</v>
      </c>
      <c r="C2302" s="13" t="s">
        <v>2109</v>
      </c>
      <c r="D2302" s="13">
        <v>122</v>
      </c>
      <c r="E2302" s="63" t="s">
        <v>2953</v>
      </c>
      <c r="F2302" s="21" t="s">
        <v>2111</v>
      </c>
      <c r="G2302" s="13" t="s">
        <v>2673</v>
      </c>
      <c r="H2302" s="15" t="s">
        <v>2678</v>
      </c>
      <c r="I2302" s="69">
        <v>36</v>
      </c>
      <c r="J2302" s="15" t="s">
        <v>2672</v>
      </c>
      <c r="K2302" s="15" t="s">
        <v>903</v>
      </c>
      <c r="L2302" s="15" t="s">
        <v>2673</v>
      </c>
      <c r="M2302" s="15" t="s">
        <v>2672</v>
      </c>
      <c r="N2302" s="15" t="s">
        <v>2673</v>
      </c>
      <c r="O2302" s="15"/>
    </row>
    <row r="2303" spans="1:15" ht="18" customHeight="1" x14ac:dyDescent="0.3">
      <c r="A2303" s="29">
        <v>2302</v>
      </c>
      <c r="B2303" s="15" t="s">
        <v>1882</v>
      </c>
      <c r="C2303" s="15" t="s">
        <v>2109</v>
      </c>
      <c r="D2303" s="69">
        <v>122</v>
      </c>
      <c r="E2303" s="68" t="s">
        <v>2954</v>
      </c>
      <c r="F2303" s="21" t="s">
        <v>870</v>
      </c>
      <c r="G2303" s="15" t="s">
        <v>2673</v>
      </c>
      <c r="H2303" s="15" t="s">
        <v>2685</v>
      </c>
      <c r="I2303" s="69">
        <v>89</v>
      </c>
      <c r="J2303" s="15" t="s">
        <v>2674</v>
      </c>
      <c r="K2303" s="15" t="s">
        <v>903</v>
      </c>
      <c r="L2303" s="15" t="s">
        <v>2673</v>
      </c>
      <c r="M2303" s="15" t="s">
        <v>2672</v>
      </c>
      <c r="N2303" s="15" t="s">
        <v>2673</v>
      </c>
      <c r="O2303" s="15"/>
    </row>
    <row r="2304" spans="1:15" ht="18" customHeight="1" x14ac:dyDescent="0.3">
      <c r="A2304" s="29">
        <v>2303</v>
      </c>
      <c r="B2304" s="15" t="s">
        <v>1882</v>
      </c>
      <c r="C2304" s="15" t="s">
        <v>2109</v>
      </c>
      <c r="D2304" s="69">
        <v>122</v>
      </c>
      <c r="E2304" s="68" t="s">
        <v>2954</v>
      </c>
      <c r="F2304" s="21" t="s">
        <v>870</v>
      </c>
      <c r="G2304" s="15" t="s">
        <v>2673</v>
      </c>
      <c r="H2304" s="15" t="s">
        <v>2678</v>
      </c>
      <c r="I2304" s="69">
        <v>47</v>
      </c>
      <c r="J2304" s="15" t="s">
        <v>2672</v>
      </c>
      <c r="K2304" s="15" t="s">
        <v>903</v>
      </c>
      <c r="L2304" s="15" t="s">
        <v>2673</v>
      </c>
      <c r="M2304" s="15" t="s">
        <v>2672</v>
      </c>
      <c r="N2304" s="15" t="s">
        <v>2673</v>
      </c>
      <c r="O2304" s="15"/>
    </row>
    <row r="2305" spans="1:15" ht="18" customHeight="1" x14ac:dyDescent="0.3">
      <c r="A2305" s="29">
        <v>2304</v>
      </c>
      <c r="B2305" s="15" t="s">
        <v>52</v>
      </c>
      <c r="C2305" s="15" t="s">
        <v>77</v>
      </c>
      <c r="D2305" s="69">
        <v>123</v>
      </c>
      <c r="E2305" s="68" t="s">
        <v>1007</v>
      </c>
      <c r="F2305" s="24" t="s">
        <v>2117</v>
      </c>
      <c r="G2305" s="15" t="s">
        <v>2673</v>
      </c>
      <c r="H2305" s="15" t="s">
        <v>901</v>
      </c>
      <c r="I2305" s="69">
        <v>152</v>
      </c>
      <c r="J2305" s="15" t="s">
        <v>2672</v>
      </c>
      <c r="K2305" s="15" t="s">
        <v>903</v>
      </c>
      <c r="L2305" s="15" t="s">
        <v>2673</v>
      </c>
      <c r="M2305" s="15" t="s">
        <v>2672</v>
      </c>
      <c r="N2305" s="15" t="s">
        <v>2673</v>
      </c>
      <c r="O2305" s="15"/>
    </row>
    <row r="2306" spans="1:15" ht="18" customHeight="1" x14ac:dyDescent="0.3">
      <c r="A2306" s="29">
        <v>2305</v>
      </c>
      <c r="B2306" s="15" t="s">
        <v>78</v>
      </c>
      <c r="C2306" s="15" t="s">
        <v>79</v>
      </c>
      <c r="D2306" s="69">
        <v>124</v>
      </c>
      <c r="E2306" s="68" t="s">
        <v>2955</v>
      </c>
      <c r="F2306" s="21" t="s">
        <v>2120</v>
      </c>
      <c r="G2306" s="15" t="s">
        <v>164</v>
      </c>
      <c r="H2306" s="15" t="s">
        <v>901</v>
      </c>
      <c r="I2306" s="69">
        <v>76</v>
      </c>
      <c r="J2306" s="13" t="s">
        <v>2672</v>
      </c>
      <c r="K2306" s="15" t="s">
        <v>903</v>
      </c>
      <c r="L2306" s="15" t="s">
        <v>2673</v>
      </c>
      <c r="M2306" s="15" t="s">
        <v>2672</v>
      </c>
      <c r="N2306" s="15" t="s">
        <v>2673</v>
      </c>
      <c r="O2306" s="14"/>
    </row>
    <row r="2307" spans="1:15" ht="18" customHeight="1" x14ac:dyDescent="0.3">
      <c r="A2307" s="29">
        <v>2306</v>
      </c>
      <c r="B2307" s="15" t="s">
        <v>78</v>
      </c>
      <c r="C2307" s="15" t="s">
        <v>79</v>
      </c>
      <c r="D2307" s="69">
        <v>124</v>
      </c>
      <c r="E2307" s="68" t="s">
        <v>2955</v>
      </c>
      <c r="F2307" s="21" t="s">
        <v>2120</v>
      </c>
      <c r="G2307" s="15" t="s">
        <v>164</v>
      </c>
      <c r="H2307" s="15" t="s">
        <v>904</v>
      </c>
      <c r="I2307" s="69">
        <v>65</v>
      </c>
      <c r="J2307" s="13" t="s">
        <v>2672</v>
      </c>
      <c r="K2307" s="15" t="s">
        <v>2674</v>
      </c>
      <c r="L2307" s="15" t="s">
        <v>2525</v>
      </c>
      <c r="M2307" s="15" t="s">
        <v>2672</v>
      </c>
      <c r="N2307" s="15" t="s">
        <v>2673</v>
      </c>
      <c r="O2307" s="15"/>
    </row>
    <row r="2308" spans="1:15" ht="18" customHeight="1" x14ac:dyDescent="0.3">
      <c r="A2308" s="29">
        <v>2307</v>
      </c>
      <c r="B2308" s="15" t="s">
        <v>78</v>
      </c>
      <c r="C2308" s="15" t="s">
        <v>79</v>
      </c>
      <c r="D2308" s="69">
        <v>124</v>
      </c>
      <c r="E2308" s="68" t="s">
        <v>2955</v>
      </c>
      <c r="F2308" s="21" t="s">
        <v>1273</v>
      </c>
      <c r="G2308" s="15" t="s">
        <v>164</v>
      </c>
      <c r="H2308" s="15" t="s">
        <v>905</v>
      </c>
      <c r="I2308" s="69">
        <v>72</v>
      </c>
      <c r="J2308" s="13" t="s">
        <v>2672</v>
      </c>
      <c r="K2308" s="15" t="s">
        <v>2674</v>
      </c>
      <c r="L2308" s="15" t="s">
        <v>2525</v>
      </c>
      <c r="M2308" s="15" t="s">
        <v>2672</v>
      </c>
      <c r="N2308" s="15" t="s">
        <v>2673</v>
      </c>
      <c r="O2308" s="15"/>
    </row>
    <row r="2309" spans="1:15" ht="18" customHeight="1" x14ac:dyDescent="0.3">
      <c r="A2309" s="29">
        <v>2308</v>
      </c>
      <c r="B2309" s="15" t="s">
        <v>78</v>
      </c>
      <c r="C2309" s="15" t="s">
        <v>79</v>
      </c>
      <c r="D2309" s="69">
        <v>124</v>
      </c>
      <c r="E2309" s="68" t="s">
        <v>2955</v>
      </c>
      <c r="F2309" s="21" t="s">
        <v>1273</v>
      </c>
      <c r="G2309" s="15" t="s">
        <v>164</v>
      </c>
      <c r="H2309" s="15" t="s">
        <v>906</v>
      </c>
      <c r="I2309" s="69">
        <v>75</v>
      </c>
      <c r="J2309" s="13" t="s">
        <v>2672</v>
      </c>
      <c r="K2309" s="15" t="s">
        <v>903</v>
      </c>
      <c r="L2309" s="15" t="s">
        <v>2673</v>
      </c>
      <c r="M2309" s="15" t="s">
        <v>2672</v>
      </c>
      <c r="N2309" s="15" t="s">
        <v>2673</v>
      </c>
      <c r="O2309" s="15"/>
    </row>
    <row r="2310" spans="1:15" ht="18" customHeight="1" x14ac:dyDescent="0.3">
      <c r="A2310" s="29">
        <v>2309</v>
      </c>
      <c r="B2310" s="15" t="s">
        <v>78</v>
      </c>
      <c r="C2310" s="15" t="s">
        <v>79</v>
      </c>
      <c r="D2310" s="69">
        <v>124</v>
      </c>
      <c r="E2310" s="68" t="s">
        <v>2955</v>
      </c>
      <c r="F2310" s="21" t="s">
        <v>1273</v>
      </c>
      <c r="G2310" s="15" t="s">
        <v>164</v>
      </c>
      <c r="H2310" s="15" t="s">
        <v>907</v>
      </c>
      <c r="I2310" s="69">
        <v>86</v>
      </c>
      <c r="J2310" s="13" t="s">
        <v>2672</v>
      </c>
      <c r="K2310" s="15" t="s">
        <v>2674</v>
      </c>
      <c r="L2310" s="15" t="s">
        <v>2525</v>
      </c>
      <c r="M2310" s="15" t="s">
        <v>2672</v>
      </c>
      <c r="N2310" s="15" t="s">
        <v>2673</v>
      </c>
      <c r="O2310" s="15"/>
    </row>
    <row r="2311" spans="1:15" ht="18" customHeight="1" x14ac:dyDescent="0.3">
      <c r="A2311" s="29">
        <v>2310</v>
      </c>
      <c r="B2311" s="15" t="s">
        <v>78</v>
      </c>
      <c r="C2311" s="15" t="s">
        <v>79</v>
      </c>
      <c r="D2311" s="69">
        <v>124</v>
      </c>
      <c r="E2311" s="68" t="s">
        <v>2955</v>
      </c>
      <c r="F2311" s="21" t="s">
        <v>1273</v>
      </c>
      <c r="G2311" s="15" t="s">
        <v>164</v>
      </c>
      <c r="H2311" s="15" t="s">
        <v>908</v>
      </c>
      <c r="I2311" s="69">
        <v>74</v>
      </c>
      <c r="J2311" s="13" t="s">
        <v>2672</v>
      </c>
      <c r="K2311" s="15" t="s">
        <v>2674</v>
      </c>
      <c r="L2311" s="15" t="s">
        <v>2525</v>
      </c>
      <c r="M2311" s="15" t="s">
        <v>2672</v>
      </c>
      <c r="N2311" s="15" t="s">
        <v>2673</v>
      </c>
      <c r="O2311" s="15"/>
    </row>
    <row r="2312" spans="1:15" ht="18" customHeight="1" x14ac:dyDescent="0.3">
      <c r="A2312" s="29">
        <v>2311</v>
      </c>
      <c r="B2312" s="15" t="s">
        <v>78</v>
      </c>
      <c r="C2312" s="15" t="s">
        <v>79</v>
      </c>
      <c r="D2312" s="69">
        <v>124</v>
      </c>
      <c r="E2312" s="68" t="s">
        <v>3370</v>
      </c>
      <c r="F2312" s="24" t="s">
        <v>720</v>
      </c>
      <c r="G2312" s="15" t="s">
        <v>154</v>
      </c>
      <c r="H2312" s="15" t="s">
        <v>2685</v>
      </c>
      <c r="I2312" s="69">
        <v>30</v>
      </c>
      <c r="J2312" s="15" t="s">
        <v>2674</v>
      </c>
      <c r="K2312" s="15" t="s">
        <v>2672</v>
      </c>
      <c r="L2312" s="15" t="s">
        <v>2673</v>
      </c>
      <c r="M2312" s="15" t="s">
        <v>2672</v>
      </c>
      <c r="N2312" s="15" t="s">
        <v>2673</v>
      </c>
      <c r="O2312" s="15"/>
    </row>
    <row r="2313" spans="1:15" ht="18" customHeight="1" x14ac:dyDescent="0.3">
      <c r="A2313" s="29">
        <v>2312</v>
      </c>
      <c r="B2313" s="15" t="s">
        <v>78</v>
      </c>
      <c r="C2313" s="15" t="s">
        <v>79</v>
      </c>
      <c r="D2313" s="69">
        <v>124</v>
      </c>
      <c r="E2313" s="68" t="s">
        <v>3370</v>
      </c>
      <c r="F2313" s="24" t="s">
        <v>720</v>
      </c>
      <c r="G2313" s="15" t="s">
        <v>154</v>
      </c>
      <c r="H2313" s="15" t="s">
        <v>904</v>
      </c>
      <c r="I2313" s="69">
        <v>92</v>
      </c>
      <c r="J2313" s="15" t="s">
        <v>2672</v>
      </c>
      <c r="K2313" s="15" t="s">
        <v>903</v>
      </c>
      <c r="L2313" s="15" t="s">
        <v>2673</v>
      </c>
      <c r="M2313" s="15" t="s">
        <v>2672</v>
      </c>
      <c r="N2313" s="15" t="s">
        <v>2673</v>
      </c>
      <c r="O2313" s="15"/>
    </row>
    <row r="2314" spans="1:15" ht="18" customHeight="1" x14ac:dyDescent="0.3">
      <c r="A2314" s="29">
        <v>2313</v>
      </c>
      <c r="B2314" s="15" t="s">
        <v>78</v>
      </c>
      <c r="C2314" s="15" t="s">
        <v>79</v>
      </c>
      <c r="D2314" s="69">
        <v>124</v>
      </c>
      <c r="E2314" s="68" t="s">
        <v>3370</v>
      </c>
      <c r="F2314" s="24" t="s">
        <v>720</v>
      </c>
      <c r="G2314" s="15" t="s">
        <v>154</v>
      </c>
      <c r="H2314" s="15" t="s">
        <v>905</v>
      </c>
      <c r="I2314" s="69">
        <v>114</v>
      </c>
      <c r="J2314" s="15" t="s">
        <v>2672</v>
      </c>
      <c r="K2314" s="15" t="s">
        <v>903</v>
      </c>
      <c r="L2314" s="15" t="s">
        <v>2673</v>
      </c>
      <c r="M2314" s="15" t="s">
        <v>2672</v>
      </c>
      <c r="N2314" s="15" t="s">
        <v>2673</v>
      </c>
      <c r="O2314" s="15"/>
    </row>
    <row r="2315" spans="1:15" ht="18" customHeight="1" x14ac:dyDescent="0.3">
      <c r="A2315" s="29">
        <v>2314</v>
      </c>
      <c r="B2315" s="15" t="s">
        <v>78</v>
      </c>
      <c r="C2315" s="15" t="s">
        <v>79</v>
      </c>
      <c r="D2315" s="69">
        <v>124</v>
      </c>
      <c r="E2315" s="68" t="s">
        <v>3370</v>
      </c>
      <c r="F2315" s="24" t="s">
        <v>720</v>
      </c>
      <c r="G2315" s="15" t="s">
        <v>154</v>
      </c>
      <c r="H2315" s="15" t="s">
        <v>906</v>
      </c>
      <c r="I2315" s="69">
        <v>93</v>
      </c>
      <c r="J2315" s="15" t="s">
        <v>2672</v>
      </c>
      <c r="K2315" s="15" t="s">
        <v>903</v>
      </c>
      <c r="L2315" s="15" t="s">
        <v>2673</v>
      </c>
      <c r="M2315" s="15" t="s">
        <v>2672</v>
      </c>
      <c r="N2315" s="15" t="s">
        <v>2673</v>
      </c>
      <c r="O2315" s="15"/>
    </row>
    <row r="2316" spans="1:15" ht="18" customHeight="1" x14ac:dyDescent="0.3">
      <c r="A2316" s="29">
        <v>2315</v>
      </c>
      <c r="B2316" s="15" t="s">
        <v>78</v>
      </c>
      <c r="C2316" s="15" t="s">
        <v>79</v>
      </c>
      <c r="D2316" s="69">
        <v>124</v>
      </c>
      <c r="E2316" s="68" t="s">
        <v>3370</v>
      </c>
      <c r="F2316" s="24" t="s">
        <v>720</v>
      </c>
      <c r="G2316" s="15" t="s">
        <v>154</v>
      </c>
      <c r="H2316" s="15" t="s">
        <v>908</v>
      </c>
      <c r="I2316" s="69">
        <v>153</v>
      </c>
      <c r="J2316" s="15" t="s">
        <v>2672</v>
      </c>
      <c r="K2316" s="15" t="s">
        <v>903</v>
      </c>
      <c r="L2316" s="15" t="s">
        <v>2673</v>
      </c>
      <c r="M2316" s="15" t="s">
        <v>2672</v>
      </c>
      <c r="N2316" s="15" t="s">
        <v>2673</v>
      </c>
      <c r="O2316" s="15"/>
    </row>
    <row r="2317" spans="1:15" ht="18" customHeight="1" x14ac:dyDescent="0.3">
      <c r="A2317" s="29">
        <v>2316</v>
      </c>
      <c r="B2317" s="15" t="s">
        <v>78</v>
      </c>
      <c r="C2317" s="15" t="s">
        <v>79</v>
      </c>
      <c r="D2317" s="69">
        <v>124</v>
      </c>
      <c r="E2317" s="68" t="s">
        <v>3370</v>
      </c>
      <c r="F2317" s="24" t="s">
        <v>720</v>
      </c>
      <c r="G2317" s="15" t="s">
        <v>154</v>
      </c>
      <c r="H2317" s="15" t="s">
        <v>909</v>
      </c>
      <c r="I2317" s="69">
        <v>153</v>
      </c>
      <c r="J2317" s="15" t="s">
        <v>2672</v>
      </c>
      <c r="K2317" s="15" t="s">
        <v>903</v>
      </c>
      <c r="L2317" s="15" t="s">
        <v>2673</v>
      </c>
      <c r="M2317" s="15" t="s">
        <v>2672</v>
      </c>
      <c r="N2317" s="15" t="s">
        <v>2673</v>
      </c>
      <c r="O2317" s="15"/>
    </row>
    <row r="2318" spans="1:15" ht="18" customHeight="1" x14ac:dyDescent="0.3">
      <c r="A2318" s="29">
        <v>2317</v>
      </c>
      <c r="B2318" s="15" t="s">
        <v>78</v>
      </c>
      <c r="C2318" s="15" t="s">
        <v>79</v>
      </c>
      <c r="D2318" s="69">
        <v>124</v>
      </c>
      <c r="E2318" s="68" t="s">
        <v>3370</v>
      </c>
      <c r="F2318" s="24" t="s">
        <v>720</v>
      </c>
      <c r="G2318" s="15" t="s">
        <v>154</v>
      </c>
      <c r="H2318" s="15" t="s">
        <v>910</v>
      </c>
      <c r="I2318" s="69">
        <v>86</v>
      </c>
      <c r="J2318" s="15" t="s">
        <v>2672</v>
      </c>
      <c r="K2318" s="15" t="s">
        <v>903</v>
      </c>
      <c r="L2318" s="15" t="s">
        <v>2673</v>
      </c>
      <c r="M2318" s="15" t="s">
        <v>2674</v>
      </c>
      <c r="N2318" s="15" t="s">
        <v>1530</v>
      </c>
      <c r="O2318" s="15"/>
    </row>
    <row r="2319" spans="1:15" ht="18" customHeight="1" x14ac:dyDescent="0.3">
      <c r="A2319" s="29">
        <v>2318</v>
      </c>
      <c r="B2319" s="15" t="s">
        <v>78</v>
      </c>
      <c r="C2319" s="15" t="s">
        <v>79</v>
      </c>
      <c r="D2319" s="69">
        <v>124</v>
      </c>
      <c r="E2319" s="68" t="s">
        <v>3370</v>
      </c>
      <c r="F2319" s="24" t="s">
        <v>720</v>
      </c>
      <c r="G2319" s="15" t="s">
        <v>154</v>
      </c>
      <c r="H2319" s="15" t="s">
        <v>927</v>
      </c>
      <c r="I2319" s="69">
        <v>183</v>
      </c>
      <c r="J2319" s="15" t="s">
        <v>2674</v>
      </c>
      <c r="K2319" s="15" t="s">
        <v>903</v>
      </c>
      <c r="L2319" s="15" t="s">
        <v>2673</v>
      </c>
      <c r="M2319" s="15" t="s">
        <v>2672</v>
      </c>
      <c r="N2319" s="15" t="s">
        <v>2673</v>
      </c>
      <c r="O2319" s="15"/>
    </row>
    <row r="2320" spans="1:15" ht="18" customHeight="1" x14ac:dyDescent="0.3">
      <c r="A2320" s="29">
        <v>2319</v>
      </c>
      <c r="B2320" s="15" t="s">
        <v>78</v>
      </c>
      <c r="C2320" s="15" t="s">
        <v>79</v>
      </c>
      <c r="D2320" s="69">
        <v>124</v>
      </c>
      <c r="E2320" s="68" t="s">
        <v>3370</v>
      </c>
      <c r="F2320" s="24" t="s">
        <v>720</v>
      </c>
      <c r="G2320" s="15" t="s">
        <v>154</v>
      </c>
      <c r="H2320" s="15" t="s">
        <v>941</v>
      </c>
      <c r="I2320" s="69">
        <v>153</v>
      </c>
      <c r="J2320" s="15" t="s">
        <v>2674</v>
      </c>
      <c r="K2320" s="15" t="s">
        <v>903</v>
      </c>
      <c r="L2320" s="15" t="s">
        <v>2673</v>
      </c>
      <c r="M2320" s="15" t="s">
        <v>2672</v>
      </c>
      <c r="N2320" s="15" t="s">
        <v>2673</v>
      </c>
      <c r="O2320" s="15"/>
    </row>
    <row r="2321" spans="1:15" ht="18" customHeight="1" x14ac:dyDescent="0.3">
      <c r="A2321" s="29">
        <v>2320</v>
      </c>
      <c r="B2321" s="15" t="s">
        <v>78</v>
      </c>
      <c r="C2321" s="15" t="s">
        <v>79</v>
      </c>
      <c r="D2321" s="69">
        <v>124</v>
      </c>
      <c r="E2321" s="68" t="s">
        <v>3370</v>
      </c>
      <c r="F2321" s="24" t="s">
        <v>720</v>
      </c>
      <c r="G2321" s="15" t="s">
        <v>154</v>
      </c>
      <c r="H2321" s="15" t="s">
        <v>980</v>
      </c>
      <c r="I2321" s="69">
        <v>152</v>
      </c>
      <c r="J2321" s="15" t="s">
        <v>2672</v>
      </c>
      <c r="K2321" s="15" t="s">
        <v>903</v>
      </c>
      <c r="L2321" s="15" t="s">
        <v>2673</v>
      </c>
      <c r="M2321" s="15" t="s">
        <v>2672</v>
      </c>
      <c r="N2321" s="15" t="s">
        <v>2673</v>
      </c>
      <c r="O2321" s="15"/>
    </row>
    <row r="2322" spans="1:15" ht="18" customHeight="1" x14ac:dyDescent="0.3">
      <c r="A2322" s="29">
        <v>2321</v>
      </c>
      <c r="B2322" s="15" t="s">
        <v>78</v>
      </c>
      <c r="C2322" s="15" t="s">
        <v>79</v>
      </c>
      <c r="D2322" s="69">
        <v>124</v>
      </c>
      <c r="E2322" s="68" t="s">
        <v>3370</v>
      </c>
      <c r="F2322" s="24" t="s">
        <v>2956</v>
      </c>
      <c r="G2322" s="15" t="s">
        <v>154</v>
      </c>
      <c r="H2322" s="15" t="s">
        <v>907</v>
      </c>
      <c r="I2322" s="69">
        <v>184</v>
      </c>
      <c r="J2322" s="15" t="s">
        <v>2674</v>
      </c>
      <c r="K2322" s="15" t="s">
        <v>903</v>
      </c>
      <c r="L2322" s="15" t="s">
        <v>2673</v>
      </c>
      <c r="M2322" s="15" t="s">
        <v>2672</v>
      </c>
      <c r="N2322" s="15" t="s">
        <v>2673</v>
      </c>
      <c r="O2322" s="15"/>
    </row>
    <row r="2323" spans="1:15" ht="18" customHeight="1" x14ac:dyDescent="0.3">
      <c r="A2323" s="29">
        <v>2322</v>
      </c>
      <c r="B2323" s="15" t="s">
        <v>78</v>
      </c>
      <c r="C2323" s="15" t="s">
        <v>79</v>
      </c>
      <c r="D2323" s="69">
        <v>124</v>
      </c>
      <c r="E2323" s="68" t="s">
        <v>3370</v>
      </c>
      <c r="F2323" s="24" t="s">
        <v>2956</v>
      </c>
      <c r="G2323" s="15" t="s">
        <v>154</v>
      </c>
      <c r="H2323" s="15" t="s">
        <v>979</v>
      </c>
      <c r="I2323" s="69">
        <v>321</v>
      </c>
      <c r="J2323" s="15" t="s">
        <v>2674</v>
      </c>
      <c r="K2323" s="15" t="s">
        <v>902</v>
      </c>
      <c r="L2323" s="15" t="s">
        <v>207</v>
      </c>
      <c r="M2323" s="15" t="s">
        <v>2672</v>
      </c>
      <c r="N2323" s="15" t="s">
        <v>2673</v>
      </c>
      <c r="O2323" s="15"/>
    </row>
    <row r="2324" spans="1:15" ht="18" customHeight="1" x14ac:dyDescent="0.3">
      <c r="A2324" s="29">
        <v>2323</v>
      </c>
      <c r="B2324" s="15" t="s">
        <v>78</v>
      </c>
      <c r="C2324" s="15" t="s">
        <v>79</v>
      </c>
      <c r="D2324" s="69">
        <v>124</v>
      </c>
      <c r="E2324" s="68" t="s">
        <v>912</v>
      </c>
      <c r="F2324" s="21" t="s">
        <v>1076</v>
      </c>
      <c r="G2324" s="15" t="s">
        <v>164</v>
      </c>
      <c r="H2324" s="15" t="s">
        <v>905</v>
      </c>
      <c r="I2324" s="69">
        <v>106</v>
      </c>
      <c r="J2324" s="15" t="s">
        <v>2672</v>
      </c>
      <c r="K2324" s="15" t="s">
        <v>903</v>
      </c>
      <c r="L2324" s="15" t="s">
        <v>2673</v>
      </c>
      <c r="M2324" s="15" t="s">
        <v>2672</v>
      </c>
      <c r="N2324" s="15" t="s">
        <v>2673</v>
      </c>
      <c r="O2324" s="15"/>
    </row>
    <row r="2325" spans="1:15" ht="18" customHeight="1" x14ac:dyDescent="0.3">
      <c r="A2325" s="29">
        <v>2324</v>
      </c>
      <c r="B2325" s="15" t="s">
        <v>78</v>
      </c>
      <c r="C2325" s="15" t="s">
        <v>79</v>
      </c>
      <c r="D2325" s="69">
        <v>124</v>
      </c>
      <c r="E2325" s="68" t="s">
        <v>912</v>
      </c>
      <c r="F2325" s="21" t="s">
        <v>1076</v>
      </c>
      <c r="G2325" s="15" t="s">
        <v>164</v>
      </c>
      <c r="H2325" s="15" t="s">
        <v>906</v>
      </c>
      <c r="I2325" s="69">
        <v>209</v>
      </c>
      <c r="J2325" s="15" t="s">
        <v>2672</v>
      </c>
      <c r="K2325" s="15" t="s">
        <v>903</v>
      </c>
      <c r="L2325" s="15" t="s">
        <v>2673</v>
      </c>
      <c r="M2325" s="15" t="s">
        <v>2672</v>
      </c>
      <c r="N2325" s="15" t="s">
        <v>2673</v>
      </c>
      <c r="O2325" s="15"/>
    </row>
    <row r="2326" spans="1:15" ht="18" customHeight="1" x14ac:dyDescent="0.3">
      <c r="A2326" s="29">
        <v>2325</v>
      </c>
      <c r="B2326" s="15" t="s">
        <v>78</v>
      </c>
      <c r="C2326" s="15" t="s">
        <v>79</v>
      </c>
      <c r="D2326" s="69">
        <v>124</v>
      </c>
      <c r="E2326" s="68" t="s">
        <v>912</v>
      </c>
      <c r="F2326" s="21" t="s">
        <v>1076</v>
      </c>
      <c r="G2326" s="15" t="s">
        <v>164</v>
      </c>
      <c r="H2326" s="15" t="s">
        <v>907</v>
      </c>
      <c r="I2326" s="69">
        <v>209</v>
      </c>
      <c r="J2326" s="15" t="s">
        <v>2672</v>
      </c>
      <c r="K2326" s="15" t="s">
        <v>903</v>
      </c>
      <c r="L2326" s="15" t="s">
        <v>2673</v>
      </c>
      <c r="M2326" s="15" t="s">
        <v>2672</v>
      </c>
      <c r="N2326" s="15" t="s">
        <v>2673</v>
      </c>
      <c r="O2326" s="15"/>
    </row>
    <row r="2327" spans="1:15" ht="18" customHeight="1" x14ac:dyDescent="0.3">
      <c r="A2327" s="29">
        <v>2326</v>
      </c>
      <c r="B2327" s="15" t="s">
        <v>78</v>
      </c>
      <c r="C2327" s="15" t="s">
        <v>79</v>
      </c>
      <c r="D2327" s="69">
        <v>124</v>
      </c>
      <c r="E2327" s="68" t="s">
        <v>912</v>
      </c>
      <c r="F2327" s="21" t="s">
        <v>1076</v>
      </c>
      <c r="G2327" s="15" t="s">
        <v>164</v>
      </c>
      <c r="H2327" s="15" t="s">
        <v>908</v>
      </c>
      <c r="I2327" s="69">
        <v>130</v>
      </c>
      <c r="J2327" s="15" t="s">
        <v>2672</v>
      </c>
      <c r="K2327" s="15" t="s">
        <v>903</v>
      </c>
      <c r="L2327" s="15" t="s">
        <v>2673</v>
      </c>
      <c r="M2327" s="15" t="s">
        <v>2672</v>
      </c>
      <c r="N2327" s="15" t="s">
        <v>2673</v>
      </c>
      <c r="O2327" s="15"/>
    </row>
    <row r="2328" spans="1:15" ht="18" customHeight="1" x14ac:dyDescent="0.3">
      <c r="A2328" s="29">
        <v>2327</v>
      </c>
      <c r="B2328" s="15" t="s">
        <v>78</v>
      </c>
      <c r="C2328" s="15" t="s">
        <v>79</v>
      </c>
      <c r="D2328" s="69">
        <v>124</v>
      </c>
      <c r="E2328" s="68" t="s">
        <v>912</v>
      </c>
      <c r="F2328" s="21" t="s">
        <v>1076</v>
      </c>
      <c r="G2328" s="15" t="s">
        <v>164</v>
      </c>
      <c r="H2328" s="15" t="s">
        <v>909</v>
      </c>
      <c r="I2328" s="69">
        <v>172</v>
      </c>
      <c r="J2328" s="15" t="s">
        <v>2672</v>
      </c>
      <c r="K2328" s="15" t="s">
        <v>903</v>
      </c>
      <c r="L2328" s="15" t="s">
        <v>2673</v>
      </c>
      <c r="M2328" s="15" t="s">
        <v>2672</v>
      </c>
      <c r="N2328" s="15" t="s">
        <v>2673</v>
      </c>
      <c r="O2328" s="15"/>
    </row>
    <row r="2329" spans="1:15" ht="18" customHeight="1" x14ac:dyDescent="0.3">
      <c r="A2329" s="29">
        <v>2328</v>
      </c>
      <c r="B2329" s="15" t="s">
        <v>78</v>
      </c>
      <c r="C2329" s="15" t="s">
        <v>79</v>
      </c>
      <c r="D2329" s="69">
        <v>124</v>
      </c>
      <c r="E2329" s="68" t="s">
        <v>912</v>
      </c>
      <c r="F2329" s="21" t="s">
        <v>722</v>
      </c>
      <c r="G2329" s="15" t="s">
        <v>164</v>
      </c>
      <c r="H2329" s="15" t="s">
        <v>901</v>
      </c>
      <c r="I2329" s="69">
        <v>184</v>
      </c>
      <c r="J2329" s="15" t="s">
        <v>2672</v>
      </c>
      <c r="K2329" s="15" t="s">
        <v>903</v>
      </c>
      <c r="L2329" s="15" t="s">
        <v>2673</v>
      </c>
      <c r="M2329" s="15" t="s">
        <v>2672</v>
      </c>
      <c r="N2329" s="15" t="s">
        <v>2673</v>
      </c>
      <c r="O2329" s="15"/>
    </row>
    <row r="2330" spans="1:15" ht="18" customHeight="1" x14ac:dyDescent="0.3">
      <c r="A2330" s="29">
        <v>2329</v>
      </c>
      <c r="B2330" s="15" t="s">
        <v>78</v>
      </c>
      <c r="C2330" s="15" t="s">
        <v>79</v>
      </c>
      <c r="D2330" s="69">
        <v>124</v>
      </c>
      <c r="E2330" s="68" t="s">
        <v>912</v>
      </c>
      <c r="F2330" s="21" t="s">
        <v>722</v>
      </c>
      <c r="G2330" s="15" t="s">
        <v>164</v>
      </c>
      <c r="H2330" s="15" t="s">
        <v>904</v>
      </c>
      <c r="I2330" s="69">
        <v>124</v>
      </c>
      <c r="J2330" s="15" t="s">
        <v>2672</v>
      </c>
      <c r="K2330" s="15" t="s">
        <v>903</v>
      </c>
      <c r="L2330" s="15" t="s">
        <v>2673</v>
      </c>
      <c r="M2330" s="15" t="s">
        <v>2672</v>
      </c>
      <c r="N2330" s="15" t="s">
        <v>2673</v>
      </c>
      <c r="O2330" s="15"/>
    </row>
    <row r="2331" spans="1:15" ht="18" customHeight="1" x14ac:dyDescent="0.3">
      <c r="A2331" s="29">
        <v>2330</v>
      </c>
      <c r="B2331" s="15" t="s">
        <v>78</v>
      </c>
      <c r="C2331" s="15" t="s">
        <v>79</v>
      </c>
      <c r="D2331" s="69">
        <v>124</v>
      </c>
      <c r="E2331" s="68" t="s">
        <v>2124</v>
      </c>
      <c r="F2331" s="21" t="s">
        <v>2125</v>
      </c>
      <c r="G2331" s="15" t="s">
        <v>1538</v>
      </c>
      <c r="H2331" s="15" t="s">
        <v>2937</v>
      </c>
      <c r="I2331" s="69">
        <v>236</v>
      </c>
      <c r="J2331" s="15" t="s">
        <v>2672</v>
      </c>
      <c r="K2331" s="15" t="s">
        <v>2674</v>
      </c>
      <c r="L2331" s="15" t="s">
        <v>1703</v>
      </c>
      <c r="M2331" s="15" t="s">
        <v>2672</v>
      </c>
      <c r="N2331" s="15" t="s">
        <v>2673</v>
      </c>
      <c r="O2331" s="15"/>
    </row>
    <row r="2332" spans="1:15" ht="18" customHeight="1" x14ac:dyDescent="0.3">
      <c r="A2332" s="29">
        <v>2331</v>
      </c>
      <c r="B2332" s="15" t="s">
        <v>78</v>
      </c>
      <c r="C2332" s="15" t="s">
        <v>79</v>
      </c>
      <c r="D2332" s="69">
        <v>124</v>
      </c>
      <c r="E2332" s="68" t="s">
        <v>2124</v>
      </c>
      <c r="F2332" s="21" t="s">
        <v>2125</v>
      </c>
      <c r="G2332" s="15" t="s">
        <v>1538</v>
      </c>
      <c r="H2332" s="15" t="s">
        <v>2861</v>
      </c>
      <c r="I2332" s="69">
        <v>202</v>
      </c>
      <c r="J2332" s="15" t="s">
        <v>2672</v>
      </c>
      <c r="K2332" s="15" t="s">
        <v>2674</v>
      </c>
      <c r="L2332" s="15" t="s">
        <v>1703</v>
      </c>
      <c r="M2332" s="15" t="s">
        <v>2672</v>
      </c>
      <c r="N2332" s="15" t="s">
        <v>2673</v>
      </c>
      <c r="O2332" s="15"/>
    </row>
    <row r="2333" spans="1:15" ht="18" customHeight="1" x14ac:dyDescent="0.3">
      <c r="A2333" s="29">
        <v>2332</v>
      </c>
      <c r="B2333" s="15" t="s">
        <v>78</v>
      </c>
      <c r="C2333" s="15" t="s">
        <v>79</v>
      </c>
      <c r="D2333" s="69">
        <v>124</v>
      </c>
      <c r="E2333" s="68" t="s">
        <v>2124</v>
      </c>
      <c r="F2333" s="21" t="s">
        <v>2125</v>
      </c>
      <c r="G2333" s="15" t="s">
        <v>1538</v>
      </c>
      <c r="H2333" s="15" t="s">
        <v>2938</v>
      </c>
      <c r="I2333" s="69">
        <v>125</v>
      </c>
      <c r="J2333" s="15" t="s">
        <v>2672</v>
      </c>
      <c r="K2333" s="15" t="s">
        <v>2674</v>
      </c>
      <c r="L2333" s="15" t="s">
        <v>1703</v>
      </c>
      <c r="M2333" s="15" t="s">
        <v>2672</v>
      </c>
      <c r="N2333" s="15" t="s">
        <v>2673</v>
      </c>
      <c r="O2333" s="15"/>
    </row>
    <row r="2334" spans="1:15" ht="18" customHeight="1" x14ac:dyDescent="0.3">
      <c r="A2334" s="29">
        <v>2333</v>
      </c>
      <c r="B2334" s="15" t="s">
        <v>78</v>
      </c>
      <c r="C2334" s="15" t="s">
        <v>79</v>
      </c>
      <c r="D2334" s="69">
        <v>124</v>
      </c>
      <c r="E2334" s="68" t="s">
        <v>2124</v>
      </c>
      <c r="F2334" s="21" t="s">
        <v>2125</v>
      </c>
      <c r="G2334" s="15" t="s">
        <v>1538</v>
      </c>
      <c r="H2334" s="15" t="s">
        <v>2939</v>
      </c>
      <c r="I2334" s="69">
        <v>142</v>
      </c>
      <c r="J2334" s="15" t="s">
        <v>2672</v>
      </c>
      <c r="K2334" s="15" t="s">
        <v>2674</v>
      </c>
      <c r="L2334" s="15" t="s">
        <v>1703</v>
      </c>
      <c r="M2334" s="15" t="s">
        <v>2672</v>
      </c>
      <c r="N2334" s="15" t="s">
        <v>2673</v>
      </c>
      <c r="O2334" s="15"/>
    </row>
    <row r="2335" spans="1:15" ht="18" customHeight="1" x14ac:dyDescent="0.3">
      <c r="A2335" s="29">
        <v>2334</v>
      </c>
      <c r="B2335" s="15" t="s">
        <v>78</v>
      </c>
      <c r="C2335" s="15" t="s">
        <v>79</v>
      </c>
      <c r="D2335" s="69">
        <v>124</v>
      </c>
      <c r="E2335" s="68" t="s">
        <v>2124</v>
      </c>
      <c r="F2335" s="21" t="s">
        <v>2125</v>
      </c>
      <c r="G2335" s="15" t="s">
        <v>1538</v>
      </c>
      <c r="H2335" s="15" t="s">
        <v>2940</v>
      </c>
      <c r="I2335" s="69">
        <v>124</v>
      </c>
      <c r="J2335" s="15" t="s">
        <v>2672</v>
      </c>
      <c r="K2335" s="15" t="s">
        <v>2674</v>
      </c>
      <c r="L2335" s="15" t="s">
        <v>1703</v>
      </c>
      <c r="M2335" s="15" t="s">
        <v>2672</v>
      </c>
      <c r="N2335" s="15" t="s">
        <v>2673</v>
      </c>
      <c r="O2335" s="15"/>
    </row>
    <row r="2336" spans="1:15" ht="18" customHeight="1" x14ac:dyDescent="0.3">
      <c r="A2336" s="29">
        <v>2335</v>
      </c>
      <c r="B2336" s="15" t="s">
        <v>78</v>
      </c>
      <c r="C2336" s="15" t="s">
        <v>79</v>
      </c>
      <c r="D2336" s="69">
        <v>124</v>
      </c>
      <c r="E2336" s="68" t="s">
        <v>2124</v>
      </c>
      <c r="F2336" s="21" t="s">
        <v>2125</v>
      </c>
      <c r="G2336" s="15" t="s">
        <v>1538</v>
      </c>
      <c r="H2336" s="15" t="s">
        <v>2941</v>
      </c>
      <c r="I2336" s="69">
        <v>158</v>
      </c>
      <c r="J2336" s="15" t="s">
        <v>2672</v>
      </c>
      <c r="K2336" s="15" t="s">
        <v>2674</v>
      </c>
      <c r="L2336" s="15" t="s">
        <v>1703</v>
      </c>
      <c r="M2336" s="15" t="s">
        <v>2672</v>
      </c>
      <c r="N2336" s="15" t="s">
        <v>2673</v>
      </c>
      <c r="O2336" s="15"/>
    </row>
    <row r="2337" spans="1:15" ht="18" customHeight="1" x14ac:dyDescent="0.3">
      <c r="A2337" s="29">
        <v>2336</v>
      </c>
      <c r="B2337" s="15" t="s">
        <v>78</v>
      </c>
      <c r="C2337" s="15" t="s">
        <v>80</v>
      </c>
      <c r="D2337" s="69">
        <v>125</v>
      </c>
      <c r="E2337" s="68" t="s">
        <v>264</v>
      </c>
      <c r="F2337" s="21" t="s">
        <v>714</v>
      </c>
      <c r="G2337" s="15" t="s">
        <v>154</v>
      </c>
      <c r="H2337" s="15" t="s">
        <v>901</v>
      </c>
      <c r="I2337" s="69">
        <v>143</v>
      </c>
      <c r="J2337" s="13" t="s">
        <v>902</v>
      </c>
      <c r="K2337" s="15" t="s">
        <v>903</v>
      </c>
      <c r="L2337" s="15" t="s">
        <v>2673</v>
      </c>
      <c r="M2337" s="15" t="s">
        <v>2672</v>
      </c>
      <c r="N2337" s="15" t="s">
        <v>2673</v>
      </c>
      <c r="O2337" s="15"/>
    </row>
    <row r="2338" spans="1:15" ht="18" customHeight="1" x14ac:dyDescent="0.3">
      <c r="A2338" s="29">
        <v>2337</v>
      </c>
      <c r="B2338" s="15" t="s">
        <v>78</v>
      </c>
      <c r="C2338" s="15" t="s">
        <v>80</v>
      </c>
      <c r="D2338" s="69">
        <v>125</v>
      </c>
      <c r="E2338" s="68" t="s">
        <v>264</v>
      </c>
      <c r="F2338" s="21" t="s">
        <v>714</v>
      </c>
      <c r="G2338" s="15" t="s">
        <v>154</v>
      </c>
      <c r="H2338" s="15" t="s">
        <v>904</v>
      </c>
      <c r="I2338" s="69">
        <v>119</v>
      </c>
      <c r="J2338" s="13" t="s">
        <v>2672</v>
      </c>
      <c r="K2338" s="15" t="s">
        <v>903</v>
      </c>
      <c r="L2338" s="15" t="s">
        <v>2673</v>
      </c>
      <c r="M2338" s="15" t="s">
        <v>2672</v>
      </c>
      <c r="N2338" s="15" t="s">
        <v>2673</v>
      </c>
      <c r="O2338" s="15"/>
    </row>
    <row r="2339" spans="1:15" ht="18" customHeight="1" x14ac:dyDescent="0.3">
      <c r="A2339" s="29">
        <v>2338</v>
      </c>
      <c r="B2339" s="15" t="s">
        <v>78</v>
      </c>
      <c r="C2339" s="15" t="s">
        <v>80</v>
      </c>
      <c r="D2339" s="69">
        <v>125</v>
      </c>
      <c r="E2339" s="68" t="s">
        <v>264</v>
      </c>
      <c r="F2339" s="21" t="s">
        <v>714</v>
      </c>
      <c r="G2339" s="15" t="s">
        <v>154</v>
      </c>
      <c r="H2339" s="15" t="s">
        <v>905</v>
      </c>
      <c r="I2339" s="69">
        <v>119</v>
      </c>
      <c r="J2339" s="13" t="s">
        <v>2672</v>
      </c>
      <c r="K2339" s="15" t="s">
        <v>903</v>
      </c>
      <c r="L2339" s="15" t="s">
        <v>2673</v>
      </c>
      <c r="M2339" s="15" t="s">
        <v>2672</v>
      </c>
      <c r="N2339" s="15" t="s">
        <v>2673</v>
      </c>
      <c r="O2339" s="15"/>
    </row>
    <row r="2340" spans="1:15" ht="18" customHeight="1" x14ac:dyDescent="0.3">
      <c r="A2340" s="29">
        <v>2339</v>
      </c>
      <c r="B2340" s="15" t="s">
        <v>78</v>
      </c>
      <c r="C2340" s="15" t="s">
        <v>80</v>
      </c>
      <c r="D2340" s="69">
        <v>125</v>
      </c>
      <c r="E2340" s="68" t="s">
        <v>264</v>
      </c>
      <c r="F2340" s="21" t="s">
        <v>714</v>
      </c>
      <c r="G2340" s="15" t="s">
        <v>154</v>
      </c>
      <c r="H2340" s="15" t="s">
        <v>906</v>
      </c>
      <c r="I2340" s="69">
        <v>144</v>
      </c>
      <c r="J2340" s="13" t="s">
        <v>2672</v>
      </c>
      <c r="K2340" s="15" t="s">
        <v>903</v>
      </c>
      <c r="L2340" s="15" t="s">
        <v>2673</v>
      </c>
      <c r="M2340" s="15" t="s">
        <v>2672</v>
      </c>
      <c r="N2340" s="15" t="s">
        <v>2673</v>
      </c>
      <c r="O2340" s="15"/>
    </row>
    <row r="2341" spans="1:15" ht="18" customHeight="1" x14ac:dyDescent="0.3">
      <c r="A2341" s="29">
        <v>2340</v>
      </c>
      <c r="B2341" s="15" t="s">
        <v>78</v>
      </c>
      <c r="C2341" s="15" t="s">
        <v>80</v>
      </c>
      <c r="D2341" s="69">
        <v>125</v>
      </c>
      <c r="E2341" s="68" t="s">
        <v>264</v>
      </c>
      <c r="F2341" s="21" t="s">
        <v>714</v>
      </c>
      <c r="G2341" s="15" t="s">
        <v>154</v>
      </c>
      <c r="H2341" s="15" t="s">
        <v>907</v>
      </c>
      <c r="I2341" s="69">
        <v>119</v>
      </c>
      <c r="J2341" s="13" t="s">
        <v>2672</v>
      </c>
      <c r="K2341" s="15" t="s">
        <v>903</v>
      </c>
      <c r="L2341" s="15" t="s">
        <v>2673</v>
      </c>
      <c r="M2341" s="15" t="s">
        <v>2672</v>
      </c>
      <c r="N2341" s="15" t="s">
        <v>2673</v>
      </c>
      <c r="O2341" s="15"/>
    </row>
    <row r="2342" spans="1:15" ht="18" customHeight="1" x14ac:dyDescent="0.3">
      <c r="A2342" s="29">
        <v>2341</v>
      </c>
      <c r="B2342" s="15" t="s">
        <v>78</v>
      </c>
      <c r="C2342" s="15" t="s">
        <v>80</v>
      </c>
      <c r="D2342" s="69">
        <v>125</v>
      </c>
      <c r="E2342" s="68" t="s">
        <v>264</v>
      </c>
      <c r="F2342" s="21" t="s">
        <v>714</v>
      </c>
      <c r="G2342" s="15" t="s">
        <v>154</v>
      </c>
      <c r="H2342" s="15" t="s">
        <v>2682</v>
      </c>
      <c r="I2342" s="69">
        <v>87</v>
      </c>
      <c r="J2342" s="13" t="s">
        <v>2672</v>
      </c>
      <c r="K2342" s="15" t="s">
        <v>903</v>
      </c>
      <c r="L2342" s="15" t="s">
        <v>2673</v>
      </c>
      <c r="M2342" s="15" t="s">
        <v>2672</v>
      </c>
      <c r="N2342" s="15" t="s">
        <v>2673</v>
      </c>
      <c r="O2342" s="15"/>
    </row>
    <row r="2343" spans="1:15" ht="18" customHeight="1" x14ac:dyDescent="0.3">
      <c r="A2343" s="29">
        <v>2342</v>
      </c>
      <c r="B2343" s="15" t="s">
        <v>78</v>
      </c>
      <c r="C2343" s="15" t="s">
        <v>80</v>
      </c>
      <c r="D2343" s="69">
        <v>125</v>
      </c>
      <c r="E2343" s="68" t="s">
        <v>264</v>
      </c>
      <c r="F2343" s="21" t="s">
        <v>714</v>
      </c>
      <c r="G2343" s="15" t="s">
        <v>154</v>
      </c>
      <c r="H2343" s="15" t="s">
        <v>2732</v>
      </c>
      <c r="I2343" s="69">
        <v>40</v>
      </c>
      <c r="J2343" s="13" t="s">
        <v>2672</v>
      </c>
      <c r="K2343" s="15" t="s">
        <v>2674</v>
      </c>
      <c r="L2343" s="15" t="s">
        <v>943</v>
      </c>
      <c r="M2343" s="15" t="s">
        <v>2672</v>
      </c>
      <c r="N2343" s="15" t="s">
        <v>2673</v>
      </c>
      <c r="O2343" s="15"/>
    </row>
    <row r="2344" spans="1:15" ht="18" customHeight="1" x14ac:dyDescent="0.3">
      <c r="A2344" s="29">
        <v>2343</v>
      </c>
      <c r="B2344" s="15" t="s">
        <v>78</v>
      </c>
      <c r="C2344" s="15" t="s">
        <v>80</v>
      </c>
      <c r="D2344" s="69">
        <v>125</v>
      </c>
      <c r="E2344" s="68" t="s">
        <v>264</v>
      </c>
      <c r="F2344" s="21" t="s">
        <v>714</v>
      </c>
      <c r="G2344" s="15" t="s">
        <v>154</v>
      </c>
      <c r="H2344" s="15" t="s">
        <v>910</v>
      </c>
      <c r="I2344" s="69">
        <v>308</v>
      </c>
      <c r="J2344" s="13" t="s">
        <v>902</v>
      </c>
      <c r="K2344" s="15" t="s">
        <v>2674</v>
      </c>
      <c r="L2344" s="15" t="s">
        <v>2747</v>
      </c>
      <c r="M2344" s="15" t="s">
        <v>2672</v>
      </c>
      <c r="N2344" s="15" t="s">
        <v>2673</v>
      </c>
      <c r="O2344" s="15" t="s">
        <v>2876</v>
      </c>
    </row>
    <row r="2345" spans="1:15" ht="18" customHeight="1" x14ac:dyDescent="0.3">
      <c r="A2345" s="29">
        <v>2344</v>
      </c>
      <c r="B2345" s="15" t="s">
        <v>78</v>
      </c>
      <c r="C2345" s="15" t="s">
        <v>80</v>
      </c>
      <c r="D2345" s="69">
        <v>125</v>
      </c>
      <c r="E2345" s="68" t="s">
        <v>302</v>
      </c>
      <c r="F2345" s="21" t="s">
        <v>715</v>
      </c>
      <c r="G2345" s="15" t="s">
        <v>164</v>
      </c>
      <c r="H2345" s="15" t="s">
        <v>901</v>
      </c>
      <c r="I2345" s="69">
        <v>141</v>
      </c>
      <c r="J2345" s="15" t="s">
        <v>2674</v>
      </c>
      <c r="K2345" s="15" t="s">
        <v>903</v>
      </c>
      <c r="L2345" s="15" t="s">
        <v>2673</v>
      </c>
      <c r="M2345" s="15" t="s">
        <v>2672</v>
      </c>
      <c r="N2345" s="15" t="s">
        <v>2673</v>
      </c>
      <c r="O2345" s="15"/>
    </row>
    <row r="2346" spans="1:15" ht="18" customHeight="1" x14ac:dyDescent="0.3">
      <c r="A2346" s="29">
        <v>2345</v>
      </c>
      <c r="B2346" s="15" t="s">
        <v>78</v>
      </c>
      <c r="C2346" s="15" t="s">
        <v>80</v>
      </c>
      <c r="D2346" s="69">
        <v>125</v>
      </c>
      <c r="E2346" s="68" t="s">
        <v>302</v>
      </c>
      <c r="F2346" s="21" t="s">
        <v>715</v>
      </c>
      <c r="G2346" s="15" t="s">
        <v>164</v>
      </c>
      <c r="H2346" s="15" t="s">
        <v>904</v>
      </c>
      <c r="I2346" s="69">
        <v>138</v>
      </c>
      <c r="J2346" s="15" t="s">
        <v>2672</v>
      </c>
      <c r="K2346" s="15" t="s">
        <v>903</v>
      </c>
      <c r="L2346" s="15" t="s">
        <v>2673</v>
      </c>
      <c r="M2346" s="15" t="s">
        <v>2672</v>
      </c>
      <c r="N2346" s="15" t="s">
        <v>2673</v>
      </c>
      <c r="O2346" s="15"/>
    </row>
    <row r="2347" spans="1:15" ht="18" customHeight="1" x14ac:dyDescent="0.3">
      <c r="A2347" s="29">
        <v>2346</v>
      </c>
      <c r="B2347" s="15" t="s">
        <v>78</v>
      </c>
      <c r="C2347" s="15" t="s">
        <v>80</v>
      </c>
      <c r="D2347" s="69">
        <v>125</v>
      </c>
      <c r="E2347" s="68" t="s">
        <v>302</v>
      </c>
      <c r="F2347" s="21" t="s">
        <v>715</v>
      </c>
      <c r="G2347" s="15" t="s">
        <v>164</v>
      </c>
      <c r="H2347" s="15" t="s">
        <v>905</v>
      </c>
      <c r="I2347" s="69">
        <v>64</v>
      </c>
      <c r="J2347" s="15" t="s">
        <v>2674</v>
      </c>
      <c r="K2347" s="15" t="s">
        <v>903</v>
      </c>
      <c r="L2347" s="15" t="s">
        <v>2673</v>
      </c>
      <c r="M2347" s="15" t="s">
        <v>2672</v>
      </c>
      <c r="N2347" s="15" t="s">
        <v>2673</v>
      </c>
      <c r="O2347" s="15"/>
    </row>
    <row r="2348" spans="1:15" ht="18" customHeight="1" x14ac:dyDescent="0.3">
      <c r="A2348" s="29">
        <v>2347</v>
      </c>
      <c r="B2348" s="15" t="s">
        <v>78</v>
      </c>
      <c r="C2348" s="15" t="s">
        <v>80</v>
      </c>
      <c r="D2348" s="69">
        <v>125</v>
      </c>
      <c r="E2348" s="68" t="s">
        <v>302</v>
      </c>
      <c r="F2348" s="21" t="s">
        <v>715</v>
      </c>
      <c r="G2348" s="15" t="s">
        <v>164</v>
      </c>
      <c r="H2348" s="15" t="s">
        <v>907</v>
      </c>
      <c r="I2348" s="69">
        <v>55</v>
      </c>
      <c r="J2348" s="15" t="s">
        <v>2672</v>
      </c>
      <c r="K2348" s="15" t="s">
        <v>903</v>
      </c>
      <c r="L2348" s="15" t="s">
        <v>2673</v>
      </c>
      <c r="M2348" s="15" t="s">
        <v>2672</v>
      </c>
      <c r="N2348" s="15" t="s">
        <v>2673</v>
      </c>
      <c r="O2348" s="15"/>
    </row>
    <row r="2349" spans="1:15" ht="18" customHeight="1" x14ac:dyDescent="0.3">
      <c r="A2349" s="29">
        <v>2348</v>
      </c>
      <c r="B2349" s="15" t="s">
        <v>78</v>
      </c>
      <c r="C2349" s="15" t="s">
        <v>80</v>
      </c>
      <c r="D2349" s="69">
        <v>125</v>
      </c>
      <c r="E2349" s="68" t="s">
        <v>302</v>
      </c>
      <c r="F2349" s="21" t="s">
        <v>715</v>
      </c>
      <c r="G2349" s="15" t="s">
        <v>164</v>
      </c>
      <c r="H2349" s="15" t="s">
        <v>908</v>
      </c>
      <c r="I2349" s="69">
        <v>139</v>
      </c>
      <c r="J2349" s="15" t="s">
        <v>2672</v>
      </c>
      <c r="K2349" s="15" t="s">
        <v>903</v>
      </c>
      <c r="L2349" s="15" t="s">
        <v>2673</v>
      </c>
      <c r="M2349" s="15" t="s">
        <v>2672</v>
      </c>
      <c r="N2349" s="15" t="s">
        <v>2673</v>
      </c>
      <c r="O2349" s="15"/>
    </row>
    <row r="2350" spans="1:15" ht="18" customHeight="1" x14ac:dyDescent="0.3">
      <c r="A2350" s="29">
        <v>2349</v>
      </c>
      <c r="B2350" s="15" t="s">
        <v>78</v>
      </c>
      <c r="C2350" s="15" t="s">
        <v>80</v>
      </c>
      <c r="D2350" s="69">
        <v>125</v>
      </c>
      <c r="E2350" s="68" t="s">
        <v>302</v>
      </c>
      <c r="F2350" s="21" t="s">
        <v>715</v>
      </c>
      <c r="G2350" s="15" t="s">
        <v>164</v>
      </c>
      <c r="H2350" s="15" t="s">
        <v>909</v>
      </c>
      <c r="I2350" s="69">
        <v>101</v>
      </c>
      <c r="J2350" s="15" t="s">
        <v>2674</v>
      </c>
      <c r="K2350" s="15" t="s">
        <v>903</v>
      </c>
      <c r="L2350" s="15" t="s">
        <v>2673</v>
      </c>
      <c r="M2350" s="15" t="s">
        <v>2672</v>
      </c>
      <c r="N2350" s="15" t="s">
        <v>2673</v>
      </c>
      <c r="O2350" s="15"/>
    </row>
    <row r="2351" spans="1:15" ht="18" customHeight="1" x14ac:dyDescent="0.3">
      <c r="A2351" s="29">
        <v>2350</v>
      </c>
      <c r="B2351" s="15" t="s">
        <v>78</v>
      </c>
      <c r="C2351" s="15" t="s">
        <v>80</v>
      </c>
      <c r="D2351" s="69">
        <v>125</v>
      </c>
      <c r="E2351" s="68" t="s">
        <v>302</v>
      </c>
      <c r="F2351" s="21" t="s">
        <v>715</v>
      </c>
      <c r="G2351" s="15" t="s">
        <v>164</v>
      </c>
      <c r="H2351" s="15" t="s">
        <v>910</v>
      </c>
      <c r="I2351" s="69">
        <v>60</v>
      </c>
      <c r="J2351" s="15" t="s">
        <v>2672</v>
      </c>
      <c r="K2351" s="15" t="s">
        <v>903</v>
      </c>
      <c r="L2351" s="15" t="s">
        <v>2673</v>
      </c>
      <c r="M2351" s="15" t="s">
        <v>2672</v>
      </c>
      <c r="N2351" s="15" t="s">
        <v>2673</v>
      </c>
      <c r="O2351" s="15"/>
    </row>
    <row r="2352" spans="1:15" ht="18" customHeight="1" x14ac:dyDescent="0.3">
      <c r="A2352" s="29">
        <v>2351</v>
      </c>
      <c r="B2352" s="15" t="s">
        <v>78</v>
      </c>
      <c r="C2352" s="15" t="s">
        <v>80</v>
      </c>
      <c r="D2352" s="69">
        <v>125</v>
      </c>
      <c r="E2352" s="68" t="s">
        <v>302</v>
      </c>
      <c r="F2352" s="21" t="s">
        <v>715</v>
      </c>
      <c r="G2352" s="15" t="s">
        <v>164</v>
      </c>
      <c r="H2352" s="15" t="s">
        <v>911</v>
      </c>
      <c r="I2352" s="69">
        <v>99</v>
      </c>
      <c r="J2352" s="15" t="s">
        <v>2672</v>
      </c>
      <c r="K2352" s="15" t="s">
        <v>903</v>
      </c>
      <c r="L2352" s="15" t="s">
        <v>2673</v>
      </c>
      <c r="M2352" s="15" t="s">
        <v>2672</v>
      </c>
      <c r="N2352" s="15" t="s">
        <v>2673</v>
      </c>
      <c r="O2352" s="15"/>
    </row>
    <row r="2353" spans="1:15" ht="18" customHeight="1" x14ac:dyDescent="0.3">
      <c r="A2353" s="29">
        <v>2352</v>
      </c>
      <c r="B2353" s="15" t="s">
        <v>78</v>
      </c>
      <c r="C2353" s="15" t="s">
        <v>80</v>
      </c>
      <c r="D2353" s="69">
        <v>125</v>
      </c>
      <c r="E2353" s="68" t="s">
        <v>3371</v>
      </c>
      <c r="F2353" s="24" t="s">
        <v>718</v>
      </c>
      <c r="G2353" s="15" t="s">
        <v>154</v>
      </c>
      <c r="H2353" s="15" t="s">
        <v>901</v>
      </c>
      <c r="I2353" s="69">
        <v>131</v>
      </c>
      <c r="J2353" s="15" t="s">
        <v>2672</v>
      </c>
      <c r="K2353" s="15" t="s">
        <v>903</v>
      </c>
      <c r="L2353" s="15" t="s">
        <v>2673</v>
      </c>
      <c r="M2353" s="15" t="s">
        <v>2672</v>
      </c>
      <c r="N2353" s="15" t="s">
        <v>2673</v>
      </c>
      <c r="O2353" s="15"/>
    </row>
    <row r="2354" spans="1:15" ht="18" customHeight="1" x14ac:dyDescent="0.3">
      <c r="A2354" s="29">
        <v>2353</v>
      </c>
      <c r="B2354" s="15" t="s">
        <v>78</v>
      </c>
      <c r="C2354" s="15" t="s">
        <v>80</v>
      </c>
      <c r="D2354" s="69">
        <v>125</v>
      </c>
      <c r="E2354" s="68" t="s">
        <v>3371</v>
      </c>
      <c r="F2354" s="24" t="s">
        <v>718</v>
      </c>
      <c r="G2354" s="15" t="s">
        <v>154</v>
      </c>
      <c r="H2354" s="15" t="s">
        <v>904</v>
      </c>
      <c r="I2354" s="69">
        <v>191</v>
      </c>
      <c r="J2354" s="15" t="s">
        <v>2672</v>
      </c>
      <c r="K2354" s="15" t="s">
        <v>903</v>
      </c>
      <c r="L2354" s="15" t="s">
        <v>2673</v>
      </c>
      <c r="M2354" s="15" t="s">
        <v>2672</v>
      </c>
      <c r="N2354" s="15" t="s">
        <v>2673</v>
      </c>
      <c r="O2354" s="15"/>
    </row>
    <row r="2355" spans="1:15" ht="18" customHeight="1" x14ac:dyDescent="0.3">
      <c r="A2355" s="29">
        <v>2354</v>
      </c>
      <c r="B2355" s="15" t="s">
        <v>78</v>
      </c>
      <c r="C2355" s="15" t="s">
        <v>80</v>
      </c>
      <c r="D2355" s="69">
        <v>125</v>
      </c>
      <c r="E2355" s="68" t="s">
        <v>3371</v>
      </c>
      <c r="F2355" s="24" t="s">
        <v>718</v>
      </c>
      <c r="G2355" s="15" t="s">
        <v>154</v>
      </c>
      <c r="H2355" s="15" t="s">
        <v>905</v>
      </c>
      <c r="I2355" s="69">
        <v>380</v>
      </c>
      <c r="J2355" s="15" t="s">
        <v>2674</v>
      </c>
      <c r="K2355" s="15" t="s">
        <v>903</v>
      </c>
      <c r="L2355" s="15" t="s">
        <v>2673</v>
      </c>
      <c r="M2355" s="15" t="s">
        <v>2672</v>
      </c>
      <c r="N2355" s="15" t="s">
        <v>2673</v>
      </c>
      <c r="O2355" s="15"/>
    </row>
    <row r="2356" spans="1:15" ht="18" customHeight="1" x14ac:dyDescent="0.3">
      <c r="A2356" s="29">
        <v>2355</v>
      </c>
      <c r="B2356" s="15" t="s">
        <v>78</v>
      </c>
      <c r="C2356" s="15" t="s">
        <v>80</v>
      </c>
      <c r="D2356" s="69">
        <v>125</v>
      </c>
      <c r="E2356" s="68" t="s">
        <v>3371</v>
      </c>
      <c r="F2356" s="24" t="s">
        <v>718</v>
      </c>
      <c r="G2356" s="15" t="s">
        <v>154</v>
      </c>
      <c r="H2356" s="15" t="s">
        <v>907</v>
      </c>
      <c r="I2356" s="69">
        <v>198</v>
      </c>
      <c r="J2356" s="15" t="s">
        <v>2672</v>
      </c>
      <c r="K2356" s="15" t="s">
        <v>903</v>
      </c>
      <c r="L2356" s="15" t="s">
        <v>2673</v>
      </c>
      <c r="M2356" s="15" t="s">
        <v>2672</v>
      </c>
      <c r="N2356" s="15" t="s">
        <v>2673</v>
      </c>
      <c r="O2356" s="15"/>
    </row>
    <row r="2357" spans="1:15" ht="18" customHeight="1" x14ac:dyDescent="0.3">
      <c r="A2357" s="29">
        <v>2356</v>
      </c>
      <c r="B2357" s="15" t="s">
        <v>78</v>
      </c>
      <c r="C2357" s="15" t="s">
        <v>80</v>
      </c>
      <c r="D2357" s="69">
        <v>125</v>
      </c>
      <c r="E2357" s="68" t="s">
        <v>3371</v>
      </c>
      <c r="F2357" s="24" t="s">
        <v>718</v>
      </c>
      <c r="G2357" s="15" t="s">
        <v>154</v>
      </c>
      <c r="H2357" s="15" t="s">
        <v>908</v>
      </c>
      <c r="I2357" s="69">
        <v>192</v>
      </c>
      <c r="J2357" s="15" t="s">
        <v>2672</v>
      </c>
      <c r="K2357" s="15" t="s">
        <v>903</v>
      </c>
      <c r="L2357" s="15" t="s">
        <v>2673</v>
      </c>
      <c r="M2357" s="15" t="s">
        <v>2672</v>
      </c>
      <c r="N2357" s="15" t="s">
        <v>2673</v>
      </c>
      <c r="O2357" s="15"/>
    </row>
    <row r="2358" spans="1:15" ht="18" customHeight="1" x14ac:dyDescent="0.3">
      <c r="A2358" s="29">
        <v>2357</v>
      </c>
      <c r="B2358" s="15" t="s">
        <v>78</v>
      </c>
      <c r="C2358" s="15" t="s">
        <v>80</v>
      </c>
      <c r="D2358" s="69">
        <v>125</v>
      </c>
      <c r="E2358" s="68" t="s">
        <v>3371</v>
      </c>
      <c r="F2358" s="24" t="s">
        <v>718</v>
      </c>
      <c r="G2358" s="15" t="s">
        <v>154</v>
      </c>
      <c r="H2358" s="15" t="s">
        <v>909</v>
      </c>
      <c r="I2358" s="69">
        <v>153</v>
      </c>
      <c r="J2358" s="15" t="s">
        <v>2674</v>
      </c>
      <c r="K2358" s="15" t="s">
        <v>903</v>
      </c>
      <c r="L2358" s="15" t="s">
        <v>2673</v>
      </c>
      <c r="M2358" s="15" t="s">
        <v>2672</v>
      </c>
      <c r="N2358" s="15" t="s">
        <v>2673</v>
      </c>
      <c r="O2358" s="15"/>
    </row>
    <row r="2359" spans="1:15" ht="18" customHeight="1" x14ac:dyDescent="0.3">
      <c r="A2359" s="29">
        <v>2358</v>
      </c>
      <c r="B2359" s="15" t="s">
        <v>78</v>
      </c>
      <c r="C2359" s="15" t="s">
        <v>80</v>
      </c>
      <c r="D2359" s="69">
        <v>125</v>
      </c>
      <c r="E2359" s="68" t="s">
        <v>3371</v>
      </c>
      <c r="F2359" s="24" t="s">
        <v>718</v>
      </c>
      <c r="G2359" s="15" t="s">
        <v>154</v>
      </c>
      <c r="H2359" s="15" t="s">
        <v>910</v>
      </c>
      <c r="I2359" s="69">
        <v>239</v>
      </c>
      <c r="J2359" s="15" t="s">
        <v>2674</v>
      </c>
      <c r="K2359" s="15" t="s">
        <v>903</v>
      </c>
      <c r="L2359" s="15" t="s">
        <v>2673</v>
      </c>
      <c r="M2359" s="15" t="s">
        <v>2672</v>
      </c>
      <c r="N2359" s="15" t="s">
        <v>2673</v>
      </c>
      <c r="O2359" s="15"/>
    </row>
    <row r="2360" spans="1:15" ht="18" customHeight="1" x14ac:dyDescent="0.3">
      <c r="A2360" s="29">
        <v>2359</v>
      </c>
      <c r="B2360" s="15" t="s">
        <v>78</v>
      </c>
      <c r="C2360" s="15" t="s">
        <v>80</v>
      </c>
      <c r="D2360" s="69">
        <v>125</v>
      </c>
      <c r="E2360" s="68" t="s">
        <v>3371</v>
      </c>
      <c r="F2360" s="24" t="s">
        <v>718</v>
      </c>
      <c r="G2360" s="15" t="s">
        <v>154</v>
      </c>
      <c r="H2360" s="15" t="s">
        <v>911</v>
      </c>
      <c r="I2360" s="69">
        <v>221</v>
      </c>
      <c r="J2360" s="15" t="s">
        <v>2672</v>
      </c>
      <c r="K2360" s="15" t="s">
        <v>903</v>
      </c>
      <c r="L2360" s="15" t="s">
        <v>2673</v>
      </c>
      <c r="M2360" s="15" t="s">
        <v>2672</v>
      </c>
      <c r="N2360" s="15" t="s">
        <v>2673</v>
      </c>
      <c r="O2360" s="15"/>
    </row>
    <row r="2361" spans="1:15" ht="18" customHeight="1" x14ac:dyDescent="0.3">
      <c r="A2361" s="29">
        <v>2360</v>
      </c>
      <c r="B2361" s="15" t="s">
        <v>78</v>
      </c>
      <c r="C2361" s="15" t="s">
        <v>80</v>
      </c>
      <c r="D2361" s="69">
        <v>125</v>
      </c>
      <c r="E2361" s="68" t="s">
        <v>3371</v>
      </c>
      <c r="F2361" s="24" t="s">
        <v>718</v>
      </c>
      <c r="G2361" s="15" t="s">
        <v>154</v>
      </c>
      <c r="H2361" s="15" t="s">
        <v>2776</v>
      </c>
      <c r="I2361" s="69">
        <v>44</v>
      </c>
      <c r="J2361" s="15" t="s">
        <v>2672</v>
      </c>
      <c r="K2361" s="15" t="s">
        <v>903</v>
      </c>
      <c r="L2361" s="15" t="s">
        <v>2673</v>
      </c>
      <c r="M2361" s="15" t="s">
        <v>2672</v>
      </c>
      <c r="N2361" s="15" t="s">
        <v>2673</v>
      </c>
      <c r="O2361" s="15"/>
    </row>
    <row r="2362" spans="1:15" ht="18" customHeight="1" x14ac:dyDescent="0.3">
      <c r="A2362" s="29">
        <v>2361</v>
      </c>
      <c r="B2362" s="15" t="s">
        <v>78</v>
      </c>
      <c r="C2362" s="15" t="s">
        <v>80</v>
      </c>
      <c r="D2362" s="69">
        <v>125</v>
      </c>
      <c r="E2362" s="68" t="s">
        <v>3371</v>
      </c>
      <c r="F2362" s="24" t="s">
        <v>2957</v>
      </c>
      <c r="G2362" s="15" t="s">
        <v>154</v>
      </c>
      <c r="H2362" s="15" t="s">
        <v>906</v>
      </c>
      <c r="I2362" s="69">
        <v>198</v>
      </c>
      <c r="J2362" s="15" t="s">
        <v>2672</v>
      </c>
      <c r="K2362" s="15" t="s">
        <v>903</v>
      </c>
      <c r="L2362" s="15" t="s">
        <v>2673</v>
      </c>
      <c r="M2362" s="15" t="s">
        <v>2672</v>
      </c>
      <c r="N2362" s="15" t="s">
        <v>2673</v>
      </c>
      <c r="O2362" s="15"/>
    </row>
    <row r="2363" spans="1:15" ht="18" customHeight="1" x14ac:dyDescent="0.3">
      <c r="A2363" s="29">
        <v>2362</v>
      </c>
      <c r="B2363" s="15" t="s">
        <v>78</v>
      </c>
      <c r="C2363" s="15" t="s">
        <v>80</v>
      </c>
      <c r="D2363" s="69">
        <v>125</v>
      </c>
      <c r="E2363" s="68" t="s">
        <v>236</v>
      </c>
      <c r="F2363" s="21" t="s">
        <v>713</v>
      </c>
      <c r="G2363" s="15" t="s">
        <v>1553</v>
      </c>
      <c r="H2363" s="15" t="s">
        <v>901</v>
      </c>
      <c r="I2363" s="69">
        <v>68</v>
      </c>
      <c r="J2363" s="13" t="s">
        <v>2672</v>
      </c>
      <c r="K2363" s="15" t="s">
        <v>2674</v>
      </c>
      <c r="L2363" s="15" t="s">
        <v>2525</v>
      </c>
      <c r="M2363" s="15" t="s">
        <v>2672</v>
      </c>
      <c r="N2363" s="15" t="s">
        <v>2673</v>
      </c>
      <c r="O2363" s="15"/>
    </row>
    <row r="2364" spans="1:15" ht="18" customHeight="1" x14ac:dyDescent="0.3">
      <c r="A2364" s="29">
        <v>2363</v>
      </c>
      <c r="B2364" s="15" t="s">
        <v>78</v>
      </c>
      <c r="C2364" s="15" t="s">
        <v>80</v>
      </c>
      <c r="D2364" s="69">
        <v>125</v>
      </c>
      <c r="E2364" s="68" t="s">
        <v>236</v>
      </c>
      <c r="F2364" s="21" t="s">
        <v>713</v>
      </c>
      <c r="G2364" s="15" t="s">
        <v>1553</v>
      </c>
      <c r="H2364" s="15" t="s">
        <v>904</v>
      </c>
      <c r="I2364" s="69">
        <v>45</v>
      </c>
      <c r="J2364" s="13" t="s">
        <v>2672</v>
      </c>
      <c r="K2364" s="15" t="s">
        <v>2674</v>
      </c>
      <c r="L2364" s="15" t="s">
        <v>2525</v>
      </c>
      <c r="M2364" s="15" t="s">
        <v>2672</v>
      </c>
      <c r="N2364" s="15" t="s">
        <v>2673</v>
      </c>
      <c r="O2364" s="15"/>
    </row>
    <row r="2365" spans="1:15" ht="18" customHeight="1" x14ac:dyDescent="0.3">
      <c r="A2365" s="29">
        <v>2364</v>
      </c>
      <c r="B2365" s="15" t="s">
        <v>78</v>
      </c>
      <c r="C2365" s="15" t="s">
        <v>80</v>
      </c>
      <c r="D2365" s="69">
        <v>125</v>
      </c>
      <c r="E2365" s="68" t="s">
        <v>236</v>
      </c>
      <c r="F2365" s="21" t="s">
        <v>713</v>
      </c>
      <c r="G2365" s="15" t="s">
        <v>1553</v>
      </c>
      <c r="H2365" s="15" t="s">
        <v>905</v>
      </c>
      <c r="I2365" s="69">
        <v>79</v>
      </c>
      <c r="J2365" s="13" t="s">
        <v>2672</v>
      </c>
      <c r="K2365" s="15" t="s">
        <v>2674</v>
      </c>
      <c r="L2365" s="15" t="s">
        <v>2525</v>
      </c>
      <c r="M2365" s="15" t="s">
        <v>2672</v>
      </c>
      <c r="N2365" s="15" t="s">
        <v>2673</v>
      </c>
      <c r="O2365" s="15"/>
    </row>
    <row r="2366" spans="1:15" ht="18" customHeight="1" x14ac:dyDescent="0.3">
      <c r="A2366" s="29">
        <v>2365</v>
      </c>
      <c r="B2366" s="15" t="s">
        <v>78</v>
      </c>
      <c r="C2366" s="15" t="s">
        <v>80</v>
      </c>
      <c r="D2366" s="69">
        <v>125</v>
      </c>
      <c r="E2366" s="68" t="s">
        <v>236</v>
      </c>
      <c r="F2366" s="21" t="s">
        <v>713</v>
      </c>
      <c r="G2366" s="15" t="s">
        <v>1553</v>
      </c>
      <c r="H2366" s="15" t="s">
        <v>906</v>
      </c>
      <c r="I2366" s="69">
        <v>83</v>
      </c>
      <c r="J2366" s="13" t="s">
        <v>2672</v>
      </c>
      <c r="K2366" s="15" t="s">
        <v>2674</v>
      </c>
      <c r="L2366" s="15" t="s">
        <v>2525</v>
      </c>
      <c r="M2366" s="15" t="s">
        <v>2672</v>
      </c>
      <c r="N2366" s="15" t="s">
        <v>2673</v>
      </c>
      <c r="O2366" s="15"/>
    </row>
    <row r="2367" spans="1:15" ht="18" customHeight="1" x14ac:dyDescent="0.3">
      <c r="A2367" s="29">
        <v>2366</v>
      </c>
      <c r="B2367" s="15" t="s">
        <v>78</v>
      </c>
      <c r="C2367" s="15" t="s">
        <v>80</v>
      </c>
      <c r="D2367" s="69">
        <v>125</v>
      </c>
      <c r="E2367" s="68" t="s">
        <v>236</v>
      </c>
      <c r="F2367" s="21" t="s">
        <v>713</v>
      </c>
      <c r="G2367" s="15" t="s">
        <v>1553</v>
      </c>
      <c r="H2367" s="15" t="s">
        <v>907</v>
      </c>
      <c r="I2367" s="69">
        <v>52</v>
      </c>
      <c r="J2367" s="13" t="s">
        <v>2672</v>
      </c>
      <c r="K2367" s="15" t="s">
        <v>2674</v>
      </c>
      <c r="L2367" s="15" t="s">
        <v>2525</v>
      </c>
      <c r="M2367" s="15" t="s">
        <v>2672</v>
      </c>
      <c r="N2367" s="15" t="s">
        <v>2673</v>
      </c>
      <c r="O2367" s="15"/>
    </row>
    <row r="2368" spans="1:15" ht="18" customHeight="1" x14ac:dyDescent="0.3">
      <c r="A2368" s="29">
        <v>2367</v>
      </c>
      <c r="B2368" s="15" t="s">
        <v>78</v>
      </c>
      <c r="C2368" s="15" t="s">
        <v>80</v>
      </c>
      <c r="D2368" s="69">
        <v>125</v>
      </c>
      <c r="E2368" s="68" t="s">
        <v>236</v>
      </c>
      <c r="F2368" s="21" t="s">
        <v>713</v>
      </c>
      <c r="G2368" s="15" t="s">
        <v>1553</v>
      </c>
      <c r="H2368" s="15" t="s">
        <v>908</v>
      </c>
      <c r="I2368" s="69">
        <v>180</v>
      </c>
      <c r="J2368" s="13" t="s">
        <v>2674</v>
      </c>
      <c r="K2368" s="15" t="s">
        <v>903</v>
      </c>
      <c r="L2368" s="15" t="s">
        <v>2673</v>
      </c>
      <c r="M2368" s="15" t="s">
        <v>2672</v>
      </c>
      <c r="N2368" s="15" t="s">
        <v>2673</v>
      </c>
      <c r="O2368" s="15"/>
    </row>
    <row r="2369" spans="1:15" ht="18" customHeight="1" x14ac:dyDescent="0.3">
      <c r="A2369" s="29">
        <v>2368</v>
      </c>
      <c r="B2369" s="15" t="s">
        <v>78</v>
      </c>
      <c r="C2369" s="15" t="s">
        <v>80</v>
      </c>
      <c r="D2369" s="69">
        <v>125</v>
      </c>
      <c r="E2369" s="68" t="s">
        <v>236</v>
      </c>
      <c r="F2369" s="21" t="s">
        <v>713</v>
      </c>
      <c r="G2369" s="15" t="s">
        <v>1553</v>
      </c>
      <c r="H2369" s="15" t="s">
        <v>909</v>
      </c>
      <c r="I2369" s="69">
        <v>180</v>
      </c>
      <c r="J2369" s="13" t="s">
        <v>2672</v>
      </c>
      <c r="K2369" s="15" t="s">
        <v>903</v>
      </c>
      <c r="L2369" s="15" t="s">
        <v>2673</v>
      </c>
      <c r="M2369" s="15" t="s">
        <v>2672</v>
      </c>
      <c r="N2369" s="15" t="s">
        <v>2673</v>
      </c>
      <c r="O2369" s="15"/>
    </row>
    <row r="2370" spans="1:15" ht="18" customHeight="1" x14ac:dyDescent="0.3">
      <c r="A2370" s="29">
        <v>2369</v>
      </c>
      <c r="B2370" s="15" t="s">
        <v>78</v>
      </c>
      <c r="C2370" s="15" t="s">
        <v>80</v>
      </c>
      <c r="D2370" s="69">
        <v>125</v>
      </c>
      <c r="E2370" s="68" t="s">
        <v>303</v>
      </c>
      <c r="F2370" s="21" t="s">
        <v>716</v>
      </c>
      <c r="G2370" s="15" t="s">
        <v>164</v>
      </c>
      <c r="H2370" s="15" t="s">
        <v>2958</v>
      </c>
      <c r="I2370" s="13">
        <v>71</v>
      </c>
      <c r="J2370" s="15" t="s">
        <v>2672</v>
      </c>
      <c r="K2370" s="15" t="s">
        <v>2674</v>
      </c>
      <c r="L2370" s="15" t="s">
        <v>1703</v>
      </c>
      <c r="M2370" s="15" t="s">
        <v>2672</v>
      </c>
      <c r="N2370" s="15" t="s">
        <v>2673</v>
      </c>
      <c r="O2370" s="15" t="s">
        <v>2959</v>
      </c>
    </row>
    <row r="2371" spans="1:15" ht="18" customHeight="1" x14ac:dyDescent="0.3">
      <c r="A2371" s="29">
        <v>2370</v>
      </c>
      <c r="B2371" s="15" t="s">
        <v>78</v>
      </c>
      <c r="C2371" s="15" t="s">
        <v>80</v>
      </c>
      <c r="D2371" s="69">
        <v>125</v>
      </c>
      <c r="E2371" s="68" t="s">
        <v>303</v>
      </c>
      <c r="F2371" s="21" t="s">
        <v>716</v>
      </c>
      <c r="G2371" s="15" t="s">
        <v>164</v>
      </c>
      <c r="H2371" s="15" t="s">
        <v>2960</v>
      </c>
      <c r="I2371" s="13">
        <v>84</v>
      </c>
      <c r="J2371" s="15" t="s">
        <v>2674</v>
      </c>
      <c r="K2371" s="15" t="s">
        <v>2674</v>
      </c>
      <c r="L2371" s="15" t="s">
        <v>1703</v>
      </c>
      <c r="M2371" s="15" t="s">
        <v>2672</v>
      </c>
      <c r="N2371" s="15" t="s">
        <v>2673</v>
      </c>
      <c r="O2371" s="15" t="s">
        <v>2959</v>
      </c>
    </row>
    <row r="2372" spans="1:15" ht="18" customHeight="1" x14ac:dyDescent="0.3">
      <c r="A2372" s="29">
        <v>2371</v>
      </c>
      <c r="B2372" s="15" t="s">
        <v>78</v>
      </c>
      <c r="C2372" s="15" t="s">
        <v>80</v>
      </c>
      <c r="D2372" s="69">
        <v>125</v>
      </c>
      <c r="E2372" s="68" t="s">
        <v>303</v>
      </c>
      <c r="F2372" s="21" t="s">
        <v>716</v>
      </c>
      <c r="G2372" s="15" t="s">
        <v>164</v>
      </c>
      <c r="H2372" s="15" t="s">
        <v>2961</v>
      </c>
      <c r="I2372" s="13">
        <v>101</v>
      </c>
      <c r="J2372" s="15" t="s">
        <v>2672</v>
      </c>
      <c r="K2372" s="15" t="s">
        <v>2674</v>
      </c>
      <c r="L2372" s="15" t="s">
        <v>1703</v>
      </c>
      <c r="M2372" s="15" t="s">
        <v>2672</v>
      </c>
      <c r="N2372" s="15" t="s">
        <v>2673</v>
      </c>
      <c r="O2372" s="15" t="s">
        <v>2962</v>
      </c>
    </row>
    <row r="2373" spans="1:15" ht="18" customHeight="1" x14ac:dyDescent="0.3">
      <c r="A2373" s="29">
        <v>2372</v>
      </c>
      <c r="B2373" s="15" t="s">
        <v>78</v>
      </c>
      <c r="C2373" s="15" t="s">
        <v>80</v>
      </c>
      <c r="D2373" s="69">
        <v>125</v>
      </c>
      <c r="E2373" s="68" t="s">
        <v>303</v>
      </c>
      <c r="F2373" s="21" t="s">
        <v>716</v>
      </c>
      <c r="G2373" s="15" t="s">
        <v>164</v>
      </c>
      <c r="H2373" s="15" t="s">
        <v>2963</v>
      </c>
      <c r="I2373" s="13">
        <v>89</v>
      </c>
      <c r="J2373" s="15" t="s">
        <v>2672</v>
      </c>
      <c r="K2373" s="15" t="s">
        <v>2674</v>
      </c>
      <c r="L2373" s="15" t="s">
        <v>1703</v>
      </c>
      <c r="M2373" s="15" t="s">
        <v>2672</v>
      </c>
      <c r="N2373" s="15" t="s">
        <v>2673</v>
      </c>
      <c r="O2373" s="15" t="s">
        <v>2962</v>
      </c>
    </row>
    <row r="2374" spans="1:15" ht="18" customHeight="1" x14ac:dyDescent="0.3">
      <c r="A2374" s="29">
        <v>2373</v>
      </c>
      <c r="B2374" s="15" t="s">
        <v>78</v>
      </c>
      <c r="C2374" s="15" t="s">
        <v>80</v>
      </c>
      <c r="D2374" s="69">
        <v>125</v>
      </c>
      <c r="E2374" s="68" t="s">
        <v>303</v>
      </c>
      <c r="F2374" s="21" t="s">
        <v>716</v>
      </c>
      <c r="G2374" s="15" t="s">
        <v>164</v>
      </c>
      <c r="H2374" s="15" t="s">
        <v>2964</v>
      </c>
      <c r="I2374" s="13">
        <v>76</v>
      </c>
      <c r="J2374" s="15" t="s">
        <v>2672</v>
      </c>
      <c r="K2374" s="15" t="s">
        <v>2674</v>
      </c>
      <c r="L2374" s="15" t="s">
        <v>1703</v>
      </c>
      <c r="M2374" s="15" t="s">
        <v>2672</v>
      </c>
      <c r="N2374" s="15" t="s">
        <v>2673</v>
      </c>
      <c r="O2374" s="15" t="s">
        <v>2962</v>
      </c>
    </row>
    <row r="2375" spans="1:15" ht="18" customHeight="1" x14ac:dyDescent="0.3">
      <c r="A2375" s="29">
        <v>2374</v>
      </c>
      <c r="B2375" s="15" t="s">
        <v>78</v>
      </c>
      <c r="C2375" s="15" t="s">
        <v>80</v>
      </c>
      <c r="D2375" s="69">
        <v>125</v>
      </c>
      <c r="E2375" s="68" t="s">
        <v>303</v>
      </c>
      <c r="F2375" s="21" t="s">
        <v>716</v>
      </c>
      <c r="G2375" s="15" t="s">
        <v>164</v>
      </c>
      <c r="H2375" s="15" t="s">
        <v>2965</v>
      </c>
      <c r="I2375" s="13">
        <v>76</v>
      </c>
      <c r="J2375" s="15" t="s">
        <v>2672</v>
      </c>
      <c r="K2375" s="15" t="s">
        <v>2674</v>
      </c>
      <c r="L2375" s="15" t="s">
        <v>1703</v>
      </c>
      <c r="M2375" s="15" t="s">
        <v>2672</v>
      </c>
      <c r="N2375" s="15" t="s">
        <v>2673</v>
      </c>
      <c r="O2375" s="15" t="s">
        <v>2962</v>
      </c>
    </row>
    <row r="2376" spans="1:15" ht="18" customHeight="1" x14ac:dyDescent="0.3">
      <c r="A2376" s="29">
        <v>2375</v>
      </c>
      <c r="B2376" s="15" t="s">
        <v>78</v>
      </c>
      <c r="C2376" s="15" t="s">
        <v>80</v>
      </c>
      <c r="D2376" s="69">
        <v>125</v>
      </c>
      <c r="E2376" s="68" t="s">
        <v>303</v>
      </c>
      <c r="F2376" s="21" t="s">
        <v>716</v>
      </c>
      <c r="G2376" s="15" t="s">
        <v>164</v>
      </c>
      <c r="H2376" s="15" t="s">
        <v>2966</v>
      </c>
      <c r="I2376" s="13">
        <v>76</v>
      </c>
      <c r="J2376" s="15" t="s">
        <v>2672</v>
      </c>
      <c r="K2376" s="15" t="s">
        <v>2674</v>
      </c>
      <c r="L2376" s="15" t="s">
        <v>1703</v>
      </c>
      <c r="M2376" s="15" t="s">
        <v>2672</v>
      </c>
      <c r="N2376" s="15" t="s">
        <v>2673</v>
      </c>
      <c r="O2376" s="15" t="s">
        <v>2962</v>
      </c>
    </row>
    <row r="2377" spans="1:15" ht="18" customHeight="1" x14ac:dyDescent="0.3">
      <c r="A2377" s="29">
        <v>2376</v>
      </c>
      <c r="B2377" s="15" t="s">
        <v>78</v>
      </c>
      <c r="C2377" s="15" t="s">
        <v>80</v>
      </c>
      <c r="D2377" s="69">
        <v>125</v>
      </c>
      <c r="E2377" s="68" t="s">
        <v>303</v>
      </c>
      <c r="F2377" s="21" t="s">
        <v>716</v>
      </c>
      <c r="G2377" s="15" t="s">
        <v>164</v>
      </c>
      <c r="H2377" s="15" t="s">
        <v>2967</v>
      </c>
      <c r="I2377" s="13">
        <v>118</v>
      </c>
      <c r="J2377" s="15" t="s">
        <v>2672</v>
      </c>
      <c r="K2377" s="15" t="s">
        <v>903</v>
      </c>
      <c r="L2377" s="15" t="s">
        <v>2673</v>
      </c>
      <c r="M2377" s="15" t="s">
        <v>2672</v>
      </c>
      <c r="N2377" s="15" t="s">
        <v>2673</v>
      </c>
      <c r="O2377" s="15"/>
    </row>
    <row r="2378" spans="1:15" ht="18" customHeight="1" x14ac:dyDescent="0.3">
      <c r="A2378" s="29">
        <v>2377</v>
      </c>
      <c r="B2378" s="15" t="s">
        <v>78</v>
      </c>
      <c r="C2378" s="15" t="s">
        <v>80</v>
      </c>
      <c r="D2378" s="69">
        <v>125</v>
      </c>
      <c r="E2378" s="68" t="s">
        <v>303</v>
      </c>
      <c r="F2378" s="21" t="s">
        <v>716</v>
      </c>
      <c r="G2378" s="15" t="s">
        <v>164</v>
      </c>
      <c r="H2378" s="15" t="s">
        <v>1027</v>
      </c>
      <c r="I2378" s="13">
        <v>76</v>
      </c>
      <c r="J2378" s="15" t="s">
        <v>2672</v>
      </c>
      <c r="K2378" s="15" t="s">
        <v>903</v>
      </c>
      <c r="L2378" s="15" t="s">
        <v>2673</v>
      </c>
      <c r="M2378" s="15" t="s">
        <v>2672</v>
      </c>
      <c r="N2378" s="15" t="s">
        <v>2673</v>
      </c>
      <c r="O2378" s="15"/>
    </row>
    <row r="2379" spans="1:15" ht="18" customHeight="1" x14ac:dyDescent="0.3">
      <c r="A2379" s="29">
        <v>2378</v>
      </c>
      <c r="B2379" s="15" t="s">
        <v>78</v>
      </c>
      <c r="C2379" s="15" t="s">
        <v>81</v>
      </c>
      <c r="D2379" s="69">
        <v>126</v>
      </c>
      <c r="E2379" s="68" t="s">
        <v>997</v>
      </c>
      <c r="F2379" s="32" t="s">
        <v>2133</v>
      </c>
      <c r="G2379" s="15" t="s">
        <v>2673</v>
      </c>
      <c r="H2379" s="15" t="s">
        <v>901</v>
      </c>
      <c r="I2379" s="69">
        <v>111</v>
      </c>
      <c r="J2379" s="15" t="s">
        <v>2672</v>
      </c>
      <c r="K2379" s="15" t="s">
        <v>903</v>
      </c>
      <c r="L2379" s="15" t="s">
        <v>2673</v>
      </c>
      <c r="M2379" s="15" t="s">
        <v>2674</v>
      </c>
      <c r="N2379" s="15" t="s">
        <v>1508</v>
      </c>
      <c r="O2379" s="15"/>
    </row>
    <row r="2380" spans="1:15" ht="18" customHeight="1" x14ac:dyDescent="0.3">
      <c r="A2380" s="29">
        <v>2379</v>
      </c>
      <c r="B2380" s="15" t="s">
        <v>78</v>
      </c>
      <c r="C2380" s="15" t="s">
        <v>81</v>
      </c>
      <c r="D2380" s="69">
        <v>126</v>
      </c>
      <c r="E2380" s="68" t="s">
        <v>3372</v>
      </c>
      <c r="F2380" s="24" t="s">
        <v>709</v>
      </c>
      <c r="G2380" s="15" t="s">
        <v>154</v>
      </c>
      <c r="H2380" s="15" t="s">
        <v>2685</v>
      </c>
      <c r="I2380" s="69">
        <v>168</v>
      </c>
      <c r="J2380" s="15" t="s">
        <v>2672</v>
      </c>
      <c r="K2380" s="15" t="s">
        <v>903</v>
      </c>
      <c r="L2380" s="15" t="s">
        <v>2673</v>
      </c>
      <c r="M2380" s="15" t="s">
        <v>2672</v>
      </c>
      <c r="N2380" s="15" t="s">
        <v>2673</v>
      </c>
      <c r="O2380" s="15"/>
    </row>
    <row r="2381" spans="1:15" ht="18" customHeight="1" x14ac:dyDescent="0.3">
      <c r="A2381" s="29">
        <v>2380</v>
      </c>
      <c r="B2381" s="15" t="s">
        <v>78</v>
      </c>
      <c r="C2381" s="15" t="s">
        <v>81</v>
      </c>
      <c r="D2381" s="69">
        <v>126</v>
      </c>
      <c r="E2381" s="68" t="s">
        <v>3372</v>
      </c>
      <c r="F2381" s="24" t="s">
        <v>709</v>
      </c>
      <c r="G2381" s="15" t="s">
        <v>154</v>
      </c>
      <c r="H2381" s="15" t="s">
        <v>2678</v>
      </c>
      <c r="I2381" s="69">
        <v>168</v>
      </c>
      <c r="J2381" s="15" t="s">
        <v>2672</v>
      </c>
      <c r="K2381" s="15" t="s">
        <v>903</v>
      </c>
      <c r="L2381" s="15" t="s">
        <v>2673</v>
      </c>
      <c r="M2381" s="15" t="s">
        <v>2672</v>
      </c>
      <c r="N2381" s="15" t="s">
        <v>2673</v>
      </c>
      <c r="O2381" s="15"/>
    </row>
    <row r="2382" spans="1:15" ht="18" customHeight="1" x14ac:dyDescent="0.3">
      <c r="A2382" s="29">
        <v>2381</v>
      </c>
      <c r="B2382" s="15" t="s">
        <v>78</v>
      </c>
      <c r="C2382" s="15" t="s">
        <v>81</v>
      </c>
      <c r="D2382" s="69">
        <v>126</v>
      </c>
      <c r="E2382" s="68" t="s">
        <v>3372</v>
      </c>
      <c r="F2382" s="24" t="s">
        <v>709</v>
      </c>
      <c r="G2382" s="15" t="s">
        <v>154</v>
      </c>
      <c r="H2382" s="15" t="s">
        <v>2679</v>
      </c>
      <c r="I2382" s="69">
        <v>168</v>
      </c>
      <c r="J2382" s="15" t="s">
        <v>2674</v>
      </c>
      <c r="K2382" s="15" t="s">
        <v>903</v>
      </c>
      <c r="L2382" s="15" t="s">
        <v>2673</v>
      </c>
      <c r="M2382" s="15" t="s">
        <v>2672</v>
      </c>
      <c r="N2382" s="15" t="s">
        <v>2673</v>
      </c>
      <c r="O2382" s="15"/>
    </row>
    <row r="2383" spans="1:15" ht="18" customHeight="1" x14ac:dyDescent="0.3">
      <c r="A2383" s="29">
        <v>2382</v>
      </c>
      <c r="B2383" s="15" t="s">
        <v>78</v>
      </c>
      <c r="C2383" s="15" t="s">
        <v>81</v>
      </c>
      <c r="D2383" s="69">
        <v>126</v>
      </c>
      <c r="E2383" s="68" t="s">
        <v>3372</v>
      </c>
      <c r="F2383" s="24" t="s">
        <v>709</v>
      </c>
      <c r="G2383" s="15" t="s">
        <v>154</v>
      </c>
      <c r="H2383" s="15" t="s">
        <v>2680</v>
      </c>
      <c r="I2383" s="69">
        <v>188</v>
      </c>
      <c r="J2383" s="15" t="s">
        <v>2674</v>
      </c>
      <c r="K2383" s="15" t="s">
        <v>903</v>
      </c>
      <c r="L2383" s="15" t="s">
        <v>2673</v>
      </c>
      <c r="M2383" s="15" t="s">
        <v>2672</v>
      </c>
      <c r="N2383" s="15" t="s">
        <v>2673</v>
      </c>
      <c r="O2383" s="15"/>
    </row>
    <row r="2384" spans="1:15" ht="18" customHeight="1" x14ac:dyDescent="0.3">
      <c r="A2384" s="29">
        <v>2383</v>
      </c>
      <c r="B2384" s="15" t="s">
        <v>78</v>
      </c>
      <c r="C2384" s="15" t="s">
        <v>81</v>
      </c>
      <c r="D2384" s="69">
        <v>126</v>
      </c>
      <c r="E2384" s="68" t="s">
        <v>3372</v>
      </c>
      <c r="F2384" s="24" t="s">
        <v>709</v>
      </c>
      <c r="G2384" s="15" t="s">
        <v>154</v>
      </c>
      <c r="H2384" s="15" t="s">
        <v>2690</v>
      </c>
      <c r="I2384" s="69">
        <v>96</v>
      </c>
      <c r="J2384" s="15" t="s">
        <v>2672</v>
      </c>
      <c r="K2384" s="15" t="s">
        <v>903</v>
      </c>
      <c r="L2384" s="15" t="s">
        <v>2673</v>
      </c>
      <c r="M2384" s="15" t="s">
        <v>2672</v>
      </c>
      <c r="N2384" s="15" t="s">
        <v>2673</v>
      </c>
      <c r="O2384" s="15"/>
    </row>
    <row r="2385" spans="1:15" ht="18" customHeight="1" x14ac:dyDescent="0.3">
      <c r="A2385" s="29">
        <v>2384</v>
      </c>
      <c r="B2385" s="15" t="s">
        <v>78</v>
      </c>
      <c r="C2385" s="15" t="s">
        <v>81</v>
      </c>
      <c r="D2385" s="69">
        <v>126</v>
      </c>
      <c r="E2385" s="68" t="s">
        <v>3372</v>
      </c>
      <c r="F2385" s="24" t="s">
        <v>709</v>
      </c>
      <c r="G2385" s="15" t="s">
        <v>154</v>
      </c>
      <c r="H2385" s="15" t="s">
        <v>2682</v>
      </c>
      <c r="I2385" s="69">
        <v>196</v>
      </c>
      <c r="J2385" s="15" t="s">
        <v>2672</v>
      </c>
      <c r="K2385" s="15" t="s">
        <v>903</v>
      </c>
      <c r="L2385" s="15" t="s">
        <v>2673</v>
      </c>
      <c r="M2385" s="15" t="s">
        <v>2672</v>
      </c>
      <c r="N2385" s="15" t="s">
        <v>2673</v>
      </c>
      <c r="O2385" s="15"/>
    </row>
    <row r="2386" spans="1:15" ht="18" customHeight="1" x14ac:dyDescent="0.3">
      <c r="A2386" s="29">
        <v>2385</v>
      </c>
      <c r="B2386" s="15" t="s">
        <v>78</v>
      </c>
      <c r="C2386" s="15" t="s">
        <v>81</v>
      </c>
      <c r="D2386" s="69">
        <v>126</v>
      </c>
      <c r="E2386" s="68" t="s">
        <v>3372</v>
      </c>
      <c r="F2386" s="24" t="s">
        <v>709</v>
      </c>
      <c r="G2386" s="15" t="s">
        <v>154</v>
      </c>
      <c r="H2386" s="15" t="s">
        <v>2732</v>
      </c>
      <c r="I2386" s="69">
        <v>174</v>
      </c>
      <c r="J2386" s="15" t="s">
        <v>2672</v>
      </c>
      <c r="K2386" s="15" t="s">
        <v>903</v>
      </c>
      <c r="L2386" s="15" t="s">
        <v>2673</v>
      </c>
      <c r="M2386" s="15" t="s">
        <v>2672</v>
      </c>
      <c r="N2386" s="15" t="s">
        <v>2673</v>
      </c>
      <c r="O2386" s="15"/>
    </row>
    <row r="2387" spans="1:15" ht="18" customHeight="1" x14ac:dyDescent="0.3">
      <c r="A2387" s="29">
        <v>2386</v>
      </c>
      <c r="B2387" s="15" t="s">
        <v>78</v>
      </c>
      <c r="C2387" s="15" t="s">
        <v>81</v>
      </c>
      <c r="D2387" s="69">
        <v>126</v>
      </c>
      <c r="E2387" s="68" t="s">
        <v>3372</v>
      </c>
      <c r="F2387" s="24" t="s">
        <v>2968</v>
      </c>
      <c r="G2387" s="15" t="s">
        <v>154</v>
      </c>
      <c r="H2387" s="15" t="s">
        <v>2683</v>
      </c>
      <c r="I2387" s="69">
        <v>238</v>
      </c>
      <c r="J2387" s="15" t="s">
        <v>2674</v>
      </c>
      <c r="K2387" s="15" t="s">
        <v>902</v>
      </c>
      <c r="L2387" s="15" t="s">
        <v>216</v>
      </c>
      <c r="M2387" s="15" t="s">
        <v>2672</v>
      </c>
      <c r="N2387" s="15" t="s">
        <v>2673</v>
      </c>
      <c r="O2387" s="15"/>
    </row>
    <row r="2388" spans="1:15" ht="18" customHeight="1" x14ac:dyDescent="0.3">
      <c r="A2388" s="29">
        <v>2387</v>
      </c>
      <c r="B2388" s="15" t="s">
        <v>78</v>
      </c>
      <c r="C2388" s="15" t="s">
        <v>82</v>
      </c>
      <c r="D2388" s="69">
        <v>127</v>
      </c>
      <c r="E2388" s="68" t="s">
        <v>242</v>
      </c>
      <c r="F2388" s="21" t="s">
        <v>710</v>
      </c>
      <c r="G2388" s="15" t="s">
        <v>154</v>
      </c>
      <c r="H2388" s="15" t="s">
        <v>901</v>
      </c>
      <c r="I2388" s="69">
        <v>153</v>
      </c>
      <c r="J2388" s="13" t="s">
        <v>2672</v>
      </c>
      <c r="K2388" s="15" t="s">
        <v>903</v>
      </c>
      <c r="L2388" s="15" t="s">
        <v>2673</v>
      </c>
      <c r="M2388" s="15" t="s">
        <v>2672</v>
      </c>
      <c r="N2388" s="15" t="s">
        <v>2673</v>
      </c>
      <c r="O2388" s="15"/>
    </row>
    <row r="2389" spans="1:15" ht="18" customHeight="1" x14ac:dyDescent="0.3">
      <c r="A2389" s="29">
        <v>2388</v>
      </c>
      <c r="B2389" s="15" t="s">
        <v>78</v>
      </c>
      <c r="C2389" s="15" t="s">
        <v>82</v>
      </c>
      <c r="D2389" s="69">
        <v>127</v>
      </c>
      <c r="E2389" s="68" t="s">
        <v>242</v>
      </c>
      <c r="F2389" s="21" t="s">
        <v>710</v>
      </c>
      <c r="G2389" s="15" t="s">
        <v>154</v>
      </c>
      <c r="H2389" s="15" t="s">
        <v>904</v>
      </c>
      <c r="I2389" s="69">
        <v>128</v>
      </c>
      <c r="J2389" s="13" t="s">
        <v>2672</v>
      </c>
      <c r="K2389" s="15" t="s">
        <v>903</v>
      </c>
      <c r="L2389" s="15" t="s">
        <v>2673</v>
      </c>
      <c r="M2389" s="15" t="s">
        <v>2672</v>
      </c>
      <c r="N2389" s="15" t="s">
        <v>2673</v>
      </c>
      <c r="O2389" s="15"/>
    </row>
    <row r="2390" spans="1:15" ht="18" customHeight="1" x14ac:dyDescent="0.3">
      <c r="A2390" s="29">
        <v>2389</v>
      </c>
      <c r="B2390" s="15" t="s">
        <v>78</v>
      </c>
      <c r="C2390" s="15" t="s">
        <v>82</v>
      </c>
      <c r="D2390" s="69">
        <v>127</v>
      </c>
      <c r="E2390" s="68" t="s">
        <v>242</v>
      </c>
      <c r="F2390" s="21" t="s">
        <v>710</v>
      </c>
      <c r="G2390" s="15" t="s">
        <v>154</v>
      </c>
      <c r="H2390" s="15" t="s">
        <v>905</v>
      </c>
      <c r="I2390" s="69">
        <v>173</v>
      </c>
      <c r="J2390" s="13" t="s">
        <v>902</v>
      </c>
      <c r="K2390" s="15" t="s">
        <v>903</v>
      </c>
      <c r="L2390" s="15" t="s">
        <v>2673</v>
      </c>
      <c r="M2390" s="15" t="s">
        <v>2672</v>
      </c>
      <c r="N2390" s="15" t="s">
        <v>2673</v>
      </c>
      <c r="O2390" s="15"/>
    </row>
    <row r="2391" spans="1:15" ht="18" customHeight="1" x14ac:dyDescent="0.3">
      <c r="A2391" s="29">
        <v>2390</v>
      </c>
      <c r="B2391" s="15" t="s">
        <v>78</v>
      </c>
      <c r="C2391" s="15" t="s">
        <v>82</v>
      </c>
      <c r="D2391" s="69">
        <v>127</v>
      </c>
      <c r="E2391" s="68" t="s">
        <v>242</v>
      </c>
      <c r="F2391" s="21" t="s">
        <v>710</v>
      </c>
      <c r="G2391" s="15" t="s">
        <v>154</v>
      </c>
      <c r="H2391" s="15" t="s">
        <v>906</v>
      </c>
      <c r="I2391" s="69">
        <v>154</v>
      </c>
      <c r="J2391" s="13" t="s">
        <v>2672</v>
      </c>
      <c r="K2391" s="15" t="s">
        <v>903</v>
      </c>
      <c r="L2391" s="15" t="s">
        <v>2673</v>
      </c>
      <c r="M2391" s="15" t="s">
        <v>2672</v>
      </c>
      <c r="N2391" s="15" t="s">
        <v>2673</v>
      </c>
      <c r="O2391" s="15"/>
    </row>
    <row r="2392" spans="1:15" ht="18" customHeight="1" x14ac:dyDescent="0.3">
      <c r="A2392" s="29">
        <v>2391</v>
      </c>
      <c r="B2392" s="15" t="s">
        <v>78</v>
      </c>
      <c r="C2392" s="15" t="s">
        <v>82</v>
      </c>
      <c r="D2392" s="69">
        <v>127</v>
      </c>
      <c r="E2392" s="68" t="s">
        <v>242</v>
      </c>
      <c r="F2392" s="21" t="s">
        <v>710</v>
      </c>
      <c r="G2392" s="15" t="s">
        <v>154</v>
      </c>
      <c r="H2392" s="15" t="s">
        <v>907</v>
      </c>
      <c r="I2392" s="69">
        <v>111</v>
      </c>
      <c r="J2392" s="13" t="s">
        <v>2672</v>
      </c>
      <c r="K2392" s="15" t="s">
        <v>903</v>
      </c>
      <c r="L2392" s="15" t="s">
        <v>2673</v>
      </c>
      <c r="M2392" s="15" t="s">
        <v>2672</v>
      </c>
      <c r="N2392" s="15" t="s">
        <v>2673</v>
      </c>
      <c r="O2392" s="15"/>
    </row>
    <row r="2393" spans="1:15" ht="18" customHeight="1" x14ac:dyDescent="0.3">
      <c r="A2393" s="29">
        <v>2392</v>
      </c>
      <c r="B2393" s="15" t="s">
        <v>78</v>
      </c>
      <c r="C2393" s="15" t="s">
        <v>83</v>
      </c>
      <c r="D2393" s="69">
        <v>129</v>
      </c>
      <c r="E2393" s="68" t="s">
        <v>293</v>
      </c>
      <c r="F2393" s="24" t="s">
        <v>711</v>
      </c>
      <c r="G2393" s="15" t="s">
        <v>164</v>
      </c>
      <c r="H2393" s="15" t="s">
        <v>901</v>
      </c>
      <c r="I2393" s="69">
        <v>107</v>
      </c>
      <c r="J2393" s="15" t="s">
        <v>2672</v>
      </c>
      <c r="K2393" s="15" t="s">
        <v>903</v>
      </c>
      <c r="L2393" s="15" t="s">
        <v>2673</v>
      </c>
      <c r="M2393" s="15" t="s">
        <v>2672</v>
      </c>
      <c r="N2393" s="15" t="s">
        <v>2673</v>
      </c>
      <c r="O2393" s="15"/>
    </row>
    <row r="2394" spans="1:15" ht="18" customHeight="1" x14ac:dyDescent="0.3">
      <c r="A2394" s="29">
        <v>2393</v>
      </c>
      <c r="B2394" s="15" t="s">
        <v>78</v>
      </c>
      <c r="C2394" s="15" t="s">
        <v>83</v>
      </c>
      <c r="D2394" s="69">
        <v>129</v>
      </c>
      <c r="E2394" s="68" t="s">
        <v>293</v>
      </c>
      <c r="F2394" s="24" t="s">
        <v>711</v>
      </c>
      <c r="G2394" s="15" t="s">
        <v>164</v>
      </c>
      <c r="H2394" s="15" t="s">
        <v>904</v>
      </c>
      <c r="I2394" s="69">
        <v>119</v>
      </c>
      <c r="J2394" s="15" t="s">
        <v>2674</v>
      </c>
      <c r="K2394" s="15" t="s">
        <v>903</v>
      </c>
      <c r="L2394" s="15" t="s">
        <v>2673</v>
      </c>
      <c r="M2394" s="15" t="s">
        <v>2672</v>
      </c>
      <c r="N2394" s="15" t="s">
        <v>2673</v>
      </c>
      <c r="O2394" s="15"/>
    </row>
    <row r="2395" spans="1:15" ht="18" customHeight="1" x14ac:dyDescent="0.3">
      <c r="A2395" s="29">
        <v>2394</v>
      </c>
      <c r="B2395" s="15" t="s">
        <v>78</v>
      </c>
      <c r="C2395" s="15" t="s">
        <v>83</v>
      </c>
      <c r="D2395" s="69">
        <v>129</v>
      </c>
      <c r="E2395" s="68" t="s">
        <v>293</v>
      </c>
      <c r="F2395" s="24" t="s">
        <v>711</v>
      </c>
      <c r="G2395" s="15" t="s">
        <v>164</v>
      </c>
      <c r="H2395" s="15" t="s">
        <v>905</v>
      </c>
      <c r="I2395" s="69">
        <v>119</v>
      </c>
      <c r="J2395" s="15" t="s">
        <v>2674</v>
      </c>
      <c r="K2395" s="15" t="s">
        <v>903</v>
      </c>
      <c r="L2395" s="15" t="s">
        <v>2673</v>
      </c>
      <c r="M2395" s="15" t="s">
        <v>2672</v>
      </c>
      <c r="N2395" s="15" t="s">
        <v>2673</v>
      </c>
      <c r="O2395" s="15"/>
    </row>
    <row r="2396" spans="1:15" ht="18" customHeight="1" x14ac:dyDescent="0.3">
      <c r="A2396" s="29">
        <v>2395</v>
      </c>
      <c r="B2396" s="15" t="s">
        <v>78</v>
      </c>
      <c r="C2396" s="15" t="s">
        <v>83</v>
      </c>
      <c r="D2396" s="69">
        <v>129</v>
      </c>
      <c r="E2396" s="68" t="s">
        <v>293</v>
      </c>
      <c r="F2396" s="24" t="s">
        <v>711</v>
      </c>
      <c r="G2396" s="15" t="s">
        <v>164</v>
      </c>
      <c r="H2396" s="15" t="s">
        <v>906</v>
      </c>
      <c r="I2396" s="69">
        <v>107</v>
      </c>
      <c r="J2396" s="15" t="s">
        <v>2672</v>
      </c>
      <c r="K2396" s="15" t="s">
        <v>903</v>
      </c>
      <c r="L2396" s="15" t="s">
        <v>2673</v>
      </c>
      <c r="M2396" s="15" t="s">
        <v>2672</v>
      </c>
      <c r="N2396" s="15" t="s">
        <v>2673</v>
      </c>
      <c r="O2396" s="15"/>
    </row>
    <row r="2397" spans="1:15" ht="18" customHeight="1" x14ac:dyDescent="0.3">
      <c r="A2397" s="29">
        <v>2396</v>
      </c>
      <c r="B2397" s="15" t="s">
        <v>78</v>
      </c>
      <c r="C2397" s="15" t="s">
        <v>83</v>
      </c>
      <c r="D2397" s="69">
        <v>129</v>
      </c>
      <c r="E2397" s="68" t="s">
        <v>293</v>
      </c>
      <c r="F2397" s="24" t="s">
        <v>711</v>
      </c>
      <c r="G2397" s="15" t="s">
        <v>164</v>
      </c>
      <c r="H2397" s="15" t="s">
        <v>907</v>
      </c>
      <c r="I2397" s="69">
        <v>133</v>
      </c>
      <c r="J2397" s="15" t="s">
        <v>2672</v>
      </c>
      <c r="K2397" s="15" t="s">
        <v>903</v>
      </c>
      <c r="L2397" s="15" t="s">
        <v>2673</v>
      </c>
      <c r="M2397" s="15" t="s">
        <v>2672</v>
      </c>
      <c r="N2397" s="15" t="s">
        <v>2673</v>
      </c>
      <c r="O2397" s="15"/>
    </row>
    <row r="2398" spans="1:15" ht="18" customHeight="1" x14ac:dyDescent="0.3">
      <c r="A2398" s="29">
        <v>2397</v>
      </c>
      <c r="B2398" s="15" t="s">
        <v>2138</v>
      </c>
      <c r="C2398" s="15" t="s">
        <v>2139</v>
      </c>
      <c r="D2398" s="69">
        <v>129</v>
      </c>
      <c r="E2398" s="68" t="s">
        <v>2140</v>
      </c>
      <c r="F2398" s="24" t="s">
        <v>2141</v>
      </c>
      <c r="G2398" s="15" t="s">
        <v>1553</v>
      </c>
      <c r="H2398" s="15" t="s">
        <v>2685</v>
      </c>
      <c r="I2398" s="69">
        <v>97</v>
      </c>
      <c r="J2398" s="13" t="s">
        <v>2672</v>
      </c>
      <c r="K2398" s="15" t="s">
        <v>903</v>
      </c>
      <c r="L2398" s="15" t="s">
        <v>2673</v>
      </c>
      <c r="M2398" s="15" t="s">
        <v>2672</v>
      </c>
      <c r="N2398" s="15" t="s">
        <v>2673</v>
      </c>
      <c r="O2398" s="15"/>
    </row>
    <row r="2399" spans="1:15" ht="18" customHeight="1" x14ac:dyDescent="0.3">
      <c r="A2399" s="29">
        <v>2398</v>
      </c>
      <c r="B2399" s="15" t="s">
        <v>2138</v>
      </c>
      <c r="C2399" s="15" t="s">
        <v>2139</v>
      </c>
      <c r="D2399" s="69">
        <v>129</v>
      </c>
      <c r="E2399" s="68" t="s">
        <v>2140</v>
      </c>
      <c r="F2399" s="24" t="s">
        <v>2141</v>
      </c>
      <c r="G2399" s="15" t="s">
        <v>1553</v>
      </c>
      <c r="H2399" s="15" t="s">
        <v>2678</v>
      </c>
      <c r="I2399" s="69">
        <v>98</v>
      </c>
      <c r="J2399" s="13" t="s">
        <v>2672</v>
      </c>
      <c r="K2399" s="15" t="s">
        <v>903</v>
      </c>
      <c r="L2399" s="15" t="s">
        <v>2673</v>
      </c>
      <c r="M2399" s="15" t="s">
        <v>2672</v>
      </c>
      <c r="N2399" s="15" t="s">
        <v>2673</v>
      </c>
      <c r="O2399" s="15"/>
    </row>
    <row r="2400" spans="1:15" ht="18" customHeight="1" x14ac:dyDescent="0.3">
      <c r="A2400" s="29">
        <v>2399</v>
      </c>
      <c r="B2400" s="15" t="s">
        <v>2138</v>
      </c>
      <c r="C2400" s="15" t="s">
        <v>2139</v>
      </c>
      <c r="D2400" s="69">
        <v>129</v>
      </c>
      <c r="E2400" s="68" t="s">
        <v>2140</v>
      </c>
      <c r="F2400" s="24" t="s">
        <v>2141</v>
      </c>
      <c r="G2400" s="15" t="s">
        <v>1553</v>
      </c>
      <c r="H2400" s="15" t="s">
        <v>2679</v>
      </c>
      <c r="I2400" s="69">
        <v>93</v>
      </c>
      <c r="J2400" s="13" t="s">
        <v>2672</v>
      </c>
      <c r="K2400" s="15" t="s">
        <v>903</v>
      </c>
      <c r="L2400" s="15" t="s">
        <v>2673</v>
      </c>
      <c r="M2400" s="15" t="s">
        <v>2672</v>
      </c>
      <c r="N2400" s="15" t="s">
        <v>2673</v>
      </c>
      <c r="O2400" s="15"/>
    </row>
    <row r="2401" spans="1:15" ht="18" customHeight="1" x14ac:dyDescent="0.3">
      <c r="A2401" s="29">
        <v>2400</v>
      </c>
      <c r="B2401" s="15" t="s">
        <v>2138</v>
      </c>
      <c r="C2401" s="15" t="s">
        <v>2139</v>
      </c>
      <c r="D2401" s="69">
        <v>129</v>
      </c>
      <c r="E2401" s="68" t="s">
        <v>2140</v>
      </c>
      <c r="F2401" s="24" t="s">
        <v>2141</v>
      </c>
      <c r="G2401" s="15" t="s">
        <v>1553</v>
      </c>
      <c r="H2401" s="15" t="s">
        <v>2680</v>
      </c>
      <c r="I2401" s="69">
        <v>93</v>
      </c>
      <c r="J2401" s="13" t="s">
        <v>2672</v>
      </c>
      <c r="K2401" s="15" t="s">
        <v>903</v>
      </c>
      <c r="L2401" s="15" t="s">
        <v>2673</v>
      </c>
      <c r="M2401" s="15" t="s">
        <v>2672</v>
      </c>
      <c r="N2401" s="15" t="s">
        <v>2673</v>
      </c>
      <c r="O2401" s="15"/>
    </row>
    <row r="2402" spans="1:15" ht="18" customHeight="1" x14ac:dyDescent="0.3">
      <c r="A2402" s="29">
        <v>2401</v>
      </c>
      <c r="B2402" s="15" t="s">
        <v>2138</v>
      </c>
      <c r="C2402" s="15" t="s">
        <v>2139</v>
      </c>
      <c r="D2402" s="69">
        <v>129</v>
      </c>
      <c r="E2402" s="68" t="s">
        <v>2140</v>
      </c>
      <c r="F2402" s="24" t="s">
        <v>2141</v>
      </c>
      <c r="G2402" s="15" t="s">
        <v>1553</v>
      </c>
      <c r="H2402" s="15" t="s">
        <v>2690</v>
      </c>
      <c r="I2402" s="69">
        <v>135</v>
      </c>
      <c r="J2402" s="13" t="s">
        <v>2674</v>
      </c>
      <c r="K2402" s="15" t="s">
        <v>903</v>
      </c>
      <c r="L2402" s="15" t="s">
        <v>2673</v>
      </c>
      <c r="M2402" s="15" t="s">
        <v>2672</v>
      </c>
      <c r="N2402" s="15" t="s">
        <v>2673</v>
      </c>
      <c r="O2402" s="15"/>
    </row>
    <row r="2403" spans="1:15" ht="18" customHeight="1" x14ac:dyDescent="0.3">
      <c r="A2403" s="29">
        <v>2402</v>
      </c>
      <c r="B2403" s="15" t="s">
        <v>2138</v>
      </c>
      <c r="C2403" s="15" t="s">
        <v>2969</v>
      </c>
      <c r="D2403" s="69">
        <v>130</v>
      </c>
      <c r="E2403" s="68" t="s">
        <v>2970</v>
      </c>
      <c r="F2403" s="24" t="s">
        <v>2971</v>
      </c>
      <c r="G2403" s="15" t="s">
        <v>2673</v>
      </c>
      <c r="H2403" s="15" t="s">
        <v>2972</v>
      </c>
      <c r="I2403" s="69">
        <v>84</v>
      </c>
      <c r="J2403" s="15" t="s">
        <v>2674</v>
      </c>
      <c r="K2403" s="15" t="s">
        <v>903</v>
      </c>
      <c r="L2403" s="15" t="s">
        <v>2673</v>
      </c>
      <c r="M2403" s="15" t="s">
        <v>2672</v>
      </c>
      <c r="N2403" s="15" t="s">
        <v>2673</v>
      </c>
      <c r="O2403" s="15" t="s">
        <v>2973</v>
      </c>
    </row>
    <row r="2404" spans="1:15" ht="18" customHeight="1" x14ac:dyDescent="0.3">
      <c r="A2404" s="29">
        <v>2403</v>
      </c>
      <c r="B2404" s="15" t="s">
        <v>2138</v>
      </c>
      <c r="C2404" s="15" t="s">
        <v>2969</v>
      </c>
      <c r="D2404" s="69">
        <v>130</v>
      </c>
      <c r="E2404" s="68" t="s">
        <v>2970</v>
      </c>
      <c r="F2404" s="24" t="s">
        <v>2974</v>
      </c>
      <c r="G2404" s="15" t="s">
        <v>2673</v>
      </c>
      <c r="H2404" s="15" t="s">
        <v>2975</v>
      </c>
      <c r="I2404" s="69">
        <v>92</v>
      </c>
      <c r="J2404" s="15" t="s">
        <v>2672</v>
      </c>
      <c r="K2404" s="15" t="s">
        <v>903</v>
      </c>
      <c r="L2404" s="15" t="s">
        <v>2673</v>
      </c>
      <c r="M2404" s="15" t="s">
        <v>2672</v>
      </c>
      <c r="N2404" s="15" t="s">
        <v>2673</v>
      </c>
      <c r="O2404" s="15" t="s">
        <v>2976</v>
      </c>
    </row>
    <row r="2405" spans="1:15" ht="18" customHeight="1" x14ac:dyDescent="0.3">
      <c r="A2405" s="29">
        <v>2404</v>
      </c>
      <c r="B2405" s="15" t="s">
        <v>2138</v>
      </c>
      <c r="C2405" s="15" t="s">
        <v>2969</v>
      </c>
      <c r="D2405" s="69">
        <v>130</v>
      </c>
      <c r="E2405" s="68" t="s">
        <v>2970</v>
      </c>
      <c r="F2405" s="24" t="s">
        <v>2974</v>
      </c>
      <c r="G2405" s="15" t="s">
        <v>2673</v>
      </c>
      <c r="H2405" s="15" t="s">
        <v>2977</v>
      </c>
      <c r="I2405" s="69">
        <v>92</v>
      </c>
      <c r="J2405" s="15" t="s">
        <v>2674</v>
      </c>
      <c r="K2405" s="15" t="s">
        <v>903</v>
      </c>
      <c r="L2405" s="15" t="s">
        <v>2673</v>
      </c>
      <c r="M2405" s="15" t="s">
        <v>2672</v>
      </c>
      <c r="N2405" s="15" t="s">
        <v>2673</v>
      </c>
      <c r="O2405" s="15" t="s">
        <v>2976</v>
      </c>
    </row>
    <row r="2406" spans="1:15" ht="18" customHeight="1" x14ac:dyDescent="0.3">
      <c r="A2406" s="29">
        <v>2405</v>
      </c>
      <c r="B2406" s="15" t="s">
        <v>78</v>
      </c>
      <c r="C2406" s="15" t="s">
        <v>84</v>
      </c>
      <c r="D2406" s="69">
        <v>131</v>
      </c>
      <c r="E2406" s="68" t="s">
        <v>1000</v>
      </c>
      <c r="F2406" s="21" t="s">
        <v>2150</v>
      </c>
      <c r="G2406" s="15" t="s">
        <v>2673</v>
      </c>
      <c r="H2406" s="15" t="s">
        <v>901</v>
      </c>
      <c r="I2406" s="69">
        <v>57</v>
      </c>
      <c r="J2406" s="15" t="s">
        <v>2674</v>
      </c>
      <c r="K2406" s="15" t="s">
        <v>903</v>
      </c>
      <c r="L2406" s="15" t="s">
        <v>2673</v>
      </c>
      <c r="M2406" s="15" t="s">
        <v>2672</v>
      </c>
      <c r="N2406" s="15" t="s">
        <v>2673</v>
      </c>
      <c r="O2406" s="15"/>
    </row>
    <row r="2407" spans="1:15" ht="18" customHeight="1" x14ac:dyDescent="0.3">
      <c r="A2407" s="29">
        <v>2406</v>
      </c>
      <c r="B2407" s="15" t="s">
        <v>78</v>
      </c>
      <c r="C2407" s="15" t="s">
        <v>84</v>
      </c>
      <c r="D2407" s="69">
        <v>131</v>
      </c>
      <c r="E2407" s="68" t="s">
        <v>1000</v>
      </c>
      <c r="F2407" s="21" t="s">
        <v>2150</v>
      </c>
      <c r="G2407" s="15" t="s">
        <v>2673</v>
      </c>
      <c r="H2407" s="15" t="s">
        <v>904</v>
      </c>
      <c r="I2407" s="69">
        <v>41</v>
      </c>
      <c r="J2407" s="15" t="s">
        <v>2672</v>
      </c>
      <c r="K2407" s="15" t="s">
        <v>903</v>
      </c>
      <c r="L2407" s="15" t="s">
        <v>2673</v>
      </c>
      <c r="M2407" s="15" t="s">
        <v>2672</v>
      </c>
      <c r="N2407" s="15" t="s">
        <v>2673</v>
      </c>
      <c r="O2407" s="15"/>
    </row>
    <row r="2408" spans="1:15" ht="18" customHeight="1" x14ac:dyDescent="0.3">
      <c r="A2408" s="29">
        <v>2407</v>
      </c>
      <c r="B2408" s="15" t="s">
        <v>78</v>
      </c>
      <c r="C2408" s="15" t="s">
        <v>85</v>
      </c>
      <c r="D2408" s="69">
        <v>132</v>
      </c>
      <c r="E2408" s="68" t="s">
        <v>1001</v>
      </c>
      <c r="F2408" s="21" t="s">
        <v>2155</v>
      </c>
      <c r="G2408" s="15" t="s">
        <v>2673</v>
      </c>
      <c r="H2408" s="15" t="s">
        <v>901</v>
      </c>
      <c r="I2408" s="69">
        <v>87</v>
      </c>
      <c r="J2408" s="15" t="s">
        <v>2674</v>
      </c>
      <c r="K2408" s="15" t="s">
        <v>903</v>
      </c>
      <c r="L2408" s="15" t="s">
        <v>2673</v>
      </c>
      <c r="M2408" s="15" t="s">
        <v>2672</v>
      </c>
      <c r="N2408" s="15" t="s">
        <v>2673</v>
      </c>
      <c r="O2408" s="15"/>
    </row>
    <row r="2409" spans="1:15" ht="18" customHeight="1" x14ac:dyDescent="0.3">
      <c r="A2409" s="29">
        <v>2408</v>
      </c>
      <c r="B2409" s="15" t="s">
        <v>78</v>
      </c>
      <c r="C2409" s="15" t="s">
        <v>85</v>
      </c>
      <c r="D2409" s="69">
        <v>132</v>
      </c>
      <c r="E2409" s="68" t="s">
        <v>1001</v>
      </c>
      <c r="F2409" s="21" t="s">
        <v>2155</v>
      </c>
      <c r="G2409" s="15" t="s">
        <v>2673</v>
      </c>
      <c r="H2409" s="15" t="s">
        <v>904</v>
      </c>
      <c r="I2409" s="69">
        <v>49</v>
      </c>
      <c r="J2409" s="15" t="s">
        <v>2672</v>
      </c>
      <c r="K2409" s="15" t="s">
        <v>903</v>
      </c>
      <c r="L2409" s="15" t="s">
        <v>2673</v>
      </c>
      <c r="M2409" s="15" t="s">
        <v>2672</v>
      </c>
      <c r="N2409" s="15" t="s">
        <v>2673</v>
      </c>
      <c r="O2409" s="15"/>
    </row>
    <row r="2410" spans="1:15" ht="18" customHeight="1" x14ac:dyDescent="0.3">
      <c r="A2410" s="29">
        <v>2409</v>
      </c>
      <c r="B2410" s="15" t="s">
        <v>2138</v>
      </c>
      <c r="C2410" s="15" t="s">
        <v>2978</v>
      </c>
      <c r="D2410" s="69">
        <v>133</v>
      </c>
      <c r="E2410" s="68" t="s">
        <v>2979</v>
      </c>
      <c r="F2410" s="24" t="s">
        <v>2980</v>
      </c>
      <c r="G2410" s="15" t="s">
        <v>2673</v>
      </c>
      <c r="H2410" s="15" t="s">
        <v>2685</v>
      </c>
      <c r="I2410" s="69">
        <v>48</v>
      </c>
      <c r="J2410" s="15" t="s">
        <v>2672</v>
      </c>
      <c r="K2410" s="15" t="s">
        <v>903</v>
      </c>
      <c r="L2410" s="15" t="s">
        <v>2673</v>
      </c>
      <c r="M2410" s="15" t="s">
        <v>2672</v>
      </c>
      <c r="N2410" s="15" t="s">
        <v>2673</v>
      </c>
      <c r="O2410" s="15"/>
    </row>
    <row r="2411" spans="1:15" ht="18" customHeight="1" x14ac:dyDescent="0.3">
      <c r="A2411" s="29">
        <v>2410</v>
      </c>
      <c r="B2411" s="15" t="s">
        <v>2138</v>
      </c>
      <c r="C2411" s="15" t="s">
        <v>2978</v>
      </c>
      <c r="D2411" s="69">
        <v>133</v>
      </c>
      <c r="E2411" s="68" t="s">
        <v>2979</v>
      </c>
      <c r="F2411" s="24" t="s">
        <v>2980</v>
      </c>
      <c r="G2411" s="15" t="s">
        <v>2673</v>
      </c>
      <c r="H2411" s="15" t="s">
        <v>2678</v>
      </c>
      <c r="I2411" s="69">
        <v>101</v>
      </c>
      <c r="J2411" s="15" t="s">
        <v>2674</v>
      </c>
      <c r="K2411" s="15" t="s">
        <v>903</v>
      </c>
      <c r="L2411" s="15" t="s">
        <v>2673</v>
      </c>
      <c r="M2411" s="15" t="s">
        <v>2672</v>
      </c>
      <c r="N2411" s="15" t="s">
        <v>2673</v>
      </c>
      <c r="O2411" s="15"/>
    </row>
    <row r="2412" spans="1:15" ht="18" customHeight="1" x14ac:dyDescent="0.3">
      <c r="A2412" s="29">
        <v>2411</v>
      </c>
      <c r="B2412" s="15" t="s">
        <v>78</v>
      </c>
      <c r="C2412" s="15" t="s">
        <v>86</v>
      </c>
      <c r="D2412" s="69">
        <v>134</v>
      </c>
      <c r="E2412" s="68" t="s">
        <v>999</v>
      </c>
      <c r="F2412" s="21" t="s">
        <v>2166</v>
      </c>
      <c r="G2412" s="15" t="s">
        <v>2673</v>
      </c>
      <c r="H2412" s="15" t="s">
        <v>901</v>
      </c>
      <c r="I2412" s="69">
        <v>56</v>
      </c>
      <c r="J2412" s="15" t="s">
        <v>2674</v>
      </c>
      <c r="K2412" s="15" t="s">
        <v>903</v>
      </c>
      <c r="L2412" s="15" t="s">
        <v>2673</v>
      </c>
      <c r="M2412" s="15" t="s">
        <v>2672</v>
      </c>
      <c r="N2412" s="15" t="s">
        <v>2673</v>
      </c>
      <c r="O2412" s="15"/>
    </row>
    <row r="2413" spans="1:15" ht="18" customHeight="1" x14ac:dyDescent="0.3">
      <c r="A2413" s="29">
        <v>2412</v>
      </c>
      <c r="B2413" s="15" t="s">
        <v>78</v>
      </c>
      <c r="C2413" s="15" t="s">
        <v>86</v>
      </c>
      <c r="D2413" s="69">
        <v>134</v>
      </c>
      <c r="E2413" s="68" t="s">
        <v>999</v>
      </c>
      <c r="F2413" s="21" t="s">
        <v>2166</v>
      </c>
      <c r="G2413" s="15" t="s">
        <v>2673</v>
      </c>
      <c r="H2413" s="15" t="s">
        <v>904</v>
      </c>
      <c r="I2413" s="69">
        <v>43</v>
      </c>
      <c r="J2413" s="15" t="s">
        <v>2672</v>
      </c>
      <c r="K2413" s="15" t="s">
        <v>903</v>
      </c>
      <c r="L2413" s="15" t="s">
        <v>2673</v>
      </c>
      <c r="M2413" s="15" t="s">
        <v>2672</v>
      </c>
      <c r="N2413" s="15" t="s">
        <v>2673</v>
      </c>
      <c r="O2413" s="15"/>
    </row>
    <row r="2414" spans="1:15" ht="18" customHeight="1" x14ac:dyDescent="0.3">
      <c r="A2414" s="29">
        <v>2413</v>
      </c>
      <c r="B2414" s="15" t="s">
        <v>2138</v>
      </c>
      <c r="C2414" s="15" t="s">
        <v>2169</v>
      </c>
      <c r="D2414" s="69">
        <v>135</v>
      </c>
      <c r="E2414" s="68" t="s">
        <v>2170</v>
      </c>
      <c r="F2414" s="24" t="s">
        <v>2171</v>
      </c>
      <c r="G2414" s="15" t="s">
        <v>2673</v>
      </c>
      <c r="H2414" s="15" t="s">
        <v>2685</v>
      </c>
      <c r="I2414" s="69">
        <v>61</v>
      </c>
      <c r="J2414" s="15" t="s">
        <v>2674</v>
      </c>
      <c r="K2414" s="15" t="s">
        <v>903</v>
      </c>
      <c r="L2414" s="15" t="s">
        <v>2673</v>
      </c>
      <c r="M2414" s="15" t="s">
        <v>2672</v>
      </c>
      <c r="N2414" s="15" t="s">
        <v>2673</v>
      </c>
      <c r="O2414" s="15"/>
    </row>
    <row r="2415" spans="1:15" ht="18" customHeight="1" x14ac:dyDescent="0.3">
      <c r="A2415" s="29">
        <v>2414</v>
      </c>
      <c r="B2415" s="15" t="s">
        <v>2138</v>
      </c>
      <c r="C2415" s="15" t="s">
        <v>2169</v>
      </c>
      <c r="D2415" s="69">
        <v>135</v>
      </c>
      <c r="E2415" s="68" t="s">
        <v>2170</v>
      </c>
      <c r="F2415" s="24" t="s">
        <v>2171</v>
      </c>
      <c r="G2415" s="15" t="s">
        <v>2673</v>
      </c>
      <c r="H2415" s="15" t="s">
        <v>2678</v>
      </c>
      <c r="I2415" s="69">
        <v>52</v>
      </c>
      <c r="J2415" s="15" t="s">
        <v>2672</v>
      </c>
      <c r="K2415" s="15" t="s">
        <v>903</v>
      </c>
      <c r="L2415" s="15" t="s">
        <v>2673</v>
      </c>
      <c r="M2415" s="15" t="s">
        <v>2672</v>
      </c>
      <c r="N2415" s="15" t="s">
        <v>2673</v>
      </c>
      <c r="O2415" s="15"/>
    </row>
    <row r="2416" spans="1:15" ht="18" customHeight="1" x14ac:dyDescent="0.3">
      <c r="A2416" s="29">
        <v>2415</v>
      </c>
      <c r="B2416" s="15" t="s">
        <v>2138</v>
      </c>
      <c r="C2416" s="15" t="s">
        <v>2169</v>
      </c>
      <c r="D2416" s="69">
        <v>135</v>
      </c>
      <c r="E2416" s="68" t="s">
        <v>2981</v>
      </c>
      <c r="F2416" s="24" t="s">
        <v>2176</v>
      </c>
      <c r="G2416" s="15" t="s">
        <v>2673</v>
      </c>
      <c r="H2416" s="15" t="s">
        <v>2685</v>
      </c>
      <c r="I2416" s="69">
        <v>58</v>
      </c>
      <c r="J2416" s="15" t="s">
        <v>2674</v>
      </c>
      <c r="K2416" s="15" t="s">
        <v>903</v>
      </c>
      <c r="L2416" s="15" t="s">
        <v>2673</v>
      </c>
      <c r="M2416" s="15" t="s">
        <v>2672</v>
      </c>
      <c r="N2416" s="15" t="s">
        <v>2673</v>
      </c>
      <c r="O2416" s="15"/>
    </row>
    <row r="2417" spans="1:15" ht="18" customHeight="1" x14ac:dyDescent="0.3">
      <c r="A2417" s="29">
        <v>2416</v>
      </c>
      <c r="B2417" s="15" t="s">
        <v>2138</v>
      </c>
      <c r="C2417" s="15" t="s">
        <v>2169</v>
      </c>
      <c r="D2417" s="69">
        <v>135</v>
      </c>
      <c r="E2417" s="68" t="s">
        <v>2981</v>
      </c>
      <c r="F2417" s="24" t="s">
        <v>2176</v>
      </c>
      <c r="G2417" s="15" t="s">
        <v>2673</v>
      </c>
      <c r="H2417" s="15" t="s">
        <v>2678</v>
      </c>
      <c r="I2417" s="69">
        <v>43</v>
      </c>
      <c r="J2417" s="15" t="s">
        <v>2672</v>
      </c>
      <c r="K2417" s="15" t="s">
        <v>903</v>
      </c>
      <c r="L2417" s="15" t="s">
        <v>2673</v>
      </c>
      <c r="M2417" s="15" t="s">
        <v>2672</v>
      </c>
      <c r="N2417" s="15" t="s">
        <v>2673</v>
      </c>
      <c r="O2417" s="15"/>
    </row>
    <row r="2418" spans="1:15" ht="18" customHeight="1" x14ac:dyDescent="0.3">
      <c r="A2418" s="29">
        <v>2417</v>
      </c>
      <c r="B2418" s="15" t="s">
        <v>2138</v>
      </c>
      <c r="C2418" s="15" t="s">
        <v>2982</v>
      </c>
      <c r="D2418" s="69">
        <v>136</v>
      </c>
      <c r="E2418" s="68" t="s">
        <v>2983</v>
      </c>
      <c r="F2418" s="21" t="s">
        <v>2180</v>
      </c>
      <c r="G2418" s="15" t="s">
        <v>2673</v>
      </c>
      <c r="H2418" s="15" t="s">
        <v>2685</v>
      </c>
      <c r="I2418" s="69">
        <v>59</v>
      </c>
      <c r="J2418" s="15" t="s">
        <v>2674</v>
      </c>
      <c r="K2418" s="15" t="s">
        <v>903</v>
      </c>
      <c r="L2418" s="15" t="s">
        <v>2673</v>
      </c>
      <c r="M2418" s="15" t="s">
        <v>2672</v>
      </c>
      <c r="N2418" s="15" t="s">
        <v>2673</v>
      </c>
      <c r="O2418" s="15"/>
    </row>
    <row r="2419" spans="1:15" ht="18" customHeight="1" x14ac:dyDescent="0.3">
      <c r="A2419" s="29">
        <v>2418</v>
      </c>
      <c r="B2419" s="15" t="s">
        <v>2138</v>
      </c>
      <c r="C2419" s="15" t="s">
        <v>2982</v>
      </c>
      <c r="D2419" s="69">
        <v>136</v>
      </c>
      <c r="E2419" s="68" t="s">
        <v>2983</v>
      </c>
      <c r="F2419" s="21" t="s">
        <v>2180</v>
      </c>
      <c r="G2419" s="15" t="s">
        <v>2673</v>
      </c>
      <c r="H2419" s="15" t="s">
        <v>2678</v>
      </c>
      <c r="I2419" s="69">
        <v>86</v>
      </c>
      <c r="J2419" s="15" t="s">
        <v>2674</v>
      </c>
      <c r="K2419" s="15" t="s">
        <v>903</v>
      </c>
      <c r="L2419" s="15" t="s">
        <v>2673</v>
      </c>
      <c r="M2419" s="15" t="s">
        <v>2672</v>
      </c>
      <c r="N2419" s="15" t="s">
        <v>2673</v>
      </c>
      <c r="O2419" s="15"/>
    </row>
    <row r="2420" spans="1:15" ht="18" customHeight="1" x14ac:dyDescent="0.3">
      <c r="A2420" s="29">
        <v>2419</v>
      </c>
      <c r="B2420" s="15" t="s">
        <v>2138</v>
      </c>
      <c r="C2420" s="15" t="s">
        <v>2982</v>
      </c>
      <c r="D2420" s="69">
        <v>136</v>
      </c>
      <c r="E2420" s="68" t="s">
        <v>2983</v>
      </c>
      <c r="F2420" s="21" t="s">
        <v>2180</v>
      </c>
      <c r="G2420" s="15" t="s">
        <v>2673</v>
      </c>
      <c r="H2420" s="15" t="s">
        <v>2984</v>
      </c>
      <c r="I2420" s="69">
        <v>83</v>
      </c>
      <c r="J2420" s="15" t="s">
        <v>2672</v>
      </c>
      <c r="K2420" s="15" t="s">
        <v>903</v>
      </c>
      <c r="L2420" s="15" t="s">
        <v>2673</v>
      </c>
      <c r="M2420" s="15" t="s">
        <v>2672</v>
      </c>
      <c r="N2420" s="15" t="s">
        <v>2673</v>
      </c>
      <c r="O2420" s="15"/>
    </row>
    <row r="2421" spans="1:15" ht="18" customHeight="1" x14ac:dyDescent="0.3">
      <c r="A2421" s="29">
        <v>2420</v>
      </c>
      <c r="B2421" s="15" t="s">
        <v>2138</v>
      </c>
      <c r="C2421" s="15" t="s">
        <v>2985</v>
      </c>
      <c r="D2421" s="69">
        <v>137</v>
      </c>
      <c r="E2421" s="68" t="s">
        <v>2986</v>
      </c>
      <c r="F2421" s="21" t="s">
        <v>2186</v>
      </c>
      <c r="G2421" s="15" t="s">
        <v>2673</v>
      </c>
      <c r="H2421" s="15" t="s">
        <v>2987</v>
      </c>
      <c r="I2421" s="69">
        <v>98</v>
      </c>
      <c r="J2421" s="15" t="s">
        <v>2672</v>
      </c>
      <c r="K2421" s="15" t="s">
        <v>903</v>
      </c>
      <c r="L2421" s="15" t="s">
        <v>2673</v>
      </c>
      <c r="M2421" s="15" t="s">
        <v>2672</v>
      </c>
      <c r="N2421" s="15" t="s">
        <v>2673</v>
      </c>
      <c r="O2421" s="15"/>
    </row>
    <row r="2422" spans="1:15" ht="18" customHeight="1" x14ac:dyDescent="0.3">
      <c r="A2422" s="29">
        <v>2421</v>
      </c>
      <c r="B2422" s="15" t="s">
        <v>2138</v>
      </c>
      <c r="C2422" s="15" t="s">
        <v>2985</v>
      </c>
      <c r="D2422" s="69">
        <v>137</v>
      </c>
      <c r="E2422" s="68" t="s">
        <v>2986</v>
      </c>
      <c r="F2422" s="21" t="s">
        <v>2186</v>
      </c>
      <c r="G2422" s="15" t="s">
        <v>2673</v>
      </c>
      <c r="H2422" s="15" t="s">
        <v>2988</v>
      </c>
      <c r="I2422" s="69">
        <v>125</v>
      </c>
      <c r="J2422" s="15" t="s">
        <v>2674</v>
      </c>
      <c r="K2422" s="15" t="s">
        <v>903</v>
      </c>
      <c r="L2422" s="15" t="s">
        <v>2673</v>
      </c>
      <c r="M2422" s="15" t="s">
        <v>2672</v>
      </c>
      <c r="N2422" s="15" t="s">
        <v>2673</v>
      </c>
      <c r="O2422" s="15"/>
    </row>
    <row r="2423" spans="1:15" ht="18" customHeight="1" x14ac:dyDescent="0.3">
      <c r="A2423" s="29">
        <v>2422</v>
      </c>
      <c r="B2423" s="15" t="s">
        <v>2138</v>
      </c>
      <c r="C2423" s="15" t="s">
        <v>2985</v>
      </c>
      <c r="D2423" s="69">
        <v>137</v>
      </c>
      <c r="E2423" s="68" t="s">
        <v>2986</v>
      </c>
      <c r="F2423" s="21" t="s">
        <v>2186</v>
      </c>
      <c r="G2423" s="15" t="s">
        <v>2673</v>
      </c>
      <c r="H2423" s="15" t="s">
        <v>2989</v>
      </c>
      <c r="I2423" s="69">
        <v>99</v>
      </c>
      <c r="J2423" s="15" t="s">
        <v>2672</v>
      </c>
      <c r="K2423" s="15" t="s">
        <v>903</v>
      </c>
      <c r="L2423" s="15" t="s">
        <v>2673</v>
      </c>
      <c r="M2423" s="15" t="s">
        <v>2672</v>
      </c>
      <c r="N2423" s="15" t="s">
        <v>2673</v>
      </c>
      <c r="O2423" s="15"/>
    </row>
    <row r="2424" spans="1:15" ht="18" customHeight="1" x14ac:dyDescent="0.3">
      <c r="A2424" s="29">
        <v>2423</v>
      </c>
      <c r="B2424" s="13" t="s">
        <v>2130</v>
      </c>
      <c r="C2424" s="13" t="s">
        <v>2189</v>
      </c>
      <c r="D2424" s="13">
        <v>138</v>
      </c>
      <c r="E2424" s="63" t="s">
        <v>2190</v>
      </c>
      <c r="F2424" s="24" t="s">
        <v>2191</v>
      </c>
      <c r="G2424" s="13" t="s">
        <v>2867</v>
      </c>
      <c r="H2424" s="15" t="s">
        <v>2685</v>
      </c>
      <c r="I2424" s="69">
        <v>142</v>
      </c>
      <c r="J2424" s="15" t="s">
        <v>2672</v>
      </c>
      <c r="K2424" s="15" t="s">
        <v>903</v>
      </c>
      <c r="L2424" s="15" t="s">
        <v>2673</v>
      </c>
      <c r="M2424" s="15" t="s">
        <v>2672</v>
      </c>
      <c r="N2424" s="15" t="s">
        <v>2673</v>
      </c>
      <c r="O2424" s="15"/>
    </row>
    <row r="2425" spans="1:15" ht="18" customHeight="1" x14ac:dyDescent="0.3">
      <c r="A2425" s="29">
        <v>2424</v>
      </c>
      <c r="B2425" s="13" t="s">
        <v>2130</v>
      </c>
      <c r="C2425" s="13" t="s">
        <v>2189</v>
      </c>
      <c r="D2425" s="13">
        <v>138</v>
      </c>
      <c r="E2425" s="63" t="s">
        <v>2190</v>
      </c>
      <c r="F2425" s="24" t="s">
        <v>2191</v>
      </c>
      <c r="G2425" s="13" t="s">
        <v>2867</v>
      </c>
      <c r="H2425" s="15" t="s">
        <v>2678</v>
      </c>
      <c r="I2425" s="69">
        <v>59</v>
      </c>
      <c r="J2425" s="15" t="s">
        <v>2672</v>
      </c>
      <c r="K2425" s="15" t="s">
        <v>903</v>
      </c>
      <c r="L2425" s="15" t="s">
        <v>2673</v>
      </c>
      <c r="M2425" s="15" t="s">
        <v>2672</v>
      </c>
      <c r="N2425" s="15" t="s">
        <v>2673</v>
      </c>
      <c r="O2425" s="15"/>
    </row>
    <row r="2426" spans="1:15" ht="18" customHeight="1" x14ac:dyDescent="0.3">
      <c r="A2426" s="29">
        <v>2425</v>
      </c>
      <c r="B2426" s="15" t="s">
        <v>2138</v>
      </c>
      <c r="C2426" s="15" t="s">
        <v>2198</v>
      </c>
      <c r="D2426" s="69">
        <v>139</v>
      </c>
      <c r="E2426" s="68" t="s">
        <v>3231</v>
      </c>
      <c r="F2426" s="51" t="s">
        <v>2200</v>
      </c>
      <c r="G2426" s="15" t="s">
        <v>1553</v>
      </c>
      <c r="H2426" s="15" t="s">
        <v>2685</v>
      </c>
      <c r="I2426" s="69">
        <v>92</v>
      </c>
      <c r="J2426" s="15" t="s">
        <v>2674</v>
      </c>
      <c r="K2426" s="15" t="s">
        <v>2672</v>
      </c>
      <c r="L2426" s="15" t="s">
        <v>2673</v>
      </c>
      <c r="M2426" s="15" t="s">
        <v>2672</v>
      </c>
      <c r="N2426" s="15" t="s">
        <v>2673</v>
      </c>
      <c r="O2426" s="15"/>
    </row>
    <row r="2427" spans="1:15" ht="18" customHeight="1" x14ac:dyDescent="0.3">
      <c r="A2427" s="29">
        <v>2426</v>
      </c>
      <c r="B2427" s="15" t="s">
        <v>2138</v>
      </c>
      <c r="C2427" s="15" t="s">
        <v>2198</v>
      </c>
      <c r="D2427" s="69">
        <v>139</v>
      </c>
      <c r="E2427" s="68" t="s">
        <v>3373</v>
      </c>
      <c r="F2427" s="466" t="s">
        <v>2202</v>
      </c>
      <c r="G2427" s="15" t="s">
        <v>1553</v>
      </c>
      <c r="H2427" s="15" t="s">
        <v>2990</v>
      </c>
      <c r="I2427" s="69">
        <v>43</v>
      </c>
      <c r="J2427" s="15" t="s">
        <v>2672</v>
      </c>
      <c r="K2427" s="15" t="s">
        <v>903</v>
      </c>
      <c r="L2427" s="15" t="s">
        <v>2673</v>
      </c>
      <c r="M2427" s="15" t="s">
        <v>2672</v>
      </c>
      <c r="N2427" s="15" t="s">
        <v>2673</v>
      </c>
      <c r="O2427" s="15"/>
    </row>
    <row r="2428" spans="1:15" ht="18" customHeight="1" x14ac:dyDescent="0.3">
      <c r="A2428" s="29">
        <v>2427</v>
      </c>
      <c r="B2428" s="15" t="s">
        <v>2138</v>
      </c>
      <c r="C2428" s="15" t="s">
        <v>2198</v>
      </c>
      <c r="D2428" s="69">
        <v>139</v>
      </c>
      <c r="E2428" s="68" t="s">
        <v>3373</v>
      </c>
      <c r="F2428" s="467" t="s">
        <v>2202</v>
      </c>
      <c r="G2428" s="15" t="s">
        <v>1553</v>
      </c>
      <c r="H2428" s="15" t="s">
        <v>2991</v>
      </c>
      <c r="I2428" s="69">
        <v>56</v>
      </c>
      <c r="J2428" s="15" t="s">
        <v>2672</v>
      </c>
      <c r="K2428" s="15" t="s">
        <v>903</v>
      </c>
      <c r="L2428" s="15" t="s">
        <v>2673</v>
      </c>
      <c r="M2428" s="15" t="s">
        <v>2672</v>
      </c>
      <c r="N2428" s="15" t="s">
        <v>2673</v>
      </c>
      <c r="O2428" s="15"/>
    </row>
    <row r="2429" spans="1:15" ht="18" customHeight="1" x14ac:dyDescent="0.3">
      <c r="A2429" s="29">
        <v>2428</v>
      </c>
      <c r="B2429" s="15" t="s">
        <v>2138</v>
      </c>
      <c r="C2429" s="15" t="s">
        <v>2204</v>
      </c>
      <c r="D2429" s="69">
        <v>140</v>
      </c>
      <c r="E2429" s="21" t="s">
        <v>2205</v>
      </c>
      <c r="F2429" s="24" t="s">
        <v>2206</v>
      </c>
      <c r="G2429" s="13" t="s">
        <v>2673</v>
      </c>
      <c r="H2429" s="15" t="s">
        <v>2685</v>
      </c>
      <c r="I2429" s="69">
        <v>51</v>
      </c>
      <c r="J2429" s="15" t="s">
        <v>2672</v>
      </c>
      <c r="K2429" s="15" t="s">
        <v>903</v>
      </c>
      <c r="L2429" s="15" t="s">
        <v>2673</v>
      </c>
      <c r="M2429" s="15" t="s">
        <v>2672</v>
      </c>
      <c r="N2429" s="15" t="s">
        <v>2673</v>
      </c>
      <c r="O2429" s="15"/>
    </row>
    <row r="2430" spans="1:15" ht="18" customHeight="1" x14ac:dyDescent="0.3">
      <c r="A2430" s="29">
        <v>2429</v>
      </c>
      <c r="B2430" s="15" t="s">
        <v>2138</v>
      </c>
      <c r="C2430" s="15" t="s">
        <v>2204</v>
      </c>
      <c r="D2430" s="69">
        <v>140</v>
      </c>
      <c r="E2430" s="21" t="s">
        <v>2205</v>
      </c>
      <c r="F2430" s="24" t="s">
        <v>2206</v>
      </c>
      <c r="G2430" s="13" t="s">
        <v>2673</v>
      </c>
      <c r="H2430" s="15" t="s">
        <v>2678</v>
      </c>
      <c r="I2430" s="69">
        <v>42</v>
      </c>
      <c r="J2430" s="15" t="s">
        <v>2672</v>
      </c>
      <c r="K2430" s="15" t="s">
        <v>903</v>
      </c>
      <c r="L2430" s="15" t="s">
        <v>2673</v>
      </c>
      <c r="M2430" s="15" t="s">
        <v>2672</v>
      </c>
      <c r="N2430" s="15" t="s">
        <v>2673</v>
      </c>
      <c r="O2430" s="15"/>
    </row>
    <row r="2431" spans="1:15" ht="18" customHeight="1" x14ac:dyDescent="0.3">
      <c r="A2431" s="29">
        <v>2430</v>
      </c>
      <c r="B2431" s="15" t="s">
        <v>78</v>
      </c>
      <c r="C2431" s="15" t="s">
        <v>88</v>
      </c>
      <c r="D2431" s="69">
        <v>141</v>
      </c>
      <c r="E2431" s="68" t="s">
        <v>998</v>
      </c>
      <c r="F2431" s="24" t="s">
        <v>2197</v>
      </c>
      <c r="G2431" s="15" t="s">
        <v>2673</v>
      </c>
      <c r="H2431" s="15" t="s">
        <v>901</v>
      </c>
      <c r="I2431" s="69">
        <v>57</v>
      </c>
      <c r="J2431" s="15" t="s">
        <v>2674</v>
      </c>
      <c r="K2431" s="15" t="s">
        <v>2672</v>
      </c>
      <c r="L2431" s="15" t="s">
        <v>2673</v>
      </c>
      <c r="M2431" s="15" t="s">
        <v>2672</v>
      </c>
      <c r="N2431" s="15" t="s">
        <v>2673</v>
      </c>
      <c r="O2431" s="15"/>
    </row>
    <row r="2432" spans="1:15" ht="18" customHeight="1" x14ac:dyDescent="0.3">
      <c r="A2432" s="29">
        <v>2431</v>
      </c>
      <c r="B2432" s="15" t="s">
        <v>78</v>
      </c>
      <c r="C2432" s="15" t="s">
        <v>88</v>
      </c>
      <c r="D2432" s="69">
        <v>141</v>
      </c>
      <c r="E2432" s="68" t="s">
        <v>998</v>
      </c>
      <c r="F2432" s="24" t="s">
        <v>2197</v>
      </c>
      <c r="G2432" s="15" t="s">
        <v>2673</v>
      </c>
      <c r="H2432" s="15" t="s">
        <v>904</v>
      </c>
      <c r="I2432" s="69">
        <v>37</v>
      </c>
      <c r="J2432" s="15" t="s">
        <v>2672</v>
      </c>
      <c r="K2432" s="15" t="s">
        <v>2672</v>
      </c>
      <c r="L2432" s="15" t="s">
        <v>2673</v>
      </c>
      <c r="M2432" s="15" t="s">
        <v>2672</v>
      </c>
      <c r="N2432" s="15" t="s">
        <v>2673</v>
      </c>
      <c r="O2432" s="15"/>
    </row>
    <row r="2433" spans="1:15" ht="18" customHeight="1" x14ac:dyDescent="0.3">
      <c r="A2433" s="29">
        <v>2432</v>
      </c>
      <c r="B2433" s="15" t="s">
        <v>89</v>
      </c>
      <c r="C2433" s="15" t="s">
        <v>90</v>
      </c>
      <c r="D2433" s="69">
        <v>142</v>
      </c>
      <c r="E2433" s="68" t="s">
        <v>272</v>
      </c>
      <c r="F2433" s="21" t="s">
        <v>738</v>
      </c>
      <c r="G2433" s="15" t="s">
        <v>154</v>
      </c>
      <c r="H2433" s="15" t="s">
        <v>901</v>
      </c>
      <c r="I2433" s="69">
        <v>87</v>
      </c>
      <c r="J2433" s="13" t="s">
        <v>2672</v>
      </c>
      <c r="K2433" s="15" t="s">
        <v>903</v>
      </c>
      <c r="L2433" s="15" t="s">
        <v>2673</v>
      </c>
      <c r="M2433" s="15" t="s">
        <v>2672</v>
      </c>
      <c r="N2433" s="15" t="s">
        <v>2673</v>
      </c>
      <c r="O2433" s="15"/>
    </row>
    <row r="2434" spans="1:15" ht="18" customHeight="1" x14ac:dyDescent="0.3">
      <c r="A2434" s="29">
        <v>2433</v>
      </c>
      <c r="B2434" s="15" t="s">
        <v>89</v>
      </c>
      <c r="C2434" s="15" t="s">
        <v>90</v>
      </c>
      <c r="D2434" s="69">
        <v>142</v>
      </c>
      <c r="E2434" s="68" t="s">
        <v>272</v>
      </c>
      <c r="F2434" s="21" t="s">
        <v>738</v>
      </c>
      <c r="G2434" s="15" t="s">
        <v>154</v>
      </c>
      <c r="H2434" s="15" t="s">
        <v>904</v>
      </c>
      <c r="I2434" s="69">
        <v>83</v>
      </c>
      <c r="J2434" s="13" t="s">
        <v>2672</v>
      </c>
      <c r="K2434" s="15" t="s">
        <v>903</v>
      </c>
      <c r="L2434" s="15" t="s">
        <v>2673</v>
      </c>
      <c r="M2434" s="15" t="s">
        <v>2672</v>
      </c>
      <c r="N2434" s="15" t="s">
        <v>2673</v>
      </c>
      <c r="O2434" s="15"/>
    </row>
    <row r="2435" spans="1:15" ht="18" customHeight="1" x14ac:dyDescent="0.3">
      <c r="A2435" s="29">
        <v>2434</v>
      </c>
      <c r="B2435" s="15" t="s">
        <v>89</v>
      </c>
      <c r="C2435" s="15" t="s">
        <v>90</v>
      </c>
      <c r="D2435" s="69">
        <v>142</v>
      </c>
      <c r="E2435" s="68" t="s">
        <v>272</v>
      </c>
      <c r="F2435" s="21" t="s">
        <v>738</v>
      </c>
      <c r="G2435" s="15" t="s">
        <v>154</v>
      </c>
      <c r="H2435" s="15" t="s">
        <v>905</v>
      </c>
      <c r="I2435" s="69">
        <v>156</v>
      </c>
      <c r="J2435" s="13" t="s">
        <v>2672</v>
      </c>
      <c r="K2435" s="15" t="s">
        <v>903</v>
      </c>
      <c r="L2435" s="15" t="s">
        <v>2673</v>
      </c>
      <c r="M2435" s="15" t="s">
        <v>2672</v>
      </c>
      <c r="N2435" s="15" t="s">
        <v>2673</v>
      </c>
      <c r="O2435" s="15"/>
    </row>
    <row r="2436" spans="1:15" ht="18" customHeight="1" x14ac:dyDescent="0.3">
      <c r="A2436" s="29">
        <v>2435</v>
      </c>
      <c r="B2436" s="15" t="s">
        <v>89</v>
      </c>
      <c r="C2436" s="15" t="s">
        <v>90</v>
      </c>
      <c r="D2436" s="69">
        <v>142</v>
      </c>
      <c r="E2436" s="68" t="s">
        <v>272</v>
      </c>
      <c r="F2436" s="21" t="s">
        <v>738</v>
      </c>
      <c r="G2436" s="15" t="s">
        <v>154</v>
      </c>
      <c r="H2436" s="15" t="s">
        <v>906</v>
      </c>
      <c r="I2436" s="69">
        <v>221</v>
      </c>
      <c r="J2436" s="13" t="s">
        <v>2672</v>
      </c>
      <c r="K2436" s="15" t="s">
        <v>903</v>
      </c>
      <c r="L2436" s="15" t="s">
        <v>2673</v>
      </c>
      <c r="M2436" s="15" t="s">
        <v>2672</v>
      </c>
      <c r="N2436" s="15" t="s">
        <v>2673</v>
      </c>
      <c r="O2436" s="15"/>
    </row>
    <row r="2437" spans="1:15" ht="18" customHeight="1" x14ac:dyDescent="0.3">
      <c r="A2437" s="29">
        <v>2436</v>
      </c>
      <c r="B2437" s="15" t="s">
        <v>89</v>
      </c>
      <c r="C2437" s="15" t="s">
        <v>90</v>
      </c>
      <c r="D2437" s="69">
        <v>142</v>
      </c>
      <c r="E2437" s="68" t="s">
        <v>272</v>
      </c>
      <c r="F2437" s="21" t="s">
        <v>738</v>
      </c>
      <c r="G2437" s="15" t="s">
        <v>154</v>
      </c>
      <c r="H2437" s="15" t="s">
        <v>907</v>
      </c>
      <c r="I2437" s="69">
        <v>99</v>
      </c>
      <c r="J2437" s="13" t="s">
        <v>2672</v>
      </c>
      <c r="K2437" s="15" t="s">
        <v>903</v>
      </c>
      <c r="L2437" s="15" t="s">
        <v>2673</v>
      </c>
      <c r="M2437" s="15" t="s">
        <v>2672</v>
      </c>
      <c r="N2437" s="15" t="s">
        <v>2673</v>
      </c>
      <c r="O2437" s="15"/>
    </row>
    <row r="2438" spans="1:15" ht="18" customHeight="1" x14ac:dyDescent="0.3">
      <c r="A2438" s="29">
        <v>2437</v>
      </c>
      <c r="B2438" s="15" t="s">
        <v>89</v>
      </c>
      <c r="C2438" s="15" t="s">
        <v>90</v>
      </c>
      <c r="D2438" s="69">
        <v>142</v>
      </c>
      <c r="E2438" s="68" t="s">
        <v>272</v>
      </c>
      <c r="F2438" s="21" t="s">
        <v>738</v>
      </c>
      <c r="G2438" s="15" t="s">
        <v>154</v>
      </c>
      <c r="H2438" s="15" t="s">
        <v>908</v>
      </c>
      <c r="I2438" s="69">
        <v>384</v>
      </c>
      <c r="J2438" s="13" t="s">
        <v>902</v>
      </c>
      <c r="K2438" s="15" t="s">
        <v>2674</v>
      </c>
      <c r="L2438" s="15" t="s">
        <v>2747</v>
      </c>
      <c r="M2438" s="15" t="s">
        <v>2672</v>
      </c>
      <c r="N2438" s="15" t="s">
        <v>2673</v>
      </c>
      <c r="O2438" s="15" t="s">
        <v>3440</v>
      </c>
    </row>
    <row r="2439" spans="1:15" ht="18" customHeight="1" x14ac:dyDescent="0.3">
      <c r="A2439" s="29">
        <v>2438</v>
      </c>
      <c r="B2439" s="15" t="s">
        <v>89</v>
      </c>
      <c r="C2439" s="15" t="s">
        <v>90</v>
      </c>
      <c r="D2439" s="69">
        <v>142</v>
      </c>
      <c r="E2439" s="68" t="s">
        <v>272</v>
      </c>
      <c r="F2439" s="21" t="s">
        <v>738</v>
      </c>
      <c r="G2439" s="15" t="s">
        <v>154</v>
      </c>
      <c r="H2439" s="15" t="s">
        <v>909</v>
      </c>
      <c r="I2439" s="69">
        <v>156</v>
      </c>
      <c r="J2439" s="13" t="s">
        <v>2672</v>
      </c>
      <c r="K2439" s="15" t="s">
        <v>903</v>
      </c>
      <c r="L2439" s="15" t="s">
        <v>2673</v>
      </c>
      <c r="M2439" s="15" t="s">
        <v>2672</v>
      </c>
      <c r="N2439" s="15" t="s">
        <v>2673</v>
      </c>
      <c r="O2439" s="15"/>
    </row>
    <row r="2440" spans="1:15" ht="18" customHeight="1" x14ac:dyDescent="0.3">
      <c r="A2440" s="29">
        <v>2439</v>
      </c>
      <c r="B2440" s="15" t="s">
        <v>89</v>
      </c>
      <c r="C2440" s="15" t="s">
        <v>90</v>
      </c>
      <c r="D2440" s="69">
        <v>142</v>
      </c>
      <c r="E2440" s="68" t="s">
        <v>272</v>
      </c>
      <c r="F2440" s="21" t="s">
        <v>738</v>
      </c>
      <c r="G2440" s="15" t="s">
        <v>154</v>
      </c>
      <c r="H2440" s="15" t="s">
        <v>910</v>
      </c>
      <c r="I2440" s="69">
        <v>96</v>
      </c>
      <c r="J2440" s="13" t="s">
        <v>902</v>
      </c>
      <c r="K2440" s="15" t="s">
        <v>903</v>
      </c>
      <c r="L2440" s="15" t="s">
        <v>2673</v>
      </c>
      <c r="M2440" s="15" t="s">
        <v>2672</v>
      </c>
      <c r="N2440" s="15" t="s">
        <v>2673</v>
      </c>
      <c r="O2440" s="15"/>
    </row>
    <row r="2441" spans="1:15" ht="18" customHeight="1" x14ac:dyDescent="0.3">
      <c r="A2441" s="29">
        <v>2440</v>
      </c>
      <c r="B2441" s="15" t="s">
        <v>89</v>
      </c>
      <c r="C2441" s="15" t="s">
        <v>90</v>
      </c>
      <c r="D2441" s="69">
        <v>142</v>
      </c>
      <c r="E2441" s="68" t="s">
        <v>3374</v>
      </c>
      <c r="F2441" s="24" t="s">
        <v>730</v>
      </c>
      <c r="G2441" s="15" t="s">
        <v>164</v>
      </c>
      <c r="H2441" s="15" t="s">
        <v>901</v>
      </c>
      <c r="I2441" s="69">
        <v>148</v>
      </c>
      <c r="J2441" s="15" t="s">
        <v>2672</v>
      </c>
      <c r="K2441" s="15" t="s">
        <v>903</v>
      </c>
      <c r="L2441" s="15" t="s">
        <v>2673</v>
      </c>
      <c r="M2441" s="15" t="s">
        <v>2672</v>
      </c>
      <c r="N2441" s="15" t="s">
        <v>2673</v>
      </c>
      <c r="O2441" s="15"/>
    </row>
    <row r="2442" spans="1:15" ht="18" customHeight="1" x14ac:dyDescent="0.3">
      <c r="A2442" s="29">
        <v>2441</v>
      </c>
      <c r="B2442" s="15" t="s">
        <v>89</v>
      </c>
      <c r="C2442" s="15" t="s">
        <v>90</v>
      </c>
      <c r="D2442" s="69">
        <v>142</v>
      </c>
      <c r="E2442" s="68" t="s">
        <v>3374</v>
      </c>
      <c r="F2442" s="24" t="s">
        <v>730</v>
      </c>
      <c r="G2442" s="15" t="s">
        <v>164</v>
      </c>
      <c r="H2442" s="15" t="s">
        <v>904</v>
      </c>
      <c r="I2442" s="69">
        <v>152</v>
      </c>
      <c r="J2442" s="15" t="s">
        <v>2672</v>
      </c>
      <c r="K2442" s="15" t="s">
        <v>903</v>
      </c>
      <c r="L2442" s="15" t="s">
        <v>2673</v>
      </c>
      <c r="M2442" s="15" t="s">
        <v>2672</v>
      </c>
      <c r="N2442" s="15" t="s">
        <v>2673</v>
      </c>
      <c r="O2442" s="15"/>
    </row>
    <row r="2443" spans="1:15" ht="18" customHeight="1" x14ac:dyDescent="0.3">
      <c r="A2443" s="29">
        <v>2442</v>
      </c>
      <c r="B2443" s="15" t="s">
        <v>89</v>
      </c>
      <c r="C2443" s="15" t="s">
        <v>90</v>
      </c>
      <c r="D2443" s="69">
        <v>142</v>
      </c>
      <c r="E2443" s="68" t="s">
        <v>3374</v>
      </c>
      <c r="F2443" s="24" t="s">
        <v>730</v>
      </c>
      <c r="G2443" s="15" t="s">
        <v>164</v>
      </c>
      <c r="H2443" s="15" t="s">
        <v>905</v>
      </c>
      <c r="I2443" s="69">
        <v>76</v>
      </c>
      <c r="J2443" s="15" t="s">
        <v>2672</v>
      </c>
      <c r="K2443" s="15" t="s">
        <v>903</v>
      </c>
      <c r="L2443" s="15" t="s">
        <v>2673</v>
      </c>
      <c r="M2443" s="15" t="s">
        <v>2672</v>
      </c>
      <c r="N2443" s="15" t="s">
        <v>2673</v>
      </c>
      <c r="O2443" s="15"/>
    </row>
    <row r="2444" spans="1:15" ht="18" customHeight="1" x14ac:dyDescent="0.3">
      <c r="A2444" s="29">
        <v>2443</v>
      </c>
      <c r="B2444" s="15" t="s">
        <v>89</v>
      </c>
      <c r="C2444" s="15" t="s">
        <v>90</v>
      </c>
      <c r="D2444" s="69">
        <v>142</v>
      </c>
      <c r="E2444" s="68" t="s">
        <v>3374</v>
      </c>
      <c r="F2444" s="24" t="s">
        <v>730</v>
      </c>
      <c r="G2444" s="15" t="s">
        <v>164</v>
      </c>
      <c r="H2444" s="15" t="s">
        <v>907</v>
      </c>
      <c r="I2444" s="69">
        <v>108</v>
      </c>
      <c r="J2444" s="15" t="s">
        <v>2672</v>
      </c>
      <c r="K2444" s="15" t="s">
        <v>903</v>
      </c>
      <c r="L2444" s="15" t="s">
        <v>2673</v>
      </c>
      <c r="M2444" s="15" t="s">
        <v>2672</v>
      </c>
      <c r="N2444" s="15" t="s">
        <v>2673</v>
      </c>
      <c r="O2444" s="15"/>
    </row>
    <row r="2445" spans="1:15" ht="18" customHeight="1" x14ac:dyDescent="0.3">
      <c r="A2445" s="29">
        <v>2444</v>
      </c>
      <c r="B2445" s="15" t="s">
        <v>89</v>
      </c>
      <c r="C2445" s="15" t="s">
        <v>90</v>
      </c>
      <c r="D2445" s="69">
        <v>142</v>
      </c>
      <c r="E2445" s="68" t="s">
        <v>3374</v>
      </c>
      <c r="F2445" s="24" t="s">
        <v>730</v>
      </c>
      <c r="G2445" s="15" t="s">
        <v>164</v>
      </c>
      <c r="H2445" s="15" t="s">
        <v>908</v>
      </c>
      <c r="I2445" s="69">
        <v>75</v>
      </c>
      <c r="J2445" s="15" t="s">
        <v>2672</v>
      </c>
      <c r="K2445" s="15" t="s">
        <v>903</v>
      </c>
      <c r="L2445" s="15" t="s">
        <v>2673</v>
      </c>
      <c r="M2445" s="15" t="s">
        <v>2672</v>
      </c>
      <c r="N2445" s="15" t="s">
        <v>2673</v>
      </c>
      <c r="O2445" s="15"/>
    </row>
    <row r="2446" spans="1:15" ht="18" customHeight="1" x14ac:dyDescent="0.3">
      <c r="A2446" s="29">
        <v>2445</v>
      </c>
      <c r="B2446" s="15" t="s">
        <v>89</v>
      </c>
      <c r="C2446" s="15" t="s">
        <v>90</v>
      </c>
      <c r="D2446" s="69">
        <v>142</v>
      </c>
      <c r="E2446" s="68" t="s">
        <v>3374</v>
      </c>
      <c r="F2446" s="24" t="s">
        <v>730</v>
      </c>
      <c r="G2446" s="15" t="s">
        <v>164</v>
      </c>
      <c r="H2446" s="15" t="s">
        <v>909</v>
      </c>
      <c r="I2446" s="69">
        <v>228</v>
      </c>
      <c r="J2446" s="15" t="s">
        <v>2672</v>
      </c>
      <c r="K2446" s="15" t="s">
        <v>903</v>
      </c>
      <c r="L2446" s="15" t="s">
        <v>2673</v>
      </c>
      <c r="M2446" s="15" t="s">
        <v>2672</v>
      </c>
      <c r="N2446" s="15" t="s">
        <v>2673</v>
      </c>
      <c r="O2446" s="15"/>
    </row>
    <row r="2447" spans="1:15" ht="18" customHeight="1" x14ac:dyDescent="0.3">
      <c r="A2447" s="29">
        <v>2446</v>
      </c>
      <c r="B2447" s="15" t="s">
        <v>89</v>
      </c>
      <c r="C2447" s="15" t="s">
        <v>90</v>
      </c>
      <c r="D2447" s="69">
        <v>142</v>
      </c>
      <c r="E2447" s="68" t="s">
        <v>3374</v>
      </c>
      <c r="F2447" s="24" t="s">
        <v>730</v>
      </c>
      <c r="G2447" s="15" t="s">
        <v>164</v>
      </c>
      <c r="H2447" s="15" t="s">
        <v>910</v>
      </c>
      <c r="I2447" s="69">
        <v>62</v>
      </c>
      <c r="J2447" s="15" t="s">
        <v>2672</v>
      </c>
      <c r="K2447" s="15" t="s">
        <v>903</v>
      </c>
      <c r="L2447" s="15" t="s">
        <v>2673</v>
      </c>
      <c r="M2447" s="15" t="s">
        <v>2672</v>
      </c>
      <c r="N2447" s="15" t="s">
        <v>2673</v>
      </c>
      <c r="O2447" s="15"/>
    </row>
    <row r="2448" spans="1:15" ht="18" customHeight="1" x14ac:dyDescent="0.3">
      <c r="A2448" s="29">
        <v>2447</v>
      </c>
      <c r="B2448" s="15" t="s">
        <v>89</v>
      </c>
      <c r="C2448" s="15" t="s">
        <v>90</v>
      </c>
      <c r="D2448" s="69">
        <v>142</v>
      </c>
      <c r="E2448" s="68" t="s">
        <v>3374</v>
      </c>
      <c r="F2448" s="24" t="s">
        <v>730</v>
      </c>
      <c r="G2448" s="15" t="s">
        <v>164</v>
      </c>
      <c r="H2448" s="15" t="s">
        <v>911</v>
      </c>
      <c r="I2448" s="69">
        <v>55</v>
      </c>
      <c r="J2448" s="15" t="s">
        <v>2672</v>
      </c>
      <c r="K2448" s="15" t="s">
        <v>903</v>
      </c>
      <c r="L2448" s="15" t="s">
        <v>2673</v>
      </c>
      <c r="M2448" s="15" t="s">
        <v>2672</v>
      </c>
      <c r="N2448" s="15" t="s">
        <v>2673</v>
      </c>
      <c r="O2448" s="15"/>
    </row>
    <row r="2449" spans="1:15" ht="18" customHeight="1" x14ac:dyDescent="0.3">
      <c r="A2449" s="29">
        <v>2448</v>
      </c>
      <c r="B2449" s="15" t="s">
        <v>89</v>
      </c>
      <c r="C2449" s="15" t="s">
        <v>90</v>
      </c>
      <c r="D2449" s="69">
        <v>142</v>
      </c>
      <c r="E2449" s="68" t="s">
        <v>3375</v>
      </c>
      <c r="F2449" s="24" t="s">
        <v>731</v>
      </c>
      <c r="G2449" s="15" t="s">
        <v>154</v>
      </c>
      <c r="H2449" s="15" t="s">
        <v>901</v>
      </c>
      <c r="I2449" s="69">
        <v>141</v>
      </c>
      <c r="J2449" s="15" t="s">
        <v>2674</v>
      </c>
      <c r="K2449" s="15" t="s">
        <v>903</v>
      </c>
      <c r="L2449" s="15" t="s">
        <v>2673</v>
      </c>
      <c r="M2449" s="15" t="s">
        <v>2672</v>
      </c>
      <c r="N2449" s="15" t="s">
        <v>2673</v>
      </c>
      <c r="O2449" s="15" t="s">
        <v>2992</v>
      </c>
    </row>
    <row r="2450" spans="1:15" ht="18" customHeight="1" x14ac:dyDescent="0.3">
      <c r="A2450" s="29">
        <v>2449</v>
      </c>
      <c r="B2450" s="15" t="s">
        <v>89</v>
      </c>
      <c r="C2450" s="15" t="s">
        <v>90</v>
      </c>
      <c r="D2450" s="69">
        <v>142</v>
      </c>
      <c r="E2450" s="68" t="s">
        <v>3375</v>
      </c>
      <c r="F2450" s="24" t="s">
        <v>731</v>
      </c>
      <c r="G2450" s="15" t="s">
        <v>154</v>
      </c>
      <c r="H2450" s="15" t="s">
        <v>904</v>
      </c>
      <c r="I2450" s="69">
        <v>128</v>
      </c>
      <c r="J2450" s="15" t="s">
        <v>2672</v>
      </c>
      <c r="K2450" s="15" t="s">
        <v>903</v>
      </c>
      <c r="L2450" s="15" t="s">
        <v>2673</v>
      </c>
      <c r="M2450" s="15" t="s">
        <v>2674</v>
      </c>
      <c r="N2450" s="15" t="s">
        <v>1530</v>
      </c>
      <c r="O2450" s="15"/>
    </row>
    <row r="2451" spans="1:15" ht="18" customHeight="1" x14ac:dyDescent="0.3">
      <c r="A2451" s="29">
        <v>2450</v>
      </c>
      <c r="B2451" s="15" t="s">
        <v>89</v>
      </c>
      <c r="C2451" s="15" t="s">
        <v>90</v>
      </c>
      <c r="D2451" s="69">
        <v>142</v>
      </c>
      <c r="E2451" s="68" t="s">
        <v>3375</v>
      </c>
      <c r="F2451" s="24" t="s">
        <v>731</v>
      </c>
      <c r="G2451" s="15" t="s">
        <v>154</v>
      </c>
      <c r="H2451" s="15" t="s">
        <v>905</v>
      </c>
      <c r="I2451" s="69">
        <v>140</v>
      </c>
      <c r="J2451" s="15" t="s">
        <v>2672</v>
      </c>
      <c r="K2451" s="15" t="s">
        <v>903</v>
      </c>
      <c r="L2451" s="15" t="s">
        <v>2673</v>
      </c>
      <c r="M2451" s="15" t="s">
        <v>2672</v>
      </c>
      <c r="N2451" s="15" t="s">
        <v>2673</v>
      </c>
      <c r="O2451" s="15"/>
    </row>
    <row r="2452" spans="1:15" ht="18" customHeight="1" x14ac:dyDescent="0.3">
      <c r="A2452" s="29">
        <v>2451</v>
      </c>
      <c r="B2452" s="15" t="s">
        <v>89</v>
      </c>
      <c r="C2452" s="15" t="s">
        <v>90</v>
      </c>
      <c r="D2452" s="69">
        <v>142</v>
      </c>
      <c r="E2452" s="68" t="s">
        <v>3375</v>
      </c>
      <c r="F2452" s="24" t="s">
        <v>731</v>
      </c>
      <c r="G2452" s="15" t="s">
        <v>154</v>
      </c>
      <c r="H2452" s="15" t="s">
        <v>906</v>
      </c>
      <c r="I2452" s="69">
        <v>66</v>
      </c>
      <c r="J2452" s="15" t="s">
        <v>2672</v>
      </c>
      <c r="K2452" s="15" t="s">
        <v>903</v>
      </c>
      <c r="L2452" s="15" t="s">
        <v>2673</v>
      </c>
      <c r="M2452" s="15" t="s">
        <v>2672</v>
      </c>
      <c r="N2452" s="15" t="s">
        <v>2673</v>
      </c>
      <c r="O2452" s="15"/>
    </row>
    <row r="2453" spans="1:15" ht="18" customHeight="1" x14ac:dyDescent="0.3">
      <c r="A2453" s="29">
        <v>2452</v>
      </c>
      <c r="B2453" s="15" t="s">
        <v>89</v>
      </c>
      <c r="C2453" s="15" t="s">
        <v>90</v>
      </c>
      <c r="D2453" s="69">
        <v>142</v>
      </c>
      <c r="E2453" s="68" t="s">
        <v>3375</v>
      </c>
      <c r="F2453" s="24" t="s">
        <v>731</v>
      </c>
      <c r="G2453" s="15" t="s">
        <v>154</v>
      </c>
      <c r="H2453" s="15" t="s">
        <v>907</v>
      </c>
      <c r="I2453" s="69">
        <v>241</v>
      </c>
      <c r="J2453" s="15" t="s">
        <v>2672</v>
      </c>
      <c r="K2453" s="15" t="s">
        <v>903</v>
      </c>
      <c r="L2453" s="15" t="s">
        <v>2673</v>
      </c>
      <c r="M2453" s="15" t="s">
        <v>2672</v>
      </c>
      <c r="N2453" s="15" t="s">
        <v>2673</v>
      </c>
      <c r="O2453" s="15"/>
    </row>
    <row r="2454" spans="1:15" ht="18" customHeight="1" x14ac:dyDescent="0.3">
      <c r="A2454" s="29">
        <v>2453</v>
      </c>
      <c r="B2454" s="15" t="s">
        <v>89</v>
      </c>
      <c r="C2454" s="15" t="s">
        <v>90</v>
      </c>
      <c r="D2454" s="69">
        <v>142</v>
      </c>
      <c r="E2454" s="68" t="s">
        <v>3375</v>
      </c>
      <c r="F2454" s="24" t="s">
        <v>731</v>
      </c>
      <c r="G2454" s="15" t="s">
        <v>154</v>
      </c>
      <c r="H2454" s="15" t="s">
        <v>908</v>
      </c>
      <c r="I2454" s="69">
        <v>228</v>
      </c>
      <c r="J2454" s="15" t="s">
        <v>2672</v>
      </c>
      <c r="K2454" s="15" t="s">
        <v>903</v>
      </c>
      <c r="L2454" s="15" t="s">
        <v>2673</v>
      </c>
      <c r="M2454" s="15" t="s">
        <v>2672</v>
      </c>
      <c r="N2454" s="15" t="s">
        <v>2673</v>
      </c>
      <c r="O2454" s="15"/>
    </row>
    <row r="2455" spans="1:15" ht="18" customHeight="1" x14ac:dyDescent="0.3">
      <c r="A2455" s="29">
        <v>2454</v>
      </c>
      <c r="B2455" s="15" t="s">
        <v>89</v>
      </c>
      <c r="C2455" s="15" t="s">
        <v>90</v>
      </c>
      <c r="D2455" s="69">
        <v>142</v>
      </c>
      <c r="E2455" s="68" t="s">
        <v>3375</v>
      </c>
      <c r="F2455" s="24" t="s">
        <v>731</v>
      </c>
      <c r="G2455" s="15" t="s">
        <v>154</v>
      </c>
      <c r="H2455" s="15" t="s">
        <v>2714</v>
      </c>
      <c r="I2455" s="69">
        <v>258</v>
      </c>
      <c r="J2455" s="15" t="s">
        <v>2674</v>
      </c>
      <c r="K2455" s="15" t="s">
        <v>2674</v>
      </c>
      <c r="L2455" s="15" t="s">
        <v>2715</v>
      </c>
      <c r="M2455" s="15" t="s">
        <v>2672</v>
      </c>
      <c r="N2455" s="15" t="s">
        <v>2673</v>
      </c>
      <c r="O2455" s="15" t="s">
        <v>2993</v>
      </c>
    </row>
    <row r="2456" spans="1:15" ht="18" customHeight="1" x14ac:dyDescent="0.3">
      <c r="A2456" s="29">
        <v>2455</v>
      </c>
      <c r="B2456" s="15" t="s">
        <v>89</v>
      </c>
      <c r="C2456" s="15" t="s">
        <v>90</v>
      </c>
      <c r="D2456" s="69">
        <v>142</v>
      </c>
      <c r="E2456" s="68" t="s">
        <v>3375</v>
      </c>
      <c r="F2456" s="24" t="s">
        <v>731</v>
      </c>
      <c r="G2456" s="15" t="s">
        <v>154</v>
      </c>
      <c r="H2456" s="15" t="s">
        <v>910</v>
      </c>
      <c r="I2456" s="69">
        <v>241</v>
      </c>
      <c r="J2456" s="15" t="s">
        <v>2672</v>
      </c>
      <c r="K2456" s="15" t="s">
        <v>903</v>
      </c>
      <c r="L2456" s="15" t="s">
        <v>2673</v>
      </c>
      <c r="M2456" s="15" t="s">
        <v>2672</v>
      </c>
      <c r="N2456" s="15" t="s">
        <v>2673</v>
      </c>
      <c r="O2456" s="15"/>
    </row>
    <row r="2457" spans="1:15" ht="18" customHeight="1" x14ac:dyDescent="0.3">
      <c r="A2457" s="29">
        <v>2456</v>
      </c>
      <c r="B2457" s="15" t="s">
        <v>89</v>
      </c>
      <c r="C2457" s="15" t="s">
        <v>90</v>
      </c>
      <c r="D2457" s="69">
        <v>142</v>
      </c>
      <c r="E2457" s="68" t="s">
        <v>3375</v>
      </c>
      <c r="F2457" s="24" t="s">
        <v>731</v>
      </c>
      <c r="G2457" s="15" t="s">
        <v>154</v>
      </c>
      <c r="H2457" s="15" t="s">
        <v>911</v>
      </c>
      <c r="I2457" s="69">
        <v>228</v>
      </c>
      <c r="J2457" s="15" t="s">
        <v>2674</v>
      </c>
      <c r="K2457" s="15" t="s">
        <v>903</v>
      </c>
      <c r="L2457" s="15" t="s">
        <v>2673</v>
      </c>
      <c r="M2457" s="15" t="s">
        <v>2672</v>
      </c>
      <c r="N2457" s="15" t="s">
        <v>2673</v>
      </c>
      <c r="O2457" s="15"/>
    </row>
    <row r="2458" spans="1:15" ht="18" customHeight="1" x14ac:dyDescent="0.3">
      <c r="A2458" s="29">
        <v>2457</v>
      </c>
      <c r="B2458" s="15" t="s">
        <v>89</v>
      </c>
      <c r="C2458" s="15" t="s">
        <v>90</v>
      </c>
      <c r="D2458" s="69">
        <v>142</v>
      </c>
      <c r="E2458" s="68" t="s">
        <v>3375</v>
      </c>
      <c r="F2458" s="24" t="s">
        <v>731</v>
      </c>
      <c r="G2458" s="15" t="s">
        <v>154</v>
      </c>
      <c r="H2458" s="15" t="s">
        <v>927</v>
      </c>
      <c r="I2458" s="69">
        <v>150</v>
      </c>
      <c r="J2458" s="15" t="s">
        <v>2672</v>
      </c>
      <c r="K2458" s="15" t="s">
        <v>903</v>
      </c>
      <c r="L2458" s="15" t="s">
        <v>2673</v>
      </c>
      <c r="M2458" s="15" t="s">
        <v>2672</v>
      </c>
      <c r="N2458" s="15" t="s">
        <v>2673</v>
      </c>
      <c r="O2458" s="15"/>
    </row>
    <row r="2459" spans="1:15" ht="18" customHeight="1" x14ac:dyDescent="0.3">
      <c r="A2459" s="29">
        <v>2458</v>
      </c>
      <c r="B2459" s="15" t="s">
        <v>89</v>
      </c>
      <c r="C2459" s="15" t="s">
        <v>90</v>
      </c>
      <c r="D2459" s="69">
        <v>142</v>
      </c>
      <c r="E2459" s="68" t="s">
        <v>3376</v>
      </c>
      <c r="F2459" s="24" t="s">
        <v>732</v>
      </c>
      <c r="G2459" s="15" t="s">
        <v>154</v>
      </c>
      <c r="H2459" s="15" t="s">
        <v>901</v>
      </c>
      <c r="I2459" s="69">
        <v>115</v>
      </c>
      <c r="J2459" s="15" t="s">
        <v>2672</v>
      </c>
      <c r="K2459" s="15" t="s">
        <v>903</v>
      </c>
      <c r="L2459" s="15" t="s">
        <v>2673</v>
      </c>
      <c r="M2459" s="15" t="s">
        <v>2672</v>
      </c>
      <c r="N2459" s="15" t="s">
        <v>2673</v>
      </c>
      <c r="O2459" s="15"/>
    </row>
    <row r="2460" spans="1:15" ht="18" customHeight="1" x14ac:dyDescent="0.3">
      <c r="A2460" s="29">
        <v>2459</v>
      </c>
      <c r="B2460" s="15" t="s">
        <v>89</v>
      </c>
      <c r="C2460" s="15" t="s">
        <v>90</v>
      </c>
      <c r="D2460" s="69">
        <v>142</v>
      </c>
      <c r="E2460" s="68" t="s">
        <v>3376</v>
      </c>
      <c r="F2460" s="24" t="s">
        <v>732</v>
      </c>
      <c r="G2460" s="15" t="s">
        <v>154</v>
      </c>
      <c r="H2460" s="15" t="s">
        <v>904</v>
      </c>
      <c r="I2460" s="69">
        <v>94</v>
      </c>
      <c r="J2460" s="15" t="s">
        <v>2672</v>
      </c>
      <c r="K2460" s="15" t="s">
        <v>903</v>
      </c>
      <c r="L2460" s="15" t="s">
        <v>2673</v>
      </c>
      <c r="M2460" s="15" t="s">
        <v>2672</v>
      </c>
      <c r="N2460" s="15" t="s">
        <v>2673</v>
      </c>
      <c r="O2460" s="15"/>
    </row>
    <row r="2461" spans="1:15" ht="18" customHeight="1" x14ac:dyDescent="0.3">
      <c r="A2461" s="29">
        <v>2460</v>
      </c>
      <c r="B2461" s="15" t="s">
        <v>89</v>
      </c>
      <c r="C2461" s="15" t="s">
        <v>90</v>
      </c>
      <c r="D2461" s="69">
        <v>142</v>
      </c>
      <c r="E2461" s="68" t="s">
        <v>3376</v>
      </c>
      <c r="F2461" s="24" t="s">
        <v>732</v>
      </c>
      <c r="G2461" s="15" t="s">
        <v>154</v>
      </c>
      <c r="H2461" s="15" t="s">
        <v>905</v>
      </c>
      <c r="I2461" s="69">
        <v>241</v>
      </c>
      <c r="J2461" s="15" t="s">
        <v>2674</v>
      </c>
      <c r="K2461" s="15" t="s">
        <v>903</v>
      </c>
      <c r="L2461" s="15" t="s">
        <v>2673</v>
      </c>
      <c r="M2461" s="15" t="s">
        <v>2672</v>
      </c>
      <c r="N2461" s="15" t="s">
        <v>2673</v>
      </c>
      <c r="O2461" s="15"/>
    </row>
    <row r="2462" spans="1:15" ht="18" customHeight="1" x14ac:dyDescent="0.3">
      <c r="A2462" s="29">
        <v>2461</v>
      </c>
      <c r="B2462" s="15" t="s">
        <v>89</v>
      </c>
      <c r="C2462" s="15" t="s">
        <v>90</v>
      </c>
      <c r="D2462" s="69">
        <v>142</v>
      </c>
      <c r="E2462" s="68" t="s">
        <v>3376</v>
      </c>
      <c r="F2462" s="24" t="s">
        <v>732</v>
      </c>
      <c r="G2462" s="15" t="s">
        <v>154</v>
      </c>
      <c r="H2462" s="15" t="s">
        <v>906</v>
      </c>
      <c r="I2462" s="69">
        <v>241</v>
      </c>
      <c r="J2462" s="15" t="s">
        <v>2672</v>
      </c>
      <c r="K2462" s="15" t="s">
        <v>903</v>
      </c>
      <c r="L2462" s="15" t="s">
        <v>2673</v>
      </c>
      <c r="M2462" s="15" t="s">
        <v>2672</v>
      </c>
      <c r="N2462" s="15" t="s">
        <v>2673</v>
      </c>
      <c r="O2462" s="15"/>
    </row>
    <row r="2463" spans="1:15" ht="18" customHeight="1" x14ac:dyDescent="0.3">
      <c r="A2463" s="29">
        <v>2462</v>
      </c>
      <c r="B2463" s="15" t="s">
        <v>89</v>
      </c>
      <c r="C2463" s="15" t="s">
        <v>90</v>
      </c>
      <c r="D2463" s="69">
        <v>142</v>
      </c>
      <c r="E2463" s="68" t="s">
        <v>3376</v>
      </c>
      <c r="F2463" s="24" t="s">
        <v>732</v>
      </c>
      <c r="G2463" s="15" t="s">
        <v>154</v>
      </c>
      <c r="H2463" s="15" t="s">
        <v>907</v>
      </c>
      <c r="I2463" s="69">
        <v>116</v>
      </c>
      <c r="J2463" s="15" t="s">
        <v>2672</v>
      </c>
      <c r="K2463" s="15" t="s">
        <v>903</v>
      </c>
      <c r="L2463" s="15" t="s">
        <v>2673</v>
      </c>
      <c r="M2463" s="15" t="s">
        <v>2672</v>
      </c>
      <c r="N2463" s="15" t="s">
        <v>2673</v>
      </c>
      <c r="O2463" s="15"/>
    </row>
    <row r="2464" spans="1:15" ht="18" customHeight="1" x14ac:dyDescent="0.3">
      <c r="A2464" s="29">
        <v>2463</v>
      </c>
      <c r="B2464" s="15" t="s">
        <v>89</v>
      </c>
      <c r="C2464" s="15" t="s">
        <v>90</v>
      </c>
      <c r="D2464" s="69">
        <v>142</v>
      </c>
      <c r="E2464" s="68" t="s">
        <v>3376</v>
      </c>
      <c r="F2464" s="24" t="s">
        <v>732</v>
      </c>
      <c r="G2464" s="15" t="s">
        <v>154</v>
      </c>
      <c r="H2464" s="15" t="s">
        <v>908</v>
      </c>
      <c r="I2464" s="69">
        <v>120</v>
      </c>
      <c r="J2464" s="15" t="s">
        <v>2672</v>
      </c>
      <c r="K2464" s="15" t="s">
        <v>903</v>
      </c>
      <c r="L2464" s="15" t="s">
        <v>2673</v>
      </c>
      <c r="M2464" s="15" t="s">
        <v>2672</v>
      </c>
      <c r="N2464" s="15" t="s">
        <v>2673</v>
      </c>
      <c r="O2464" s="15"/>
    </row>
    <row r="2465" spans="1:15" ht="18" customHeight="1" x14ac:dyDescent="0.3">
      <c r="A2465" s="29">
        <v>2464</v>
      </c>
      <c r="B2465" s="15" t="s">
        <v>89</v>
      </c>
      <c r="C2465" s="15" t="s">
        <v>90</v>
      </c>
      <c r="D2465" s="69">
        <v>142</v>
      </c>
      <c r="E2465" s="68" t="s">
        <v>3376</v>
      </c>
      <c r="F2465" s="24" t="s">
        <v>732</v>
      </c>
      <c r="G2465" s="15" t="s">
        <v>154</v>
      </c>
      <c r="H2465" s="15" t="s">
        <v>909</v>
      </c>
      <c r="I2465" s="69">
        <v>120</v>
      </c>
      <c r="J2465" s="15" t="s">
        <v>2674</v>
      </c>
      <c r="K2465" s="15" t="s">
        <v>903</v>
      </c>
      <c r="L2465" s="15" t="s">
        <v>2673</v>
      </c>
      <c r="M2465" s="15" t="s">
        <v>2672</v>
      </c>
      <c r="N2465" s="15" t="s">
        <v>2673</v>
      </c>
      <c r="O2465" s="15"/>
    </row>
    <row r="2466" spans="1:15" ht="18" customHeight="1" x14ac:dyDescent="0.3">
      <c r="A2466" s="29">
        <v>2465</v>
      </c>
      <c r="B2466" s="15" t="s">
        <v>89</v>
      </c>
      <c r="C2466" s="15" t="s">
        <v>90</v>
      </c>
      <c r="D2466" s="69">
        <v>142</v>
      </c>
      <c r="E2466" s="68" t="s">
        <v>3376</v>
      </c>
      <c r="F2466" s="24" t="s">
        <v>732</v>
      </c>
      <c r="G2466" s="15" t="s">
        <v>154</v>
      </c>
      <c r="H2466" s="15" t="s">
        <v>910</v>
      </c>
      <c r="I2466" s="69">
        <v>120</v>
      </c>
      <c r="J2466" s="15" t="s">
        <v>2674</v>
      </c>
      <c r="K2466" s="15" t="s">
        <v>903</v>
      </c>
      <c r="L2466" s="15" t="s">
        <v>2673</v>
      </c>
      <c r="M2466" s="15" t="s">
        <v>2672</v>
      </c>
      <c r="N2466" s="15" t="s">
        <v>2673</v>
      </c>
      <c r="O2466" s="15"/>
    </row>
    <row r="2467" spans="1:15" ht="18" customHeight="1" x14ac:dyDescent="0.3">
      <c r="A2467" s="29">
        <v>2466</v>
      </c>
      <c r="B2467" s="15" t="s">
        <v>89</v>
      </c>
      <c r="C2467" s="15" t="s">
        <v>90</v>
      </c>
      <c r="D2467" s="69">
        <v>142</v>
      </c>
      <c r="E2467" s="68" t="s">
        <v>3376</v>
      </c>
      <c r="F2467" s="24" t="s">
        <v>732</v>
      </c>
      <c r="G2467" s="15" t="s">
        <v>154</v>
      </c>
      <c r="H2467" s="15" t="s">
        <v>911</v>
      </c>
      <c r="I2467" s="69">
        <v>124</v>
      </c>
      <c r="J2467" s="15" t="s">
        <v>2672</v>
      </c>
      <c r="K2467" s="15" t="s">
        <v>903</v>
      </c>
      <c r="L2467" s="15" t="s">
        <v>2673</v>
      </c>
      <c r="M2467" s="15" t="s">
        <v>2672</v>
      </c>
      <c r="N2467" s="15" t="s">
        <v>2673</v>
      </c>
      <c r="O2467" s="15"/>
    </row>
    <row r="2468" spans="1:15" ht="18" customHeight="1" x14ac:dyDescent="0.3">
      <c r="A2468" s="29">
        <v>2467</v>
      </c>
      <c r="B2468" s="15" t="s">
        <v>89</v>
      </c>
      <c r="C2468" s="15" t="s">
        <v>90</v>
      </c>
      <c r="D2468" s="69">
        <v>142</v>
      </c>
      <c r="E2468" s="68" t="s">
        <v>3376</v>
      </c>
      <c r="F2468" s="24" t="s">
        <v>732</v>
      </c>
      <c r="G2468" s="15" t="s">
        <v>154</v>
      </c>
      <c r="H2468" s="15" t="s">
        <v>927</v>
      </c>
      <c r="I2468" s="69">
        <v>124</v>
      </c>
      <c r="J2468" s="15" t="s">
        <v>2672</v>
      </c>
      <c r="K2468" s="15" t="s">
        <v>903</v>
      </c>
      <c r="L2468" s="15" t="s">
        <v>2673</v>
      </c>
      <c r="M2468" s="15" t="s">
        <v>2672</v>
      </c>
      <c r="N2468" s="15" t="s">
        <v>2673</v>
      </c>
      <c r="O2468" s="15"/>
    </row>
    <row r="2469" spans="1:15" ht="18" customHeight="1" x14ac:dyDescent="0.3">
      <c r="A2469" s="29">
        <v>2468</v>
      </c>
      <c r="B2469" s="15" t="s">
        <v>89</v>
      </c>
      <c r="C2469" s="15" t="s">
        <v>90</v>
      </c>
      <c r="D2469" s="69">
        <v>142</v>
      </c>
      <c r="E2469" s="68" t="s">
        <v>3376</v>
      </c>
      <c r="F2469" s="24" t="s">
        <v>732</v>
      </c>
      <c r="G2469" s="15" t="s">
        <v>154</v>
      </c>
      <c r="H2469" s="15" t="s">
        <v>941</v>
      </c>
      <c r="I2469" s="69">
        <v>120</v>
      </c>
      <c r="J2469" s="15" t="s">
        <v>2672</v>
      </c>
      <c r="K2469" s="15" t="s">
        <v>903</v>
      </c>
      <c r="L2469" s="15" t="s">
        <v>2673</v>
      </c>
      <c r="M2469" s="15" t="s">
        <v>2672</v>
      </c>
      <c r="N2469" s="15" t="s">
        <v>2673</v>
      </c>
      <c r="O2469" s="15"/>
    </row>
    <row r="2470" spans="1:15" ht="18" customHeight="1" x14ac:dyDescent="0.3">
      <c r="A2470" s="29">
        <v>2469</v>
      </c>
      <c r="B2470" s="15" t="s">
        <v>89</v>
      </c>
      <c r="C2470" s="15" t="s">
        <v>90</v>
      </c>
      <c r="D2470" s="69">
        <v>142</v>
      </c>
      <c r="E2470" s="68" t="s">
        <v>2213</v>
      </c>
      <c r="F2470" s="21" t="s">
        <v>741</v>
      </c>
      <c r="G2470" s="15" t="s">
        <v>164</v>
      </c>
      <c r="H2470" s="15" t="s">
        <v>901</v>
      </c>
      <c r="I2470" s="69">
        <v>118</v>
      </c>
      <c r="J2470" s="15" t="s">
        <v>2672</v>
      </c>
      <c r="K2470" s="15" t="s">
        <v>903</v>
      </c>
      <c r="L2470" s="15" t="s">
        <v>2673</v>
      </c>
      <c r="M2470" s="15" t="s">
        <v>2672</v>
      </c>
      <c r="N2470" s="15" t="s">
        <v>2673</v>
      </c>
      <c r="O2470" s="15"/>
    </row>
    <row r="2471" spans="1:15" ht="18" customHeight="1" x14ac:dyDescent="0.3">
      <c r="A2471" s="29">
        <v>2470</v>
      </c>
      <c r="B2471" s="15" t="s">
        <v>89</v>
      </c>
      <c r="C2471" s="15" t="s">
        <v>90</v>
      </c>
      <c r="D2471" s="69">
        <v>142</v>
      </c>
      <c r="E2471" s="68" t="s">
        <v>2213</v>
      </c>
      <c r="F2471" s="21" t="s">
        <v>741</v>
      </c>
      <c r="G2471" s="15" t="s">
        <v>164</v>
      </c>
      <c r="H2471" s="15" t="s">
        <v>904</v>
      </c>
      <c r="I2471" s="69">
        <v>76</v>
      </c>
      <c r="J2471" s="15" t="s">
        <v>2672</v>
      </c>
      <c r="K2471" s="15" t="s">
        <v>903</v>
      </c>
      <c r="L2471" s="15" t="s">
        <v>2673</v>
      </c>
      <c r="M2471" s="15" t="s">
        <v>2672</v>
      </c>
      <c r="N2471" s="15" t="s">
        <v>2673</v>
      </c>
      <c r="O2471" s="15"/>
    </row>
    <row r="2472" spans="1:15" ht="18" customHeight="1" x14ac:dyDescent="0.3">
      <c r="A2472" s="29">
        <v>2471</v>
      </c>
      <c r="B2472" s="15" t="s">
        <v>89</v>
      </c>
      <c r="C2472" s="15" t="s">
        <v>90</v>
      </c>
      <c r="D2472" s="69">
        <v>142</v>
      </c>
      <c r="E2472" s="68" t="s">
        <v>2213</v>
      </c>
      <c r="F2472" s="21" t="s">
        <v>741</v>
      </c>
      <c r="G2472" s="15" t="s">
        <v>164</v>
      </c>
      <c r="H2472" s="15" t="s">
        <v>905</v>
      </c>
      <c r="I2472" s="69">
        <v>76</v>
      </c>
      <c r="J2472" s="15" t="s">
        <v>2672</v>
      </c>
      <c r="K2472" s="15" t="s">
        <v>903</v>
      </c>
      <c r="L2472" s="15" t="s">
        <v>2673</v>
      </c>
      <c r="M2472" s="15" t="s">
        <v>2672</v>
      </c>
      <c r="N2472" s="15" t="s">
        <v>2673</v>
      </c>
      <c r="O2472" s="15"/>
    </row>
    <row r="2473" spans="1:15" ht="18" customHeight="1" x14ac:dyDescent="0.3">
      <c r="A2473" s="29">
        <v>2472</v>
      </c>
      <c r="B2473" s="15" t="s">
        <v>89</v>
      </c>
      <c r="C2473" s="15" t="s">
        <v>90</v>
      </c>
      <c r="D2473" s="69">
        <v>142</v>
      </c>
      <c r="E2473" s="68" t="s">
        <v>2213</v>
      </c>
      <c r="F2473" s="21" t="s">
        <v>741</v>
      </c>
      <c r="G2473" s="15" t="s">
        <v>164</v>
      </c>
      <c r="H2473" s="15" t="s">
        <v>906</v>
      </c>
      <c r="I2473" s="69">
        <v>110</v>
      </c>
      <c r="J2473" s="15" t="s">
        <v>2672</v>
      </c>
      <c r="K2473" s="15" t="s">
        <v>903</v>
      </c>
      <c r="L2473" s="15" t="s">
        <v>2673</v>
      </c>
      <c r="M2473" s="15" t="s">
        <v>2672</v>
      </c>
      <c r="N2473" s="15" t="s">
        <v>2673</v>
      </c>
      <c r="O2473" s="15"/>
    </row>
    <row r="2474" spans="1:15" ht="18" customHeight="1" x14ac:dyDescent="0.3">
      <c r="A2474" s="29">
        <v>2473</v>
      </c>
      <c r="B2474" s="15" t="s">
        <v>89</v>
      </c>
      <c r="C2474" s="15" t="s">
        <v>2216</v>
      </c>
      <c r="D2474" s="69">
        <v>142</v>
      </c>
      <c r="E2474" s="68" t="s">
        <v>939</v>
      </c>
      <c r="F2474" s="21" t="s">
        <v>740</v>
      </c>
      <c r="G2474" s="15" t="s">
        <v>164</v>
      </c>
      <c r="H2474" s="15" t="s">
        <v>901</v>
      </c>
      <c r="I2474" s="69">
        <v>169</v>
      </c>
      <c r="J2474" s="15" t="s">
        <v>2674</v>
      </c>
      <c r="K2474" s="15" t="s">
        <v>903</v>
      </c>
      <c r="L2474" s="15" t="s">
        <v>2673</v>
      </c>
      <c r="M2474" s="15" t="s">
        <v>2672</v>
      </c>
      <c r="N2474" s="15" t="s">
        <v>2673</v>
      </c>
      <c r="O2474" s="15"/>
    </row>
    <row r="2475" spans="1:15" ht="18" customHeight="1" x14ac:dyDescent="0.3">
      <c r="A2475" s="29">
        <v>2474</v>
      </c>
      <c r="B2475" s="15" t="s">
        <v>89</v>
      </c>
      <c r="C2475" s="15" t="s">
        <v>2216</v>
      </c>
      <c r="D2475" s="69">
        <v>142</v>
      </c>
      <c r="E2475" s="68" t="s">
        <v>939</v>
      </c>
      <c r="F2475" s="21" t="s">
        <v>740</v>
      </c>
      <c r="G2475" s="15" t="s">
        <v>164</v>
      </c>
      <c r="H2475" s="15" t="s">
        <v>904</v>
      </c>
      <c r="I2475" s="69">
        <v>126</v>
      </c>
      <c r="J2475" s="15" t="s">
        <v>2672</v>
      </c>
      <c r="K2475" s="15" t="s">
        <v>903</v>
      </c>
      <c r="L2475" s="15" t="s">
        <v>2673</v>
      </c>
      <c r="M2475" s="15" t="s">
        <v>2672</v>
      </c>
      <c r="N2475" s="15" t="s">
        <v>2673</v>
      </c>
      <c r="O2475" s="15"/>
    </row>
    <row r="2476" spans="1:15" ht="18" customHeight="1" x14ac:dyDescent="0.3">
      <c r="A2476" s="29">
        <v>2475</v>
      </c>
      <c r="B2476" s="15" t="s">
        <v>89</v>
      </c>
      <c r="C2476" s="15" t="s">
        <v>2216</v>
      </c>
      <c r="D2476" s="69">
        <v>142</v>
      </c>
      <c r="E2476" s="68" t="s">
        <v>939</v>
      </c>
      <c r="F2476" s="21" t="s">
        <v>740</v>
      </c>
      <c r="G2476" s="15" t="s">
        <v>164</v>
      </c>
      <c r="H2476" s="15" t="s">
        <v>905</v>
      </c>
      <c r="I2476" s="69">
        <v>115</v>
      </c>
      <c r="J2476" s="15" t="s">
        <v>2672</v>
      </c>
      <c r="K2476" s="15" t="s">
        <v>903</v>
      </c>
      <c r="L2476" s="15" t="s">
        <v>2673</v>
      </c>
      <c r="M2476" s="15" t="s">
        <v>2672</v>
      </c>
      <c r="N2476" s="15" t="s">
        <v>2673</v>
      </c>
      <c r="O2476" s="15"/>
    </row>
    <row r="2477" spans="1:15" ht="18" customHeight="1" x14ac:dyDescent="0.3">
      <c r="A2477" s="29">
        <v>2476</v>
      </c>
      <c r="B2477" s="15" t="s">
        <v>89</v>
      </c>
      <c r="C2477" s="15" t="s">
        <v>2216</v>
      </c>
      <c r="D2477" s="69">
        <v>142</v>
      </c>
      <c r="E2477" s="68" t="s">
        <v>939</v>
      </c>
      <c r="F2477" s="21" t="s">
        <v>740</v>
      </c>
      <c r="G2477" s="15" t="s">
        <v>164</v>
      </c>
      <c r="H2477" s="15" t="s">
        <v>906</v>
      </c>
      <c r="I2477" s="69">
        <v>115</v>
      </c>
      <c r="J2477" s="15" t="s">
        <v>2672</v>
      </c>
      <c r="K2477" s="15" t="s">
        <v>903</v>
      </c>
      <c r="L2477" s="15" t="s">
        <v>2673</v>
      </c>
      <c r="M2477" s="15" t="s">
        <v>2672</v>
      </c>
      <c r="N2477" s="15" t="s">
        <v>2673</v>
      </c>
      <c r="O2477" s="15"/>
    </row>
    <row r="2478" spans="1:15" ht="18" customHeight="1" x14ac:dyDescent="0.3">
      <c r="A2478" s="29">
        <v>2477</v>
      </c>
      <c r="B2478" s="15" t="s">
        <v>89</v>
      </c>
      <c r="C2478" s="15" t="s">
        <v>2216</v>
      </c>
      <c r="D2478" s="69">
        <v>142</v>
      </c>
      <c r="E2478" s="68" t="s">
        <v>939</v>
      </c>
      <c r="F2478" s="21" t="s">
        <v>740</v>
      </c>
      <c r="G2478" s="15" t="s">
        <v>164</v>
      </c>
      <c r="H2478" s="15" t="s">
        <v>907</v>
      </c>
      <c r="I2478" s="69">
        <v>208</v>
      </c>
      <c r="J2478" s="15" t="s">
        <v>2674</v>
      </c>
      <c r="K2478" s="15" t="s">
        <v>903</v>
      </c>
      <c r="L2478" s="15" t="s">
        <v>2673</v>
      </c>
      <c r="M2478" s="15" t="s">
        <v>2672</v>
      </c>
      <c r="N2478" s="15" t="s">
        <v>2673</v>
      </c>
      <c r="O2478" s="15"/>
    </row>
    <row r="2479" spans="1:15" ht="18" customHeight="1" x14ac:dyDescent="0.3">
      <c r="A2479" s="29">
        <v>2478</v>
      </c>
      <c r="B2479" s="15" t="s">
        <v>89</v>
      </c>
      <c r="C2479" s="15" t="s">
        <v>2216</v>
      </c>
      <c r="D2479" s="69">
        <v>142</v>
      </c>
      <c r="E2479" s="68" t="s">
        <v>939</v>
      </c>
      <c r="F2479" s="21" t="s">
        <v>740</v>
      </c>
      <c r="G2479" s="15" t="s">
        <v>164</v>
      </c>
      <c r="H2479" s="15" t="s">
        <v>908</v>
      </c>
      <c r="I2479" s="69">
        <v>174</v>
      </c>
      <c r="J2479" s="15" t="s">
        <v>2672</v>
      </c>
      <c r="K2479" s="15" t="s">
        <v>903</v>
      </c>
      <c r="L2479" s="15" t="s">
        <v>2673</v>
      </c>
      <c r="M2479" s="15" t="s">
        <v>2672</v>
      </c>
      <c r="N2479" s="15" t="s">
        <v>2673</v>
      </c>
      <c r="O2479" s="15"/>
    </row>
    <row r="2480" spans="1:15" ht="18" customHeight="1" x14ac:dyDescent="0.3">
      <c r="A2480" s="29">
        <v>2479</v>
      </c>
      <c r="B2480" s="15" t="s">
        <v>89</v>
      </c>
      <c r="C2480" s="15" t="s">
        <v>2216</v>
      </c>
      <c r="D2480" s="69">
        <v>142</v>
      </c>
      <c r="E2480" s="68" t="s">
        <v>939</v>
      </c>
      <c r="F2480" s="21" t="s">
        <v>740</v>
      </c>
      <c r="G2480" s="15" t="s">
        <v>164</v>
      </c>
      <c r="H2480" s="15" t="s">
        <v>909</v>
      </c>
      <c r="I2480" s="69">
        <v>72</v>
      </c>
      <c r="J2480" s="15" t="s">
        <v>2672</v>
      </c>
      <c r="K2480" s="15" t="s">
        <v>903</v>
      </c>
      <c r="L2480" s="15" t="s">
        <v>2673</v>
      </c>
      <c r="M2480" s="15" t="s">
        <v>2672</v>
      </c>
      <c r="N2480" s="15" t="s">
        <v>2673</v>
      </c>
      <c r="O2480" s="15"/>
    </row>
    <row r="2481" spans="1:15" ht="18" customHeight="1" x14ac:dyDescent="0.3">
      <c r="A2481" s="29">
        <v>2480</v>
      </c>
      <c r="B2481" s="15" t="s">
        <v>89</v>
      </c>
      <c r="C2481" s="15" t="s">
        <v>2216</v>
      </c>
      <c r="D2481" s="69">
        <v>142</v>
      </c>
      <c r="E2481" s="68" t="s">
        <v>939</v>
      </c>
      <c r="F2481" s="21" t="s">
        <v>740</v>
      </c>
      <c r="G2481" s="15" t="s">
        <v>164</v>
      </c>
      <c r="H2481" s="15" t="s">
        <v>910</v>
      </c>
      <c r="I2481" s="69">
        <v>34</v>
      </c>
      <c r="J2481" s="15" t="s">
        <v>2672</v>
      </c>
      <c r="K2481" s="15" t="s">
        <v>903</v>
      </c>
      <c r="L2481" s="15" t="s">
        <v>2673</v>
      </c>
      <c r="M2481" s="15" t="s">
        <v>2672</v>
      </c>
      <c r="N2481" s="15" t="s">
        <v>2673</v>
      </c>
      <c r="O2481" s="15"/>
    </row>
    <row r="2482" spans="1:15" ht="18" customHeight="1" x14ac:dyDescent="0.3">
      <c r="A2482" s="29">
        <v>2481</v>
      </c>
      <c r="B2482" s="15" t="s">
        <v>89</v>
      </c>
      <c r="C2482" s="15" t="s">
        <v>90</v>
      </c>
      <c r="D2482" s="69">
        <v>142</v>
      </c>
      <c r="E2482" s="68" t="s">
        <v>2994</v>
      </c>
      <c r="F2482" s="21" t="s">
        <v>737</v>
      </c>
      <c r="G2482" s="15" t="s">
        <v>154</v>
      </c>
      <c r="H2482" s="15" t="s">
        <v>904</v>
      </c>
      <c r="I2482" s="69">
        <v>276</v>
      </c>
      <c r="J2482" s="13" t="s">
        <v>2672</v>
      </c>
      <c r="K2482" s="15" t="s">
        <v>903</v>
      </c>
      <c r="L2482" s="15" t="s">
        <v>2673</v>
      </c>
      <c r="M2482" s="15" t="s">
        <v>2672</v>
      </c>
      <c r="N2482" s="15" t="s">
        <v>2673</v>
      </c>
      <c r="O2482" s="15"/>
    </row>
    <row r="2483" spans="1:15" ht="18" customHeight="1" x14ac:dyDescent="0.3">
      <c r="A2483" s="29">
        <v>2482</v>
      </c>
      <c r="B2483" s="15" t="s">
        <v>89</v>
      </c>
      <c r="C2483" s="15" t="s">
        <v>90</v>
      </c>
      <c r="D2483" s="69">
        <v>142</v>
      </c>
      <c r="E2483" s="68" t="s">
        <v>2994</v>
      </c>
      <c r="F2483" s="21" t="s">
        <v>737</v>
      </c>
      <c r="G2483" s="15" t="s">
        <v>154</v>
      </c>
      <c r="H2483" s="15" t="s">
        <v>905</v>
      </c>
      <c r="I2483" s="69">
        <v>166</v>
      </c>
      <c r="J2483" s="13" t="s">
        <v>2672</v>
      </c>
      <c r="K2483" s="15" t="s">
        <v>903</v>
      </c>
      <c r="L2483" s="15" t="s">
        <v>2673</v>
      </c>
      <c r="M2483" s="15" t="s">
        <v>2672</v>
      </c>
      <c r="N2483" s="15" t="s">
        <v>2673</v>
      </c>
      <c r="O2483" s="15"/>
    </row>
    <row r="2484" spans="1:15" ht="18" customHeight="1" x14ac:dyDescent="0.3">
      <c r="A2484" s="29">
        <v>2483</v>
      </c>
      <c r="B2484" s="15" t="s">
        <v>89</v>
      </c>
      <c r="C2484" s="15" t="s">
        <v>90</v>
      </c>
      <c r="D2484" s="69">
        <v>142</v>
      </c>
      <c r="E2484" s="68" t="s">
        <v>2994</v>
      </c>
      <c r="F2484" s="21" t="s">
        <v>737</v>
      </c>
      <c r="G2484" s="15" t="s">
        <v>154</v>
      </c>
      <c r="H2484" s="15" t="s">
        <v>906</v>
      </c>
      <c r="I2484" s="69">
        <v>236</v>
      </c>
      <c r="J2484" s="13" t="s">
        <v>902</v>
      </c>
      <c r="K2484" s="15" t="s">
        <v>903</v>
      </c>
      <c r="L2484" s="15" t="s">
        <v>2673</v>
      </c>
      <c r="M2484" s="15" t="s">
        <v>2672</v>
      </c>
      <c r="N2484" s="15" t="s">
        <v>2673</v>
      </c>
      <c r="O2484" s="15"/>
    </row>
    <row r="2485" spans="1:15" ht="18" customHeight="1" x14ac:dyDescent="0.3">
      <c r="A2485" s="29">
        <v>2484</v>
      </c>
      <c r="B2485" s="15" t="s">
        <v>89</v>
      </c>
      <c r="C2485" s="15" t="s">
        <v>90</v>
      </c>
      <c r="D2485" s="69">
        <v>142</v>
      </c>
      <c r="E2485" s="68" t="s">
        <v>2994</v>
      </c>
      <c r="F2485" s="21" t="s">
        <v>737</v>
      </c>
      <c r="G2485" s="15" t="s">
        <v>154</v>
      </c>
      <c r="H2485" s="15" t="s">
        <v>907</v>
      </c>
      <c r="I2485" s="69">
        <v>152</v>
      </c>
      <c r="J2485" s="13" t="s">
        <v>2672</v>
      </c>
      <c r="K2485" s="15" t="s">
        <v>903</v>
      </c>
      <c r="L2485" s="15" t="s">
        <v>2673</v>
      </c>
      <c r="M2485" s="15" t="s">
        <v>2672</v>
      </c>
      <c r="N2485" s="15" t="s">
        <v>2673</v>
      </c>
      <c r="O2485" s="15"/>
    </row>
    <row r="2486" spans="1:15" ht="18" customHeight="1" x14ac:dyDescent="0.3">
      <c r="A2486" s="29">
        <v>2485</v>
      </c>
      <c r="B2486" s="15" t="s">
        <v>89</v>
      </c>
      <c r="C2486" s="15" t="s">
        <v>90</v>
      </c>
      <c r="D2486" s="69">
        <v>142</v>
      </c>
      <c r="E2486" s="68" t="s">
        <v>2994</v>
      </c>
      <c r="F2486" s="21" t="s">
        <v>1231</v>
      </c>
      <c r="G2486" s="15" t="s">
        <v>154</v>
      </c>
      <c r="H2486" s="15" t="s">
        <v>901</v>
      </c>
      <c r="I2486" s="69">
        <v>324</v>
      </c>
      <c r="J2486" s="13" t="s">
        <v>902</v>
      </c>
      <c r="K2486" s="15" t="s">
        <v>903</v>
      </c>
      <c r="L2486" s="15" t="s">
        <v>336</v>
      </c>
      <c r="M2486" s="15" t="s">
        <v>2672</v>
      </c>
      <c r="N2486" s="15" t="s">
        <v>2673</v>
      </c>
      <c r="O2486" s="15"/>
    </row>
    <row r="2487" spans="1:15" ht="18" customHeight="1" x14ac:dyDescent="0.3">
      <c r="A2487" s="29">
        <v>2486</v>
      </c>
      <c r="B2487" s="15" t="s">
        <v>89</v>
      </c>
      <c r="C2487" s="15" t="s">
        <v>90</v>
      </c>
      <c r="D2487" s="69">
        <v>142</v>
      </c>
      <c r="E2487" s="68" t="s">
        <v>2994</v>
      </c>
      <c r="F2487" s="21" t="s">
        <v>1231</v>
      </c>
      <c r="G2487" s="15" t="s">
        <v>154</v>
      </c>
      <c r="H2487" s="15" t="s">
        <v>908</v>
      </c>
      <c r="I2487" s="69">
        <v>132</v>
      </c>
      <c r="J2487" s="13" t="s">
        <v>902</v>
      </c>
      <c r="K2487" s="15" t="s">
        <v>2674</v>
      </c>
      <c r="L2487" s="15" t="s">
        <v>1577</v>
      </c>
      <c r="M2487" s="15" t="s">
        <v>2672</v>
      </c>
      <c r="N2487" s="15" t="s">
        <v>2673</v>
      </c>
      <c r="O2487" s="15" t="s">
        <v>1174</v>
      </c>
    </row>
    <row r="2488" spans="1:15" ht="18" customHeight="1" x14ac:dyDescent="0.3">
      <c r="A2488" s="29">
        <v>2487</v>
      </c>
      <c r="B2488" s="15" t="s">
        <v>89</v>
      </c>
      <c r="C2488" s="15" t="s">
        <v>90</v>
      </c>
      <c r="D2488" s="69">
        <v>142</v>
      </c>
      <c r="E2488" s="68" t="s">
        <v>3377</v>
      </c>
      <c r="F2488" s="24" t="s">
        <v>2218</v>
      </c>
      <c r="G2488" s="15" t="s">
        <v>164</v>
      </c>
      <c r="H2488" s="15" t="s">
        <v>901</v>
      </c>
      <c r="I2488" s="69">
        <v>54</v>
      </c>
      <c r="J2488" s="15" t="s">
        <v>2672</v>
      </c>
      <c r="K2488" s="15" t="s">
        <v>903</v>
      </c>
      <c r="L2488" s="15" t="s">
        <v>2673</v>
      </c>
      <c r="M2488" s="15" t="s">
        <v>2672</v>
      </c>
      <c r="N2488" s="15" t="s">
        <v>2673</v>
      </c>
      <c r="O2488" s="15"/>
    </row>
    <row r="2489" spans="1:15" ht="18" customHeight="1" x14ac:dyDescent="0.3">
      <c r="A2489" s="29">
        <v>2488</v>
      </c>
      <c r="B2489" s="15" t="s">
        <v>89</v>
      </c>
      <c r="C2489" s="15" t="s">
        <v>90</v>
      </c>
      <c r="D2489" s="69">
        <v>142</v>
      </c>
      <c r="E2489" s="68" t="s">
        <v>3377</v>
      </c>
      <c r="F2489" s="24" t="s">
        <v>2218</v>
      </c>
      <c r="G2489" s="15" t="s">
        <v>164</v>
      </c>
      <c r="H2489" s="15" t="s">
        <v>904</v>
      </c>
      <c r="I2489" s="69">
        <v>81</v>
      </c>
      <c r="J2489" s="15" t="s">
        <v>2672</v>
      </c>
      <c r="K2489" s="15" t="s">
        <v>903</v>
      </c>
      <c r="L2489" s="15" t="s">
        <v>2673</v>
      </c>
      <c r="M2489" s="15" t="s">
        <v>2672</v>
      </c>
      <c r="N2489" s="15" t="s">
        <v>2673</v>
      </c>
      <c r="O2489" s="15"/>
    </row>
    <row r="2490" spans="1:15" ht="18" customHeight="1" x14ac:dyDescent="0.3">
      <c r="A2490" s="29">
        <v>2489</v>
      </c>
      <c r="B2490" s="15" t="s">
        <v>89</v>
      </c>
      <c r="C2490" s="15" t="s">
        <v>90</v>
      </c>
      <c r="D2490" s="69">
        <v>142</v>
      </c>
      <c r="E2490" s="68" t="s">
        <v>3377</v>
      </c>
      <c r="F2490" s="24" t="s">
        <v>2218</v>
      </c>
      <c r="G2490" s="15" t="s">
        <v>164</v>
      </c>
      <c r="H2490" s="15" t="s">
        <v>905</v>
      </c>
      <c r="I2490" s="69">
        <v>80</v>
      </c>
      <c r="J2490" s="15" t="s">
        <v>2672</v>
      </c>
      <c r="K2490" s="15" t="s">
        <v>903</v>
      </c>
      <c r="L2490" s="15" t="s">
        <v>2673</v>
      </c>
      <c r="M2490" s="15" t="s">
        <v>2672</v>
      </c>
      <c r="N2490" s="15" t="s">
        <v>2673</v>
      </c>
      <c r="O2490" s="15"/>
    </row>
    <row r="2491" spans="1:15" ht="18" customHeight="1" x14ac:dyDescent="0.3">
      <c r="A2491" s="29">
        <v>2490</v>
      </c>
      <c r="B2491" s="15" t="s">
        <v>89</v>
      </c>
      <c r="C2491" s="15" t="s">
        <v>90</v>
      </c>
      <c r="D2491" s="69">
        <v>142</v>
      </c>
      <c r="E2491" s="68" t="s">
        <v>3377</v>
      </c>
      <c r="F2491" s="24" t="s">
        <v>2218</v>
      </c>
      <c r="G2491" s="15" t="s">
        <v>164</v>
      </c>
      <c r="H2491" s="15" t="s">
        <v>2680</v>
      </c>
      <c r="I2491" s="69">
        <v>62</v>
      </c>
      <c r="J2491" s="15" t="s">
        <v>2672</v>
      </c>
      <c r="K2491" s="15" t="s">
        <v>903</v>
      </c>
      <c r="L2491" s="15" t="s">
        <v>2673</v>
      </c>
      <c r="M2491" s="15" t="s">
        <v>2672</v>
      </c>
      <c r="N2491" s="15" t="s">
        <v>2673</v>
      </c>
      <c r="O2491" s="15" t="s">
        <v>2995</v>
      </c>
    </row>
    <row r="2492" spans="1:15" ht="18" customHeight="1" x14ac:dyDescent="0.3">
      <c r="A2492" s="29">
        <v>2491</v>
      </c>
      <c r="B2492" s="15" t="s">
        <v>89</v>
      </c>
      <c r="C2492" s="15" t="s">
        <v>90</v>
      </c>
      <c r="D2492" s="69">
        <v>142</v>
      </c>
      <c r="E2492" s="68" t="s">
        <v>3377</v>
      </c>
      <c r="F2492" s="24" t="s">
        <v>2218</v>
      </c>
      <c r="G2492" s="15" t="s">
        <v>164</v>
      </c>
      <c r="H2492" s="15" t="s">
        <v>2690</v>
      </c>
      <c r="I2492" s="69">
        <v>72</v>
      </c>
      <c r="J2492" s="15" t="s">
        <v>2672</v>
      </c>
      <c r="K2492" s="15" t="s">
        <v>903</v>
      </c>
      <c r="L2492" s="15" t="s">
        <v>2673</v>
      </c>
      <c r="M2492" s="15" t="s">
        <v>2672</v>
      </c>
      <c r="N2492" s="15" t="s">
        <v>2673</v>
      </c>
      <c r="O2492" s="15"/>
    </row>
    <row r="2493" spans="1:15" ht="18" customHeight="1" x14ac:dyDescent="0.3">
      <c r="A2493" s="29">
        <v>2492</v>
      </c>
      <c r="B2493" s="15" t="s">
        <v>89</v>
      </c>
      <c r="C2493" s="15" t="s">
        <v>90</v>
      </c>
      <c r="D2493" s="69">
        <v>142</v>
      </c>
      <c r="E2493" s="68" t="s">
        <v>3377</v>
      </c>
      <c r="F2493" s="24" t="s">
        <v>2218</v>
      </c>
      <c r="G2493" s="15" t="s">
        <v>164</v>
      </c>
      <c r="H2493" s="15" t="s">
        <v>2682</v>
      </c>
      <c r="I2493" s="69">
        <v>109</v>
      </c>
      <c r="J2493" s="15" t="s">
        <v>2672</v>
      </c>
      <c r="K2493" s="15" t="s">
        <v>903</v>
      </c>
      <c r="L2493" s="15" t="s">
        <v>2673</v>
      </c>
      <c r="M2493" s="15" t="s">
        <v>2672</v>
      </c>
      <c r="N2493" s="15" t="s">
        <v>2673</v>
      </c>
      <c r="O2493" s="15"/>
    </row>
    <row r="2494" spans="1:15" ht="18" customHeight="1" x14ac:dyDescent="0.3">
      <c r="A2494" s="29">
        <v>2493</v>
      </c>
      <c r="B2494" s="15" t="s">
        <v>89</v>
      </c>
      <c r="C2494" s="15" t="s">
        <v>90</v>
      </c>
      <c r="D2494" s="69">
        <v>142</v>
      </c>
      <c r="E2494" s="68" t="s">
        <v>3377</v>
      </c>
      <c r="F2494" s="24" t="s">
        <v>2218</v>
      </c>
      <c r="G2494" s="15" t="s">
        <v>164</v>
      </c>
      <c r="H2494" s="15" t="s">
        <v>2732</v>
      </c>
      <c r="I2494" s="69">
        <v>109</v>
      </c>
      <c r="J2494" s="15" t="s">
        <v>2672</v>
      </c>
      <c r="K2494" s="15" t="s">
        <v>903</v>
      </c>
      <c r="L2494" s="15" t="s">
        <v>2673</v>
      </c>
      <c r="M2494" s="15" t="s">
        <v>2672</v>
      </c>
      <c r="N2494" s="15" t="s">
        <v>2673</v>
      </c>
      <c r="O2494" s="15"/>
    </row>
    <row r="2495" spans="1:15" ht="18" customHeight="1" x14ac:dyDescent="0.3">
      <c r="A2495" s="29">
        <v>2494</v>
      </c>
      <c r="B2495" s="15" t="s">
        <v>89</v>
      </c>
      <c r="C2495" s="15" t="s">
        <v>90</v>
      </c>
      <c r="D2495" s="69">
        <v>142</v>
      </c>
      <c r="E2495" s="68" t="s">
        <v>3377</v>
      </c>
      <c r="F2495" s="24" t="s">
        <v>2218</v>
      </c>
      <c r="G2495" s="15" t="s">
        <v>164</v>
      </c>
      <c r="H2495" s="15" t="s">
        <v>2683</v>
      </c>
      <c r="I2495" s="69">
        <v>109</v>
      </c>
      <c r="J2495" s="15" t="s">
        <v>2672</v>
      </c>
      <c r="K2495" s="15" t="s">
        <v>903</v>
      </c>
      <c r="L2495" s="15" t="s">
        <v>2673</v>
      </c>
      <c r="M2495" s="15" t="s">
        <v>2672</v>
      </c>
      <c r="N2495" s="15" t="s">
        <v>2673</v>
      </c>
      <c r="O2495" s="15"/>
    </row>
    <row r="2496" spans="1:15" ht="18" customHeight="1" x14ac:dyDescent="0.3">
      <c r="A2496" s="29">
        <v>2495</v>
      </c>
      <c r="B2496" s="15" t="s">
        <v>89</v>
      </c>
      <c r="C2496" s="15" t="s">
        <v>90</v>
      </c>
      <c r="D2496" s="69">
        <v>142</v>
      </c>
      <c r="E2496" s="68" t="s">
        <v>3378</v>
      </c>
      <c r="F2496" s="24" t="s">
        <v>735</v>
      </c>
      <c r="G2496" s="15" t="s">
        <v>154</v>
      </c>
      <c r="H2496" s="15" t="s">
        <v>901</v>
      </c>
      <c r="I2496" s="69">
        <v>140</v>
      </c>
      <c r="J2496" s="15" t="s">
        <v>2674</v>
      </c>
      <c r="K2496" s="15" t="s">
        <v>902</v>
      </c>
      <c r="L2496" s="15" t="s">
        <v>208</v>
      </c>
      <c r="M2496" s="15" t="s">
        <v>2672</v>
      </c>
      <c r="N2496" s="15" t="s">
        <v>2673</v>
      </c>
      <c r="O2496" s="15"/>
    </row>
    <row r="2497" spans="1:15" ht="18" customHeight="1" x14ac:dyDescent="0.3">
      <c r="A2497" s="29">
        <v>2496</v>
      </c>
      <c r="B2497" s="15" t="s">
        <v>89</v>
      </c>
      <c r="C2497" s="15" t="s">
        <v>90</v>
      </c>
      <c r="D2497" s="69">
        <v>142</v>
      </c>
      <c r="E2497" s="68" t="s">
        <v>3378</v>
      </c>
      <c r="F2497" s="24" t="s">
        <v>735</v>
      </c>
      <c r="G2497" s="15" t="s">
        <v>154</v>
      </c>
      <c r="H2497" s="15" t="s">
        <v>904</v>
      </c>
      <c r="I2497" s="69">
        <v>228</v>
      </c>
      <c r="J2497" s="15" t="s">
        <v>2672</v>
      </c>
      <c r="K2497" s="15" t="s">
        <v>903</v>
      </c>
      <c r="L2497" s="15" t="s">
        <v>2673</v>
      </c>
      <c r="M2497" s="15" t="s">
        <v>2672</v>
      </c>
      <c r="N2497" s="15" t="s">
        <v>2673</v>
      </c>
      <c r="O2497" s="15"/>
    </row>
    <row r="2498" spans="1:15" ht="18" customHeight="1" x14ac:dyDescent="0.3">
      <c r="A2498" s="29">
        <v>2497</v>
      </c>
      <c r="B2498" s="15" t="s">
        <v>89</v>
      </c>
      <c r="C2498" s="15" t="s">
        <v>90</v>
      </c>
      <c r="D2498" s="69">
        <v>142</v>
      </c>
      <c r="E2498" s="68" t="s">
        <v>3378</v>
      </c>
      <c r="F2498" s="24" t="s">
        <v>735</v>
      </c>
      <c r="G2498" s="15" t="s">
        <v>154</v>
      </c>
      <c r="H2498" s="15" t="s">
        <v>905</v>
      </c>
      <c r="I2498" s="69">
        <v>225</v>
      </c>
      <c r="J2498" s="15" t="s">
        <v>2672</v>
      </c>
      <c r="K2498" s="15" t="s">
        <v>903</v>
      </c>
      <c r="L2498" s="15" t="s">
        <v>2673</v>
      </c>
      <c r="M2498" s="15" t="s">
        <v>2672</v>
      </c>
      <c r="N2498" s="15" t="s">
        <v>2673</v>
      </c>
      <c r="O2498" s="15"/>
    </row>
    <row r="2499" spans="1:15" ht="18" customHeight="1" x14ac:dyDescent="0.3">
      <c r="A2499" s="29">
        <v>2498</v>
      </c>
      <c r="B2499" s="15" t="s">
        <v>89</v>
      </c>
      <c r="C2499" s="15" t="s">
        <v>90</v>
      </c>
      <c r="D2499" s="69">
        <v>142</v>
      </c>
      <c r="E2499" s="68" t="s">
        <v>3378</v>
      </c>
      <c r="F2499" s="24" t="s">
        <v>735</v>
      </c>
      <c r="G2499" s="15" t="s">
        <v>154</v>
      </c>
      <c r="H2499" s="15" t="s">
        <v>906</v>
      </c>
      <c r="I2499" s="69">
        <v>193</v>
      </c>
      <c r="J2499" s="15" t="s">
        <v>2674</v>
      </c>
      <c r="K2499" s="15" t="s">
        <v>903</v>
      </c>
      <c r="L2499" s="15" t="s">
        <v>2673</v>
      </c>
      <c r="M2499" s="15" t="s">
        <v>2672</v>
      </c>
      <c r="N2499" s="15" t="s">
        <v>2673</v>
      </c>
      <c r="O2499" s="15"/>
    </row>
    <row r="2500" spans="1:15" ht="18" customHeight="1" x14ac:dyDescent="0.3">
      <c r="A2500" s="29">
        <v>2499</v>
      </c>
      <c r="B2500" s="15" t="s">
        <v>89</v>
      </c>
      <c r="C2500" s="15" t="s">
        <v>90</v>
      </c>
      <c r="D2500" s="69">
        <v>142</v>
      </c>
      <c r="E2500" s="68" t="s">
        <v>3378</v>
      </c>
      <c r="F2500" s="24" t="s">
        <v>735</v>
      </c>
      <c r="G2500" s="15" t="s">
        <v>154</v>
      </c>
      <c r="H2500" s="15" t="s">
        <v>907</v>
      </c>
      <c r="I2500" s="69">
        <v>264</v>
      </c>
      <c r="J2500" s="15" t="s">
        <v>2672</v>
      </c>
      <c r="K2500" s="15" t="s">
        <v>903</v>
      </c>
      <c r="L2500" s="15" t="s">
        <v>2673</v>
      </c>
      <c r="M2500" s="15" t="s">
        <v>2672</v>
      </c>
      <c r="N2500" s="15" t="s">
        <v>2673</v>
      </c>
      <c r="O2500" s="15"/>
    </row>
    <row r="2501" spans="1:15" ht="18" customHeight="1" x14ac:dyDescent="0.3">
      <c r="A2501" s="29">
        <v>2500</v>
      </c>
      <c r="B2501" s="15" t="s">
        <v>89</v>
      </c>
      <c r="C2501" s="15" t="s">
        <v>90</v>
      </c>
      <c r="D2501" s="69">
        <v>142</v>
      </c>
      <c r="E2501" s="68" t="s">
        <v>3378</v>
      </c>
      <c r="F2501" s="24" t="s">
        <v>735</v>
      </c>
      <c r="G2501" s="15" t="s">
        <v>154</v>
      </c>
      <c r="H2501" s="15" t="s">
        <v>908</v>
      </c>
      <c r="I2501" s="69">
        <v>221</v>
      </c>
      <c r="J2501" s="15" t="s">
        <v>2674</v>
      </c>
      <c r="K2501" s="15" t="s">
        <v>903</v>
      </c>
      <c r="L2501" s="15" t="s">
        <v>2673</v>
      </c>
      <c r="M2501" s="15" t="s">
        <v>2672</v>
      </c>
      <c r="N2501" s="15" t="s">
        <v>2673</v>
      </c>
      <c r="O2501" s="15"/>
    </row>
    <row r="2502" spans="1:15" ht="18" customHeight="1" x14ac:dyDescent="0.3">
      <c r="A2502" s="29">
        <v>2501</v>
      </c>
      <c r="B2502" s="15" t="s">
        <v>89</v>
      </c>
      <c r="C2502" s="15" t="s">
        <v>90</v>
      </c>
      <c r="D2502" s="69">
        <v>142</v>
      </c>
      <c r="E2502" s="68" t="s">
        <v>3378</v>
      </c>
      <c r="F2502" s="24" t="s">
        <v>735</v>
      </c>
      <c r="G2502" s="15" t="s">
        <v>154</v>
      </c>
      <c r="H2502" s="15" t="s">
        <v>909</v>
      </c>
      <c r="I2502" s="69">
        <v>210</v>
      </c>
      <c r="J2502" s="15" t="s">
        <v>2672</v>
      </c>
      <c r="K2502" s="15" t="s">
        <v>903</v>
      </c>
      <c r="L2502" s="15" t="s">
        <v>2673</v>
      </c>
      <c r="M2502" s="15" t="s">
        <v>2672</v>
      </c>
      <c r="N2502" s="15" t="s">
        <v>2673</v>
      </c>
      <c r="O2502" s="15"/>
    </row>
    <row r="2503" spans="1:15" ht="18" customHeight="1" x14ac:dyDescent="0.3">
      <c r="A2503" s="29">
        <v>2502</v>
      </c>
      <c r="B2503" s="15" t="s">
        <v>89</v>
      </c>
      <c r="C2503" s="15" t="s">
        <v>90</v>
      </c>
      <c r="D2503" s="69">
        <v>142</v>
      </c>
      <c r="E2503" s="68" t="s">
        <v>3378</v>
      </c>
      <c r="F2503" s="24" t="s">
        <v>735</v>
      </c>
      <c r="G2503" s="15" t="s">
        <v>154</v>
      </c>
      <c r="H2503" s="15" t="s">
        <v>910</v>
      </c>
      <c r="I2503" s="69">
        <v>194</v>
      </c>
      <c r="J2503" s="15" t="s">
        <v>2672</v>
      </c>
      <c r="K2503" s="15" t="s">
        <v>903</v>
      </c>
      <c r="L2503" s="15" t="s">
        <v>2673</v>
      </c>
      <c r="M2503" s="15" t="s">
        <v>2672</v>
      </c>
      <c r="N2503" s="15" t="s">
        <v>2673</v>
      </c>
      <c r="O2503" s="15"/>
    </row>
    <row r="2504" spans="1:15" ht="18" customHeight="1" x14ac:dyDescent="0.3">
      <c r="A2504" s="29">
        <v>2503</v>
      </c>
      <c r="B2504" s="15" t="s">
        <v>2215</v>
      </c>
      <c r="C2504" s="15" t="s">
        <v>2220</v>
      </c>
      <c r="D2504" s="69">
        <v>147</v>
      </c>
      <c r="E2504" s="68" t="s">
        <v>3379</v>
      </c>
      <c r="F2504" s="51" t="s">
        <v>2222</v>
      </c>
      <c r="G2504" s="15" t="s">
        <v>1553</v>
      </c>
      <c r="H2504" s="15" t="s">
        <v>2685</v>
      </c>
      <c r="I2504" s="69">
        <v>93</v>
      </c>
      <c r="J2504" s="15" t="s">
        <v>2672</v>
      </c>
      <c r="K2504" s="15" t="s">
        <v>2672</v>
      </c>
      <c r="L2504" s="15" t="s">
        <v>2673</v>
      </c>
      <c r="M2504" s="15" t="s">
        <v>2672</v>
      </c>
      <c r="N2504" s="15" t="s">
        <v>2673</v>
      </c>
      <c r="O2504" s="15"/>
    </row>
    <row r="2505" spans="1:15" ht="18" customHeight="1" x14ac:dyDescent="0.3">
      <c r="A2505" s="29">
        <v>2504</v>
      </c>
      <c r="B2505" s="15" t="s">
        <v>2215</v>
      </c>
      <c r="C2505" s="15" t="s">
        <v>2220</v>
      </c>
      <c r="D2505" s="69">
        <v>147</v>
      </c>
      <c r="E2505" s="68" t="s">
        <v>3379</v>
      </c>
      <c r="F2505" s="51" t="s">
        <v>2222</v>
      </c>
      <c r="G2505" s="15" t="s">
        <v>1553</v>
      </c>
      <c r="H2505" s="15" t="s">
        <v>2678</v>
      </c>
      <c r="I2505" s="69">
        <v>66</v>
      </c>
      <c r="J2505" s="15" t="s">
        <v>2674</v>
      </c>
      <c r="K2505" s="15" t="s">
        <v>2672</v>
      </c>
      <c r="L2505" s="15" t="s">
        <v>2673</v>
      </c>
      <c r="M2505" s="15" t="s">
        <v>2672</v>
      </c>
      <c r="N2505" s="15" t="s">
        <v>2673</v>
      </c>
      <c r="O2505" s="15"/>
    </row>
    <row r="2506" spans="1:15" ht="18" customHeight="1" x14ac:dyDescent="0.3">
      <c r="A2506" s="29">
        <v>2505</v>
      </c>
      <c r="B2506" s="15" t="s">
        <v>2215</v>
      </c>
      <c r="C2506" s="15" t="s">
        <v>2220</v>
      </c>
      <c r="D2506" s="69">
        <v>147</v>
      </c>
      <c r="E2506" s="68" t="s">
        <v>3379</v>
      </c>
      <c r="F2506" s="51" t="s">
        <v>2222</v>
      </c>
      <c r="G2506" s="15" t="s">
        <v>1553</v>
      </c>
      <c r="H2506" s="15" t="s">
        <v>2679</v>
      </c>
      <c r="I2506" s="69">
        <v>93</v>
      </c>
      <c r="J2506" s="15" t="s">
        <v>2672</v>
      </c>
      <c r="K2506" s="15" t="s">
        <v>2672</v>
      </c>
      <c r="L2506" s="15" t="s">
        <v>2673</v>
      </c>
      <c r="M2506" s="15" t="s">
        <v>2672</v>
      </c>
      <c r="N2506" s="15" t="s">
        <v>2673</v>
      </c>
      <c r="O2506" s="15"/>
    </row>
    <row r="2507" spans="1:15" ht="18" customHeight="1" x14ac:dyDescent="0.3">
      <c r="A2507" s="29">
        <v>2506</v>
      </c>
      <c r="B2507" s="15" t="s">
        <v>2215</v>
      </c>
      <c r="C2507" s="15" t="s">
        <v>2220</v>
      </c>
      <c r="D2507" s="69">
        <v>147</v>
      </c>
      <c r="E2507" s="68" t="s">
        <v>3379</v>
      </c>
      <c r="F2507" s="51" t="s">
        <v>2222</v>
      </c>
      <c r="G2507" s="15" t="s">
        <v>1553</v>
      </c>
      <c r="H2507" s="15" t="s">
        <v>2680</v>
      </c>
      <c r="I2507" s="69">
        <v>66</v>
      </c>
      <c r="J2507" s="15" t="s">
        <v>2672</v>
      </c>
      <c r="K2507" s="15" t="s">
        <v>2672</v>
      </c>
      <c r="L2507" s="15" t="s">
        <v>2673</v>
      </c>
      <c r="M2507" s="15" t="s">
        <v>2672</v>
      </c>
      <c r="N2507" s="15" t="s">
        <v>2673</v>
      </c>
      <c r="O2507" s="15"/>
    </row>
    <row r="2508" spans="1:15" ht="18" customHeight="1" x14ac:dyDescent="0.3">
      <c r="A2508" s="29">
        <v>2507</v>
      </c>
      <c r="B2508" s="15" t="s">
        <v>2215</v>
      </c>
      <c r="C2508" s="15" t="s">
        <v>2220</v>
      </c>
      <c r="D2508" s="69">
        <v>147</v>
      </c>
      <c r="E2508" s="68" t="s">
        <v>3379</v>
      </c>
      <c r="F2508" s="51" t="s">
        <v>2222</v>
      </c>
      <c r="G2508" s="15" t="s">
        <v>1553</v>
      </c>
      <c r="H2508" s="15" t="s">
        <v>2690</v>
      </c>
      <c r="I2508" s="69">
        <v>79</v>
      </c>
      <c r="J2508" s="15" t="s">
        <v>2672</v>
      </c>
      <c r="K2508" s="15" t="s">
        <v>2672</v>
      </c>
      <c r="L2508" s="15" t="s">
        <v>2673</v>
      </c>
      <c r="M2508" s="15" t="s">
        <v>2672</v>
      </c>
      <c r="N2508" s="15" t="s">
        <v>2673</v>
      </c>
      <c r="O2508" s="15"/>
    </row>
    <row r="2509" spans="1:15" ht="18" customHeight="1" x14ac:dyDescent="0.3">
      <c r="A2509" s="29">
        <v>2508</v>
      </c>
      <c r="B2509" s="15" t="s">
        <v>2215</v>
      </c>
      <c r="C2509" s="15" t="s">
        <v>2220</v>
      </c>
      <c r="D2509" s="69">
        <v>147</v>
      </c>
      <c r="E2509" s="68" t="s">
        <v>3379</v>
      </c>
      <c r="F2509" s="51" t="s">
        <v>2222</v>
      </c>
      <c r="G2509" s="15" t="s">
        <v>1553</v>
      </c>
      <c r="H2509" s="15" t="s">
        <v>2682</v>
      </c>
      <c r="I2509" s="69">
        <v>66</v>
      </c>
      <c r="J2509" s="15" t="s">
        <v>2672</v>
      </c>
      <c r="K2509" s="15" t="s">
        <v>2672</v>
      </c>
      <c r="L2509" s="15" t="s">
        <v>2673</v>
      </c>
      <c r="M2509" s="15" t="s">
        <v>2672</v>
      </c>
      <c r="N2509" s="15" t="s">
        <v>2673</v>
      </c>
      <c r="O2509" s="15"/>
    </row>
    <row r="2510" spans="1:15" ht="18" customHeight="1" x14ac:dyDescent="0.3">
      <c r="A2510" s="29">
        <v>2509</v>
      </c>
      <c r="B2510" s="15" t="s">
        <v>89</v>
      </c>
      <c r="C2510" s="15" t="s">
        <v>91</v>
      </c>
      <c r="D2510" s="69">
        <v>147</v>
      </c>
      <c r="E2510" s="68" t="s">
        <v>940</v>
      </c>
      <c r="F2510" s="21" t="s">
        <v>743</v>
      </c>
      <c r="G2510" s="15" t="s">
        <v>164</v>
      </c>
      <c r="H2510" s="15" t="s">
        <v>910</v>
      </c>
      <c r="I2510" s="69">
        <v>251</v>
      </c>
      <c r="J2510" s="15" t="s">
        <v>2674</v>
      </c>
      <c r="K2510" s="15" t="s">
        <v>903</v>
      </c>
      <c r="L2510" s="15" t="s">
        <v>2673</v>
      </c>
      <c r="M2510" s="15" t="s">
        <v>2672</v>
      </c>
      <c r="N2510" s="15" t="s">
        <v>2673</v>
      </c>
      <c r="O2510" s="15"/>
    </row>
    <row r="2511" spans="1:15" ht="18" customHeight="1" x14ac:dyDescent="0.3">
      <c r="A2511" s="29">
        <v>2510</v>
      </c>
      <c r="B2511" s="15" t="s">
        <v>89</v>
      </c>
      <c r="C2511" s="15" t="s">
        <v>91</v>
      </c>
      <c r="D2511" s="69">
        <v>147</v>
      </c>
      <c r="E2511" s="68" t="s">
        <v>940</v>
      </c>
      <c r="F2511" s="21" t="s">
        <v>743</v>
      </c>
      <c r="G2511" s="15" t="s">
        <v>164</v>
      </c>
      <c r="H2511" s="15" t="s">
        <v>911</v>
      </c>
      <c r="I2511" s="69">
        <v>138</v>
      </c>
      <c r="J2511" s="15" t="s">
        <v>2672</v>
      </c>
      <c r="K2511" s="15" t="s">
        <v>903</v>
      </c>
      <c r="L2511" s="15" t="s">
        <v>2673</v>
      </c>
      <c r="M2511" s="15" t="s">
        <v>2672</v>
      </c>
      <c r="N2511" s="15" t="s">
        <v>2673</v>
      </c>
      <c r="O2511" s="15"/>
    </row>
    <row r="2512" spans="1:15" ht="18" customHeight="1" x14ac:dyDescent="0.3">
      <c r="A2512" s="29">
        <v>2511</v>
      </c>
      <c r="B2512" s="15" t="s">
        <v>89</v>
      </c>
      <c r="C2512" s="15" t="s">
        <v>91</v>
      </c>
      <c r="D2512" s="69">
        <v>147</v>
      </c>
      <c r="E2512" s="68" t="s">
        <v>940</v>
      </c>
      <c r="F2512" s="21" t="s">
        <v>743</v>
      </c>
      <c r="G2512" s="15" t="s">
        <v>164</v>
      </c>
      <c r="H2512" s="15" t="s">
        <v>927</v>
      </c>
      <c r="I2512" s="69">
        <v>133</v>
      </c>
      <c r="J2512" s="15" t="s">
        <v>2672</v>
      </c>
      <c r="K2512" s="15" t="s">
        <v>903</v>
      </c>
      <c r="L2512" s="15" t="s">
        <v>2673</v>
      </c>
      <c r="M2512" s="15" t="s">
        <v>2672</v>
      </c>
      <c r="N2512" s="15" t="s">
        <v>2673</v>
      </c>
      <c r="O2512" s="15"/>
    </row>
    <row r="2513" spans="1:15" ht="18" customHeight="1" x14ac:dyDescent="0.3">
      <c r="A2513" s="29">
        <v>2512</v>
      </c>
      <c r="B2513" s="15" t="s">
        <v>89</v>
      </c>
      <c r="C2513" s="15" t="s">
        <v>91</v>
      </c>
      <c r="D2513" s="69">
        <v>147</v>
      </c>
      <c r="E2513" s="68" t="s">
        <v>940</v>
      </c>
      <c r="F2513" s="21" t="s">
        <v>743</v>
      </c>
      <c r="G2513" s="15" t="s">
        <v>164</v>
      </c>
      <c r="H2513" s="15" t="s">
        <v>941</v>
      </c>
      <c r="I2513" s="69">
        <v>56</v>
      </c>
      <c r="J2513" s="15" t="s">
        <v>2672</v>
      </c>
      <c r="K2513" s="15" t="s">
        <v>903</v>
      </c>
      <c r="L2513" s="15" t="s">
        <v>2673</v>
      </c>
      <c r="M2513" s="15" t="s">
        <v>2672</v>
      </c>
      <c r="N2513" s="15" t="s">
        <v>2673</v>
      </c>
      <c r="O2513" s="15"/>
    </row>
    <row r="2514" spans="1:15" ht="18" customHeight="1" x14ac:dyDescent="0.3">
      <c r="A2514" s="29">
        <v>2513</v>
      </c>
      <c r="B2514" s="15" t="s">
        <v>89</v>
      </c>
      <c r="C2514" s="15" t="s">
        <v>91</v>
      </c>
      <c r="D2514" s="69">
        <v>147</v>
      </c>
      <c r="E2514" s="68" t="s">
        <v>978</v>
      </c>
      <c r="F2514" s="21" t="s">
        <v>2225</v>
      </c>
      <c r="G2514" s="15" t="s">
        <v>164</v>
      </c>
      <c r="H2514" s="15" t="s">
        <v>2685</v>
      </c>
      <c r="I2514" s="69">
        <v>180</v>
      </c>
      <c r="J2514" s="13" t="s">
        <v>2672</v>
      </c>
      <c r="K2514" s="15" t="s">
        <v>903</v>
      </c>
      <c r="L2514" s="15" t="s">
        <v>2673</v>
      </c>
      <c r="M2514" s="15" t="s">
        <v>2672</v>
      </c>
      <c r="N2514" s="15" t="s">
        <v>2673</v>
      </c>
      <c r="O2514" s="15"/>
    </row>
    <row r="2515" spans="1:15" ht="18" customHeight="1" x14ac:dyDescent="0.3">
      <c r="A2515" s="29">
        <v>2514</v>
      </c>
      <c r="B2515" s="15" t="s">
        <v>89</v>
      </c>
      <c r="C2515" s="15" t="s">
        <v>91</v>
      </c>
      <c r="D2515" s="69">
        <v>147</v>
      </c>
      <c r="E2515" s="68" t="s">
        <v>978</v>
      </c>
      <c r="F2515" s="21" t="s">
        <v>2225</v>
      </c>
      <c r="G2515" s="15" t="s">
        <v>164</v>
      </c>
      <c r="H2515" s="15" t="s">
        <v>904</v>
      </c>
      <c r="I2515" s="69">
        <v>189</v>
      </c>
      <c r="J2515" s="13" t="s">
        <v>2674</v>
      </c>
      <c r="K2515" s="15" t="s">
        <v>903</v>
      </c>
      <c r="L2515" s="15" t="s">
        <v>2673</v>
      </c>
      <c r="M2515" s="15" t="s">
        <v>2672</v>
      </c>
      <c r="N2515" s="15" t="s">
        <v>2673</v>
      </c>
      <c r="O2515" s="15"/>
    </row>
    <row r="2516" spans="1:15" ht="18" customHeight="1" x14ac:dyDescent="0.3">
      <c r="A2516" s="29">
        <v>2515</v>
      </c>
      <c r="B2516" s="15" t="s">
        <v>89</v>
      </c>
      <c r="C2516" s="15" t="s">
        <v>91</v>
      </c>
      <c r="D2516" s="69">
        <v>147</v>
      </c>
      <c r="E2516" s="68" t="s">
        <v>978</v>
      </c>
      <c r="F2516" s="21" t="s">
        <v>2225</v>
      </c>
      <c r="G2516" s="15" t="s">
        <v>164</v>
      </c>
      <c r="H2516" s="15" t="s">
        <v>905</v>
      </c>
      <c r="I2516" s="69">
        <v>120</v>
      </c>
      <c r="J2516" s="13" t="s">
        <v>2672</v>
      </c>
      <c r="K2516" s="15" t="s">
        <v>903</v>
      </c>
      <c r="L2516" s="15" t="s">
        <v>2673</v>
      </c>
      <c r="M2516" s="15" t="s">
        <v>2672</v>
      </c>
      <c r="N2516" s="15" t="s">
        <v>2673</v>
      </c>
      <c r="O2516" s="15"/>
    </row>
    <row r="2517" spans="1:15" ht="18" customHeight="1" x14ac:dyDescent="0.3">
      <c r="A2517" s="29">
        <v>2516</v>
      </c>
      <c r="B2517" s="15" t="s">
        <v>89</v>
      </c>
      <c r="C2517" s="15" t="s">
        <v>91</v>
      </c>
      <c r="D2517" s="69">
        <v>147</v>
      </c>
      <c r="E2517" s="68" t="s">
        <v>978</v>
      </c>
      <c r="F2517" s="21" t="s">
        <v>2225</v>
      </c>
      <c r="G2517" s="15" t="s">
        <v>164</v>
      </c>
      <c r="H2517" s="15" t="s">
        <v>906</v>
      </c>
      <c r="I2517" s="69">
        <v>137</v>
      </c>
      <c r="J2517" s="13" t="s">
        <v>2672</v>
      </c>
      <c r="K2517" s="15" t="s">
        <v>903</v>
      </c>
      <c r="L2517" s="15" t="s">
        <v>2673</v>
      </c>
      <c r="M2517" s="15" t="s">
        <v>2672</v>
      </c>
      <c r="N2517" s="15" t="s">
        <v>2673</v>
      </c>
      <c r="O2517" s="15"/>
    </row>
    <row r="2518" spans="1:15" ht="18" customHeight="1" x14ac:dyDescent="0.3">
      <c r="A2518" s="29">
        <v>2517</v>
      </c>
      <c r="B2518" s="15" t="s">
        <v>89</v>
      </c>
      <c r="C2518" s="15" t="s">
        <v>91</v>
      </c>
      <c r="D2518" s="69">
        <v>147</v>
      </c>
      <c r="E2518" s="68" t="s">
        <v>978</v>
      </c>
      <c r="F2518" s="21" t="s">
        <v>2225</v>
      </c>
      <c r="G2518" s="15" t="s">
        <v>164</v>
      </c>
      <c r="H2518" s="15" t="s">
        <v>907</v>
      </c>
      <c r="I2518" s="69">
        <v>120</v>
      </c>
      <c r="J2518" s="13" t="s">
        <v>2672</v>
      </c>
      <c r="K2518" s="15" t="s">
        <v>903</v>
      </c>
      <c r="L2518" s="15" t="s">
        <v>2673</v>
      </c>
      <c r="M2518" s="15" t="s">
        <v>2672</v>
      </c>
      <c r="N2518" s="15" t="s">
        <v>2673</v>
      </c>
      <c r="O2518" s="15"/>
    </row>
    <row r="2519" spans="1:15" ht="18" customHeight="1" x14ac:dyDescent="0.3">
      <c r="A2519" s="29">
        <v>2518</v>
      </c>
      <c r="B2519" s="15" t="s">
        <v>89</v>
      </c>
      <c r="C2519" s="15" t="s">
        <v>92</v>
      </c>
      <c r="D2519" s="69">
        <v>148</v>
      </c>
      <c r="E2519" s="68" t="s">
        <v>307</v>
      </c>
      <c r="F2519" s="21" t="s">
        <v>725</v>
      </c>
      <c r="G2519" s="15" t="s">
        <v>164</v>
      </c>
      <c r="H2519" s="15" t="s">
        <v>901</v>
      </c>
      <c r="I2519" s="69">
        <v>220</v>
      </c>
      <c r="J2519" s="15" t="s">
        <v>2674</v>
      </c>
      <c r="K2519" s="15" t="s">
        <v>903</v>
      </c>
      <c r="L2519" s="15" t="s">
        <v>2673</v>
      </c>
      <c r="M2519" s="15" t="s">
        <v>2672</v>
      </c>
      <c r="N2519" s="15" t="s">
        <v>2673</v>
      </c>
      <c r="O2519" s="15"/>
    </row>
    <row r="2520" spans="1:15" ht="18" customHeight="1" x14ac:dyDescent="0.3">
      <c r="A2520" s="29">
        <v>2519</v>
      </c>
      <c r="B2520" s="15" t="s">
        <v>89</v>
      </c>
      <c r="C2520" s="15" t="s">
        <v>92</v>
      </c>
      <c r="D2520" s="69">
        <v>148</v>
      </c>
      <c r="E2520" s="68" t="s">
        <v>307</v>
      </c>
      <c r="F2520" s="21" t="s">
        <v>725</v>
      </c>
      <c r="G2520" s="15" t="s">
        <v>164</v>
      </c>
      <c r="H2520" s="15" t="s">
        <v>904</v>
      </c>
      <c r="I2520" s="69">
        <v>171</v>
      </c>
      <c r="J2520" s="15" t="s">
        <v>2672</v>
      </c>
      <c r="K2520" s="15" t="s">
        <v>903</v>
      </c>
      <c r="L2520" s="15" t="s">
        <v>2673</v>
      </c>
      <c r="M2520" s="15" t="s">
        <v>2672</v>
      </c>
      <c r="N2520" s="15" t="s">
        <v>2673</v>
      </c>
      <c r="O2520" s="15"/>
    </row>
    <row r="2521" spans="1:15" ht="18" customHeight="1" x14ac:dyDescent="0.3">
      <c r="A2521" s="29">
        <v>2520</v>
      </c>
      <c r="B2521" s="15" t="s">
        <v>89</v>
      </c>
      <c r="C2521" s="15" t="s">
        <v>92</v>
      </c>
      <c r="D2521" s="69">
        <v>148</v>
      </c>
      <c r="E2521" s="68" t="s">
        <v>307</v>
      </c>
      <c r="F2521" s="21" t="s">
        <v>725</v>
      </c>
      <c r="G2521" s="15" t="s">
        <v>164</v>
      </c>
      <c r="H2521" s="15" t="s">
        <v>905</v>
      </c>
      <c r="I2521" s="69">
        <v>125</v>
      </c>
      <c r="J2521" s="15" t="s">
        <v>2672</v>
      </c>
      <c r="K2521" s="15" t="s">
        <v>903</v>
      </c>
      <c r="L2521" s="15" t="s">
        <v>2673</v>
      </c>
      <c r="M2521" s="15" t="s">
        <v>2672</v>
      </c>
      <c r="N2521" s="15" t="s">
        <v>2673</v>
      </c>
      <c r="O2521" s="15"/>
    </row>
    <row r="2522" spans="1:15" ht="18" customHeight="1" x14ac:dyDescent="0.3">
      <c r="A2522" s="29">
        <v>2521</v>
      </c>
      <c r="B2522" s="15" t="s">
        <v>89</v>
      </c>
      <c r="C2522" s="15" t="s">
        <v>92</v>
      </c>
      <c r="D2522" s="69">
        <v>148</v>
      </c>
      <c r="E2522" s="68" t="s">
        <v>307</v>
      </c>
      <c r="F2522" s="21" t="s">
        <v>725</v>
      </c>
      <c r="G2522" s="15" t="s">
        <v>164</v>
      </c>
      <c r="H2522" s="15" t="s">
        <v>907</v>
      </c>
      <c r="I2522" s="69">
        <v>102</v>
      </c>
      <c r="J2522" s="15" t="s">
        <v>2672</v>
      </c>
      <c r="K2522" s="15" t="s">
        <v>903</v>
      </c>
      <c r="L2522" s="15" t="s">
        <v>2673</v>
      </c>
      <c r="M2522" s="15" t="s">
        <v>2672</v>
      </c>
      <c r="N2522" s="15" t="s">
        <v>2673</v>
      </c>
      <c r="O2522" s="15"/>
    </row>
    <row r="2523" spans="1:15" ht="18" customHeight="1" x14ac:dyDescent="0.3">
      <c r="A2523" s="29">
        <v>2522</v>
      </c>
      <c r="B2523" s="15" t="s">
        <v>89</v>
      </c>
      <c r="C2523" s="15" t="s">
        <v>92</v>
      </c>
      <c r="D2523" s="69">
        <v>148</v>
      </c>
      <c r="E2523" s="68" t="s">
        <v>307</v>
      </c>
      <c r="F2523" s="21" t="s">
        <v>725</v>
      </c>
      <c r="G2523" s="15" t="s">
        <v>164</v>
      </c>
      <c r="H2523" s="15" t="s">
        <v>908</v>
      </c>
      <c r="I2523" s="69">
        <v>197</v>
      </c>
      <c r="J2523" s="15" t="s">
        <v>2672</v>
      </c>
      <c r="K2523" s="15" t="s">
        <v>903</v>
      </c>
      <c r="L2523" s="15" t="s">
        <v>2673</v>
      </c>
      <c r="M2523" s="15" t="s">
        <v>2672</v>
      </c>
      <c r="N2523" s="15" t="s">
        <v>2673</v>
      </c>
      <c r="O2523" s="15"/>
    </row>
    <row r="2524" spans="1:15" ht="18" customHeight="1" x14ac:dyDescent="0.3">
      <c r="A2524" s="29">
        <v>2523</v>
      </c>
      <c r="B2524" s="15" t="s">
        <v>89</v>
      </c>
      <c r="C2524" s="15" t="s">
        <v>92</v>
      </c>
      <c r="D2524" s="69">
        <v>148</v>
      </c>
      <c r="E2524" s="68" t="s">
        <v>307</v>
      </c>
      <c r="F2524" s="21" t="s">
        <v>725</v>
      </c>
      <c r="G2524" s="15" t="s">
        <v>164</v>
      </c>
      <c r="H2524" s="15" t="s">
        <v>909</v>
      </c>
      <c r="I2524" s="69">
        <v>220</v>
      </c>
      <c r="J2524" s="15" t="s">
        <v>2674</v>
      </c>
      <c r="K2524" s="15" t="s">
        <v>903</v>
      </c>
      <c r="L2524" s="15" t="s">
        <v>2673</v>
      </c>
      <c r="M2524" s="15" t="s">
        <v>2672</v>
      </c>
      <c r="N2524" s="15" t="s">
        <v>2673</v>
      </c>
      <c r="O2524" s="15"/>
    </row>
    <row r="2525" spans="1:15" ht="18" customHeight="1" x14ac:dyDescent="0.3">
      <c r="A2525" s="29">
        <v>2524</v>
      </c>
      <c r="B2525" s="15" t="s">
        <v>89</v>
      </c>
      <c r="C2525" s="15" t="s">
        <v>92</v>
      </c>
      <c r="D2525" s="69">
        <v>148</v>
      </c>
      <c r="E2525" s="68" t="s">
        <v>307</v>
      </c>
      <c r="F2525" s="21" t="s">
        <v>725</v>
      </c>
      <c r="G2525" s="15" t="s">
        <v>164</v>
      </c>
      <c r="H2525" s="15" t="s">
        <v>910</v>
      </c>
      <c r="I2525" s="69">
        <v>165</v>
      </c>
      <c r="J2525" s="15" t="s">
        <v>2674</v>
      </c>
      <c r="K2525" s="15" t="s">
        <v>903</v>
      </c>
      <c r="L2525" s="15" t="s">
        <v>2673</v>
      </c>
      <c r="M2525" s="15" t="s">
        <v>2672</v>
      </c>
      <c r="N2525" s="15" t="s">
        <v>2673</v>
      </c>
      <c r="O2525" s="15"/>
    </row>
    <row r="2526" spans="1:15" ht="18" customHeight="1" x14ac:dyDescent="0.3">
      <c r="A2526" s="29">
        <v>2525</v>
      </c>
      <c r="B2526" s="15" t="s">
        <v>2215</v>
      </c>
      <c r="C2526" s="15" t="s">
        <v>2226</v>
      </c>
      <c r="D2526" s="69">
        <v>148</v>
      </c>
      <c r="E2526" s="68" t="s">
        <v>3232</v>
      </c>
      <c r="F2526" s="51" t="s">
        <v>2996</v>
      </c>
      <c r="G2526" s="15" t="s">
        <v>1553</v>
      </c>
      <c r="H2526" s="15" t="s">
        <v>2685</v>
      </c>
      <c r="I2526" s="69">
        <v>73</v>
      </c>
      <c r="J2526" s="15" t="s">
        <v>2672</v>
      </c>
      <c r="K2526" s="15" t="s">
        <v>2672</v>
      </c>
      <c r="L2526" s="15" t="s">
        <v>2673</v>
      </c>
      <c r="M2526" s="15" t="s">
        <v>2672</v>
      </c>
      <c r="N2526" s="15" t="s">
        <v>2673</v>
      </c>
      <c r="O2526" s="15"/>
    </row>
    <row r="2527" spans="1:15" ht="18" customHeight="1" x14ac:dyDescent="0.3">
      <c r="A2527" s="29">
        <v>2526</v>
      </c>
      <c r="B2527" s="15" t="s">
        <v>2215</v>
      </c>
      <c r="C2527" s="15" t="s">
        <v>2226</v>
      </c>
      <c r="D2527" s="69">
        <v>148</v>
      </c>
      <c r="E2527" s="68" t="s">
        <v>3232</v>
      </c>
      <c r="F2527" s="51" t="s">
        <v>2996</v>
      </c>
      <c r="G2527" s="15" t="s">
        <v>1553</v>
      </c>
      <c r="H2527" s="15" t="s">
        <v>2678</v>
      </c>
      <c r="I2527" s="69">
        <v>76</v>
      </c>
      <c r="J2527" s="15" t="s">
        <v>2672</v>
      </c>
      <c r="K2527" s="15" t="s">
        <v>2672</v>
      </c>
      <c r="L2527" s="15" t="s">
        <v>2673</v>
      </c>
      <c r="M2527" s="15" t="s">
        <v>2672</v>
      </c>
      <c r="N2527" s="15" t="s">
        <v>2673</v>
      </c>
      <c r="O2527" s="15"/>
    </row>
    <row r="2528" spans="1:15" ht="18" customHeight="1" x14ac:dyDescent="0.3">
      <c r="A2528" s="29">
        <v>2527</v>
      </c>
      <c r="B2528" s="15" t="s">
        <v>2215</v>
      </c>
      <c r="C2528" s="15" t="s">
        <v>2226</v>
      </c>
      <c r="D2528" s="69">
        <v>148</v>
      </c>
      <c r="E2528" s="68" t="s">
        <v>3232</v>
      </c>
      <c r="F2528" s="51" t="s">
        <v>2996</v>
      </c>
      <c r="G2528" s="15" t="s">
        <v>1553</v>
      </c>
      <c r="H2528" s="15" t="s">
        <v>2679</v>
      </c>
      <c r="I2528" s="69">
        <v>76</v>
      </c>
      <c r="J2528" s="15" t="s">
        <v>2672</v>
      </c>
      <c r="K2528" s="15" t="s">
        <v>2672</v>
      </c>
      <c r="L2528" s="15" t="s">
        <v>2673</v>
      </c>
      <c r="M2528" s="15" t="s">
        <v>2672</v>
      </c>
      <c r="N2528" s="15" t="s">
        <v>2673</v>
      </c>
      <c r="O2528" s="15"/>
    </row>
    <row r="2529" spans="1:15" ht="18" customHeight="1" x14ac:dyDescent="0.3">
      <c r="A2529" s="29">
        <v>2528</v>
      </c>
      <c r="B2529" s="15" t="s">
        <v>2215</v>
      </c>
      <c r="C2529" s="15" t="s">
        <v>2226</v>
      </c>
      <c r="D2529" s="69">
        <v>148</v>
      </c>
      <c r="E2529" s="68" t="s">
        <v>3232</v>
      </c>
      <c r="F2529" s="51" t="s">
        <v>2996</v>
      </c>
      <c r="G2529" s="15" t="s">
        <v>1553</v>
      </c>
      <c r="H2529" s="15" t="s">
        <v>2680</v>
      </c>
      <c r="I2529" s="69">
        <v>166</v>
      </c>
      <c r="J2529" s="15" t="s">
        <v>2672</v>
      </c>
      <c r="K2529" s="15" t="s">
        <v>2672</v>
      </c>
      <c r="L2529" s="15" t="s">
        <v>2673</v>
      </c>
      <c r="M2529" s="15" t="s">
        <v>2672</v>
      </c>
      <c r="N2529" s="15" t="s">
        <v>2673</v>
      </c>
      <c r="O2529" s="15"/>
    </row>
    <row r="2530" spans="1:15" ht="18" customHeight="1" x14ac:dyDescent="0.3">
      <c r="A2530" s="29">
        <v>2529</v>
      </c>
      <c r="B2530" s="15" t="s">
        <v>2215</v>
      </c>
      <c r="C2530" s="15" t="s">
        <v>2226</v>
      </c>
      <c r="D2530" s="69">
        <v>148</v>
      </c>
      <c r="E2530" s="68" t="s">
        <v>3232</v>
      </c>
      <c r="F2530" s="51" t="s">
        <v>2996</v>
      </c>
      <c r="G2530" s="15" t="s">
        <v>1553</v>
      </c>
      <c r="H2530" s="15" t="s">
        <v>2690</v>
      </c>
      <c r="I2530" s="69">
        <v>166</v>
      </c>
      <c r="J2530" s="15" t="s">
        <v>2672</v>
      </c>
      <c r="K2530" s="15" t="s">
        <v>2672</v>
      </c>
      <c r="L2530" s="15" t="s">
        <v>2673</v>
      </c>
      <c r="M2530" s="15" t="s">
        <v>2672</v>
      </c>
      <c r="N2530" s="15" t="s">
        <v>2673</v>
      </c>
      <c r="O2530" s="15"/>
    </row>
    <row r="2531" spans="1:15" ht="18" customHeight="1" x14ac:dyDescent="0.3">
      <c r="A2531" s="29">
        <v>2530</v>
      </c>
      <c r="B2531" s="15" t="s">
        <v>2215</v>
      </c>
      <c r="C2531" s="15" t="s">
        <v>2226</v>
      </c>
      <c r="D2531" s="69">
        <v>148</v>
      </c>
      <c r="E2531" s="68" t="s">
        <v>3232</v>
      </c>
      <c r="F2531" s="51" t="s">
        <v>2996</v>
      </c>
      <c r="G2531" s="15" t="s">
        <v>1553</v>
      </c>
      <c r="H2531" s="15" t="s">
        <v>2682</v>
      </c>
      <c r="I2531" s="69">
        <v>85</v>
      </c>
      <c r="J2531" s="15" t="s">
        <v>2672</v>
      </c>
      <c r="K2531" s="15" t="s">
        <v>2672</v>
      </c>
      <c r="L2531" s="15" t="s">
        <v>2673</v>
      </c>
      <c r="M2531" s="15" t="s">
        <v>2672</v>
      </c>
      <c r="N2531" s="15" t="s">
        <v>2673</v>
      </c>
      <c r="O2531" s="15"/>
    </row>
    <row r="2532" spans="1:15" ht="18" customHeight="1" x14ac:dyDescent="0.3">
      <c r="A2532" s="29">
        <v>2531</v>
      </c>
      <c r="B2532" s="15" t="s">
        <v>2215</v>
      </c>
      <c r="C2532" s="15" t="s">
        <v>2229</v>
      </c>
      <c r="D2532" s="69">
        <v>149</v>
      </c>
      <c r="E2532" s="51" t="s">
        <v>2230</v>
      </c>
      <c r="F2532" s="51" t="s">
        <v>2231</v>
      </c>
      <c r="G2532" s="29" t="s">
        <v>1538</v>
      </c>
      <c r="H2532" s="15" t="s">
        <v>2685</v>
      </c>
      <c r="I2532" s="69">
        <v>37</v>
      </c>
      <c r="J2532" s="15" t="s">
        <v>2672</v>
      </c>
      <c r="K2532" s="15" t="s">
        <v>2672</v>
      </c>
      <c r="L2532" s="15" t="s">
        <v>2673</v>
      </c>
      <c r="M2532" s="15" t="s">
        <v>2672</v>
      </c>
      <c r="N2532" s="15" t="s">
        <v>2673</v>
      </c>
      <c r="O2532" s="15"/>
    </row>
    <row r="2533" spans="1:15" ht="18" customHeight="1" x14ac:dyDescent="0.3">
      <c r="A2533" s="29">
        <v>2532</v>
      </c>
      <c r="B2533" s="15" t="s">
        <v>2215</v>
      </c>
      <c r="C2533" s="15" t="s">
        <v>2229</v>
      </c>
      <c r="D2533" s="69">
        <v>149</v>
      </c>
      <c r="E2533" s="51" t="s">
        <v>2230</v>
      </c>
      <c r="F2533" s="51" t="s">
        <v>2231</v>
      </c>
      <c r="G2533" s="29" t="s">
        <v>1538</v>
      </c>
      <c r="H2533" s="15" t="s">
        <v>2678</v>
      </c>
      <c r="I2533" s="69">
        <v>54</v>
      </c>
      <c r="J2533" s="15" t="s">
        <v>2674</v>
      </c>
      <c r="K2533" s="15" t="s">
        <v>2672</v>
      </c>
      <c r="L2533" s="15" t="s">
        <v>2673</v>
      </c>
      <c r="M2533" s="15" t="s">
        <v>2672</v>
      </c>
      <c r="N2533" s="15" t="s">
        <v>2673</v>
      </c>
      <c r="O2533" s="15"/>
    </row>
    <row r="2534" spans="1:15" ht="18" customHeight="1" x14ac:dyDescent="0.3">
      <c r="A2534" s="29">
        <v>2533</v>
      </c>
      <c r="B2534" s="28" t="s">
        <v>2233</v>
      </c>
      <c r="C2534" s="28" t="s">
        <v>2234</v>
      </c>
      <c r="D2534" s="28">
        <v>150</v>
      </c>
      <c r="E2534" s="63" t="s">
        <v>2235</v>
      </c>
      <c r="F2534" s="32" t="s">
        <v>2236</v>
      </c>
      <c r="G2534" s="28" t="s">
        <v>2867</v>
      </c>
      <c r="H2534" s="15" t="s">
        <v>2685</v>
      </c>
      <c r="I2534" s="69">
        <v>61</v>
      </c>
      <c r="J2534" s="15" t="s">
        <v>2674</v>
      </c>
      <c r="K2534" s="15" t="s">
        <v>903</v>
      </c>
      <c r="L2534" s="15" t="s">
        <v>2673</v>
      </c>
      <c r="M2534" s="15" t="s">
        <v>2672</v>
      </c>
      <c r="N2534" s="15" t="s">
        <v>2673</v>
      </c>
      <c r="O2534" s="15"/>
    </row>
    <row r="2535" spans="1:15" ht="18" customHeight="1" x14ac:dyDescent="0.3">
      <c r="A2535" s="29">
        <v>2534</v>
      </c>
      <c r="B2535" s="28" t="s">
        <v>2233</v>
      </c>
      <c r="C2535" s="28" t="s">
        <v>2234</v>
      </c>
      <c r="D2535" s="28">
        <v>150</v>
      </c>
      <c r="E2535" s="63" t="s">
        <v>2235</v>
      </c>
      <c r="F2535" s="32" t="s">
        <v>2236</v>
      </c>
      <c r="G2535" s="28" t="s">
        <v>2867</v>
      </c>
      <c r="H2535" s="15" t="s">
        <v>2678</v>
      </c>
      <c r="I2535" s="69">
        <v>34</v>
      </c>
      <c r="J2535" s="15" t="s">
        <v>2672</v>
      </c>
      <c r="K2535" s="15" t="s">
        <v>903</v>
      </c>
      <c r="L2535" s="15" t="s">
        <v>2673</v>
      </c>
      <c r="M2535" s="15" t="s">
        <v>2672</v>
      </c>
      <c r="N2535" s="15" t="s">
        <v>2673</v>
      </c>
      <c r="O2535" s="15"/>
    </row>
    <row r="2536" spans="1:15" ht="18" customHeight="1" x14ac:dyDescent="0.3">
      <c r="A2536" s="29">
        <v>2535</v>
      </c>
      <c r="B2536" s="28" t="s">
        <v>2233</v>
      </c>
      <c r="C2536" s="28" t="s">
        <v>2240</v>
      </c>
      <c r="D2536" s="28">
        <v>151</v>
      </c>
      <c r="E2536" s="63" t="s">
        <v>2241</v>
      </c>
      <c r="F2536" s="32" t="s">
        <v>2242</v>
      </c>
      <c r="G2536" s="28" t="s">
        <v>2867</v>
      </c>
      <c r="H2536" s="15" t="s">
        <v>2685</v>
      </c>
      <c r="I2536" s="69">
        <v>62</v>
      </c>
      <c r="J2536" s="15" t="s">
        <v>2674</v>
      </c>
      <c r="K2536" s="15" t="s">
        <v>903</v>
      </c>
      <c r="L2536" s="15" t="s">
        <v>2673</v>
      </c>
      <c r="M2536" s="15" t="s">
        <v>2672</v>
      </c>
      <c r="N2536" s="15" t="s">
        <v>2673</v>
      </c>
      <c r="O2536" s="15"/>
    </row>
    <row r="2537" spans="1:15" ht="18" customHeight="1" x14ac:dyDescent="0.3">
      <c r="A2537" s="29">
        <v>2536</v>
      </c>
      <c r="B2537" s="28" t="s">
        <v>2233</v>
      </c>
      <c r="C2537" s="28" t="s">
        <v>2240</v>
      </c>
      <c r="D2537" s="28">
        <v>151</v>
      </c>
      <c r="E2537" s="63" t="s">
        <v>2241</v>
      </c>
      <c r="F2537" s="32" t="s">
        <v>2242</v>
      </c>
      <c r="G2537" s="28" t="s">
        <v>2867</v>
      </c>
      <c r="H2537" s="15" t="s">
        <v>2678</v>
      </c>
      <c r="I2537" s="69">
        <v>35</v>
      </c>
      <c r="J2537" s="15" t="s">
        <v>2672</v>
      </c>
      <c r="K2537" s="15" t="s">
        <v>903</v>
      </c>
      <c r="L2537" s="15" t="s">
        <v>2673</v>
      </c>
      <c r="M2537" s="15" t="s">
        <v>2672</v>
      </c>
      <c r="N2537" s="15" t="s">
        <v>2673</v>
      </c>
      <c r="O2537" s="15"/>
    </row>
    <row r="2538" spans="1:15" ht="18" customHeight="1" x14ac:dyDescent="0.3">
      <c r="A2538" s="29">
        <v>2537</v>
      </c>
      <c r="B2538" s="15" t="s">
        <v>89</v>
      </c>
      <c r="C2538" s="15" t="s">
        <v>93</v>
      </c>
      <c r="D2538" s="69">
        <v>153</v>
      </c>
      <c r="E2538" s="68" t="s">
        <v>2997</v>
      </c>
      <c r="F2538" s="21" t="s">
        <v>729</v>
      </c>
      <c r="G2538" s="15" t="s">
        <v>164</v>
      </c>
      <c r="H2538" s="15" t="s">
        <v>901</v>
      </c>
      <c r="I2538" s="69">
        <v>122</v>
      </c>
      <c r="J2538" s="15" t="s">
        <v>2672</v>
      </c>
      <c r="K2538" s="15" t="s">
        <v>903</v>
      </c>
      <c r="L2538" s="15" t="s">
        <v>2673</v>
      </c>
      <c r="M2538" s="15" t="s">
        <v>2672</v>
      </c>
      <c r="N2538" s="15" t="s">
        <v>2673</v>
      </c>
      <c r="O2538" s="15"/>
    </row>
    <row r="2539" spans="1:15" ht="18" customHeight="1" x14ac:dyDescent="0.3">
      <c r="A2539" s="29">
        <v>2538</v>
      </c>
      <c r="B2539" s="15" t="s">
        <v>89</v>
      </c>
      <c r="C2539" s="15" t="s">
        <v>93</v>
      </c>
      <c r="D2539" s="69">
        <v>153</v>
      </c>
      <c r="E2539" s="68" t="s">
        <v>2997</v>
      </c>
      <c r="F2539" s="21" t="s">
        <v>729</v>
      </c>
      <c r="G2539" s="15" t="s">
        <v>164</v>
      </c>
      <c r="H2539" s="15" t="s">
        <v>904</v>
      </c>
      <c r="I2539" s="69">
        <v>122</v>
      </c>
      <c r="J2539" s="15" t="s">
        <v>2672</v>
      </c>
      <c r="K2539" s="15" t="s">
        <v>903</v>
      </c>
      <c r="L2539" s="15" t="s">
        <v>2673</v>
      </c>
      <c r="M2539" s="15" t="s">
        <v>2672</v>
      </c>
      <c r="N2539" s="15" t="s">
        <v>2673</v>
      </c>
      <c r="O2539" s="15"/>
    </row>
    <row r="2540" spans="1:15" ht="18" customHeight="1" x14ac:dyDescent="0.3">
      <c r="A2540" s="29">
        <v>2539</v>
      </c>
      <c r="B2540" s="15" t="s">
        <v>89</v>
      </c>
      <c r="C2540" s="15" t="s">
        <v>93</v>
      </c>
      <c r="D2540" s="69">
        <v>153</v>
      </c>
      <c r="E2540" s="68" t="s">
        <v>2997</v>
      </c>
      <c r="F2540" s="21" t="s">
        <v>729</v>
      </c>
      <c r="G2540" s="15" t="s">
        <v>164</v>
      </c>
      <c r="H2540" s="15" t="s">
        <v>905</v>
      </c>
      <c r="I2540" s="69">
        <v>64</v>
      </c>
      <c r="J2540" s="15" t="s">
        <v>2672</v>
      </c>
      <c r="K2540" s="15" t="s">
        <v>903</v>
      </c>
      <c r="L2540" s="15" t="s">
        <v>2673</v>
      </c>
      <c r="M2540" s="15" t="s">
        <v>2672</v>
      </c>
      <c r="N2540" s="15" t="s">
        <v>2673</v>
      </c>
      <c r="O2540" s="15"/>
    </row>
    <row r="2541" spans="1:15" ht="18" customHeight="1" x14ac:dyDescent="0.3">
      <c r="A2541" s="29">
        <v>2540</v>
      </c>
      <c r="B2541" s="15" t="s">
        <v>89</v>
      </c>
      <c r="C2541" s="15" t="s">
        <v>93</v>
      </c>
      <c r="D2541" s="69">
        <v>153</v>
      </c>
      <c r="E2541" s="68" t="s">
        <v>2997</v>
      </c>
      <c r="F2541" s="21" t="s">
        <v>729</v>
      </c>
      <c r="G2541" s="15" t="s">
        <v>164</v>
      </c>
      <c r="H2541" s="15" t="s">
        <v>906</v>
      </c>
      <c r="I2541" s="69">
        <v>64</v>
      </c>
      <c r="J2541" s="15" t="s">
        <v>2672</v>
      </c>
      <c r="K2541" s="15" t="s">
        <v>903</v>
      </c>
      <c r="L2541" s="15" t="s">
        <v>2673</v>
      </c>
      <c r="M2541" s="15" t="s">
        <v>2672</v>
      </c>
      <c r="N2541" s="15" t="s">
        <v>2673</v>
      </c>
      <c r="O2541" s="15"/>
    </row>
    <row r="2542" spans="1:15" ht="18" customHeight="1" x14ac:dyDescent="0.3">
      <c r="A2542" s="29">
        <v>2541</v>
      </c>
      <c r="B2542" s="15" t="s">
        <v>89</v>
      </c>
      <c r="C2542" s="15" t="s">
        <v>94</v>
      </c>
      <c r="D2542" s="69">
        <v>154</v>
      </c>
      <c r="E2542" s="68" t="s">
        <v>1041</v>
      </c>
      <c r="F2542" s="32" t="s">
        <v>2248</v>
      </c>
      <c r="G2542" s="15" t="s">
        <v>2673</v>
      </c>
      <c r="H2542" s="15" t="s">
        <v>901</v>
      </c>
      <c r="I2542" s="69">
        <v>78</v>
      </c>
      <c r="J2542" s="15" t="s">
        <v>2674</v>
      </c>
      <c r="K2542" s="15" t="s">
        <v>903</v>
      </c>
      <c r="L2542" s="15" t="s">
        <v>2673</v>
      </c>
      <c r="M2542" s="15" t="s">
        <v>2672</v>
      </c>
      <c r="N2542" s="15" t="s">
        <v>2673</v>
      </c>
      <c r="O2542" s="15"/>
    </row>
    <row r="2543" spans="1:15" ht="18" customHeight="1" x14ac:dyDescent="0.3">
      <c r="A2543" s="29">
        <v>2542</v>
      </c>
      <c r="B2543" s="15" t="s">
        <v>89</v>
      </c>
      <c r="C2543" s="15" t="s">
        <v>94</v>
      </c>
      <c r="D2543" s="69">
        <v>154</v>
      </c>
      <c r="E2543" s="68" t="s">
        <v>1041</v>
      </c>
      <c r="F2543" s="32" t="s">
        <v>2248</v>
      </c>
      <c r="G2543" s="15" t="s">
        <v>2673</v>
      </c>
      <c r="H2543" s="15" t="s">
        <v>904</v>
      </c>
      <c r="I2543" s="69">
        <v>78</v>
      </c>
      <c r="J2543" s="15" t="s">
        <v>2672</v>
      </c>
      <c r="K2543" s="15" t="s">
        <v>903</v>
      </c>
      <c r="L2543" s="15" t="s">
        <v>2673</v>
      </c>
      <c r="M2543" s="15" t="s">
        <v>2672</v>
      </c>
      <c r="N2543" s="15" t="s">
        <v>2673</v>
      </c>
      <c r="O2543" s="15"/>
    </row>
    <row r="2544" spans="1:15" ht="18" customHeight="1" x14ac:dyDescent="0.3">
      <c r="A2544" s="29">
        <v>2543</v>
      </c>
      <c r="B2544" s="15" t="s">
        <v>89</v>
      </c>
      <c r="C2544" s="15" t="s">
        <v>94</v>
      </c>
      <c r="D2544" s="69">
        <v>154</v>
      </c>
      <c r="E2544" s="68" t="s">
        <v>1041</v>
      </c>
      <c r="F2544" s="32" t="s">
        <v>2248</v>
      </c>
      <c r="G2544" s="15" t="s">
        <v>2673</v>
      </c>
      <c r="H2544" s="15" t="s">
        <v>905</v>
      </c>
      <c r="I2544" s="69">
        <v>78</v>
      </c>
      <c r="J2544" s="15" t="s">
        <v>2672</v>
      </c>
      <c r="K2544" s="15" t="s">
        <v>903</v>
      </c>
      <c r="L2544" s="15" t="s">
        <v>2673</v>
      </c>
      <c r="M2544" s="15" t="s">
        <v>2672</v>
      </c>
      <c r="N2544" s="15" t="s">
        <v>2673</v>
      </c>
      <c r="O2544" s="15"/>
    </row>
    <row r="2545" spans="1:15" ht="18" customHeight="1" x14ac:dyDescent="0.3">
      <c r="A2545" s="29">
        <v>2544</v>
      </c>
      <c r="B2545" s="15" t="s">
        <v>89</v>
      </c>
      <c r="C2545" s="15" t="s">
        <v>95</v>
      </c>
      <c r="D2545" s="69">
        <v>155</v>
      </c>
      <c r="E2545" s="68" t="s">
        <v>3380</v>
      </c>
      <c r="F2545" s="24" t="s">
        <v>2253</v>
      </c>
      <c r="G2545" s="15" t="s">
        <v>164</v>
      </c>
      <c r="H2545" s="15" t="s">
        <v>901</v>
      </c>
      <c r="I2545" s="69">
        <v>166</v>
      </c>
      <c r="J2545" s="15" t="s">
        <v>2672</v>
      </c>
      <c r="K2545" s="15" t="s">
        <v>903</v>
      </c>
      <c r="L2545" s="15" t="s">
        <v>2673</v>
      </c>
      <c r="M2545" s="15" t="s">
        <v>2672</v>
      </c>
      <c r="N2545" s="15" t="s">
        <v>2673</v>
      </c>
      <c r="O2545" s="15"/>
    </row>
    <row r="2546" spans="1:15" ht="18" customHeight="1" x14ac:dyDescent="0.3">
      <c r="A2546" s="29">
        <v>2545</v>
      </c>
      <c r="B2546" s="15" t="s">
        <v>89</v>
      </c>
      <c r="C2546" s="15" t="s">
        <v>95</v>
      </c>
      <c r="D2546" s="69">
        <v>155</v>
      </c>
      <c r="E2546" s="68" t="s">
        <v>3380</v>
      </c>
      <c r="F2546" s="24" t="s">
        <v>2253</v>
      </c>
      <c r="G2546" s="15" t="s">
        <v>164</v>
      </c>
      <c r="H2546" s="15" t="s">
        <v>904</v>
      </c>
      <c r="I2546" s="69">
        <v>169</v>
      </c>
      <c r="J2546" s="15" t="s">
        <v>2672</v>
      </c>
      <c r="K2546" s="15" t="s">
        <v>903</v>
      </c>
      <c r="L2546" s="15" t="s">
        <v>2673</v>
      </c>
      <c r="M2546" s="15" t="s">
        <v>2672</v>
      </c>
      <c r="N2546" s="15" t="s">
        <v>2673</v>
      </c>
      <c r="O2546" s="15"/>
    </row>
    <row r="2547" spans="1:15" ht="18" customHeight="1" x14ac:dyDescent="0.3">
      <c r="A2547" s="29">
        <v>2546</v>
      </c>
      <c r="B2547" s="15" t="s">
        <v>89</v>
      </c>
      <c r="C2547" s="15" t="s">
        <v>95</v>
      </c>
      <c r="D2547" s="69">
        <v>155</v>
      </c>
      <c r="E2547" s="68" t="s">
        <v>3380</v>
      </c>
      <c r="F2547" s="24" t="s">
        <v>2253</v>
      </c>
      <c r="G2547" s="15" t="s">
        <v>164</v>
      </c>
      <c r="H2547" s="15" t="s">
        <v>905</v>
      </c>
      <c r="I2547" s="69">
        <v>189</v>
      </c>
      <c r="J2547" s="15" t="s">
        <v>2672</v>
      </c>
      <c r="K2547" s="15" t="s">
        <v>903</v>
      </c>
      <c r="L2547" s="15" t="s">
        <v>2673</v>
      </c>
      <c r="M2547" s="15" t="s">
        <v>2672</v>
      </c>
      <c r="N2547" s="15" t="s">
        <v>2673</v>
      </c>
      <c r="O2547" s="15"/>
    </row>
    <row r="2548" spans="1:15" ht="18" customHeight="1" x14ac:dyDescent="0.3">
      <c r="A2548" s="29">
        <v>2547</v>
      </c>
      <c r="B2548" s="15" t="s">
        <v>89</v>
      </c>
      <c r="C2548" s="15" t="s">
        <v>95</v>
      </c>
      <c r="D2548" s="69">
        <v>155</v>
      </c>
      <c r="E2548" s="68" t="s">
        <v>3380</v>
      </c>
      <c r="F2548" s="24" t="s">
        <v>2253</v>
      </c>
      <c r="G2548" s="15" t="s">
        <v>164</v>
      </c>
      <c r="H2548" s="15" t="s">
        <v>906</v>
      </c>
      <c r="I2548" s="69">
        <v>153</v>
      </c>
      <c r="J2548" s="15" t="s">
        <v>2672</v>
      </c>
      <c r="K2548" s="15" t="s">
        <v>903</v>
      </c>
      <c r="L2548" s="15" t="s">
        <v>2673</v>
      </c>
      <c r="M2548" s="15" t="s">
        <v>2672</v>
      </c>
      <c r="N2548" s="15" t="s">
        <v>2673</v>
      </c>
      <c r="O2548" s="15"/>
    </row>
    <row r="2549" spans="1:15" ht="18" customHeight="1" x14ac:dyDescent="0.3">
      <c r="A2549" s="29">
        <v>2548</v>
      </c>
      <c r="B2549" s="15" t="s">
        <v>89</v>
      </c>
      <c r="C2549" s="15" t="s">
        <v>95</v>
      </c>
      <c r="D2549" s="69">
        <v>155</v>
      </c>
      <c r="E2549" s="68" t="s">
        <v>3380</v>
      </c>
      <c r="F2549" s="24" t="s">
        <v>2253</v>
      </c>
      <c r="G2549" s="15" t="s">
        <v>164</v>
      </c>
      <c r="H2549" s="15" t="s">
        <v>907</v>
      </c>
      <c r="I2549" s="69">
        <v>122</v>
      </c>
      <c r="J2549" s="15" t="s">
        <v>2674</v>
      </c>
      <c r="K2549" s="15" t="s">
        <v>903</v>
      </c>
      <c r="L2549" s="15" t="s">
        <v>2673</v>
      </c>
      <c r="M2549" s="15" t="s">
        <v>2672</v>
      </c>
      <c r="N2549" s="15" t="s">
        <v>2673</v>
      </c>
      <c r="O2549" s="15"/>
    </row>
    <row r="2550" spans="1:15" ht="18" customHeight="1" x14ac:dyDescent="0.3">
      <c r="A2550" s="29">
        <v>2549</v>
      </c>
      <c r="B2550" s="28" t="s">
        <v>2233</v>
      </c>
      <c r="C2550" s="28" t="s">
        <v>2251</v>
      </c>
      <c r="D2550" s="28">
        <v>155</v>
      </c>
      <c r="E2550" s="32" t="s">
        <v>2254</v>
      </c>
      <c r="F2550" s="32" t="s">
        <v>2255</v>
      </c>
      <c r="G2550" s="28" t="s">
        <v>2673</v>
      </c>
      <c r="H2550" s="15" t="s">
        <v>2685</v>
      </c>
      <c r="I2550" s="69">
        <v>60</v>
      </c>
      <c r="J2550" s="15" t="s">
        <v>2672</v>
      </c>
      <c r="K2550" s="15" t="s">
        <v>903</v>
      </c>
      <c r="L2550" s="15" t="s">
        <v>2673</v>
      </c>
      <c r="M2550" s="15" t="s">
        <v>2672</v>
      </c>
      <c r="N2550" s="15" t="s">
        <v>2673</v>
      </c>
      <c r="O2550" s="15"/>
    </row>
    <row r="2551" spans="1:15" ht="18" customHeight="1" x14ac:dyDescent="0.3">
      <c r="A2551" s="29">
        <v>2550</v>
      </c>
      <c r="B2551" s="28" t="s">
        <v>2233</v>
      </c>
      <c r="C2551" s="28" t="s">
        <v>2251</v>
      </c>
      <c r="D2551" s="28">
        <v>155</v>
      </c>
      <c r="E2551" s="32" t="s">
        <v>2254</v>
      </c>
      <c r="F2551" s="32" t="s">
        <v>2255</v>
      </c>
      <c r="G2551" s="28" t="s">
        <v>2673</v>
      </c>
      <c r="H2551" s="15" t="s">
        <v>2678</v>
      </c>
      <c r="I2551" s="69">
        <v>32</v>
      </c>
      <c r="J2551" s="15" t="s">
        <v>2672</v>
      </c>
      <c r="K2551" s="15" t="s">
        <v>903</v>
      </c>
      <c r="L2551" s="15" t="s">
        <v>2673</v>
      </c>
      <c r="M2551" s="15" t="s">
        <v>2672</v>
      </c>
      <c r="N2551" s="15" t="s">
        <v>2673</v>
      </c>
      <c r="O2551" s="15"/>
    </row>
    <row r="2552" spans="1:15" ht="18" customHeight="1" x14ac:dyDescent="0.3">
      <c r="A2552" s="29">
        <v>2551</v>
      </c>
      <c r="B2552" s="15" t="s">
        <v>96</v>
      </c>
      <c r="C2552" s="15" t="s">
        <v>97</v>
      </c>
      <c r="D2552" s="69">
        <v>157</v>
      </c>
      <c r="E2552" s="68" t="s">
        <v>3381</v>
      </c>
      <c r="F2552" s="24" t="s">
        <v>755</v>
      </c>
      <c r="G2552" s="15" t="s">
        <v>154</v>
      </c>
      <c r="H2552" s="15" t="s">
        <v>901</v>
      </c>
      <c r="I2552" s="69">
        <v>102</v>
      </c>
      <c r="J2552" s="15" t="s">
        <v>2672</v>
      </c>
      <c r="K2552" s="15" t="s">
        <v>903</v>
      </c>
      <c r="L2552" s="15" t="s">
        <v>2673</v>
      </c>
      <c r="M2552" s="15" t="s">
        <v>2672</v>
      </c>
      <c r="N2552" s="15" t="s">
        <v>2673</v>
      </c>
      <c r="O2552" s="15"/>
    </row>
    <row r="2553" spans="1:15" ht="18" customHeight="1" x14ac:dyDescent="0.3">
      <c r="A2553" s="29">
        <v>2552</v>
      </c>
      <c r="B2553" s="15" t="s">
        <v>96</v>
      </c>
      <c r="C2553" s="15" t="s">
        <v>97</v>
      </c>
      <c r="D2553" s="69">
        <v>157</v>
      </c>
      <c r="E2553" s="68" t="s">
        <v>3381</v>
      </c>
      <c r="F2553" s="24" t="s">
        <v>755</v>
      </c>
      <c r="G2553" s="15" t="s">
        <v>154</v>
      </c>
      <c r="H2553" s="15" t="s">
        <v>904</v>
      </c>
      <c r="I2553" s="69">
        <v>109</v>
      </c>
      <c r="J2553" s="15" t="s">
        <v>2674</v>
      </c>
      <c r="K2553" s="15" t="s">
        <v>903</v>
      </c>
      <c r="L2553" s="15" t="s">
        <v>2673</v>
      </c>
      <c r="M2553" s="15" t="s">
        <v>2672</v>
      </c>
      <c r="N2553" s="15" t="s">
        <v>2673</v>
      </c>
      <c r="O2553" s="15"/>
    </row>
    <row r="2554" spans="1:15" ht="18" customHeight="1" x14ac:dyDescent="0.3">
      <c r="A2554" s="29">
        <v>2553</v>
      </c>
      <c r="B2554" s="15" t="s">
        <v>96</v>
      </c>
      <c r="C2554" s="15" t="s">
        <v>97</v>
      </c>
      <c r="D2554" s="69">
        <v>157</v>
      </c>
      <c r="E2554" s="68" t="s">
        <v>3381</v>
      </c>
      <c r="F2554" s="24" t="s">
        <v>755</v>
      </c>
      <c r="G2554" s="15" t="s">
        <v>154</v>
      </c>
      <c r="H2554" s="15" t="s">
        <v>905</v>
      </c>
      <c r="I2554" s="69">
        <v>183</v>
      </c>
      <c r="J2554" s="15" t="s">
        <v>2674</v>
      </c>
      <c r="K2554" s="15" t="s">
        <v>903</v>
      </c>
      <c r="L2554" s="15" t="s">
        <v>2673</v>
      </c>
      <c r="M2554" s="15" t="s">
        <v>2672</v>
      </c>
      <c r="N2554" s="15" t="s">
        <v>2673</v>
      </c>
      <c r="O2554" s="15"/>
    </row>
    <row r="2555" spans="1:15" ht="18" customHeight="1" x14ac:dyDescent="0.3">
      <c r="A2555" s="29">
        <v>2554</v>
      </c>
      <c r="B2555" s="15" t="s">
        <v>96</v>
      </c>
      <c r="C2555" s="15" t="s">
        <v>97</v>
      </c>
      <c r="D2555" s="69">
        <v>157</v>
      </c>
      <c r="E2555" s="68" t="s">
        <v>3381</v>
      </c>
      <c r="F2555" s="24" t="s">
        <v>755</v>
      </c>
      <c r="G2555" s="15" t="s">
        <v>154</v>
      </c>
      <c r="H2555" s="15" t="s">
        <v>906</v>
      </c>
      <c r="I2555" s="69">
        <v>194</v>
      </c>
      <c r="J2555" s="15" t="s">
        <v>2674</v>
      </c>
      <c r="K2555" s="15" t="s">
        <v>903</v>
      </c>
      <c r="L2555" s="15" t="s">
        <v>2673</v>
      </c>
      <c r="M2555" s="15" t="s">
        <v>2672</v>
      </c>
      <c r="N2555" s="15" t="s">
        <v>2673</v>
      </c>
      <c r="O2555" s="15"/>
    </row>
    <row r="2556" spans="1:15" ht="18" customHeight="1" x14ac:dyDescent="0.3">
      <c r="A2556" s="29">
        <v>2555</v>
      </c>
      <c r="B2556" s="15" t="s">
        <v>96</v>
      </c>
      <c r="C2556" s="15" t="s">
        <v>97</v>
      </c>
      <c r="D2556" s="69">
        <v>157</v>
      </c>
      <c r="E2556" s="68" t="s">
        <v>3381</v>
      </c>
      <c r="F2556" s="24" t="s">
        <v>755</v>
      </c>
      <c r="G2556" s="15" t="s">
        <v>154</v>
      </c>
      <c r="H2556" s="15" t="s">
        <v>907</v>
      </c>
      <c r="I2556" s="69">
        <v>102</v>
      </c>
      <c r="J2556" s="15" t="s">
        <v>2672</v>
      </c>
      <c r="K2556" s="15" t="s">
        <v>903</v>
      </c>
      <c r="L2556" s="15" t="s">
        <v>2673</v>
      </c>
      <c r="M2556" s="15" t="s">
        <v>2672</v>
      </c>
      <c r="N2556" s="15" t="s">
        <v>2673</v>
      </c>
      <c r="O2556" s="15"/>
    </row>
    <row r="2557" spans="1:15" ht="18" customHeight="1" x14ac:dyDescent="0.3">
      <c r="A2557" s="29">
        <v>2556</v>
      </c>
      <c r="B2557" s="15" t="s">
        <v>96</v>
      </c>
      <c r="C2557" s="15" t="s">
        <v>97</v>
      </c>
      <c r="D2557" s="69">
        <v>157</v>
      </c>
      <c r="E2557" s="68" t="s">
        <v>3381</v>
      </c>
      <c r="F2557" s="24" t="s">
        <v>755</v>
      </c>
      <c r="G2557" s="15" t="s">
        <v>154</v>
      </c>
      <c r="H2557" s="15" t="s">
        <v>908</v>
      </c>
      <c r="I2557" s="69">
        <v>98</v>
      </c>
      <c r="J2557" s="15" t="s">
        <v>2674</v>
      </c>
      <c r="K2557" s="15" t="s">
        <v>903</v>
      </c>
      <c r="L2557" s="15" t="s">
        <v>2673</v>
      </c>
      <c r="M2557" s="15" t="s">
        <v>2672</v>
      </c>
      <c r="N2557" s="15" t="s">
        <v>2673</v>
      </c>
      <c r="O2557" s="15"/>
    </row>
    <row r="2558" spans="1:15" ht="18" customHeight="1" x14ac:dyDescent="0.3">
      <c r="A2558" s="29">
        <v>2557</v>
      </c>
      <c r="B2558" s="15" t="s">
        <v>96</v>
      </c>
      <c r="C2558" s="15" t="s">
        <v>97</v>
      </c>
      <c r="D2558" s="69">
        <v>157</v>
      </c>
      <c r="E2558" s="68" t="s">
        <v>3381</v>
      </c>
      <c r="F2558" s="24" t="s">
        <v>755</v>
      </c>
      <c r="G2558" s="15" t="s">
        <v>154</v>
      </c>
      <c r="H2558" s="15" t="s">
        <v>909</v>
      </c>
      <c r="I2558" s="69">
        <v>87</v>
      </c>
      <c r="J2558" s="15" t="s">
        <v>2672</v>
      </c>
      <c r="K2558" s="15" t="s">
        <v>903</v>
      </c>
      <c r="L2558" s="15" t="s">
        <v>2673</v>
      </c>
      <c r="M2558" s="15" t="s">
        <v>2674</v>
      </c>
      <c r="N2558" s="15" t="s">
        <v>1530</v>
      </c>
      <c r="O2558" s="15"/>
    </row>
    <row r="2559" spans="1:15" ht="18" customHeight="1" x14ac:dyDescent="0.3">
      <c r="A2559" s="29">
        <v>2558</v>
      </c>
      <c r="B2559" s="15" t="s">
        <v>96</v>
      </c>
      <c r="C2559" s="15" t="s">
        <v>97</v>
      </c>
      <c r="D2559" s="69">
        <v>157</v>
      </c>
      <c r="E2559" s="68" t="s">
        <v>3381</v>
      </c>
      <c r="F2559" s="24" t="s">
        <v>755</v>
      </c>
      <c r="G2559" s="15" t="s">
        <v>154</v>
      </c>
      <c r="H2559" s="15" t="s">
        <v>910</v>
      </c>
      <c r="I2559" s="69">
        <v>142</v>
      </c>
      <c r="J2559" s="15" t="s">
        <v>2672</v>
      </c>
      <c r="K2559" s="15" t="s">
        <v>903</v>
      </c>
      <c r="L2559" s="15" t="s">
        <v>2673</v>
      </c>
      <c r="M2559" s="15" t="s">
        <v>2672</v>
      </c>
      <c r="N2559" s="15" t="s">
        <v>2673</v>
      </c>
      <c r="O2559" s="15"/>
    </row>
    <row r="2560" spans="1:15" ht="18" customHeight="1" x14ac:dyDescent="0.3">
      <c r="A2560" s="29">
        <v>2559</v>
      </c>
      <c r="B2560" s="13" t="s">
        <v>2259</v>
      </c>
      <c r="C2560" s="13" t="s">
        <v>2260</v>
      </c>
      <c r="D2560" s="13">
        <v>157</v>
      </c>
      <c r="E2560" s="21" t="s">
        <v>2261</v>
      </c>
      <c r="F2560" s="21" t="s">
        <v>2262</v>
      </c>
      <c r="G2560" s="13" t="s">
        <v>2867</v>
      </c>
      <c r="H2560" s="69" t="s">
        <v>2685</v>
      </c>
      <c r="I2560" s="127">
        <v>50</v>
      </c>
      <c r="J2560" s="15" t="s">
        <v>2672</v>
      </c>
      <c r="K2560" s="15" t="s">
        <v>903</v>
      </c>
      <c r="L2560" s="15" t="s">
        <v>2673</v>
      </c>
      <c r="M2560" s="15" t="s">
        <v>2674</v>
      </c>
      <c r="N2560" s="15" t="s">
        <v>1508</v>
      </c>
      <c r="O2560" s="15"/>
    </row>
    <row r="2561" spans="1:15" ht="18" customHeight="1" x14ac:dyDescent="0.3">
      <c r="A2561" s="29">
        <v>2560</v>
      </c>
      <c r="B2561" s="13" t="s">
        <v>2259</v>
      </c>
      <c r="C2561" s="13" t="s">
        <v>2260</v>
      </c>
      <c r="D2561" s="13">
        <v>157</v>
      </c>
      <c r="E2561" s="63" t="s">
        <v>2266</v>
      </c>
      <c r="F2561" s="21" t="s">
        <v>2267</v>
      </c>
      <c r="G2561" s="13" t="s">
        <v>2867</v>
      </c>
      <c r="H2561" s="15" t="s">
        <v>2685</v>
      </c>
      <c r="I2561" s="69">
        <v>170</v>
      </c>
      <c r="J2561" s="15" t="s">
        <v>2672</v>
      </c>
      <c r="K2561" s="15" t="s">
        <v>903</v>
      </c>
      <c r="L2561" s="15" t="s">
        <v>2673</v>
      </c>
      <c r="M2561" s="15" t="s">
        <v>2672</v>
      </c>
      <c r="N2561" s="15" t="s">
        <v>2673</v>
      </c>
      <c r="O2561" s="15"/>
    </row>
    <row r="2562" spans="1:15" ht="18" customHeight="1" x14ac:dyDescent="0.3">
      <c r="A2562" s="29">
        <v>2561</v>
      </c>
      <c r="B2562" s="15" t="s">
        <v>96</v>
      </c>
      <c r="C2562" s="15" t="s">
        <v>97</v>
      </c>
      <c r="D2562" s="69">
        <v>157</v>
      </c>
      <c r="E2562" s="68" t="s">
        <v>3382</v>
      </c>
      <c r="F2562" s="21" t="s">
        <v>2272</v>
      </c>
      <c r="G2562" s="15" t="s">
        <v>154</v>
      </c>
      <c r="H2562" s="15" t="s">
        <v>901</v>
      </c>
      <c r="I2562" s="69">
        <v>196</v>
      </c>
      <c r="J2562" s="15" t="s">
        <v>2674</v>
      </c>
      <c r="K2562" s="15" t="s">
        <v>903</v>
      </c>
      <c r="L2562" s="15" t="s">
        <v>2673</v>
      </c>
      <c r="M2562" s="15" t="s">
        <v>2672</v>
      </c>
      <c r="N2562" s="15" t="s">
        <v>2673</v>
      </c>
      <c r="O2562" s="15"/>
    </row>
    <row r="2563" spans="1:15" ht="18" customHeight="1" x14ac:dyDescent="0.3">
      <c r="A2563" s="29">
        <v>2562</v>
      </c>
      <c r="B2563" s="15" t="s">
        <v>96</v>
      </c>
      <c r="C2563" s="15" t="s">
        <v>97</v>
      </c>
      <c r="D2563" s="69">
        <v>157</v>
      </c>
      <c r="E2563" s="68" t="s">
        <v>3382</v>
      </c>
      <c r="F2563" s="21" t="s">
        <v>2272</v>
      </c>
      <c r="G2563" s="15" t="s">
        <v>154</v>
      </c>
      <c r="H2563" s="15" t="s">
        <v>904</v>
      </c>
      <c r="I2563" s="69">
        <v>190</v>
      </c>
      <c r="J2563" s="15" t="s">
        <v>2672</v>
      </c>
      <c r="K2563" s="15" t="s">
        <v>903</v>
      </c>
      <c r="L2563" s="15" t="s">
        <v>2673</v>
      </c>
      <c r="M2563" s="15" t="s">
        <v>2672</v>
      </c>
      <c r="N2563" s="15" t="s">
        <v>2673</v>
      </c>
      <c r="O2563" s="15"/>
    </row>
    <row r="2564" spans="1:15" ht="18" customHeight="1" x14ac:dyDescent="0.3">
      <c r="A2564" s="29">
        <v>2563</v>
      </c>
      <c r="B2564" s="15" t="s">
        <v>96</v>
      </c>
      <c r="C2564" s="15" t="s">
        <v>97</v>
      </c>
      <c r="D2564" s="69">
        <v>157</v>
      </c>
      <c r="E2564" s="68" t="s">
        <v>3382</v>
      </c>
      <c r="F2564" s="21" t="s">
        <v>2272</v>
      </c>
      <c r="G2564" s="15" t="s">
        <v>154</v>
      </c>
      <c r="H2564" s="15" t="s">
        <v>905</v>
      </c>
      <c r="I2564" s="69">
        <v>64</v>
      </c>
      <c r="J2564" s="15" t="s">
        <v>2674</v>
      </c>
      <c r="K2564" s="15" t="s">
        <v>903</v>
      </c>
      <c r="L2564" s="15" t="s">
        <v>2673</v>
      </c>
      <c r="M2564" s="15" t="s">
        <v>2672</v>
      </c>
      <c r="N2564" s="15" t="s">
        <v>2673</v>
      </c>
      <c r="O2564" s="15"/>
    </row>
    <row r="2565" spans="1:15" ht="18" customHeight="1" x14ac:dyDescent="0.3">
      <c r="A2565" s="29">
        <v>2564</v>
      </c>
      <c r="B2565" s="15" t="s">
        <v>96</v>
      </c>
      <c r="C2565" s="15" t="s">
        <v>97</v>
      </c>
      <c r="D2565" s="69">
        <v>157</v>
      </c>
      <c r="E2565" s="68" t="s">
        <v>3382</v>
      </c>
      <c r="F2565" s="21" t="s">
        <v>2272</v>
      </c>
      <c r="G2565" s="15" t="s">
        <v>154</v>
      </c>
      <c r="H2565" s="15" t="s">
        <v>906</v>
      </c>
      <c r="I2565" s="69">
        <v>72</v>
      </c>
      <c r="J2565" s="15" t="s">
        <v>2674</v>
      </c>
      <c r="K2565" s="15" t="s">
        <v>2674</v>
      </c>
      <c r="L2565" s="15" t="s">
        <v>1797</v>
      </c>
      <c r="M2565" s="15" t="s">
        <v>2672</v>
      </c>
      <c r="N2565" s="15" t="s">
        <v>2673</v>
      </c>
      <c r="O2565" s="15"/>
    </row>
    <row r="2566" spans="1:15" ht="18" customHeight="1" x14ac:dyDescent="0.3">
      <c r="A2566" s="29">
        <v>2565</v>
      </c>
      <c r="B2566" s="15" t="s">
        <v>96</v>
      </c>
      <c r="C2566" s="15" t="s">
        <v>97</v>
      </c>
      <c r="D2566" s="69">
        <v>157</v>
      </c>
      <c r="E2566" s="68" t="s">
        <v>3382</v>
      </c>
      <c r="F2566" s="21" t="s">
        <v>2272</v>
      </c>
      <c r="G2566" s="15" t="s">
        <v>154</v>
      </c>
      <c r="H2566" s="15" t="s">
        <v>907</v>
      </c>
      <c r="I2566" s="69">
        <v>174</v>
      </c>
      <c r="J2566" s="15" t="s">
        <v>2672</v>
      </c>
      <c r="K2566" s="15" t="s">
        <v>903</v>
      </c>
      <c r="L2566" s="15" t="s">
        <v>2673</v>
      </c>
      <c r="M2566" s="15" t="s">
        <v>2672</v>
      </c>
      <c r="N2566" s="15" t="s">
        <v>2673</v>
      </c>
      <c r="O2566" s="15"/>
    </row>
    <row r="2567" spans="1:15" ht="18" customHeight="1" x14ac:dyDescent="0.3">
      <c r="A2567" s="29">
        <v>2566</v>
      </c>
      <c r="B2567" s="15" t="s">
        <v>96</v>
      </c>
      <c r="C2567" s="15" t="s">
        <v>97</v>
      </c>
      <c r="D2567" s="69">
        <v>157</v>
      </c>
      <c r="E2567" s="68" t="s">
        <v>3382</v>
      </c>
      <c r="F2567" s="21" t="s">
        <v>2272</v>
      </c>
      <c r="G2567" s="15" t="s">
        <v>154</v>
      </c>
      <c r="H2567" s="15" t="s">
        <v>909</v>
      </c>
      <c r="I2567" s="69">
        <v>197</v>
      </c>
      <c r="J2567" s="15" t="s">
        <v>2672</v>
      </c>
      <c r="K2567" s="15" t="s">
        <v>903</v>
      </c>
      <c r="L2567" s="15" t="s">
        <v>2673</v>
      </c>
      <c r="M2567" s="15" t="s">
        <v>2672</v>
      </c>
      <c r="N2567" s="15" t="s">
        <v>2673</v>
      </c>
      <c r="O2567" s="15"/>
    </row>
    <row r="2568" spans="1:15" ht="18" customHeight="1" x14ac:dyDescent="0.3">
      <c r="A2568" s="29">
        <v>2567</v>
      </c>
      <c r="B2568" s="15" t="s">
        <v>96</v>
      </c>
      <c r="C2568" s="15" t="s">
        <v>97</v>
      </c>
      <c r="D2568" s="69">
        <v>157</v>
      </c>
      <c r="E2568" s="68" t="s">
        <v>3382</v>
      </c>
      <c r="F2568" s="21" t="s">
        <v>2272</v>
      </c>
      <c r="G2568" s="15" t="s">
        <v>154</v>
      </c>
      <c r="H2568" s="15" t="s">
        <v>910</v>
      </c>
      <c r="I2568" s="69">
        <v>179</v>
      </c>
      <c r="J2568" s="15" t="s">
        <v>2672</v>
      </c>
      <c r="K2568" s="15" t="s">
        <v>903</v>
      </c>
      <c r="L2568" s="15" t="s">
        <v>2673</v>
      </c>
      <c r="M2568" s="15" t="s">
        <v>2672</v>
      </c>
      <c r="N2568" s="15" t="s">
        <v>2673</v>
      </c>
      <c r="O2568" s="15"/>
    </row>
    <row r="2569" spans="1:15" ht="18" customHeight="1" x14ac:dyDescent="0.3">
      <c r="A2569" s="29">
        <v>2568</v>
      </c>
      <c r="B2569" s="15" t="s">
        <v>96</v>
      </c>
      <c r="C2569" s="15" t="s">
        <v>97</v>
      </c>
      <c r="D2569" s="69">
        <v>157</v>
      </c>
      <c r="E2569" s="68" t="s">
        <v>3382</v>
      </c>
      <c r="F2569" s="21" t="s">
        <v>2272</v>
      </c>
      <c r="G2569" s="15" t="s">
        <v>154</v>
      </c>
      <c r="H2569" s="15" t="s">
        <v>911</v>
      </c>
      <c r="I2569" s="69">
        <v>223</v>
      </c>
      <c r="J2569" s="15" t="s">
        <v>2672</v>
      </c>
      <c r="K2569" s="15" t="s">
        <v>903</v>
      </c>
      <c r="L2569" s="15" t="s">
        <v>2673</v>
      </c>
      <c r="M2569" s="15" t="s">
        <v>2672</v>
      </c>
      <c r="N2569" s="15" t="s">
        <v>2673</v>
      </c>
      <c r="O2569" s="15"/>
    </row>
    <row r="2570" spans="1:15" ht="18" customHeight="1" x14ac:dyDescent="0.3">
      <c r="A2570" s="29">
        <v>2569</v>
      </c>
      <c r="B2570" s="15" t="s">
        <v>96</v>
      </c>
      <c r="C2570" s="15" t="s">
        <v>97</v>
      </c>
      <c r="D2570" s="69">
        <v>157</v>
      </c>
      <c r="E2570" s="68" t="s">
        <v>3382</v>
      </c>
      <c r="F2570" s="21" t="s">
        <v>2272</v>
      </c>
      <c r="G2570" s="15" t="s">
        <v>154</v>
      </c>
      <c r="H2570" s="15" t="s">
        <v>927</v>
      </c>
      <c r="I2570" s="69">
        <v>296</v>
      </c>
      <c r="J2570" s="15" t="s">
        <v>2674</v>
      </c>
      <c r="K2570" s="15" t="s">
        <v>903</v>
      </c>
      <c r="L2570" s="15" t="s">
        <v>2673</v>
      </c>
      <c r="M2570" s="15" t="s">
        <v>2672</v>
      </c>
      <c r="N2570" s="15" t="s">
        <v>2673</v>
      </c>
      <c r="O2570" s="15"/>
    </row>
    <row r="2571" spans="1:15" ht="18" customHeight="1" x14ac:dyDescent="0.3">
      <c r="A2571" s="29">
        <v>2570</v>
      </c>
      <c r="B2571" s="15" t="s">
        <v>96</v>
      </c>
      <c r="C2571" s="15" t="s">
        <v>97</v>
      </c>
      <c r="D2571" s="69">
        <v>157</v>
      </c>
      <c r="E2571" s="68" t="s">
        <v>3382</v>
      </c>
      <c r="F2571" s="21" t="s">
        <v>2272</v>
      </c>
      <c r="G2571" s="15" t="s">
        <v>154</v>
      </c>
      <c r="H2571" s="15" t="s">
        <v>1253</v>
      </c>
      <c r="I2571" s="69">
        <v>57</v>
      </c>
      <c r="J2571" s="15" t="s">
        <v>2672</v>
      </c>
      <c r="K2571" s="15" t="s">
        <v>2674</v>
      </c>
      <c r="L2571" s="15" t="s">
        <v>2727</v>
      </c>
      <c r="M2571" s="15" t="s">
        <v>2672</v>
      </c>
      <c r="N2571" s="15" t="s">
        <v>2673</v>
      </c>
      <c r="O2571" s="15"/>
    </row>
    <row r="2572" spans="1:15" ht="18" customHeight="1" x14ac:dyDescent="0.3">
      <c r="A2572" s="29">
        <v>2571</v>
      </c>
      <c r="B2572" s="15" t="s">
        <v>96</v>
      </c>
      <c r="C2572" s="15" t="s">
        <v>97</v>
      </c>
      <c r="D2572" s="69">
        <v>157</v>
      </c>
      <c r="E2572" s="68" t="s">
        <v>309</v>
      </c>
      <c r="F2572" s="21" t="s">
        <v>758</v>
      </c>
      <c r="G2572" s="15" t="s">
        <v>154</v>
      </c>
      <c r="H2572" s="15" t="s">
        <v>901</v>
      </c>
      <c r="I2572" s="69">
        <v>294</v>
      </c>
      <c r="J2572" s="15" t="s">
        <v>2672</v>
      </c>
      <c r="K2572" s="15" t="s">
        <v>903</v>
      </c>
      <c r="L2572" s="15" t="s">
        <v>2673</v>
      </c>
      <c r="M2572" s="15" t="s">
        <v>2672</v>
      </c>
      <c r="N2572" s="15" t="s">
        <v>2673</v>
      </c>
      <c r="O2572" s="15"/>
    </row>
    <row r="2573" spans="1:15" ht="18" customHeight="1" x14ac:dyDescent="0.3">
      <c r="A2573" s="29">
        <v>2572</v>
      </c>
      <c r="B2573" s="15" t="s">
        <v>96</v>
      </c>
      <c r="C2573" s="15" t="s">
        <v>97</v>
      </c>
      <c r="D2573" s="69">
        <v>157</v>
      </c>
      <c r="E2573" s="68" t="s">
        <v>309</v>
      </c>
      <c r="F2573" s="21" t="s">
        <v>758</v>
      </c>
      <c r="G2573" s="15" t="s">
        <v>154</v>
      </c>
      <c r="H2573" s="15" t="s">
        <v>904</v>
      </c>
      <c r="I2573" s="69">
        <v>104</v>
      </c>
      <c r="J2573" s="15" t="s">
        <v>2672</v>
      </c>
      <c r="K2573" s="15" t="s">
        <v>903</v>
      </c>
      <c r="L2573" s="15" t="s">
        <v>2673</v>
      </c>
      <c r="M2573" s="15" t="s">
        <v>2672</v>
      </c>
      <c r="N2573" s="15" t="s">
        <v>2673</v>
      </c>
      <c r="O2573" s="15"/>
    </row>
    <row r="2574" spans="1:15" ht="18" customHeight="1" x14ac:dyDescent="0.3">
      <c r="A2574" s="29">
        <v>2573</v>
      </c>
      <c r="B2574" s="15" t="s">
        <v>96</v>
      </c>
      <c r="C2574" s="15" t="s">
        <v>97</v>
      </c>
      <c r="D2574" s="69">
        <v>157</v>
      </c>
      <c r="E2574" s="68" t="s">
        <v>309</v>
      </c>
      <c r="F2574" s="21" t="s">
        <v>758</v>
      </c>
      <c r="G2574" s="15" t="s">
        <v>154</v>
      </c>
      <c r="H2574" s="15" t="s">
        <v>905</v>
      </c>
      <c r="I2574" s="69">
        <v>106</v>
      </c>
      <c r="J2574" s="15" t="s">
        <v>2672</v>
      </c>
      <c r="K2574" s="15" t="s">
        <v>903</v>
      </c>
      <c r="L2574" s="15" t="s">
        <v>2673</v>
      </c>
      <c r="M2574" s="15" t="s">
        <v>2672</v>
      </c>
      <c r="N2574" s="15" t="s">
        <v>2673</v>
      </c>
      <c r="O2574" s="15"/>
    </row>
    <row r="2575" spans="1:15" ht="18" customHeight="1" x14ac:dyDescent="0.3">
      <c r="A2575" s="29">
        <v>2574</v>
      </c>
      <c r="B2575" s="15" t="s">
        <v>96</v>
      </c>
      <c r="C2575" s="15" t="s">
        <v>97</v>
      </c>
      <c r="D2575" s="69">
        <v>157</v>
      </c>
      <c r="E2575" s="68" t="s">
        <v>309</v>
      </c>
      <c r="F2575" s="21" t="s">
        <v>758</v>
      </c>
      <c r="G2575" s="15" t="s">
        <v>154</v>
      </c>
      <c r="H2575" s="15" t="s">
        <v>908</v>
      </c>
      <c r="I2575" s="69">
        <v>151</v>
      </c>
      <c r="J2575" s="15" t="s">
        <v>2672</v>
      </c>
      <c r="K2575" s="15" t="s">
        <v>903</v>
      </c>
      <c r="L2575" s="15" t="s">
        <v>2673</v>
      </c>
      <c r="M2575" s="15" t="s">
        <v>2672</v>
      </c>
      <c r="N2575" s="15" t="s">
        <v>2673</v>
      </c>
      <c r="O2575" s="15"/>
    </row>
    <row r="2576" spans="1:15" ht="18" customHeight="1" x14ac:dyDescent="0.3">
      <c r="A2576" s="29">
        <v>2575</v>
      </c>
      <c r="B2576" s="15" t="s">
        <v>96</v>
      </c>
      <c r="C2576" s="15" t="s">
        <v>97</v>
      </c>
      <c r="D2576" s="69">
        <v>157</v>
      </c>
      <c r="E2576" s="68" t="s">
        <v>309</v>
      </c>
      <c r="F2576" s="21" t="s">
        <v>758</v>
      </c>
      <c r="G2576" s="15" t="s">
        <v>154</v>
      </c>
      <c r="H2576" s="15" t="s">
        <v>909</v>
      </c>
      <c r="I2576" s="69">
        <v>151</v>
      </c>
      <c r="J2576" s="15" t="s">
        <v>2672</v>
      </c>
      <c r="K2576" s="15" t="s">
        <v>903</v>
      </c>
      <c r="L2576" s="15" t="s">
        <v>2673</v>
      </c>
      <c r="M2576" s="15" t="s">
        <v>2672</v>
      </c>
      <c r="N2576" s="15" t="s">
        <v>2673</v>
      </c>
      <c r="O2576" s="15"/>
    </row>
    <row r="2577" spans="1:15" ht="18" customHeight="1" x14ac:dyDescent="0.3">
      <c r="A2577" s="29">
        <v>2576</v>
      </c>
      <c r="B2577" s="15" t="s">
        <v>96</v>
      </c>
      <c r="C2577" s="15" t="s">
        <v>97</v>
      </c>
      <c r="D2577" s="69">
        <v>157</v>
      </c>
      <c r="E2577" s="68" t="s">
        <v>309</v>
      </c>
      <c r="F2577" s="21" t="s">
        <v>758</v>
      </c>
      <c r="G2577" s="15" t="s">
        <v>154</v>
      </c>
      <c r="H2577" s="15" t="s">
        <v>910</v>
      </c>
      <c r="I2577" s="69">
        <v>104</v>
      </c>
      <c r="J2577" s="15" t="s">
        <v>2672</v>
      </c>
      <c r="K2577" s="15" t="s">
        <v>903</v>
      </c>
      <c r="L2577" s="15" t="s">
        <v>2673</v>
      </c>
      <c r="M2577" s="15" t="s">
        <v>2672</v>
      </c>
      <c r="N2577" s="15" t="s">
        <v>2673</v>
      </c>
      <c r="O2577" s="15"/>
    </row>
    <row r="2578" spans="1:15" ht="18" customHeight="1" x14ac:dyDescent="0.3">
      <c r="A2578" s="29">
        <v>2577</v>
      </c>
      <c r="B2578" s="15" t="s">
        <v>96</v>
      </c>
      <c r="C2578" s="15" t="s">
        <v>97</v>
      </c>
      <c r="D2578" s="69">
        <v>157</v>
      </c>
      <c r="E2578" s="68" t="s">
        <v>309</v>
      </c>
      <c r="F2578" s="21" t="s">
        <v>758</v>
      </c>
      <c r="G2578" s="15" t="s">
        <v>154</v>
      </c>
      <c r="H2578" s="15" t="s">
        <v>911</v>
      </c>
      <c r="I2578" s="69">
        <v>186</v>
      </c>
      <c r="J2578" s="15" t="s">
        <v>2672</v>
      </c>
      <c r="K2578" s="15" t="s">
        <v>903</v>
      </c>
      <c r="L2578" s="15" t="s">
        <v>2673</v>
      </c>
      <c r="M2578" s="15" t="s">
        <v>2672</v>
      </c>
      <c r="N2578" s="15" t="s">
        <v>2673</v>
      </c>
      <c r="O2578" s="15"/>
    </row>
    <row r="2579" spans="1:15" ht="18" customHeight="1" x14ac:dyDescent="0.3">
      <c r="A2579" s="29">
        <v>2578</v>
      </c>
      <c r="B2579" s="15" t="s">
        <v>96</v>
      </c>
      <c r="C2579" s="15" t="s">
        <v>97</v>
      </c>
      <c r="D2579" s="69">
        <v>157</v>
      </c>
      <c r="E2579" s="68" t="s">
        <v>309</v>
      </c>
      <c r="F2579" s="21" t="s">
        <v>1232</v>
      </c>
      <c r="G2579" s="15" t="s">
        <v>154</v>
      </c>
      <c r="H2579" s="15" t="s">
        <v>906</v>
      </c>
      <c r="I2579" s="69">
        <v>105</v>
      </c>
      <c r="J2579" s="15" t="s">
        <v>2672</v>
      </c>
      <c r="K2579" s="15" t="s">
        <v>2674</v>
      </c>
      <c r="L2579" s="15" t="s">
        <v>1703</v>
      </c>
      <c r="M2579" s="15" t="s">
        <v>2672</v>
      </c>
      <c r="N2579" s="15" t="s">
        <v>2673</v>
      </c>
      <c r="O2579" s="15"/>
    </row>
    <row r="2580" spans="1:15" ht="18" customHeight="1" x14ac:dyDescent="0.3">
      <c r="A2580" s="29">
        <v>2579</v>
      </c>
      <c r="B2580" s="15" t="s">
        <v>96</v>
      </c>
      <c r="C2580" s="15" t="s">
        <v>97</v>
      </c>
      <c r="D2580" s="69">
        <v>157</v>
      </c>
      <c r="E2580" s="68" t="s">
        <v>309</v>
      </c>
      <c r="F2580" s="21" t="s">
        <v>1232</v>
      </c>
      <c r="G2580" s="15" t="s">
        <v>154</v>
      </c>
      <c r="H2580" s="15" t="s">
        <v>907</v>
      </c>
      <c r="I2580" s="69">
        <v>105</v>
      </c>
      <c r="J2580" s="15" t="s">
        <v>2672</v>
      </c>
      <c r="K2580" s="15" t="s">
        <v>2674</v>
      </c>
      <c r="L2580" s="15" t="s">
        <v>1703</v>
      </c>
      <c r="M2580" s="15" t="s">
        <v>2672</v>
      </c>
      <c r="N2580" s="15" t="s">
        <v>2673</v>
      </c>
      <c r="O2580" s="15"/>
    </row>
    <row r="2581" spans="1:15" ht="18" customHeight="1" x14ac:dyDescent="0.3">
      <c r="A2581" s="29">
        <v>2580</v>
      </c>
      <c r="B2581" s="15" t="s">
        <v>96</v>
      </c>
      <c r="C2581" s="15" t="s">
        <v>97</v>
      </c>
      <c r="D2581" s="69">
        <v>157</v>
      </c>
      <c r="E2581" s="68" t="s">
        <v>3383</v>
      </c>
      <c r="F2581" s="24" t="s">
        <v>757</v>
      </c>
      <c r="G2581" s="15" t="s">
        <v>154</v>
      </c>
      <c r="H2581" s="15" t="s">
        <v>901</v>
      </c>
      <c r="I2581" s="69">
        <v>91</v>
      </c>
      <c r="J2581" s="15" t="s">
        <v>2672</v>
      </c>
      <c r="K2581" s="15" t="s">
        <v>903</v>
      </c>
      <c r="L2581" s="15" t="s">
        <v>2673</v>
      </c>
      <c r="M2581" s="15" t="s">
        <v>2672</v>
      </c>
      <c r="N2581" s="15" t="s">
        <v>2673</v>
      </c>
      <c r="O2581" s="15"/>
    </row>
    <row r="2582" spans="1:15" ht="18" customHeight="1" x14ac:dyDescent="0.3">
      <c r="A2582" s="29">
        <v>2581</v>
      </c>
      <c r="B2582" s="15" t="s">
        <v>96</v>
      </c>
      <c r="C2582" s="15" t="s">
        <v>97</v>
      </c>
      <c r="D2582" s="69">
        <v>157</v>
      </c>
      <c r="E2582" s="68" t="s">
        <v>3383</v>
      </c>
      <c r="F2582" s="24" t="s">
        <v>757</v>
      </c>
      <c r="G2582" s="15" t="s">
        <v>154</v>
      </c>
      <c r="H2582" s="15" t="s">
        <v>904</v>
      </c>
      <c r="I2582" s="69">
        <v>94</v>
      </c>
      <c r="J2582" s="15" t="s">
        <v>2674</v>
      </c>
      <c r="K2582" s="15" t="s">
        <v>903</v>
      </c>
      <c r="L2582" s="15" t="s">
        <v>2673</v>
      </c>
      <c r="M2582" s="15" t="s">
        <v>2672</v>
      </c>
      <c r="N2582" s="15" t="s">
        <v>2673</v>
      </c>
      <c r="O2582" s="15"/>
    </row>
    <row r="2583" spans="1:15" ht="18" customHeight="1" x14ac:dyDescent="0.3">
      <c r="A2583" s="29">
        <v>2582</v>
      </c>
      <c r="B2583" s="15" t="s">
        <v>96</v>
      </c>
      <c r="C2583" s="15" t="s">
        <v>97</v>
      </c>
      <c r="D2583" s="69">
        <v>157</v>
      </c>
      <c r="E2583" s="68" t="s">
        <v>3383</v>
      </c>
      <c r="F2583" s="24" t="s">
        <v>757</v>
      </c>
      <c r="G2583" s="15" t="s">
        <v>154</v>
      </c>
      <c r="H2583" s="15" t="s">
        <v>905</v>
      </c>
      <c r="I2583" s="69">
        <v>93</v>
      </c>
      <c r="J2583" s="15" t="s">
        <v>2672</v>
      </c>
      <c r="K2583" s="15" t="s">
        <v>903</v>
      </c>
      <c r="L2583" s="15" t="s">
        <v>2673</v>
      </c>
      <c r="M2583" s="15" t="s">
        <v>2672</v>
      </c>
      <c r="N2583" s="15" t="s">
        <v>2673</v>
      </c>
      <c r="O2583" s="15"/>
    </row>
    <row r="2584" spans="1:15" ht="18" customHeight="1" x14ac:dyDescent="0.3">
      <c r="A2584" s="29">
        <v>2583</v>
      </c>
      <c r="B2584" s="15" t="s">
        <v>96</v>
      </c>
      <c r="C2584" s="15" t="s">
        <v>97</v>
      </c>
      <c r="D2584" s="69">
        <v>157</v>
      </c>
      <c r="E2584" s="68" t="s">
        <v>3383</v>
      </c>
      <c r="F2584" s="24" t="s">
        <v>757</v>
      </c>
      <c r="G2584" s="15" t="s">
        <v>154</v>
      </c>
      <c r="H2584" s="15" t="s">
        <v>2680</v>
      </c>
      <c r="I2584" s="69">
        <v>170</v>
      </c>
      <c r="J2584" s="15" t="s">
        <v>2674</v>
      </c>
      <c r="K2584" s="15" t="s">
        <v>903</v>
      </c>
      <c r="L2584" s="15" t="s">
        <v>2673</v>
      </c>
      <c r="M2584" s="15" t="s">
        <v>2672</v>
      </c>
      <c r="N2584" s="15" t="s">
        <v>2673</v>
      </c>
      <c r="O2584" s="15"/>
    </row>
    <row r="2585" spans="1:15" ht="18" customHeight="1" x14ac:dyDescent="0.3">
      <c r="A2585" s="29">
        <v>2584</v>
      </c>
      <c r="B2585" s="15" t="s">
        <v>96</v>
      </c>
      <c r="C2585" s="15" t="s">
        <v>97</v>
      </c>
      <c r="D2585" s="69">
        <v>157</v>
      </c>
      <c r="E2585" s="68" t="s">
        <v>3383</v>
      </c>
      <c r="F2585" s="24" t="s">
        <v>757</v>
      </c>
      <c r="G2585" s="15" t="s">
        <v>154</v>
      </c>
      <c r="H2585" s="15" t="s">
        <v>2690</v>
      </c>
      <c r="I2585" s="69">
        <v>226</v>
      </c>
      <c r="J2585" s="15" t="s">
        <v>2674</v>
      </c>
      <c r="K2585" s="15" t="s">
        <v>2672</v>
      </c>
      <c r="L2585" s="15" t="s">
        <v>2673</v>
      </c>
      <c r="M2585" s="15" t="s">
        <v>2672</v>
      </c>
      <c r="N2585" s="15" t="s">
        <v>2673</v>
      </c>
      <c r="O2585" s="15"/>
    </row>
    <row r="2586" spans="1:15" ht="18" customHeight="1" x14ac:dyDescent="0.3">
      <c r="A2586" s="29">
        <v>2585</v>
      </c>
      <c r="B2586" s="15" t="s">
        <v>96</v>
      </c>
      <c r="C2586" s="15" t="s">
        <v>97</v>
      </c>
      <c r="D2586" s="69">
        <v>157</v>
      </c>
      <c r="E2586" s="68" t="s">
        <v>3383</v>
      </c>
      <c r="F2586" s="24" t="s">
        <v>757</v>
      </c>
      <c r="G2586" s="15" t="s">
        <v>154</v>
      </c>
      <c r="H2586" s="15" t="s">
        <v>909</v>
      </c>
      <c r="I2586" s="69">
        <v>112</v>
      </c>
      <c r="J2586" s="15" t="s">
        <v>2674</v>
      </c>
      <c r="K2586" s="15" t="s">
        <v>903</v>
      </c>
      <c r="L2586" s="15" t="s">
        <v>2673</v>
      </c>
      <c r="M2586" s="15" t="s">
        <v>2672</v>
      </c>
      <c r="N2586" s="15" t="s">
        <v>2673</v>
      </c>
      <c r="O2586" s="15"/>
    </row>
    <row r="2587" spans="1:15" ht="18" customHeight="1" x14ac:dyDescent="0.3">
      <c r="A2587" s="29">
        <v>2586</v>
      </c>
      <c r="B2587" s="15" t="s">
        <v>96</v>
      </c>
      <c r="C2587" s="15" t="s">
        <v>97</v>
      </c>
      <c r="D2587" s="69">
        <v>157</v>
      </c>
      <c r="E2587" s="68" t="s">
        <v>3383</v>
      </c>
      <c r="F2587" s="24" t="s">
        <v>757</v>
      </c>
      <c r="G2587" s="15" t="s">
        <v>154</v>
      </c>
      <c r="H2587" s="15" t="s">
        <v>911</v>
      </c>
      <c r="I2587" s="69">
        <v>125</v>
      </c>
      <c r="J2587" s="15" t="s">
        <v>2672</v>
      </c>
      <c r="K2587" s="15" t="s">
        <v>903</v>
      </c>
      <c r="L2587" s="15" t="s">
        <v>2673</v>
      </c>
      <c r="M2587" s="15" t="s">
        <v>2672</v>
      </c>
      <c r="N2587" s="15" t="s">
        <v>2673</v>
      </c>
      <c r="O2587" s="15"/>
    </row>
    <row r="2588" spans="1:15" ht="18" customHeight="1" x14ac:dyDescent="0.3">
      <c r="A2588" s="29">
        <v>2587</v>
      </c>
      <c r="B2588" s="15" t="s">
        <v>96</v>
      </c>
      <c r="C2588" s="15" t="s">
        <v>97</v>
      </c>
      <c r="D2588" s="69">
        <v>157</v>
      </c>
      <c r="E2588" s="68" t="s">
        <v>3383</v>
      </c>
      <c r="F2588" s="24" t="s">
        <v>757</v>
      </c>
      <c r="G2588" s="15" t="s">
        <v>154</v>
      </c>
      <c r="H2588" s="15" t="s">
        <v>994</v>
      </c>
      <c r="I2588" s="69">
        <v>99</v>
      </c>
      <c r="J2588" s="15" t="s">
        <v>2672</v>
      </c>
      <c r="K2588" s="15" t="s">
        <v>903</v>
      </c>
      <c r="L2588" s="15" t="s">
        <v>2673</v>
      </c>
      <c r="M2588" s="15" t="s">
        <v>2672</v>
      </c>
      <c r="N2588" s="15" t="s">
        <v>2673</v>
      </c>
      <c r="O2588" s="15"/>
    </row>
    <row r="2589" spans="1:15" ht="18" customHeight="1" x14ac:dyDescent="0.3">
      <c r="A2589" s="29">
        <v>2588</v>
      </c>
      <c r="B2589" s="15" t="s">
        <v>96</v>
      </c>
      <c r="C2589" s="15" t="s">
        <v>97</v>
      </c>
      <c r="D2589" s="69">
        <v>157</v>
      </c>
      <c r="E2589" s="68" t="s">
        <v>3383</v>
      </c>
      <c r="F2589" s="24" t="s">
        <v>757</v>
      </c>
      <c r="G2589" s="15" t="s">
        <v>154</v>
      </c>
      <c r="H2589" s="15" t="s">
        <v>2825</v>
      </c>
      <c r="I2589" s="69">
        <v>155</v>
      </c>
      <c r="J2589" s="15" t="s">
        <v>2672</v>
      </c>
      <c r="K2589" s="15" t="s">
        <v>903</v>
      </c>
      <c r="L2589" s="15" t="s">
        <v>2673</v>
      </c>
      <c r="M2589" s="15" t="s">
        <v>2672</v>
      </c>
      <c r="N2589" s="15" t="s">
        <v>2673</v>
      </c>
      <c r="O2589" s="15"/>
    </row>
    <row r="2590" spans="1:15" ht="18" customHeight="1" x14ac:dyDescent="0.3">
      <c r="A2590" s="29">
        <v>2589</v>
      </c>
      <c r="B2590" s="15" t="s">
        <v>96</v>
      </c>
      <c r="C2590" s="15" t="s">
        <v>97</v>
      </c>
      <c r="D2590" s="69">
        <v>157</v>
      </c>
      <c r="E2590" s="68" t="s">
        <v>3383</v>
      </c>
      <c r="F2590" s="24" t="s">
        <v>2998</v>
      </c>
      <c r="G2590" s="15" t="s">
        <v>154</v>
      </c>
      <c r="H2590" s="15" t="s">
        <v>910</v>
      </c>
      <c r="I2590" s="69">
        <v>125</v>
      </c>
      <c r="J2590" s="15" t="s">
        <v>2672</v>
      </c>
      <c r="K2590" s="15" t="s">
        <v>902</v>
      </c>
      <c r="L2590" s="15" t="s">
        <v>1069</v>
      </c>
      <c r="M2590" s="15" t="s">
        <v>2672</v>
      </c>
      <c r="N2590" s="15" t="s">
        <v>2673</v>
      </c>
      <c r="O2590" s="15"/>
    </row>
    <row r="2591" spans="1:15" ht="18" customHeight="1" x14ac:dyDescent="0.3">
      <c r="A2591" s="29">
        <v>2590</v>
      </c>
      <c r="B2591" s="15" t="s">
        <v>96</v>
      </c>
      <c r="C2591" s="15" t="s">
        <v>97</v>
      </c>
      <c r="D2591" s="69">
        <v>157</v>
      </c>
      <c r="E2591" s="68" t="s">
        <v>3383</v>
      </c>
      <c r="F2591" s="24" t="s">
        <v>2998</v>
      </c>
      <c r="G2591" s="15" t="s">
        <v>154</v>
      </c>
      <c r="H2591" s="15" t="s">
        <v>983</v>
      </c>
      <c r="I2591" s="69">
        <v>132</v>
      </c>
      <c r="J2591" s="15" t="s">
        <v>2674</v>
      </c>
      <c r="K2591" s="15" t="s">
        <v>902</v>
      </c>
      <c r="L2591" s="15" t="s">
        <v>1797</v>
      </c>
      <c r="M2591" s="15" t="s">
        <v>2672</v>
      </c>
      <c r="N2591" s="15" t="s">
        <v>2673</v>
      </c>
      <c r="O2591" s="15"/>
    </row>
    <row r="2592" spans="1:15" ht="18" customHeight="1" x14ac:dyDescent="0.3">
      <c r="A2592" s="29">
        <v>2591</v>
      </c>
      <c r="B2592" s="15" t="s">
        <v>2275</v>
      </c>
      <c r="C2592" s="15" t="s">
        <v>2276</v>
      </c>
      <c r="D2592" s="69">
        <v>157</v>
      </c>
      <c r="E2592" s="68" t="s">
        <v>2277</v>
      </c>
      <c r="F2592" s="21" t="s">
        <v>2278</v>
      </c>
      <c r="G2592" s="15" t="s">
        <v>1553</v>
      </c>
      <c r="H2592" s="15" t="s">
        <v>2685</v>
      </c>
      <c r="I2592" s="69">
        <v>127</v>
      </c>
      <c r="J2592" s="15" t="s">
        <v>2672</v>
      </c>
      <c r="K2592" s="15" t="s">
        <v>2672</v>
      </c>
      <c r="L2592" s="15" t="s">
        <v>2673</v>
      </c>
      <c r="M2592" s="15" t="s">
        <v>2672</v>
      </c>
      <c r="N2592" s="15" t="s">
        <v>2673</v>
      </c>
      <c r="O2592" s="15"/>
    </row>
    <row r="2593" spans="1:15" ht="18" customHeight="1" x14ac:dyDescent="0.3">
      <c r="A2593" s="29">
        <v>2592</v>
      </c>
      <c r="B2593" s="15" t="s">
        <v>2275</v>
      </c>
      <c r="C2593" s="15" t="s">
        <v>2276</v>
      </c>
      <c r="D2593" s="69">
        <v>157</v>
      </c>
      <c r="E2593" s="68" t="s">
        <v>2277</v>
      </c>
      <c r="F2593" s="21" t="s">
        <v>2278</v>
      </c>
      <c r="G2593" s="15" t="s">
        <v>1553</v>
      </c>
      <c r="H2593" s="15" t="s">
        <v>2678</v>
      </c>
      <c r="I2593" s="69">
        <v>32</v>
      </c>
      <c r="J2593" s="15" t="s">
        <v>2672</v>
      </c>
      <c r="K2593" s="15" t="s">
        <v>2674</v>
      </c>
      <c r="L2593" s="15" t="s">
        <v>2999</v>
      </c>
      <c r="M2593" s="15" t="s">
        <v>2672</v>
      </c>
      <c r="N2593" s="15" t="s">
        <v>2673</v>
      </c>
      <c r="O2593" s="15"/>
    </row>
    <row r="2594" spans="1:15" ht="18" customHeight="1" x14ac:dyDescent="0.3">
      <c r="A2594" s="29">
        <v>2593</v>
      </c>
      <c r="B2594" s="15" t="s">
        <v>2275</v>
      </c>
      <c r="C2594" s="15" t="s">
        <v>2276</v>
      </c>
      <c r="D2594" s="69">
        <v>157</v>
      </c>
      <c r="E2594" s="68" t="s">
        <v>2277</v>
      </c>
      <c r="F2594" s="21" t="s">
        <v>2278</v>
      </c>
      <c r="G2594" s="15" t="s">
        <v>1553</v>
      </c>
      <c r="H2594" s="15" t="s">
        <v>2679</v>
      </c>
      <c r="I2594" s="69">
        <v>127</v>
      </c>
      <c r="J2594" s="15" t="s">
        <v>2672</v>
      </c>
      <c r="K2594" s="15" t="s">
        <v>2672</v>
      </c>
      <c r="L2594" s="15" t="s">
        <v>2673</v>
      </c>
      <c r="M2594" s="15" t="s">
        <v>2672</v>
      </c>
      <c r="N2594" s="15" t="s">
        <v>2673</v>
      </c>
      <c r="O2594" s="15"/>
    </row>
    <row r="2595" spans="1:15" ht="18" customHeight="1" x14ac:dyDescent="0.3">
      <c r="A2595" s="29">
        <v>2594</v>
      </c>
      <c r="B2595" s="15" t="s">
        <v>2275</v>
      </c>
      <c r="C2595" s="15" t="s">
        <v>2276</v>
      </c>
      <c r="D2595" s="69">
        <v>157</v>
      </c>
      <c r="E2595" s="68" t="s">
        <v>2277</v>
      </c>
      <c r="F2595" s="21" t="s">
        <v>2278</v>
      </c>
      <c r="G2595" s="15" t="s">
        <v>1553</v>
      </c>
      <c r="H2595" s="15" t="s">
        <v>2680</v>
      </c>
      <c r="I2595" s="69">
        <v>31</v>
      </c>
      <c r="J2595" s="15" t="s">
        <v>2672</v>
      </c>
      <c r="K2595" s="15" t="s">
        <v>2674</v>
      </c>
      <c r="L2595" s="15" t="s">
        <v>2850</v>
      </c>
      <c r="M2595" s="15" t="s">
        <v>2672</v>
      </c>
      <c r="N2595" s="15" t="s">
        <v>2673</v>
      </c>
      <c r="O2595" s="15"/>
    </row>
    <row r="2596" spans="1:15" ht="18" customHeight="1" x14ac:dyDescent="0.3">
      <c r="A2596" s="29">
        <v>2595</v>
      </c>
      <c r="B2596" s="13" t="s">
        <v>2275</v>
      </c>
      <c r="C2596" s="13" t="s">
        <v>2276</v>
      </c>
      <c r="D2596" s="13">
        <v>158</v>
      </c>
      <c r="E2596" s="21" t="s">
        <v>2280</v>
      </c>
      <c r="F2596" s="21" t="s">
        <v>2281</v>
      </c>
      <c r="G2596" s="13" t="s">
        <v>1553</v>
      </c>
      <c r="H2596" s="15" t="s">
        <v>2685</v>
      </c>
      <c r="I2596" s="69">
        <v>204</v>
      </c>
      <c r="J2596" s="13" t="s">
        <v>2672</v>
      </c>
      <c r="K2596" s="15" t="s">
        <v>903</v>
      </c>
      <c r="L2596" s="15" t="s">
        <v>2673</v>
      </c>
      <c r="M2596" s="15" t="s">
        <v>2672</v>
      </c>
      <c r="N2596" s="15" t="s">
        <v>2673</v>
      </c>
      <c r="O2596" s="15"/>
    </row>
    <row r="2597" spans="1:15" ht="18" customHeight="1" x14ac:dyDescent="0.3">
      <c r="A2597" s="29">
        <v>2596</v>
      </c>
      <c r="B2597" s="13" t="s">
        <v>2275</v>
      </c>
      <c r="C2597" s="13" t="s">
        <v>2276</v>
      </c>
      <c r="D2597" s="13">
        <v>158</v>
      </c>
      <c r="E2597" s="21" t="s">
        <v>2280</v>
      </c>
      <c r="F2597" s="21" t="s">
        <v>2281</v>
      </c>
      <c r="G2597" s="13" t="s">
        <v>1553</v>
      </c>
      <c r="H2597" s="15" t="s">
        <v>2678</v>
      </c>
      <c r="I2597" s="69">
        <v>53</v>
      </c>
      <c r="J2597" s="13" t="s">
        <v>2672</v>
      </c>
      <c r="K2597" s="15" t="s">
        <v>903</v>
      </c>
      <c r="L2597" s="15" t="s">
        <v>2673</v>
      </c>
      <c r="M2597" s="15" t="s">
        <v>2672</v>
      </c>
      <c r="N2597" s="15" t="s">
        <v>2673</v>
      </c>
      <c r="O2597" s="15"/>
    </row>
    <row r="2598" spans="1:15" ht="18" customHeight="1" x14ac:dyDescent="0.3">
      <c r="A2598" s="29">
        <v>2597</v>
      </c>
      <c r="B2598" s="13" t="s">
        <v>2275</v>
      </c>
      <c r="C2598" s="13" t="s">
        <v>2276</v>
      </c>
      <c r="D2598" s="13">
        <v>158</v>
      </c>
      <c r="E2598" s="21" t="s">
        <v>2280</v>
      </c>
      <c r="F2598" s="21" t="s">
        <v>2281</v>
      </c>
      <c r="G2598" s="13" t="s">
        <v>1553</v>
      </c>
      <c r="H2598" s="15" t="s">
        <v>2679</v>
      </c>
      <c r="I2598" s="69">
        <v>69</v>
      </c>
      <c r="J2598" s="13" t="s">
        <v>2672</v>
      </c>
      <c r="K2598" s="15" t="s">
        <v>903</v>
      </c>
      <c r="L2598" s="15" t="s">
        <v>2673</v>
      </c>
      <c r="M2598" s="15" t="s">
        <v>2672</v>
      </c>
      <c r="N2598" s="15" t="s">
        <v>2673</v>
      </c>
      <c r="O2598" s="15"/>
    </row>
    <row r="2599" spans="1:15" ht="18" customHeight="1" x14ac:dyDescent="0.3">
      <c r="A2599" s="29">
        <v>2598</v>
      </c>
      <c r="B2599" s="13" t="s">
        <v>2275</v>
      </c>
      <c r="C2599" s="13" t="s">
        <v>2276</v>
      </c>
      <c r="D2599" s="13">
        <v>158</v>
      </c>
      <c r="E2599" s="21" t="s">
        <v>2280</v>
      </c>
      <c r="F2599" s="21" t="s">
        <v>2281</v>
      </c>
      <c r="G2599" s="13" t="s">
        <v>1553</v>
      </c>
      <c r="H2599" s="15" t="s">
        <v>2680</v>
      </c>
      <c r="I2599" s="69">
        <v>182</v>
      </c>
      <c r="J2599" s="13" t="s">
        <v>2672</v>
      </c>
      <c r="K2599" s="15" t="s">
        <v>903</v>
      </c>
      <c r="L2599" s="15" t="s">
        <v>2673</v>
      </c>
      <c r="M2599" s="15" t="s">
        <v>2672</v>
      </c>
      <c r="N2599" s="15" t="s">
        <v>2673</v>
      </c>
      <c r="O2599" s="15"/>
    </row>
    <row r="2600" spans="1:15" ht="18" customHeight="1" x14ac:dyDescent="0.3">
      <c r="A2600" s="29">
        <v>2599</v>
      </c>
      <c r="B2600" s="13" t="s">
        <v>2275</v>
      </c>
      <c r="C2600" s="13" t="s">
        <v>2276</v>
      </c>
      <c r="D2600" s="13">
        <v>158</v>
      </c>
      <c r="E2600" s="21" t="s">
        <v>2280</v>
      </c>
      <c r="F2600" s="21" t="s">
        <v>2281</v>
      </c>
      <c r="G2600" s="13" t="s">
        <v>1553</v>
      </c>
      <c r="H2600" s="15" t="s">
        <v>2690</v>
      </c>
      <c r="I2600" s="69">
        <v>62</v>
      </c>
      <c r="J2600" s="13" t="s">
        <v>2672</v>
      </c>
      <c r="K2600" s="15" t="s">
        <v>903</v>
      </c>
      <c r="L2600" s="15" t="s">
        <v>2673</v>
      </c>
      <c r="M2600" s="15" t="s">
        <v>2672</v>
      </c>
      <c r="N2600" s="15" t="s">
        <v>2673</v>
      </c>
      <c r="O2600" s="15"/>
    </row>
    <row r="2601" spans="1:15" ht="18" customHeight="1" x14ac:dyDescent="0.3">
      <c r="A2601" s="29">
        <v>2600</v>
      </c>
      <c r="B2601" s="13" t="s">
        <v>2275</v>
      </c>
      <c r="C2601" s="13" t="s">
        <v>2276</v>
      </c>
      <c r="D2601" s="13">
        <v>158</v>
      </c>
      <c r="E2601" s="21" t="s">
        <v>2280</v>
      </c>
      <c r="F2601" s="21" t="s">
        <v>2281</v>
      </c>
      <c r="G2601" s="13" t="s">
        <v>1553</v>
      </c>
      <c r="H2601" s="15" t="s">
        <v>2682</v>
      </c>
      <c r="I2601" s="69">
        <v>69</v>
      </c>
      <c r="J2601" s="13" t="s">
        <v>2672</v>
      </c>
      <c r="K2601" s="15" t="s">
        <v>903</v>
      </c>
      <c r="L2601" s="15" t="s">
        <v>2673</v>
      </c>
      <c r="M2601" s="15" t="s">
        <v>2672</v>
      </c>
      <c r="N2601" s="15" t="s">
        <v>2673</v>
      </c>
      <c r="O2601" s="15"/>
    </row>
    <row r="2602" spans="1:15" ht="18" customHeight="1" x14ac:dyDescent="0.3">
      <c r="A2602" s="29">
        <v>2601</v>
      </c>
      <c r="B2602" s="15" t="s">
        <v>2275</v>
      </c>
      <c r="C2602" s="15" t="s">
        <v>2276</v>
      </c>
      <c r="D2602" s="69">
        <v>159</v>
      </c>
      <c r="E2602" s="68" t="s">
        <v>3384</v>
      </c>
      <c r="F2602" s="51" t="s">
        <v>2283</v>
      </c>
      <c r="G2602" s="15" t="s">
        <v>1553</v>
      </c>
      <c r="H2602" s="15" t="s">
        <v>2685</v>
      </c>
      <c r="I2602" s="69">
        <v>85</v>
      </c>
      <c r="J2602" s="15" t="s">
        <v>2672</v>
      </c>
      <c r="K2602" s="15" t="s">
        <v>2672</v>
      </c>
      <c r="L2602" s="15" t="s">
        <v>2673</v>
      </c>
      <c r="M2602" s="15" t="s">
        <v>2672</v>
      </c>
      <c r="N2602" s="15" t="s">
        <v>2673</v>
      </c>
      <c r="O2602" s="15"/>
    </row>
    <row r="2603" spans="1:15" ht="18" customHeight="1" x14ac:dyDescent="0.3">
      <c r="A2603" s="29">
        <v>2602</v>
      </c>
      <c r="B2603" s="15" t="s">
        <v>2275</v>
      </c>
      <c r="C2603" s="15" t="s">
        <v>2276</v>
      </c>
      <c r="D2603" s="69">
        <v>159</v>
      </c>
      <c r="E2603" s="68" t="s">
        <v>3384</v>
      </c>
      <c r="F2603" s="51" t="s">
        <v>2283</v>
      </c>
      <c r="G2603" s="15" t="s">
        <v>1553</v>
      </c>
      <c r="H2603" s="15" t="s">
        <v>2678</v>
      </c>
      <c r="I2603" s="69">
        <v>182</v>
      </c>
      <c r="J2603" s="15" t="s">
        <v>2674</v>
      </c>
      <c r="K2603" s="15" t="s">
        <v>2672</v>
      </c>
      <c r="L2603" s="15" t="s">
        <v>2673</v>
      </c>
      <c r="M2603" s="15" t="s">
        <v>2672</v>
      </c>
      <c r="N2603" s="15" t="s">
        <v>2673</v>
      </c>
      <c r="O2603" s="15"/>
    </row>
    <row r="2604" spans="1:15" ht="18" customHeight="1" x14ac:dyDescent="0.3">
      <c r="A2604" s="29">
        <v>2603</v>
      </c>
      <c r="B2604" s="15" t="s">
        <v>2275</v>
      </c>
      <c r="C2604" s="15" t="s">
        <v>2276</v>
      </c>
      <c r="D2604" s="69">
        <v>159</v>
      </c>
      <c r="E2604" s="68" t="s">
        <v>3384</v>
      </c>
      <c r="F2604" s="51" t="s">
        <v>2283</v>
      </c>
      <c r="G2604" s="15" t="s">
        <v>1553</v>
      </c>
      <c r="H2604" s="15" t="s">
        <v>2679</v>
      </c>
      <c r="I2604" s="69">
        <v>132</v>
      </c>
      <c r="J2604" s="15" t="s">
        <v>2672</v>
      </c>
      <c r="K2604" s="15" t="s">
        <v>2672</v>
      </c>
      <c r="L2604" s="15" t="s">
        <v>2673</v>
      </c>
      <c r="M2604" s="15" t="s">
        <v>2672</v>
      </c>
      <c r="N2604" s="15" t="s">
        <v>2673</v>
      </c>
      <c r="O2604" s="15"/>
    </row>
    <row r="2605" spans="1:15" ht="18" customHeight="1" x14ac:dyDescent="0.3">
      <c r="A2605" s="29">
        <v>2604</v>
      </c>
      <c r="B2605" s="15" t="s">
        <v>2275</v>
      </c>
      <c r="C2605" s="15" t="s">
        <v>2276</v>
      </c>
      <c r="D2605" s="69">
        <v>159</v>
      </c>
      <c r="E2605" s="68" t="s">
        <v>3384</v>
      </c>
      <c r="F2605" s="51" t="s">
        <v>2283</v>
      </c>
      <c r="G2605" s="15" t="s">
        <v>1553</v>
      </c>
      <c r="H2605" s="15" t="s">
        <v>2680</v>
      </c>
      <c r="I2605" s="69">
        <v>117</v>
      </c>
      <c r="J2605" s="15" t="s">
        <v>2672</v>
      </c>
      <c r="K2605" s="15" t="s">
        <v>2672</v>
      </c>
      <c r="L2605" s="15" t="s">
        <v>2673</v>
      </c>
      <c r="M2605" s="15" t="s">
        <v>2672</v>
      </c>
      <c r="N2605" s="15" t="s">
        <v>2673</v>
      </c>
      <c r="O2605" s="15"/>
    </row>
    <row r="2606" spans="1:15" ht="18" customHeight="1" x14ac:dyDescent="0.3">
      <c r="A2606" s="29">
        <v>2605</v>
      </c>
      <c r="B2606" s="15" t="s">
        <v>2275</v>
      </c>
      <c r="C2606" s="15" t="s">
        <v>2276</v>
      </c>
      <c r="D2606" s="69">
        <v>159</v>
      </c>
      <c r="E2606" s="68" t="s">
        <v>3384</v>
      </c>
      <c r="F2606" s="51" t="s">
        <v>2283</v>
      </c>
      <c r="G2606" s="15" t="s">
        <v>1553</v>
      </c>
      <c r="H2606" s="15" t="s">
        <v>2690</v>
      </c>
      <c r="I2606" s="69">
        <v>116</v>
      </c>
      <c r="J2606" s="15" t="s">
        <v>2672</v>
      </c>
      <c r="K2606" s="15" t="s">
        <v>2672</v>
      </c>
      <c r="L2606" s="15" t="s">
        <v>2673</v>
      </c>
      <c r="M2606" s="15" t="s">
        <v>2672</v>
      </c>
      <c r="N2606" s="15" t="s">
        <v>2673</v>
      </c>
      <c r="O2606" s="15"/>
    </row>
    <row r="2607" spans="1:15" ht="18" customHeight="1" x14ac:dyDescent="0.3">
      <c r="A2607" s="29">
        <v>2606</v>
      </c>
      <c r="B2607" s="15" t="s">
        <v>2275</v>
      </c>
      <c r="C2607" s="15" t="s">
        <v>2276</v>
      </c>
      <c r="D2607" s="69">
        <v>159</v>
      </c>
      <c r="E2607" s="68" t="s">
        <v>3384</v>
      </c>
      <c r="F2607" s="51" t="s">
        <v>2283</v>
      </c>
      <c r="G2607" s="15" t="s">
        <v>1553</v>
      </c>
      <c r="H2607" s="15" t="s">
        <v>2682</v>
      </c>
      <c r="I2607" s="69">
        <v>121</v>
      </c>
      <c r="J2607" s="15" t="s">
        <v>2672</v>
      </c>
      <c r="K2607" s="15" t="s">
        <v>2672</v>
      </c>
      <c r="L2607" s="15" t="s">
        <v>2673</v>
      </c>
      <c r="M2607" s="15" t="s">
        <v>2672</v>
      </c>
      <c r="N2607" s="15" t="s">
        <v>2673</v>
      </c>
      <c r="O2607" s="15"/>
    </row>
    <row r="2608" spans="1:15" ht="18" customHeight="1" x14ac:dyDescent="0.3">
      <c r="A2608" s="29">
        <v>2607</v>
      </c>
      <c r="B2608" s="15" t="s">
        <v>2275</v>
      </c>
      <c r="C2608" s="15" t="s">
        <v>2276</v>
      </c>
      <c r="D2608" s="69">
        <v>159</v>
      </c>
      <c r="E2608" s="68" t="s">
        <v>3384</v>
      </c>
      <c r="F2608" s="51" t="s">
        <v>2283</v>
      </c>
      <c r="G2608" s="15" t="s">
        <v>1553</v>
      </c>
      <c r="H2608" s="15" t="s">
        <v>2732</v>
      </c>
      <c r="I2608" s="69">
        <v>165</v>
      </c>
      <c r="J2608" s="15" t="s">
        <v>2672</v>
      </c>
      <c r="K2608" s="15" t="s">
        <v>2672</v>
      </c>
      <c r="L2608" s="15" t="s">
        <v>2673</v>
      </c>
      <c r="M2608" s="15" t="s">
        <v>2672</v>
      </c>
      <c r="N2608" s="15" t="s">
        <v>2673</v>
      </c>
      <c r="O2608" s="15"/>
    </row>
    <row r="2609" spans="1:15" ht="18" customHeight="1" x14ac:dyDescent="0.3">
      <c r="A2609" s="29">
        <v>2608</v>
      </c>
      <c r="B2609" s="15" t="s">
        <v>2275</v>
      </c>
      <c r="C2609" s="15" t="s">
        <v>2276</v>
      </c>
      <c r="D2609" s="69">
        <v>159</v>
      </c>
      <c r="E2609" s="68" t="s">
        <v>3384</v>
      </c>
      <c r="F2609" s="51" t="s">
        <v>2283</v>
      </c>
      <c r="G2609" s="15" t="s">
        <v>1553</v>
      </c>
      <c r="H2609" s="15" t="s">
        <v>2683</v>
      </c>
      <c r="I2609" s="69">
        <v>46</v>
      </c>
      <c r="J2609" s="15" t="s">
        <v>2672</v>
      </c>
      <c r="K2609" s="15" t="s">
        <v>2672</v>
      </c>
      <c r="L2609" s="15" t="s">
        <v>2673</v>
      </c>
      <c r="M2609" s="15" t="s">
        <v>2672</v>
      </c>
      <c r="N2609" s="15" t="s">
        <v>2673</v>
      </c>
      <c r="O2609" s="15"/>
    </row>
    <row r="2610" spans="1:15" ht="18" customHeight="1" x14ac:dyDescent="0.3">
      <c r="A2610" s="29">
        <v>2609</v>
      </c>
      <c r="B2610" s="15" t="s">
        <v>2275</v>
      </c>
      <c r="C2610" s="15" t="s">
        <v>2276</v>
      </c>
      <c r="D2610" s="69">
        <v>159</v>
      </c>
      <c r="E2610" s="68" t="s">
        <v>2284</v>
      </c>
      <c r="F2610" s="51" t="s">
        <v>2285</v>
      </c>
      <c r="G2610" s="29" t="s">
        <v>1553</v>
      </c>
      <c r="H2610" s="15" t="s">
        <v>2678</v>
      </c>
      <c r="I2610" s="69">
        <v>47</v>
      </c>
      <c r="J2610" s="13" t="s">
        <v>2672</v>
      </c>
      <c r="K2610" s="15" t="s">
        <v>2674</v>
      </c>
      <c r="L2610" s="15" t="s">
        <v>2525</v>
      </c>
      <c r="M2610" s="15" t="s">
        <v>2672</v>
      </c>
      <c r="N2610" s="15" t="s">
        <v>2673</v>
      </c>
      <c r="O2610" s="15"/>
    </row>
    <row r="2611" spans="1:15" ht="18" customHeight="1" x14ac:dyDescent="0.3">
      <c r="A2611" s="29">
        <v>2610</v>
      </c>
      <c r="B2611" s="15" t="s">
        <v>2275</v>
      </c>
      <c r="C2611" s="15" t="s">
        <v>2276</v>
      </c>
      <c r="D2611" s="69">
        <v>159</v>
      </c>
      <c r="E2611" s="68" t="s">
        <v>2284</v>
      </c>
      <c r="F2611" s="51" t="s">
        <v>2285</v>
      </c>
      <c r="G2611" s="29" t="s">
        <v>1553</v>
      </c>
      <c r="H2611" s="15" t="s">
        <v>2679</v>
      </c>
      <c r="I2611" s="69">
        <v>71</v>
      </c>
      <c r="J2611" s="13" t="s">
        <v>2672</v>
      </c>
      <c r="K2611" s="15" t="s">
        <v>2674</v>
      </c>
      <c r="L2611" s="15" t="s">
        <v>2525</v>
      </c>
      <c r="M2611" s="15" t="s">
        <v>2672</v>
      </c>
      <c r="N2611" s="15" t="s">
        <v>2673</v>
      </c>
      <c r="O2611" s="15"/>
    </row>
    <row r="2612" spans="1:15" ht="18" customHeight="1" x14ac:dyDescent="0.3">
      <c r="A2612" s="29">
        <v>2611</v>
      </c>
      <c r="B2612" s="15" t="s">
        <v>2275</v>
      </c>
      <c r="C2612" s="15" t="s">
        <v>2276</v>
      </c>
      <c r="D2612" s="69">
        <v>159</v>
      </c>
      <c r="E2612" s="68" t="s">
        <v>2284</v>
      </c>
      <c r="F2612" s="51" t="s">
        <v>2285</v>
      </c>
      <c r="G2612" s="29" t="s">
        <v>1553</v>
      </c>
      <c r="H2612" s="15" t="s">
        <v>2680</v>
      </c>
      <c r="I2612" s="69">
        <v>133</v>
      </c>
      <c r="J2612" s="13" t="s">
        <v>2672</v>
      </c>
      <c r="K2612" s="15" t="s">
        <v>2672</v>
      </c>
      <c r="L2612" s="15" t="s">
        <v>2673</v>
      </c>
      <c r="M2612" s="15" t="s">
        <v>2672</v>
      </c>
      <c r="N2612" s="15" t="s">
        <v>2673</v>
      </c>
      <c r="O2612" s="15"/>
    </row>
    <row r="2613" spans="1:15" ht="18" customHeight="1" x14ac:dyDescent="0.3">
      <c r="A2613" s="29">
        <v>2612</v>
      </c>
      <c r="B2613" s="15" t="s">
        <v>2275</v>
      </c>
      <c r="C2613" s="15" t="s">
        <v>2276</v>
      </c>
      <c r="D2613" s="69">
        <v>159</v>
      </c>
      <c r="E2613" s="68" t="s">
        <v>2284</v>
      </c>
      <c r="F2613" s="51" t="s">
        <v>2285</v>
      </c>
      <c r="G2613" s="29" t="s">
        <v>1553</v>
      </c>
      <c r="H2613" s="15" t="s">
        <v>2690</v>
      </c>
      <c r="I2613" s="69">
        <v>185</v>
      </c>
      <c r="J2613" s="13" t="s">
        <v>2674</v>
      </c>
      <c r="K2613" s="15" t="s">
        <v>2672</v>
      </c>
      <c r="L2613" s="15" t="s">
        <v>2673</v>
      </c>
      <c r="M2613" s="15" t="s">
        <v>2672</v>
      </c>
      <c r="N2613" s="15" t="s">
        <v>2673</v>
      </c>
      <c r="O2613" s="15"/>
    </row>
    <row r="2614" spans="1:15" ht="18" customHeight="1" x14ac:dyDescent="0.3">
      <c r="A2614" s="29">
        <v>2613</v>
      </c>
      <c r="B2614" s="15" t="s">
        <v>2275</v>
      </c>
      <c r="C2614" s="15" t="s">
        <v>2276</v>
      </c>
      <c r="D2614" s="69">
        <v>159</v>
      </c>
      <c r="E2614" s="68" t="s">
        <v>2284</v>
      </c>
      <c r="F2614" s="51" t="s">
        <v>2285</v>
      </c>
      <c r="G2614" s="29" t="s">
        <v>1553</v>
      </c>
      <c r="H2614" s="15" t="s">
        <v>2682</v>
      </c>
      <c r="I2614" s="69">
        <v>118</v>
      </c>
      <c r="J2614" s="13" t="s">
        <v>2672</v>
      </c>
      <c r="K2614" s="15" t="s">
        <v>2672</v>
      </c>
      <c r="L2614" s="15" t="s">
        <v>2673</v>
      </c>
      <c r="M2614" s="15" t="s">
        <v>2672</v>
      </c>
      <c r="N2614" s="15" t="s">
        <v>2673</v>
      </c>
      <c r="O2614" s="15"/>
    </row>
    <row r="2615" spans="1:15" ht="18" customHeight="1" x14ac:dyDescent="0.3">
      <c r="A2615" s="29">
        <v>2614</v>
      </c>
      <c r="B2615" s="15" t="s">
        <v>2275</v>
      </c>
      <c r="C2615" s="15" t="s">
        <v>2276</v>
      </c>
      <c r="D2615" s="69">
        <v>159</v>
      </c>
      <c r="E2615" s="68" t="s">
        <v>2284</v>
      </c>
      <c r="F2615" s="51" t="s">
        <v>2285</v>
      </c>
      <c r="G2615" s="29" t="s">
        <v>1553</v>
      </c>
      <c r="H2615" s="15" t="s">
        <v>2685</v>
      </c>
      <c r="I2615" s="69">
        <v>104</v>
      </c>
      <c r="J2615" s="13" t="s">
        <v>2674</v>
      </c>
      <c r="K2615" s="15" t="s">
        <v>2674</v>
      </c>
      <c r="L2615" s="15" t="s">
        <v>2729</v>
      </c>
      <c r="M2615" s="15" t="s">
        <v>2672</v>
      </c>
      <c r="N2615" s="15" t="s">
        <v>2673</v>
      </c>
      <c r="O2615" s="15"/>
    </row>
    <row r="2616" spans="1:15" ht="18" customHeight="1" x14ac:dyDescent="0.3">
      <c r="A2616" s="29">
        <v>2615</v>
      </c>
      <c r="B2616" s="15" t="s">
        <v>96</v>
      </c>
      <c r="C2616" s="15" t="s">
        <v>98</v>
      </c>
      <c r="D2616" s="69">
        <v>160</v>
      </c>
      <c r="E2616" s="68" t="s">
        <v>277</v>
      </c>
      <c r="F2616" s="21" t="s">
        <v>746</v>
      </c>
      <c r="G2616" s="15" t="s">
        <v>164</v>
      </c>
      <c r="H2616" s="15" t="s">
        <v>901</v>
      </c>
      <c r="I2616" s="69">
        <v>158</v>
      </c>
      <c r="J2616" s="15" t="s">
        <v>2672</v>
      </c>
      <c r="K2616" s="15" t="s">
        <v>903</v>
      </c>
      <c r="L2616" s="15" t="s">
        <v>2673</v>
      </c>
      <c r="M2616" s="15" t="s">
        <v>2672</v>
      </c>
      <c r="N2616" s="15" t="s">
        <v>2673</v>
      </c>
      <c r="O2616" s="15"/>
    </row>
    <row r="2617" spans="1:15" ht="18" customHeight="1" x14ac:dyDescent="0.3">
      <c r="A2617" s="29">
        <v>2616</v>
      </c>
      <c r="B2617" s="15" t="s">
        <v>96</v>
      </c>
      <c r="C2617" s="15" t="s">
        <v>98</v>
      </c>
      <c r="D2617" s="69">
        <v>160</v>
      </c>
      <c r="E2617" s="68" t="s">
        <v>277</v>
      </c>
      <c r="F2617" s="21" t="s">
        <v>746</v>
      </c>
      <c r="G2617" s="15" t="s">
        <v>164</v>
      </c>
      <c r="H2617" s="15" t="s">
        <v>904</v>
      </c>
      <c r="I2617" s="69">
        <v>158</v>
      </c>
      <c r="J2617" s="15" t="s">
        <v>2674</v>
      </c>
      <c r="K2617" s="15" t="s">
        <v>903</v>
      </c>
      <c r="L2617" s="15" t="s">
        <v>2673</v>
      </c>
      <c r="M2617" s="15" t="s">
        <v>2672</v>
      </c>
      <c r="N2617" s="15" t="s">
        <v>2673</v>
      </c>
      <c r="O2617" s="15"/>
    </row>
    <row r="2618" spans="1:15" ht="18" customHeight="1" x14ac:dyDescent="0.3">
      <c r="A2618" s="29">
        <v>2617</v>
      </c>
      <c r="B2618" s="15" t="s">
        <v>96</v>
      </c>
      <c r="C2618" s="15" t="s">
        <v>98</v>
      </c>
      <c r="D2618" s="69">
        <v>160</v>
      </c>
      <c r="E2618" s="68" t="s">
        <v>277</v>
      </c>
      <c r="F2618" s="21" t="s">
        <v>746</v>
      </c>
      <c r="G2618" s="15" t="s">
        <v>164</v>
      </c>
      <c r="H2618" s="15" t="s">
        <v>905</v>
      </c>
      <c r="I2618" s="69">
        <v>112</v>
      </c>
      <c r="J2618" s="15" t="s">
        <v>2674</v>
      </c>
      <c r="K2618" s="15" t="s">
        <v>903</v>
      </c>
      <c r="L2618" s="15" t="s">
        <v>2673</v>
      </c>
      <c r="M2618" s="15" t="s">
        <v>2672</v>
      </c>
      <c r="N2618" s="15" t="s">
        <v>2673</v>
      </c>
      <c r="O2618" s="15"/>
    </row>
    <row r="2619" spans="1:15" ht="18" customHeight="1" x14ac:dyDescent="0.3">
      <c r="A2619" s="29">
        <v>2618</v>
      </c>
      <c r="B2619" s="15" t="s">
        <v>96</v>
      </c>
      <c r="C2619" s="15" t="s">
        <v>98</v>
      </c>
      <c r="D2619" s="69">
        <v>160</v>
      </c>
      <c r="E2619" s="68" t="s">
        <v>277</v>
      </c>
      <c r="F2619" s="21" t="s">
        <v>746</v>
      </c>
      <c r="G2619" s="15" t="s">
        <v>164</v>
      </c>
      <c r="H2619" s="15" t="s">
        <v>906</v>
      </c>
      <c r="I2619" s="69">
        <v>52</v>
      </c>
      <c r="J2619" s="15" t="s">
        <v>2674</v>
      </c>
      <c r="K2619" s="15" t="s">
        <v>903</v>
      </c>
      <c r="L2619" s="15" t="s">
        <v>2673</v>
      </c>
      <c r="M2619" s="15" t="s">
        <v>2672</v>
      </c>
      <c r="N2619" s="15" t="s">
        <v>2673</v>
      </c>
      <c r="O2619" s="15"/>
    </row>
    <row r="2620" spans="1:15" ht="18" customHeight="1" x14ac:dyDescent="0.3">
      <c r="A2620" s="29">
        <v>2619</v>
      </c>
      <c r="B2620" s="15" t="s">
        <v>96</v>
      </c>
      <c r="C2620" s="15" t="s">
        <v>98</v>
      </c>
      <c r="D2620" s="69">
        <v>160</v>
      </c>
      <c r="E2620" s="68" t="s">
        <v>277</v>
      </c>
      <c r="F2620" s="21" t="s">
        <v>746</v>
      </c>
      <c r="G2620" s="15" t="s">
        <v>164</v>
      </c>
      <c r="H2620" s="15" t="s">
        <v>907</v>
      </c>
      <c r="I2620" s="69">
        <v>158</v>
      </c>
      <c r="J2620" s="15" t="s">
        <v>2672</v>
      </c>
      <c r="K2620" s="15" t="s">
        <v>903</v>
      </c>
      <c r="L2620" s="15" t="s">
        <v>2673</v>
      </c>
      <c r="M2620" s="15" t="s">
        <v>2672</v>
      </c>
      <c r="N2620" s="15" t="s">
        <v>2673</v>
      </c>
      <c r="O2620" s="15"/>
    </row>
    <row r="2621" spans="1:15" ht="18" customHeight="1" x14ac:dyDescent="0.3">
      <c r="A2621" s="29">
        <v>2620</v>
      </c>
      <c r="B2621" s="15" t="s">
        <v>96</v>
      </c>
      <c r="C2621" s="15" t="s">
        <v>98</v>
      </c>
      <c r="D2621" s="69">
        <v>160</v>
      </c>
      <c r="E2621" s="68" t="s">
        <v>277</v>
      </c>
      <c r="F2621" s="21" t="s">
        <v>746</v>
      </c>
      <c r="G2621" s="15" t="s">
        <v>164</v>
      </c>
      <c r="H2621" s="15" t="s">
        <v>908</v>
      </c>
      <c r="I2621" s="69">
        <v>112</v>
      </c>
      <c r="J2621" s="15" t="s">
        <v>2672</v>
      </c>
      <c r="K2621" s="15" t="s">
        <v>903</v>
      </c>
      <c r="L2621" s="15" t="s">
        <v>2673</v>
      </c>
      <c r="M2621" s="15" t="s">
        <v>2672</v>
      </c>
      <c r="N2621" s="15" t="s">
        <v>2673</v>
      </c>
      <c r="O2621" s="15"/>
    </row>
    <row r="2622" spans="1:15" ht="18" customHeight="1" x14ac:dyDescent="0.3">
      <c r="A2622" s="29">
        <v>2621</v>
      </c>
      <c r="B2622" s="15" t="s">
        <v>96</v>
      </c>
      <c r="C2622" s="15" t="s">
        <v>98</v>
      </c>
      <c r="D2622" s="69">
        <v>160</v>
      </c>
      <c r="E2622" s="68" t="s">
        <v>277</v>
      </c>
      <c r="F2622" s="21" t="s">
        <v>746</v>
      </c>
      <c r="G2622" s="15" t="s">
        <v>164</v>
      </c>
      <c r="H2622" s="15" t="s">
        <v>909</v>
      </c>
      <c r="I2622" s="69">
        <v>52</v>
      </c>
      <c r="J2622" s="15" t="s">
        <v>2672</v>
      </c>
      <c r="K2622" s="15" t="s">
        <v>903</v>
      </c>
      <c r="L2622" s="15" t="s">
        <v>2673</v>
      </c>
      <c r="M2622" s="15" t="s">
        <v>2672</v>
      </c>
      <c r="N2622" s="15" t="s">
        <v>2673</v>
      </c>
      <c r="O2622" s="15"/>
    </row>
    <row r="2623" spans="1:15" ht="18" customHeight="1" x14ac:dyDescent="0.3">
      <c r="A2623" s="29">
        <v>2622</v>
      </c>
      <c r="B2623" s="13" t="s">
        <v>2259</v>
      </c>
      <c r="C2623" s="13" t="s">
        <v>2287</v>
      </c>
      <c r="D2623" s="13">
        <v>160</v>
      </c>
      <c r="E2623" s="63" t="s">
        <v>2288</v>
      </c>
      <c r="F2623" s="21" t="s">
        <v>2289</v>
      </c>
      <c r="G2623" s="13" t="s">
        <v>2867</v>
      </c>
      <c r="H2623" s="15" t="s">
        <v>2685</v>
      </c>
      <c r="I2623" s="69">
        <v>100</v>
      </c>
      <c r="J2623" s="15" t="s">
        <v>2674</v>
      </c>
      <c r="K2623" s="15" t="s">
        <v>903</v>
      </c>
      <c r="L2623" s="15" t="s">
        <v>2673</v>
      </c>
      <c r="M2623" s="15" t="s">
        <v>2672</v>
      </c>
      <c r="N2623" s="15" t="s">
        <v>2673</v>
      </c>
      <c r="O2623" s="15"/>
    </row>
    <row r="2624" spans="1:15" ht="18" customHeight="1" x14ac:dyDescent="0.3">
      <c r="A2624" s="29">
        <v>2623</v>
      </c>
      <c r="B2624" s="13" t="s">
        <v>2259</v>
      </c>
      <c r="C2624" s="13" t="s">
        <v>2287</v>
      </c>
      <c r="D2624" s="13">
        <v>160</v>
      </c>
      <c r="E2624" s="63" t="s">
        <v>2288</v>
      </c>
      <c r="F2624" s="21" t="s">
        <v>2289</v>
      </c>
      <c r="G2624" s="13" t="s">
        <v>2867</v>
      </c>
      <c r="H2624" s="15" t="s">
        <v>2678</v>
      </c>
      <c r="I2624" s="69">
        <v>50</v>
      </c>
      <c r="J2624" s="15" t="s">
        <v>2672</v>
      </c>
      <c r="K2624" s="15" t="s">
        <v>903</v>
      </c>
      <c r="L2624" s="15" t="s">
        <v>2673</v>
      </c>
      <c r="M2624" s="15" t="s">
        <v>2672</v>
      </c>
      <c r="N2624" s="15" t="s">
        <v>2673</v>
      </c>
      <c r="O2624" s="15"/>
    </row>
    <row r="2625" spans="1:15" ht="18" customHeight="1" x14ac:dyDescent="0.3">
      <c r="A2625" s="29">
        <v>2624</v>
      </c>
      <c r="B2625" s="15" t="s">
        <v>96</v>
      </c>
      <c r="C2625" s="15" t="s">
        <v>99</v>
      </c>
      <c r="D2625" s="69">
        <v>161</v>
      </c>
      <c r="E2625" s="68" t="s">
        <v>3385</v>
      </c>
      <c r="F2625" s="21" t="s">
        <v>749</v>
      </c>
      <c r="G2625" s="15" t="s">
        <v>164</v>
      </c>
      <c r="H2625" s="15" t="s">
        <v>901</v>
      </c>
      <c r="I2625" s="69">
        <v>132</v>
      </c>
      <c r="J2625" s="15" t="s">
        <v>2672</v>
      </c>
      <c r="K2625" s="15" t="s">
        <v>903</v>
      </c>
      <c r="L2625" s="15" t="s">
        <v>2673</v>
      </c>
      <c r="M2625" s="15" t="s">
        <v>2672</v>
      </c>
      <c r="N2625" s="15" t="s">
        <v>2673</v>
      </c>
      <c r="O2625" s="15"/>
    </row>
    <row r="2626" spans="1:15" ht="18" customHeight="1" x14ac:dyDescent="0.3">
      <c r="A2626" s="29">
        <v>2625</v>
      </c>
      <c r="B2626" s="15" t="s">
        <v>96</v>
      </c>
      <c r="C2626" s="15" t="s">
        <v>99</v>
      </c>
      <c r="D2626" s="69">
        <v>161</v>
      </c>
      <c r="E2626" s="68" t="s">
        <v>3385</v>
      </c>
      <c r="F2626" s="21" t="s">
        <v>749</v>
      </c>
      <c r="G2626" s="15" t="s">
        <v>164</v>
      </c>
      <c r="H2626" s="15" t="s">
        <v>904</v>
      </c>
      <c r="I2626" s="69">
        <v>87</v>
      </c>
      <c r="J2626" s="15" t="s">
        <v>2672</v>
      </c>
      <c r="K2626" s="15" t="s">
        <v>903</v>
      </c>
      <c r="L2626" s="15" t="s">
        <v>2673</v>
      </c>
      <c r="M2626" s="15" t="s">
        <v>2672</v>
      </c>
      <c r="N2626" s="15" t="s">
        <v>2673</v>
      </c>
      <c r="O2626" s="15"/>
    </row>
    <row r="2627" spans="1:15" ht="18" customHeight="1" x14ac:dyDescent="0.3">
      <c r="A2627" s="29">
        <v>2626</v>
      </c>
      <c r="B2627" s="15" t="s">
        <v>96</v>
      </c>
      <c r="C2627" s="15" t="s">
        <v>99</v>
      </c>
      <c r="D2627" s="69">
        <v>161</v>
      </c>
      <c r="E2627" s="68" t="s">
        <v>3385</v>
      </c>
      <c r="F2627" s="21" t="s">
        <v>749</v>
      </c>
      <c r="G2627" s="15" t="s">
        <v>164</v>
      </c>
      <c r="H2627" s="15" t="s">
        <v>907</v>
      </c>
      <c r="I2627" s="69">
        <v>134</v>
      </c>
      <c r="J2627" s="15" t="s">
        <v>2672</v>
      </c>
      <c r="K2627" s="15" t="s">
        <v>903</v>
      </c>
      <c r="L2627" s="15" t="s">
        <v>2673</v>
      </c>
      <c r="M2627" s="15" t="s">
        <v>2672</v>
      </c>
      <c r="N2627" s="15" t="s">
        <v>2673</v>
      </c>
      <c r="O2627" s="15"/>
    </row>
    <row r="2628" spans="1:15" ht="18" customHeight="1" x14ac:dyDescent="0.3">
      <c r="A2628" s="29">
        <v>2627</v>
      </c>
      <c r="B2628" s="15" t="s">
        <v>96</v>
      </c>
      <c r="C2628" s="15" t="s">
        <v>99</v>
      </c>
      <c r="D2628" s="69">
        <v>161</v>
      </c>
      <c r="E2628" s="68" t="s">
        <v>3385</v>
      </c>
      <c r="F2628" s="21" t="s">
        <v>749</v>
      </c>
      <c r="G2628" s="15" t="s">
        <v>164</v>
      </c>
      <c r="H2628" s="15" t="s">
        <v>982</v>
      </c>
      <c r="I2628" s="69">
        <v>204</v>
      </c>
      <c r="J2628" s="15" t="s">
        <v>2672</v>
      </c>
      <c r="K2628" s="15" t="s">
        <v>903</v>
      </c>
      <c r="L2628" s="15" t="s">
        <v>2673</v>
      </c>
      <c r="M2628" s="15" t="s">
        <v>2672</v>
      </c>
      <c r="N2628" s="15" t="s">
        <v>2673</v>
      </c>
      <c r="O2628" s="15"/>
    </row>
    <row r="2629" spans="1:15" ht="18" customHeight="1" x14ac:dyDescent="0.3">
      <c r="A2629" s="29">
        <v>2628</v>
      </c>
      <c r="B2629" s="15" t="s">
        <v>96</v>
      </c>
      <c r="C2629" s="15" t="s">
        <v>99</v>
      </c>
      <c r="D2629" s="69">
        <v>161</v>
      </c>
      <c r="E2629" s="68" t="s">
        <v>3385</v>
      </c>
      <c r="F2629" s="21" t="s">
        <v>749</v>
      </c>
      <c r="G2629" s="15" t="s">
        <v>164</v>
      </c>
      <c r="H2629" s="15" t="s">
        <v>981</v>
      </c>
      <c r="I2629" s="69">
        <v>206</v>
      </c>
      <c r="J2629" s="15" t="s">
        <v>2674</v>
      </c>
      <c r="K2629" s="15" t="s">
        <v>903</v>
      </c>
      <c r="L2629" s="15" t="s">
        <v>2673</v>
      </c>
      <c r="M2629" s="15" t="s">
        <v>2672</v>
      </c>
      <c r="N2629" s="15" t="s">
        <v>2673</v>
      </c>
      <c r="O2629" s="15"/>
    </row>
    <row r="2630" spans="1:15" ht="18" customHeight="1" x14ac:dyDescent="0.3">
      <c r="A2630" s="29">
        <v>2629</v>
      </c>
      <c r="B2630" s="15" t="s">
        <v>96</v>
      </c>
      <c r="C2630" s="15" t="s">
        <v>99</v>
      </c>
      <c r="D2630" s="69">
        <v>161</v>
      </c>
      <c r="E2630" s="68" t="s">
        <v>1037</v>
      </c>
      <c r="F2630" s="21" t="s">
        <v>2296</v>
      </c>
      <c r="G2630" s="15" t="s">
        <v>2673</v>
      </c>
      <c r="H2630" s="15" t="s">
        <v>901</v>
      </c>
      <c r="I2630" s="69">
        <v>59</v>
      </c>
      <c r="J2630" s="15" t="s">
        <v>2672</v>
      </c>
      <c r="K2630" s="15" t="s">
        <v>903</v>
      </c>
      <c r="L2630" s="15" t="s">
        <v>2673</v>
      </c>
      <c r="M2630" s="15" t="s">
        <v>2672</v>
      </c>
      <c r="N2630" s="15" t="s">
        <v>2673</v>
      </c>
      <c r="O2630" s="15"/>
    </row>
    <row r="2631" spans="1:15" ht="18" customHeight="1" x14ac:dyDescent="0.3">
      <c r="A2631" s="29">
        <v>2630</v>
      </c>
      <c r="B2631" s="15" t="s">
        <v>96</v>
      </c>
      <c r="C2631" s="15" t="s">
        <v>99</v>
      </c>
      <c r="D2631" s="69">
        <v>161</v>
      </c>
      <c r="E2631" s="68" t="s">
        <v>1037</v>
      </c>
      <c r="F2631" s="21" t="s">
        <v>2296</v>
      </c>
      <c r="G2631" s="15" t="s">
        <v>2673</v>
      </c>
      <c r="H2631" s="15" t="s">
        <v>904</v>
      </c>
      <c r="I2631" s="69">
        <v>59</v>
      </c>
      <c r="J2631" s="15" t="s">
        <v>2672</v>
      </c>
      <c r="K2631" s="15" t="s">
        <v>903</v>
      </c>
      <c r="L2631" s="15" t="s">
        <v>2673</v>
      </c>
      <c r="M2631" s="15" t="s">
        <v>2672</v>
      </c>
      <c r="N2631" s="15" t="s">
        <v>2673</v>
      </c>
      <c r="O2631" s="15"/>
    </row>
    <row r="2632" spans="1:15" ht="18" customHeight="1" x14ac:dyDescent="0.3">
      <c r="A2632" s="29">
        <v>2631</v>
      </c>
      <c r="B2632" s="15" t="s">
        <v>96</v>
      </c>
      <c r="C2632" s="15" t="s">
        <v>99</v>
      </c>
      <c r="D2632" s="69">
        <v>161</v>
      </c>
      <c r="E2632" s="68" t="s">
        <v>1037</v>
      </c>
      <c r="F2632" s="21" t="s">
        <v>2296</v>
      </c>
      <c r="G2632" s="15" t="s">
        <v>2673</v>
      </c>
      <c r="H2632" s="15" t="s">
        <v>905</v>
      </c>
      <c r="I2632" s="69">
        <v>118</v>
      </c>
      <c r="J2632" s="15" t="s">
        <v>2672</v>
      </c>
      <c r="K2632" s="15" t="s">
        <v>903</v>
      </c>
      <c r="L2632" s="15" t="s">
        <v>2673</v>
      </c>
      <c r="M2632" s="15" t="s">
        <v>2672</v>
      </c>
      <c r="N2632" s="15" t="s">
        <v>2673</v>
      </c>
      <c r="O2632" s="15"/>
    </row>
    <row r="2633" spans="1:15" ht="18" customHeight="1" x14ac:dyDescent="0.3">
      <c r="A2633" s="29">
        <v>2632</v>
      </c>
      <c r="B2633" s="15" t="s">
        <v>96</v>
      </c>
      <c r="C2633" s="15" t="s">
        <v>100</v>
      </c>
      <c r="D2633" s="69">
        <v>162</v>
      </c>
      <c r="E2633" s="68" t="s">
        <v>977</v>
      </c>
      <c r="F2633" s="21" t="s">
        <v>754</v>
      </c>
      <c r="G2633" s="15" t="s">
        <v>154</v>
      </c>
      <c r="H2633" s="15" t="s">
        <v>901</v>
      </c>
      <c r="I2633" s="69">
        <v>254</v>
      </c>
      <c r="J2633" s="13" t="s">
        <v>902</v>
      </c>
      <c r="K2633" s="15" t="s">
        <v>903</v>
      </c>
      <c r="L2633" s="15" t="s">
        <v>2673</v>
      </c>
      <c r="M2633" s="15" t="s">
        <v>2672</v>
      </c>
      <c r="N2633" s="15" t="s">
        <v>2673</v>
      </c>
      <c r="O2633" s="15"/>
    </row>
    <row r="2634" spans="1:15" ht="18" customHeight="1" x14ac:dyDescent="0.3">
      <c r="A2634" s="29">
        <v>2633</v>
      </c>
      <c r="B2634" s="15" t="s">
        <v>96</v>
      </c>
      <c r="C2634" s="15" t="s">
        <v>100</v>
      </c>
      <c r="D2634" s="69">
        <v>162</v>
      </c>
      <c r="E2634" s="68" t="s">
        <v>977</v>
      </c>
      <c r="F2634" s="21" t="s">
        <v>754</v>
      </c>
      <c r="G2634" s="15" t="s">
        <v>154</v>
      </c>
      <c r="H2634" s="15" t="s">
        <v>904</v>
      </c>
      <c r="I2634" s="69">
        <v>183</v>
      </c>
      <c r="J2634" s="13" t="s">
        <v>902</v>
      </c>
      <c r="K2634" s="15" t="s">
        <v>903</v>
      </c>
      <c r="L2634" s="15" t="s">
        <v>2673</v>
      </c>
      <c r="M2634" s="15" t="s">
        <v>2672</v>
      </c>
      <c r="N2634" s="15" t="s">
        <v>2673</v>
      </c>
      <c r="O2634" s="15"/>
    </row>
    <row r="2635" spans="1:15" ht="18" customHeight="1" x14ac:dyDescent="0.3">
      <c r="A2635" s="29">
        <v>2634</v>
      </c>
      <c r="B2635" s="15" t="s">
        <v>96</v>
      </c>
      <c r="C2635" s="15" t="s">
        <v>100</v>
      </c>
      <c r="D2635" s="69">
        <v>162</v>
      </c>
      <c r="E2635" s="68" t="s">
        <v>977</v>
      </c>
      <c r="F2635" s="21" t="s">
        <v>754</v>
      </c>
      <c r="G2635" s="15" t="s">
        <v>154</v>
      </c>
      <c r="H2635" s="15" t="s">
        <v>905</v>
      </c>
      <c r="I2635" s="69">
        <v>189</v>
      </c>
      <c r="J2635" s="13" t="s">
        <v>2672</v>
      </c>
      <c r="K2635" s="15" t="s">
        <v>903</v>
      </c>
      <c r="L2635" s="15" t="s">
        <v>2673</v>
      </c>
      <c r="M2635" s="15" t="s">
        <v>2672</v>
      </c>
      <c r="N2635" s="15" t="s">
        <v>2673</v>
      </c>
      <c r="O2635" s="15"/>
    </row>
    <row r="2636" spans="1:15" ht="18" customHeight="1" x14ac:dyDescent="0.3">
      <c r="A2636" s="29">
        <v>2635</v>
      </c>
      <c r="B2636" s="15" t="s">
        <v>96</v>
      </c>
      <c r="C2636" s="15" t="s">
        <v>100</v>
      </c>
      <c r="D2636" s="69">
        <v>162</v>
      </c>
      <c r="E2636" s="68" t="s">
        <v>977</v>
      </c>
      <c r="F2636" s="21" t="s">
        <v>754</v>
      </c>
      <c r="G2636" s="15" t="s">
        <v>154</v>
      </c>
      <c r="H2636" s="15" t="s">
        <v>906</v>
      </c>
      <c r="I2636" s="69">
        <v>114</v>
      </c>
      <c r="J2636" s="13" t="s">
        <v>2672</v>
      </c>
      <c r="K2636" s="15" t="s">
        <v>903</v>
      </c>
      <c r="L2636" s="15" t="s">
        <v>2673</v>
      </c>
      <c r="M2636" s="15" t="s">
        <v>2672</v>
      </c>
      <c r="N2636" s="15" t="s">
        <v>2673</v>
      </c>
      <c r="O2636" s="15"/>
    </row>
    <row r="2637" spans="1:15" ht="18" customHeight="1" x14ac:dyDescent="0.3">
      <c r="A2637" s="29">
        <v>2636</v>
      </c>
      <c r="B2637" s="15" t="s">
        <v>96</v>
      </c>
      <c r="C2637" s="15" t="s">
        <v>100</v>
      </c>
      <c r="D2637" s="69">
        <v>162</v>
      </c>
      <c r="E2637" s="68" t="s">
        <v>977</v>
      </c>
      <c r="F2637" s="21" t="s">
        <v>754</v>
      </c>
      <c r="G2637" s="15" t="s">
        <v>154</v>
      </c>
      <c r="H2637" s="15" t="s">
        <v>907</v>
      </c>
      <c r="I2637" s="69">
        <v>148</v>
      </c>
      <c r="J2637" s="13" t="s">
        <v>2672</v>
      </c>
      <c r="K2637" s="15" t="s">
        <v>903</v>
      </c>
      <c r="L2637" s="15" t="s">
        <v>2673</v>
      </c>
      <c r="M2637" s="15" t="s">
        <v>2672</v>
      </c>
      <c r="N2637" s="15" t="s">
        <v>2673</v>
      </c>
      <c r="O2637" s="15"/>
    </row>
    <row r="2638" spans="1:15" ht="18" customHeight="1" x14ac:dyDescent="0.3">
      <c r="A2638" s="29">
        <v>2637</v>
      </c>
      <c r="B2638" s="15" t="s">
        <v>96</v>
      </c>
      <c r="C2638" s="15" t="s">
        <v>100</v>
      </c>
      <c r="D2638" s="69">
        <v>162</v>
      </c>
      <c r="E2638" s="68" t="s">
        <v>977</v>
      </c>
      <c r="F2638" s="21" t="s">
        <v>754</v>
      </c>
      <c r="G2638" s="15" t="s">
        <v>154</v>
      </c>
      <c r="H2638" s="15" t="s">
        <v>908</v>
      </c>
      <c r="I2638" s="69">
        <v>132</v>
      </c>
      <c r="J2638" s="13" t="s">
        <v>2672</v>
      </c>
      <c r="K2638" s="15" t="s">
        <v>903</v>
      </c>
      <c r="L2638" s="15" t="s">
        <v>2673</v>
      </c>
      <c r="M2638" s="15" t="s">
        <v>2672</v>
      </c>
      <c r="N2638" s="15" t="s">
        <v>2673</v>
      </c>
      <c r="O2638" s="15"/>
    </row>
    <row r="2639" spans="1:15" ht="18" customHeight="1" x14ac:dyDescent="0.3">
      <c r="A2639" s="29">
        <v>2638</v>
      </c>
      <c r="B2639" s="15" t="s">
        <v>96</v>
      </c>
      <c r="C2639" s="15" t="s">
        <v>101</v>
      </c>
      <c r="D2639" s="69">
        <v>163</v>
      </c>
      <c r="E2639" s="68" t="s">
        <v>3386</v>
      </c>
      <c r="F2639" s="24" t="s">
        <v>751</v>
      </c>
      <c r="G2639" s="15" t="s">
        <v>164</v>
      </c>
      <c r="H2639" s="15" t="s">
        <v>901</v>
      </c>
      <c r="I2639" s="69">
        <v>181</v>
      </c>
      <c r="J2639" s="15" t="s">
        <v>2672</v>
      </c>
      <c r="K2639" s="15" t="s">
        <v>903</v>
      </c>
      <c r="L2639" s="15" t="s">
        <v>2673</v>
      </c>
      <c r="M2639" s="15" t="s">
        <v>2672</v>
      </c>
      <c r="N2639" s="15" t="s">
        <v>2673</v>
      </c>
      <c r="O2639" s="15"/>
    </row>
    <row r="2640" spans="1:15" ht="18" customHeight="1" x14ac:dyDescent="0.3">
      <c r="A2640" s="29">
        <v>2639</v>
      </c>
      <c r="B2640" s="15" t="s">
        <v>96</v>
      </c>
      <c r="C2640" s="15" t="s">
        <v>101</v>
      </c>
      <c r="D2640" s="69">
        <v>163</v>
      </c>
      <c r="E2640" s="68" t="s">
        <v>3386</v>
      </c>
      <c r="F2640" s="24" t="s">
        <v>751</v>
      </c>
      <c r="G2640" s="15" t="s">
        <v>164</v>
      </c>
      <c r="H2640" s="15" t="s">
        <v>904</v>
      </c>
      <c r="I2640" s="69">
        <v>54</v>
      </c>
      <c r="J2640" s="15" t="s">
        <v>2672</v>
      </c>
      <c r="K2640" s="15" t="s">
        <v>903</v>
      </c>
      <c r="L2640" s="15" t="s">
        <v>2673</v>
      </c>
      <c r="M2640" s="15" t="s">
        <v>2672</v>
      </c>
      <c r="N2640" s="15" t="s">
        <v>2673</v>
      </c>
      <c r="O2640" s="15"/>
    </row>
    <row r="2641" spans="1:15" ht="18" customHeight="1" x14ac:dyDescent="0.3">
      <c r="A2641" s="29">
        <v>2640</v>
      </c>
      <c r="B2641" s="15" t="s">
        <v>96</v>
      </c>
      <c r="C2641" s="15" t="s">
        <v>101</v>
      </c>
      <c r="D2641" s="69">
        <v>163</v>
      </c>
      <c r="E2641" s="68" t="s">
        <v>3386</v>
      </c>
      <c r="F2641" s="24" t="s">
        <v>751</v>
      </c>
      <c r="G2641" s="15" t="s">
        <v>164</v>
      </c>
      <c r="H2641" s="15" t="s">
        <v>905</v>
      </c>
      <c r="I2641" s="69">
        <v>85</v>
      </c>
      <c r="J2641" s="15" t="s">
        <v>2672</v>
      </c>
      <c r="K2641" s="15" t="s">
        <v>903</v>
      </c>
      <c r="L2641" s="15" t="s">
        <v>2673</v>
      </c>
      <c r="M2641" s="15" t="s">
        <v>2672</v>
      </c>
      <c r="N2641" s="15" t="s">
        <v>2673</v>
      </c>
      <c r="O2641" s="15"/>
    </row>
    <row r="2642" spans="1:15" ht="18" customHeight="1" x14ac:dyDescent="0.3">
      <c r="A2642" s="29">
        <v>2641</v>
      </c>
      <c r="B2642" s="15" t="s">
        <v>96</v>
      </c>
      <c r="C2642" s="15" t="s">
        <v>101</v>
      </c>
      <c r="D2642" s="69">
        <v>163</v>
      </c>
      <c r="E2642" s="68" t="s">
        <v>3386</v>
      </c>
      <c r="F2642" s="24" t="s">
        <v>751</v>
      </c>
      <c r="G2642" s="15" t="s">
        <v>164</v>
      </c>
      <c r="H2642" s="15" t="s">
        <v>906</v>
      </c>
      <c r="I2642" s="69">
        <v>93</v>
      </c>
      <c r="J2642" s="15" t="s">
        <v>2672</v>
      </c>
      <c r="K2642" s="15" t="s">
        <v>903</v>
      </c>
      <c r="L2642" s="15" t="s">
        <v>2673</v>
      </c>
      <c r="M2642" s="15" t="s">
        <v>2672</v>
      </c>
      <c r="N2642" s="15" t="s">
        <v>2673</v>
      </c>
      <c r="O2642" s="15"/>
    </row>
    <row r="2643" spans="1:15" ht="18" customHeight="1" x14ac:dyDescent="0.3">
      <c r="A2643" s="29">
        <v>2642</v>
      </c>
      <c r="B2643" s="15" t="s">
        <v>96</v>
      </c>
      <c r="C2643" s="15" t="s">
        <v>101</v>
      </c>
      <c r="D2643" s="69">
        <v>163</v>
      </c>
      <c r="E2643" s="68" t="s">
        <v>3386</v>
      </c>
      <c r="F2643" s="24" t="s">
        <v>751</v>
      </c>
      <c r="G2643" s="15" t="s">
        <v>164</v>
      </c>
      <c r="H2643" s="15" t="s">
        <v>907</v>
      </c>
      <c r="I2643" s="69">
        <v>146</v>
      </c>
      <c r="J2643" s="15" t="s">
        <v>2672</v>
      </c>
      <c r="K2643" s="15" t="s">
        <v>903</v>
      </c>
      <c r="L2643" s="15" t="s">
        <v>2673</v>
      </c>
      <c r="M2643" s="15" t="s">
        <v>2672</v>
      </c>
      <c r="N2643" s="15" t="s">
        <v>2673</v>
      </c>
      <c r="O2643" s="15"/>
    </row>
    <row r="2644" spans="1:15" ht="18" customHeight="1" x14ac:dyDescent="0.3">
      <c r="A2644" s="29">
        <v>2643</v>
      </c>
      <c r="B2644" s="15" t="s">
        <v>96</v>
      </c>
      <c r="C2644" s="15" t="s">
        <v>101</v>
      </c>
      <c r="D2644" s="69">
        <v>163</v>
      </c>
      <c r="E2644" s="68" t="s">
        <v>3386</v>
      </c>
      <c r="F2644" s="24" t="s">
        <v>751</v>
      </c>
      <c r="G2644" s="15" t="s">
        <v>164</v>
      </c>
      <c r="H2644" s="15" t="s">
        <v>908</v>
      </c>
      <c r="I2644" s="69">
        <v>78</v>
      </c>
      <c r="J2644" s="15" t="s">
        <v>2672</v>
      </c>
      <c r="K2644" s="15" t="s">
        <v>903</v>
      </c>
      <c r="L2644" s="15" t="s">
        <v>2673</v>
      </c>
      <c r="M2644" s="15" t="s">
        <v>2672</v>
      </c>
      <c r="N2644" s="15" t="s">
        <v>2673</v>
      </c>
      <c r="O2644" s="15"/>
    </row>
    <row r="2645" spans="1:15" ht="18" customHeight="1" x14ac:dyDescent="0.3">
      <c r="A2645" s="29">
        <v>2644</v>
      </c>
      <c r="B2645" s="15" t="s">
        <v>96</v>
      </c>
      <c r="C2645" s="15" t="s">
        <v>101</v>
      </c>
      <c r="D2645" s="69">
        <v>163</v>
      </c>
      <c r="E2645" s="68" t="s">
        <v>3386</v>
      </c>
      <c r="F2645" s="24" t="s">
        <v>751</v>
      </c>
      <c r="G2645" s="15" t="s">
        <v>164</v>
      </c>
      <c r="H2645" s="15" t="s">
        <v>909</v>
      </c>
      <c r="I2645" s="69">
        <v>86</v>
      </c>
      <c r="J2645" s="15" t="s">
        <v>2674</v>
      </c>
      <c r="K2645" s="15" t="s">
        <v>903</v>
      </c>
      <c r="L2645" s="15" t="s">
        <v>2673</v>
      </c>
      <c r="M2645" s="15" t="s">
        <v>2672</v>
      </c>
      <c r="N2645" s="15" t="s">
        <v>2673</v>
      </c>
      <c r="O2645" s="15"/>
    </row>
    <row r="2646" spans="1:15" ht="18" customHeight="1" x14ac:dyDescent="0.3">
      <c r="A2646" s="29">
        <v>2645</v>
      </c>
      <c r="B2646" s="15" t="s">
        <v>96</v>
      </c>
      <c r="C2646" s="15" t="s">
        <v>101</v>
      </c>
      <c r="D2646" s="69">
        <v>163</v>
      </c>
      <c r="E2646" s="68" t="s">
        <v>3386</v>
      </c>
      <c r="F2646" s="24" t="s">
        <v>751</v>
      </c>
      <c r="G2646" s="15" t="s">
        <v>164</v>
      </c>
      <c r="H2646" s="15" t="s">
        <v>910</v>
      </c>
      <c r="I2646" s="69">
        <v>97</v>
      </c>
      <c r="J2646" s="15" t="s">
        <v>2674</v>
      </c>
      <c r="K2646" s="15" t="s">
        <v>903</v>
      </c>
      <c r="L2646" s="15" t="s">
        <v>2673</v>
      </c>
      <c r="M2646" s="15" t="s">
        <v>2672</v>
      </c>
      <c r="N2646" s="15" t="s">
        <v>2673</v>
      </c>
      <c r="O2646" s="15"/>
    </row>
    <row r="2647" spans="1:15" ht="18" customHeight="1" x14ac:dyDescent="0.3">
      <c r="A2647" s="29">
        <v>2646</v>
      </c>
      <c r="B2647" s="15" t="s">
        <v>96</v>
      </c>
      <c r="C2647" s="15" t="s">
        <v>101</v>
      </c>
      <c r="D2647" s="69">
        <v>163</v>
      </c>
      <c r="E2647" s="68" t="s">
        <v>250</v>
      </c>
      <c r="F2647" s="21" t="s">
        <v>752</v>
      </c>
      <c r="G2647" s="15" t="s">
        <v>164</v>
      </c>
      <c r="H2647" s="15" t="s">
        <v>901</v>
      </c>
      <c r="I2647" s="69">
        <v>223</v>
      </c>
      <c r="J2647" s="13" t="s">
        <v>2672</v>
      </c>
      <c r="K2647" s="15" t="s">
        <v>903</v>
      </c>
      <c r="L2647" s="15" t="s">
        <v>2673</v>
      </c>
      <c r="M2647" s="15" t="s">
        <v>2672</v>
      </c>
      <c r="N2647" s="15" t="s">
        <v>2673</v>
      </c>
      <c r="O2647" s="15"/>
    </row>
    <row r="2648" spans="1:15" ht="18" customHeight="1" x14ac:dyDescent="0.3">
      <c r="A2648" s="29">
        <v>2647</v>
      </c>
      <c r="B2648" s="15" t="s">
        <v>96</v>
      </c>
      <c r="C2648" s="15" t="s">
        <v>101</v>
      </c>
      <c r="D2648" s="69">
        <v>163</v>
      </c>
      <c r="E2648" s="68" t="s">
        <v>250</v>
      </c>
      <c r="F2648" s="21" t="s">
        <v>752</v>
      </c>
      <c r="G2648" s="15" t="s">
        <v>164</v>
      </c>
      <c r="H2648" s="15" t="s">
        <v>904</v>
      </c>
      <c r="I2648" s="69">
        <v>120</v>
      </c>
      <c r="J2648" s="13" t="s">
        <v>2672</v>
      </c>
      <c r="K2648" s="15" t="s">
        <v>903</v>
      </c>
      <c r="L2648" s="15" t="s">
        <v>2673</v>
      </c>
      <c r="M2648" s="15" t="s">
        <v>2672</v>
      </c>
      <c r="N2648" s="15" t="s">
        <v>2673</v>
      </c>
      <c r="O2648" s="15"/>
    </row>
    <row r="2649" spans="1:15" ht="18" customHeight="1" x14ac:dyDescent="0.3">
      <c r="A2649" s="29">
        <v>2648</v>
      </c>
      <c r="B2649" s="15" t="s">
        <v>96</v>
      </c>
      <c r="C2649" s="15" t="s">
        <v>101</v>
      </c>
      <c r="D2649" s="69">
        <v>163</v>
      </c>
      <c r="E2649" s="68" t="s">
        <v>250</v>
      </c>
      <c r="F2649" s="21" t="s">
        <v>752</v>
      </c>
      <c r="G2649" s="15" t="s">
        <v>164</v>
      </c>
      <c r="H2649" s="15" t="s">
        <v>905</v>
      </c>
      <c r="I2649" s="69">
        <v>100</v>
      </c>
      <c r="J2649" s="13" t="s">
        <v>2672</v>
      </c>
      <c r="K2649" s="15" t="s">
        <v>903</v>
      </c>
      <c r="L2649" s="15" t="s">
        <v>2673</v>
      </c>
      <c r="M2649" s="15" t="s">
        <v>2672</v>
      </c>
      <c r="N2649" s="15" t="s">
        <v>2673</v>
      </c>
      <c r="O2649" s="15"/>
    </row>
    <row r="2650" spans="1:15" ht="18" customHeight="1" x14ac:dyDescent="0.3">
      <c r="A2650" s="29">
        <v>2649</v>
      </c>
      <c r="B2650" s="15" t="s">
        <v>96</v>
      </c>
      <c r="C2650" s="15" t="s">
        <v>101</v>
      </c>
      <c r="D2650" s="69">
        <v>163</v>
      </c>
      <c r="E2650" s="68" t="s">
        <v>250</v>
      </c>
      <c r="F2650" s="21" t="s">
        <v>752</v>
      </c>
      <c r="G2650" s="15" t="s">
        <v>164</v>
      </c>
      <c r="H2650" s="15" t="s">
        <v>906</v>
      </c>
      <c r="I2650" s="69">
        <v>223</v>
      </c>
      <c r="J2650" s="13" t="s">
        <v>2674</v>
      </c>
      <c r="K2650" s="15" t="s">
        <v>903</v>
      </c>
      <c r="L2650" s="15" t="s">
        <v>2673</v>
      </c>
      <c r="M2650" s="15" t="s">
        <v>2672</v>
      </c>
      <c r="N2650" s="15" t="s">
        <v>2673</v>
      </c>
      <c r="O2650" s="15"/>
    </row>
    <row r="2651" spans="1:15" ht="18" customHeight="1" x14ac:dyDescent="0.3">
      <c r="A2651" s="29">
        <v>2650</v>
      </c>
      <c r="B2651" s="15" t="s">
        <v>96</v>
      </c>
      <c r="C2651" s="15" t="s">
        <v>101</v>
      </c>
      <c r="D2651" s="69">
        <v>163</v>
      </c>
      <c r="E2651" s="68" t="s">
        <v>250</v>
      </c>
      <c r="F2651" s="21" t="s">
        <v>752</v>
      </c>
      <c r="G2651" s="15" t="s">
        <v>164</v>
      </c>
      <c r="H2651" s="15" t="s">
        <v>907</v>
      </c>
      <c r="I2651" s="69">
        <v>120</v>
      </c>
      <c r="J2651" s="13" t="s">
        <v>2674</v>
      </c>
      <c r="K2651" s="15" t="s">
        <v>903</v>
      </c>
      <c r="L2651" s="15" t="s">
        <v>2673</v>
      </c>
      <c r="M2651" s="15" t="s">
        <v>2672</v>
      </c>
      <c r="N2651" s="15" t="s">
        <v>2673</v>
      </c>
      <c r="O2651" s="15"/>
    </row>
    <row r="2652" spans="1:15" ht="18" customHeight="1" x14ac:dyDescent="0.3">
      <c r="A2652" s="29">
        <v>2651</v>
      </c>
      <c r="B2652" s="15" t="s">
        <v>96</v>
      </c>
      <c r="C2652" s="15" t="s">
        <v>101</v>
      </c>
      <c r="D2652" s="69">
        <v>163</v>
      </c>
      <c r="E2652" s="68" t="s">
        <v>250</v>
      </c>
      <c r="F2652" s="21" t="s">
        <v>752</v>
      </c>
      <c r="G2652" s="15" t="s">
        <v>164</v>
      </c>
      <c r="H2652" s="15" t="s">
        <v>908</v>
      </c>
      <c r="I2652" s="69">
        <v>100</v>
      </c>
      <c r="J2652" s="13" t="s">
        <v>2674</v>
      </c>
      <c r="K2652" s="15" t="s">
        <v>903</v>
      </c>
      <c r="L2652" s="15" t="s">
        <v>2673</v>
      </c>
      <c r="M2652" s="15" t="s">
        <v>2672</v>
      </c>
      <c r="N2652" s="15" t="s">
        <v>2673</v>
      </c>
      <c r="O2652" s="15"/>
    </row>
    <row r="2653" spans="1:15" ht="18" customHeight="1" x14ac:dyDescent="0.3">
      <c r="A2653" s="29">
        <v>2652</v>
      </c>
      <c r="B2653" s="15" t="s">
        <v>96</v>
      </c>
      <c r="C2653" s="15" t="s">
        <v>101</v>
      </c>
      <c r="D2653" s="69">
        <v>163</v>
      </c>
      <c r="E2653" s="68" t="s">
        <v>250</v>
      </c>
      <c r="F2653" s="21" t="s">
        <v>752</v>
      </c>
      <c r="G2653" s="15" t="s">
        <v>164</v>
      </c>
      <c r="H2653" s="15" t="s">
        <v>909</v>
      </c>
      <c r="I2653" s="69">
        <v>59</v>
      </c>
      <c r="J2653" s="13" t="s">
        <v>2672</v>
      </c>
      <c r="K2653" s="15" t="s">
        <v>903</v>
      </c>
      <c r="L2653" s="15" t="s">
        <v>2673</v>
      </c>
      <c r="M2653" s="15" t="s">
        <v>2672</v>
      </c>
      <c r="N2653" s="15" t="s">
        <v>2673</v>
      </c>
      <c r="O2653" s="15"/>
    </row>
    <row r="2654" spans="1:15" ht="18" customHeight="1" x14ac:dyDescent="0.3">
      <c r="A2654" s="29">
        <v>2653</v>
      </c>
      <c r="B2654" s="15" t="s">
        <v>2275</v>
      </c>
      <c r="C2654" s="15" t="s">
        <v>2300</v>
      </c>
      <c r="D2654" s="69">
        <v>164</v>
      </c>
      <c r="E2654" s="68" t="s">
        <v>3387</v>
      </c>
      <c r="F2654" s="39" t="s">
        <v>3000</v>
      </c>
      <c r="G2654" s="15" t="s">
        <v>1538</v>
      </c>
      <c r="H2654" s="15" t="s">
        <v>2685</v>
      </c>
      <c r="I2654" s="69">
        <v>138</v>
      </c>
      <c r="J2654" s="15" t="s">
        <v>2672</v>
      </c>
      <c r="K2654" s="15" t="s">
        <v>903</v>
      </c>
      <c r="L2654" s="15" t="s">
        <v>2673</v>
      </c>
      <c r="M2654" s="15" t="s">
        <v>2672</v>
      </c>
      <c r="N2654" s="15" t="s">
        <v>2673</v>
      </c>
      <c r="O2654" s="15"/>
    </row>
    <row r="2655" spans="1:15" ht="18" customHeight="1" x14ac:dyDescent="0.3">
      <c r="A2655" s="29">
        <v>2654</v>
      </c>
      <c r="B2655" s="15" t="s">
        <v>2275</v>
      </c>
      <c r="C2655" s="15" t="s">
        <v>2300</v>
      </c>
      <c r="D2655" s="69">
        <v>164</v>
      </c>
      <c r="E2655" s="68" t="s">
        <v>3387</v>
      </c>
      <c r="F2655" s="39" t="s">
        <v>3000</v>
      </c>
      <c r="G2655" s="15" t="s">
        <v>1538</v>
      </c>
      <c r="H2655" s="15" t="s">
        <v>2678</v>
      </c>
      <c r="I2655" s="69">
        <v>128</v>
      </c>
      <c r="J2655" s="15" t="s">
        <v>2674</v>
      </c>
      <c r="K2655" s="15" t="s">
        <v>903</v>
      </c>
      <c r="L2655" s="15" t="s">
        <v>2673</v>
      </c>
      <c r="M2655" s="15" t="s">
        <v>2672</v>
      </c>
      <c r="N2655" s="15" t="s">
        <v>2673</v>
      </c>
      <c r="O2655" s="15"/>
    </row>
    <row r="2656" spans="1:15" ht="18" customHeight="1" x14ac:dyDescent="0.3">
      <c r="A2656" s="29">
        <v>2655</v>
      </c>
      <c r="B2656" s="15" t="s">
        <v>2275</v>
      </c>
      <c r="C2656" s="15" t="s">
        <v>2300</v>
      </c>
      <c r="D2656" s="69">
        <v>164</v>
      </c>
      <c r="E2656" s="68" t="s">
        <v>3387</v>
      </c>
      <c r="F2656" s="39" t="s">
        <v>3000</v>
      </c>
      <c r="G2656" s="15" t="s">
        <v>1538</v>
      </c>
      <c r="H2656" s="15" t="s">
        <v>2679</v>
      </c>
      <c r="I2656" s="69">
        <v>148</v>
      </c>
      <c r="J2656" s="15" t="s">
        <v>2672</v>
      </c>
      <c r="K2656" s="15" t="s">
        <v>903</v>
      </c>
      <c r="L2656" s="15" t="s">
        <v>2673</v>
      </c>
      <c r="M2656" s="15" t="s">
        <v>2672</v>
      </c>
      <c r="N2656" s="15" t="s">
        <v>2673</v>
      </c>
      <c r="O2656" s="15"/>
    </row>
    <row r="2657" spans="1:15" ht="18" customHeight="1" x14ac:dyDescent="0.3">
      <c r="A2657" s="29">
        <v>2656</v>
      </c>
      <c r="B2657" s="15" t="s">
        <v>2275</v>
      </c>
      <c r="C2657" s="15" t="s">
        <v>2300</v>
      </c>
      <c r="D2657" s="69">
        <v>164</v>
      </c>
      <c r="E2657" s="68" t="s">
        <v>3387</v>
      </c>
      <c r="F2657" s="39" t="s">
        <v>3000</v>
      </c>
      <c r="G2657" s="15" t="s">
        <v>1538</v>
      </c>
      <c r="H2657" s="15" t="s">
        <v>2680</v>
      </c>
      <c r="I2657" s="69">
        <v>118</v>
      </c>
      <c r="J2657" s="15" t="s">
        <v>2672</v>
      </c>
      <c r="K2657" s="15" t="s">
        <v>903</v>
      </c>
      <c r="L2657" s="15" t="s">
        <v>2673</v>
      </c>
      <c r="M2657" s="15" t="s">
        <v>2672</v>
      </c>
      <c r="N2657" s="15" t="s">
        <v>2673</v>
      </c>
      <c r="O2657" s="15"/>
    </row>
    <row r="2658" spans="1:15" ht="18" customHeight="1" x14ac:dyDescent="0.3">
      <c r="A2658" s="29">
        <v>2657</v>
      </c>
      <c r="B2658" s="15" t="s">
        <v>2275</v>
      </c>
      <c r="C2658" s="15" t="s">
        <v>2300</v>
      </c>
      <c r="D2658" s="69">
        <v>164</v>
      </c>
      <c r="E2658" s="68" t="s">
        <v>3387</v>
      </c>
      <c r="F2658" s="39" t="s">
        <v>3000</v>
      </c>
      <c r="G2658" s="15" t="s">
        <v>1538</v>
      </c>
      <c r="H2658" s="15" t="s">
        <v>2690</v>
      </c>
      <c r="I2658" s="69">
        <v>128</v>
      </c>
      <c r="J2658" s="15" t="s">
        <v>2672</v>
      </c>
      <c r="K2658" s="15" t="s">
        <v>903</v>
      </c>
      <c r="L2658" s="15" t="s">
        <v>2673</v>
      </c>
      <c r="M2658" s="15" t="s">
        <v>2672</v>
      </c>
      <c r="N2658" s="15" t="s">
        <v>2673</v>
      </c>
      <c r="O2658" s="15"/>
    </row>
    <row r="2659" spans="1:15" ht="18" customHeight="1" x14ac:dyDescent="0.3">
      <c r="A2659" s="29">
        <v>2658</v>
      </c>
      <c r="B2659" s="15" t="s">
        <v>2275</v>
      </c>
      <c r="C2659" s="15" t="s">
        <v>2300</v>
      </c>
      <c r="D2659" s="69">
        <v>164</v>
      </c>
      <c r="E2659" s="68" t="s">
        <v>2303</v>
      </c>
      <c r="F2659" s="21" t="s">
        <v>2304</v>
      </c>
      <c r="G2659" s="15" t="s">
        <v>1553</v>
      </c>
      <c r="H2659" s="15" t="s">
        <v>2685</v>
      </c>
      <c r="I2659" s="69">
        <v>111</v>
      </c>
      <c r="J2659" s="15" t="s">
        <v>2674</v>
      </c>
      <c r="K2659" s="15" t="s">
        <v>903</v>
      </c>
      <c r="L2659" s="15" t="s">
        <v>2673</v>
      </c>
      <c r="M2659" s="15" t="s">
        <v>2672</v>
      </c>
      <c r="N2659" s="15" t="s">
        <v>2673</v>
      </c>
      <c r="O2659" s="15" t="s">
        <v>3001</v>
      </c>
    </row>
    <row r="2660" spans="1:15" ht="18" customHeight="1" x14ac:dyDescent="0.3">
      <c r="A2660" s="29">
        <v>2659</v>
      </c>
      <c r="B2660" s="15" t="s">
        <v>2275</v>
      </c>
      <c r="C2660" s="15" t="s">
        <v>2300</v>
      </c>
      <c r="D2660" s="69">
        <v>164</v>
      </c>
      <c r="E2660" s="68" t="s">
        <v>2303</v>
      </c>
      <c r="F2660" s="21" t="s">
        <v>2304</v>
      </c>
      <c r="G2660" s="15" t="s">
        <v>1553</v>
      </c>
      <c r="H2660" s="15" t="s">
        <v>2678</v>
      </c>
      <c r="I2660" s="69">
        <v>101</v>
      </c>
      <c r="J2660" s="15" t="s">
        <v>2672</v>
      </c>
      <c r="K2660" s="15" t="s">
        <v>903</v>
      </c>
      <c r="L2660" s="15" t="s">
        <v>2673</v>
      </c>
      <c r="M2660" s="15" t="s">
        <v>2672</v>
      </c>
      <c r="N2660" s="15" t="s">
        <v>2673</v>
      </c>
      <c r="O2660" s="15" t="s">
        <v>3001</v>
      </c>
    </row>
    <row r="2661" spans="1:15" ht="18" customHeight="1" x14ac:dyDescent="0.3">
      <c r="A2661" s="29">
        <v>2660</v>
      </c>
      <c r="B2661" s="15" t="s">
        <v>2275</v>
      </c>
      <c r="C2661" s="15" t="s">
        <v>2300</v>
      </c>
      <c r="D2661" s="69">
        <v>164</v>
      </c>
      <c r="E2661" s="68" t="s">
        <v>2303</v>
      </c>
      <c r="F2661" s="21" t="s">
        <v>2304</v>
      </c>
      <c r="G2661" s="15" t="s">
        <v>1553</v>
      </c>
      <c r="H2661" s="15" t="s">
        <v>2679</v>
      </c>
      <c r="I2661" s="69">
        <v>75</v>
      </c>
      <c r="J2661" s="15" t="s">
        <v>2672</v>
      </c>
      <c r="K2661" s="15" t="s">
        <v>903</v>
      </c>
      <c r="L2661" s="15" t="s">
        <v>2673</v>
      </c>
      <c r="M2661" s="15" t="s">
        <v>2672</v>
      </c>
      <c r="N2661" s="15" t="s">
        <v>2673</v>
      </c>
      <c r="O2661" s="15" t="s">
        <v>3002</v>
      </c>
    </row>
    <row r="2662" spans="1:15" ht="18" customHeight="1" x14ac:dyDescent="0.3">
      <c r="A2662" s="29">
        <v>2661</v>
      </c>
      <c r="B2662" s="15" t="s">
        <v>2275</v>
      </c>
      <c r="C2662" s="15" t="s">
        <v>2300</v>
      </c>
      <c r="D2662" s="69">
        <v>164</v>
      </c>
      <c r="E2662" s="68" t="s">
        <v>2303</v>
      </c>
      <c r="F2662" s="21" t="s">
        <v>2304</v>
      </c>
      <c r="G2662" s="15" t="s">
        <v>1553</v>
      </c>
      <c r="H2662" s="15" t="s">
        <v>2680</v>
      </c>
      <c r="I2662" s="69">
        <v>75</v>
      </c>
      <c r="J2662" s="15" t="s">
        <v>2672</v>
      </c>
      <c r="K2662" s="15" t="s">
        <v>903</v>
      </c>
      <c r="L2662" s="15" t="s">
        <v>2673</v>
      </c>
      <c r="M2662" s="15" t="s">
        <v>2672</v>
      </c>
      <c r="N2662" s="15" t="s">
        <v>2673</v>
      </c>
      <c r="O2662" s="15" t="s">
        <v>3002</v>
      </c>
    </row>
    <row r="2663" spans="1:15" ht="18" customHeight="1" x14ac:dyDescent="0.3">
      <c r="A2663" s="29">
        <v>2662</v>
      </c>
      <c r="B2663" s="15" t="s">
        <v>2275</v>
      </c>
      <c r="C2663" s="15" t="s">
        <v>2300</v>
      </c>
      <c r="D2663" s="69">
        <v>164</v>
      </c>
      <c r="E2663" s="68" t="s">
        <v>2303</v>
      </c>
      <c r="F2663" s="21" t="s">
        <v>2304</v>
      </c>
      <c r="G2663" s="15" t="s">
        <v>1553</v>
      </c>
      <c r="H2663" s="15" t="s">
        <v>2690</v>
      </c>
      <c r="I2663" s="69">
        <v>90</v>
      </c>
      <c r="J2663" s="15" t="s">
        <v>2672</v>
      </c>
      <c r="K2663" s="15" t="s">
        <v>903</v>
      </c>
      <c r="L2663" s="15" t="s">
        <v>2673</v>
      </c>
      <c r="M2663" s="15" t="s">
        <v>2672</v>
      </c>
      <c r="N2663" s="15" t="s">
        <v>2673</v>
      </c>
      <c r="O2663" s="15" t="s">
        <v>3002</v>
      </c>
    </row>
    <row r="2664" spans="1:15" ht="18" customHeight="1" x14ac:dyDescent="0.3">
      <c r="A2664" s="29">
        <v>2663</v>
      </c>
      <c r="B2664" s="15" t="s">
        <v>2275</v>
      </c>
      <c r="C2664" s="15" t="s">
        <v>2306</v>
      </c>
      <c r="D2664" s="69">
        <v>166</v>
      </c>
      <c r="E2664" s="68" t="s">
        <v>2307</v>
      </c>
      <c r="F2664" s="24" t="s">
        <v>2308</v>
      </c>
      <c r="G2664" s="15" t="s">
        <v>1553</v>
      </c>
      <c r="H2664" s="15" t="s">
        <v>2685</v>
      </c>
      <c r="I2664" s="69">
        <v>182</v>
      </c>
      <c r="J2664" s="13" t="s">
        <v>2674</v>
      </c>
      <c r="K2664" s="15" t="s">
        <v>2672</v>
      </c>
      <c r="L2664" s="15" t="s">
        <v>2673</v>
      </c>
      <c r="M2664" s="15" t="s">
        <v>2672</v>
      </c>
      <c r="N2664" s="15" t="s">
        <v>2673</v>
      </c>
      <c r="O2664" s="15"/>
    </row>
    <row r="2665" spans="1:15" ht="18" customHeight="1" x14ac:dyDescent="0.3">
      <c r="A2665" s="29">
        <v>2664</v>
      </c>
      <c r="B2665" s="15" t="s">
        <v>2275</v>
      </c>
      <c r="C2665" s="15" t="s">
        <v>2306</v>
      </c>
      <c r="D2665" s="69">
        <v>166</v>
      </c>
      <c r="E2665" s="68" t="s">
        <v>2307</v>
      </c>
      <c r="F2665" s="24" t="s">
        <v>2308</v>
      </c>
      <c r="G2665" s="15" t="s">
        <v>1553</v>
      </c>
      <c r="H2665" s="15" t="s">
        <v>2678</v>
      </c>
      <c r="I2665" s="69">
        <v>48</v>
      </c>
      <c r="J2665" s="13" t="s">
        <v>2672</v>
      </c>
      <c r="K2665" s="15" t="s">
        <v>2674</v>
      </c>
      <c r="L2665" s="15" t="s">
        <v>2525</v>
      </c>
      <c r="M2665" s="15" t="s">
        <v>2672</v>
      </c>
      <c r="N2665" s="15" t="s">
        <v>2673</v>
      </c>
      <c r="O2665" s="15"/>
    </row>
    <row r="2666" spans="1:15" ht="18" customHeight="1" x14ac:dyDescent="0.3">
      <c r="A2666" s="29">
        <v>2665</v>
      </c>
      <c r="B2666" s="15" t="s">
        <v>2275</v>
      </c>
      <c r="C2666" s="15" t="s">
        <v>2306</v>
      </c>
      <c r="D2666" s="69">
        <v>166</v>
      </c>
      <c r="E2666" s="68" t="s">
        <v>2307</v>
      </c>
      <c r="F2666" s="24" t="s">
        <v>2308</v>
      </c>
      <c r="G2666" s="15" t="s">
        <v>1553</v>
      </c>
      <c r="H2666" s="15" t="s">
        <v>2679</v>
      </c>
      <c r="I2666" s="69">
        <v>99</v>
      </c>
      <c r="J2666" s="13" t="s">
        <v>2674</v>
      </c>
      <c r="K2666" s="15" t="s">
        <v>2674</v>
      </c>
      <c r="L2666" s="15" t="s">
        <v>2525</v>
      </c>
      <c r="M2666" s="15" t="s">
        <v>2672</v>
      </c>
      <c r="N2666" s="15" t="s">
        <v>2673</v>
      </c>
      <c r="O2666" s="15"/>
    </row>
    <row r="2667" spans="1:15" ht="18" customHeight="1" x14ac:dyDescent="0.3">
      <c r="A2667" s="29">
        <v>2666</v>
      </c>
      <c r="B2667" s="15" t="s">
        <v>2275</v>
      </c>
      <c r="C2667" s="15" t="s">
        <v>2306</v>
      </c>
      <c r="D2667" s="69">
        <v>166</v>
      </c>
      <c r="E2667" s="68" t="s">
        <v>2307</v>
      </c>
      <c r="F2667" s="24" t="s">
        <v>2308</v>
      </c>
      <c r="G2667" s="15" t="s">
        <v>1553</v>
      </c>
      <c r="H2667" s="15" t="s">
        <v>2680</v>
      </c>
      <c r="I2667" s="69">
        <v>50</v>
      </c>
      <c r="J2667" s="13" t="s">
        <v>2672</v>
      </c>
      <c r="K2667" s="15" t="s">
        <v>2674</v>
      </c>
      <c r="L2667" s="15" t="s">
        <v>2525</v>
      </c>
      <c r="M2667" s="15" t="s">
        <v>2672</v>
      </c>
      <c r="N2667" s="15" t="s">
        <v>2673</v>
      </c>
      <c r="O2667" s="15"/>
    </row>
    <row r="2668" spans="1:15" ht="18" customHeight="1" x14ac:dyDescent="0.3">
      <c r="A2668" s="29">
        <v>2667</v>
      </c>
      <c r="B2668" s="15" t="s">
        <v>2275</v>
      </c>
      <c r="C2668" s="15" t="s">
        <v>2306</v>
      </c>
      <c r="D2668" s="69">
        <v>166</v>
      </c>
      <c r="E2668" s="68" t="s">
        <v>2307</v>
      </c>
      <c r="F2668" s="24" t="s">
        <v>2308</v>
      </c>
      <c r="G2668" s="15" t="s">
        <v>1553</v>
      </c>
      <c r="H2668" s="15" t="s">
        <v>3003</v>
      </c>
      <c r="I2668" s="69">
        <v>93</v>
      </c>
      <c r="J2668" s="13" t="s">
        <v>2672</v>
      </c>
      <c r="K2668" s="15" t="s">
        <v>2672</v>
      </c>
      <c r="L2668" s="15" t="s">
        <v>2673</v>
      </c>
      <c r="M2668" s="15" t="s">
        <v>2672</v>
      </c>
      <c r="N2668" s="15" t="s">
        <v>2673</v>
      </c>
      <c r="O2668" s="15"/>
    </row>
    <row r="2669" spans="1:15" ht="18" customHeight="1" x14ac:dyDescent="0.3">
      <c r="A2669" s="29">
        <v>2668</v>
      </c>
      <c r="B2669" s="15" t="s">
        <v>2275</v>
      </c>
      <c r="C2669" s="15" t="s">
        <v>2306</v>
      </c>
      <c r="D2669" s="69">
        <v>166</v>
      </c>
      <c r="E2669" s="68" t="s">
        <v>2307</v>
      </c>
      <c r="F2669" s="24" t="s">
        <v>2308</v>
      </c>
      <c r="G2669" s="15" t="s">
        <v>1553</v>
      </c>
      <c r="H2669" s="15" t="s">
        <v>2682</v>
      </c>
      <c r="I2669" s="69">
        <v>182</v>
      </c>
      <c r="J2669" s="13" t="s">
        <v>2672</v>
      </c>
      <c r="K2669" s="15" t="s">
        <v>2672</v>
      </c>
      <c r="L2669" s="15" t="s">
        <v>2673</v>
      </c>
      <c r="M2669" s="15" t="s">
        <v>2672</v>
      </c>
      <c r="N2669" s="15" t="s">
        <v>2673</v>
      </c>
      <c r="O2669" s="15"/>
    </row>
    <row r="2670" spans="1:15" ht="18" customHeight="1" x14ac:dyDescent="0.3">
      <c r="A2670" s="29">
        <v>2669</v>
      </c>
      <c r="B2670" s="15" t="s">
        <v>2275</v>
      </c>
      <c r="C2670" s="15" t="s">
        <v>2306</v>
      </c>
      <c r="D2670" s="69">
        <v>166</v>
      </c>
      <c r="E2670" s="68" t="s">
        <v>2307</v>
      </c>
      <c r="F2670" s="24" t="s">
        <v>2308</v>
      </c>
      <c r="G2670" s="15" t="s">
        <v>1553</v>
      </c>
      <c r="H2670" s="15" t="s">
        <v>2795</v>
      </c>
      <c r="I2670" s="69">
        <v>50</v>
      </c>
      <c r="J2670" s="13" t="s">
        <v>2672</v>
      </c>
      <c r="K2670" s="15" t="s">
        <v>2674</v>
      </c>
      <c r="L2670" s="15" t="s">
        <v>2525</v>
      </c>
      <c r="M2670" s="15" t="s">
        <v>2672</v>
      </c>
      <c r="N2670" s="15" t="s">
        <v>2673</v>
      </c>
      <c r="O2670" s="15"/>
    </row>
    <row r="2671" spans="1:15" ht="18" customHeight="1" x14ac:dyDescent="0.3">
      <c r="A2671" s="29">
        <v>2670</v>
      </c>
      <c r="B2671" s="15" t="s">
        <v>96</v>
      </c>
      <c r="C2671" s="15" t="s">
        <v>2306</v>
      </c>
      <c r="D2671" s="69">
        <v>166</v>
      </c>
      <c r="E2671" s="68" t="s">
        <v>3388</v>
      </c>
      <c r="F2671" s="24" t="s">
        <v>747</v>
      </c>
      <c r="G2671" s="15" t="s">
        <v>164</v>
      </c>
      <c r="H2671" s="15" t="s">
        <v>901</v>
      </c>
      <c r="I2671" s="69">
        <v>215</v>
      </c>
      <c r="J2671" s="15" t="s">
        <v>2674</v>
      </c>
      <c r="K2671" s="15" t="s">
        <v>903</v>
      </c>
      <c r="L2671" s="15" t="s">
        <v>2673</v>
      </c>
      <c r="M2671" s="15" t="s">
        <v>2672</v>
      </c>
      <c r="N2671" s="15" t="s">
        <v>2673</v>
      </c>
      <c r="O2671" s="15"/>
    </row>
    <row r="2672" spans="1:15" ht="18" customHeight="1" x14ac:dyDescent="0.3">
      <c r="A2672" s="29">
        <v>2671</v>
      </c>
      <c r="B2672" s="15" t="s">
        <v>96</v>
      </c>
      <c r="C2672" s="15" t="s">
        <v>2306</v>
      </c>
      <c r="D2672" s="69">
        <v>166</v>
      </c>
      <c r="E2672" s="68" t="s">
        <v>3388</v>
      </c>
      <c r="F2672" s="24" t="s">
        <v>747</v>
      </c>
      <c r="G2672" s="15" t="s">
        <v>164</v>
      </c>
      <c r="H2672" s="15" t="s">
        <v>904</v>
      </c>
      <c r="I2672" s="69">
        <v>159</v>
      </c>
      <c r="J2672" s="15" t="s">
        <v>2674</v>
      </c>
      <c r="K2672" s="15" t="s">
        <v>903</v>
      </c>
      <c r="L2672" s="15" t="s">
        <v>2673</v>
      </c>
      <c r="M2672" s="15" t="s">
        <v>2672</v>
      </c>
      <c r="N2672" s="15" t="s">
        <v>2673</v>
      </c>
      <c r="O2672" s="15"/>
    </row>
    <row r="2673" spans="1:15" ht="18" customHeight="1" x14ac:dyDescent="0.3">
      <c r="A2673" s="29">
        <v>2672</v>
      </c>
      <c r="B2673" s="15" t="s">
        <v>96</v>
      </c>
      <c r="C2673" s="15" t="s">
        <v>2306</v>
      </c>
      <c r="D2673" s="69">
        <v>166</v>
      </c>
      <c r="E2673" s="68" t="s">
        <v>3388</v>
      </c>
      <c r="F2673" s="24" t="s">
        <v>747</v>
      </c>
      <c r="G2673" s="15" t="s">
        <v>164</v>
      </c>
      <c r="H2673" s="15" t="s">
        <v>905</v>
      </c>
      <c r="I2673" s="69">
        <v>116</v>
      </c>
      <c r="J2673" s="15" t="s">
        <v>2672</v>
      </c>
      <c r="K2673" s="15" t="s">
        <v>903</v>
      </c>
      <c r="L2673" s="15" t="s">
        <v>2673</v>
      </c>
      <c r="M2673" s="15" t="s">
        <v>2672</v>
      </c>
      <c r="N2673" s="15" t="s">
        <v>2673</v>
      </c>
      <c r="O2673" s="15"/>
    </row>
    <row r="2674" spans="1:15" ht="18" customHeight="1" x14ac:dyDescent="0.3">
      <c r="A2674" s="29">
        <v>2673</v>
      </c>
      <c r="B2674" s="15" t="s">
        <v>96</v>
      </c>
      <c r="C2674" s="15" t="s">
        <v>2306</v>
      </c>
      <c r="D2674" s="69">
        <v>166</v>
      </c>
      <c r="E2674" s="68" t="s">
        <v>3388</v>
      </c>
      <c r="F2674" s="24" t="s">
        <v>747</v>
      </c>
      <c r="G2674" s="15" t="s">
        <v>164</v>
      </c>
      <c r="H2674" s="15" t="s">
        <v>906</v>
      </c>
      <c r="I2674" s="69">
        <v>215</v>
      </c>
      <c r="J2674" s="15" t="s">
        <v>2672</v>
      </c>
      <c r="K2674" s="15" t="s">
        <v>903</v>
      </c>
      <c r="L2674" s="15" t="s">
        <v>2673</v>
      </c>
      <c r="M2674" s="15" t="s">
        <v>2672</v>
      </c>
      <c r="N2674" s="15" t="s">
        <v>2673</v>
      </c>
      <c r="O2674" s="15"/>
    </row>
    <row r="2675" spans="1:15" ht="18" customHeight="1" x14ac:dyDescent="0.3">
      <c r="A2675" s="29">
        <v>2674</v>
      </c>
      <c r="B2675" s="15" t="s">
        <v>96</v>
      </c>
      <c r="C2675" s="15" t="s">
        <v>2306</v>
      </c>
      <c r="D2675" s="69">
        <v>166</v>
      </c>
      <c r="E2675" s="68" t="s">
        <v>3388</v>
      </c>
      <c r="F2675" s="24" t="s">
        <v>747</v>
      </c>
      <c r="G2675" s="15" t="s">
        <v>164</v>
      </c>
      <c r="H2675" s="15" t="s">
        <v>907</v>
      </c>
      <c r="I2675" s="69">
        <v>159</v>
      </c>
      <c r="J2675" s="15" t="s">
        <v>2672</v>
      </c>
      <c r="K2675" s="15" t="s">
        <v>903</v>
      </c>
      <c r="L2675" s="15" t="s">
        <v>2673</v>
      </c>
      <c r="M2675" s="15" t="s">
        <v>2672</v>
      </c>
      <c r="N2675" s="15" t="s">
        <v>2673</v>
      </c>
      <c r="O2675" s="15"/>
    </row>
    <row r="2676" spans="1:15" ht="18" customHeight="1" x14ac:dyDescent="0.3">
      <c r="A2676" s="29">
        <v>2675</v>
      </c>
      <c r="B2676" s="15" t="s">
        <v>96</v>
      </c>
      <c r="C2676" s="15" t="s">
        <v>2306</v>
      </c>
      <c r="D2676" s="69">
        <v>166</v>
      </c>
      <c r="E2676" s="68" t="s">
        <v>3388</v>
      </c>
      <c r="F2676" s="24" t="s">
        <v>747</v>
      </c>
      <c r="G2676" s="15" t="s">
        <v>164</v>
      </c>
      <c r="H2676" s="15" t="s">
        <v>908</v>
      </c>
      <c r="I2676" s="69">
        <v>116</v>
      </c>
      <c r="J2676" s="15" t="s">
        <v>2672</v>
      </c>
      <c r="K2676" s="15" t="s">
        <v>903</v>
      </c>
      <c r="L2676" s="15" t="s">
        <v>2673</v>
      </c>
      <c r="M2676" s="15" t="s">
        <v>2672</v>
      </c>
      <c r="N2676" s="15" t="s">
        <v>2673</v>
      </c>
      <c r="O2676" s="15"/>
    </row>
    <row r="2677" spans="1:15" ht="18" customHeight="1" x14ac:dyDescent="0.3">
      <c r="A2677" s="29">
        <v>2676</v>
      </c>
      <c r="B2677" s="15" t="s">
        <v>96</v>
      </c>
      <c r="C2677" s="15" t="s">
        <v>2306</v>
      </c>
      <c r="D2677" s="69">
        <v>166</v>
      </c>
      <c r="E2677" s="68" t="s">
        <v>3388</v>
      </c>
      <c r="F2677" s="24" t="s">
        <v>747</v>
      </c>
      <c r="G2677" s="15" t="s">
        <v>164</v>
      </c>
      <c r="H2677" s="15" t="s">
        <v>909</v>
      </c>
      <c r="I2677" s="69">
        <v>95</v>
      </c>
      <c r="J2677" s="15" t="s">
        <v>2672</v>
      </c>
      <c r="K2677" s="15" t="s">
        <v>903</v>
      </c>
      <c r="L2677" s="15" t="s">
        <v>2673</v>
      </c>
      <c r="M2677" s="15" t="s">
        <v>2672</v>
      </c>
      <c r="N2677" s="15" t="s">
        <v>2673</v>
      </c>
      <c r="O2677" s="15"/>
    </row>
    <row r="2678" spans="1:15" ht="18" customHeight="1" x14ac:dyDescent="0.3">
      <c r="A2678" s="29">
        <v>2677</v>
      </c>
      <c r="B2678" s="15" t="s">
        <v>96</v>
      </c>
      <c r="C2678" s="15" t="s">
        <v>104</v>
      </c>
      <c r="D2678" s="69">
        <v>168</v>
      </c>
      <c r="E2678" s="68" t="s">
        <v>1038</v>
      </c>
      <c r="F2678" s="21" t="s">
        <v>2313</v>
      </c>
      <c r="G2678" s="15" t="s">
        <v>2673</v>
      </c>
      <c r="H2678" s="15" t="s">
        <v>901</v>
      </c>
      <c r="I2678" s="69">
        <v>83</v>
      </c>
      <c r="J2678" s="15" t="s">
        <v>2674</v>
      </c>
      <c r="K2678" s="15" t="s">
        <v>903</v>
      </c>
      <c r="L2678" s="15" t="s">
        <v>2673</v>
      </c>
      <c r="M2678" s="15" t="s">
        <v>2672</v>
      </c>
      <c r="N2678" s="15" t="s">
        <v>2673</v>
      </c>
      <c r="O2678" s="15"/>
    </row>
    <row r="2679" spans="1:15" ht="18" customHeight="1" x14ac:dyDescent="0.3">
      <c r="A2679" s="29">
        <v>2678</v>
      </c>
      <c r="B2679" s="15" t="s">
        <v>96</v>
      </c>
      <c r="C2679" s="15" t="s">
        <v>104</v>
      </c>
      <c r="D2679" s="69">
        <v>168</v>
      </c>
      <c r="E2679" s="68" t="s">
        <v>1038</v>
      </c>
      <c r="F2679" s="21" t="s">
        <v>2313</v>
      </c>
      <c r="G2679" s="15" t="s">
        <v>2673</v>
      </c>
      <c r="H2679" s="15" t="s">
        <v>904</v>
      </c>
      <c r="I2679" s="69">
        <v>83</v>
      </c>
      <c r="J2679" s="15" t="s">
        <v>2672</v>
      </c>
      <c r="K2679" s="15" t="s">
        <v>903</v>
      </c>
      <c r="L2679" s="15" t="s">
        <v>2673</v>
      </c>
      <c r="M2679" s="15" t="s">
        <v>2672</v>
      </c>
      <c r="N2679" s="15" t="s">
        <v>2673</v>
      </c>
      <c r="O2679" s="15"/>
    </row>
    <row r="2680" spans="1:15" ht="18" customHeight="1" x14ac:dyDescent="0.3">
      <c r="A2680" s="29">
        <v>2679</v>
      </c>
      <c r="B2680" s="15" t="s">
        <v>96</v>
      </c>
      <c r="C2680" s="15" t="s">
        <v>104</v>
      </c>
      <c r="D2680" s="69">
        <v>168</v>
      </c>
      <c r="E2680" s="68" t="s">
        <v>223</v>
      </c>
      <c r="F2680" s="21" t="s">
        <v>2315</v>
      </c>
      <c r="G2680" s="15" t="s">
        <v>2673</v>
      </c>
      <c r="H2680" s="15" t="s">
        <v>901</v>
      </c>
      <c r="I2680" s="69">
        <v>77</v>
      </c>
      <c r="J2680" s="15" t="s">
        <v>2674</v>
      </c>
      <c r="K2680" s="15" t="s">
        <v>903</v>
      </c>
      <c r="L2680" s="15" t="s">
        <v>2673</v>
      </c>
      <c r="M2680" s="15" t="s">
        <v>2672</v>
      </c>
      <c r="N2680" s="15" t="s">
        <v>2673</v>
      </c>
      <c r="O2680" s="15"/>
    </row>
    <row r="2681" spans="1:15" ht="18" customHeight="1" x14ac:dyDescent="0.3">
      <c r="A2681" s="29">
        <v>2680</v>
      </c>
      <c r="B2681" s="15" t="s">
        <v>96</v>
      </c>
      <c r="C2681" s="15" t="s">
        <v>104</v>
      </c>
      <c r="D2681" s="69">
        <v>168</v>
      </c>
      <c r="E2681" s="68" t="s">
        <v>223</v>
      </c>
      <c r="F2681" s="21" t="s">
        <v>2315</v>
      </c>
      <c r="G2681" s="15" t="s">
        <v>2673</v>
      </c>
      <c r="H2681" s="15" t="s">
        <v>904</v>
      </c>
      <c r="I2681" s="69">
        <v>31</v>
      </c>
      <c r="J2681" s="15" t="s">
        <v>2672</v>
      </c>
      <c r="K2681" s="15" t="s">
        <v>903</v>
      </c>
      <c r="L2681" s="15" t="s">
        <v>2673</v>
      </c>
      <c r="M2681" s="15" t="s">
        <v>2672</v>
      </c>
      <c r="N2681" s="15" t="s">
        <v>2673</v>
      </c>
      <c r="O2681" s="15"/>
    </row>
    <row r="2682" spans="1:15" ht="18" customHeight="1" x14ac:dyDescent="0.3">
      <c r="A2682" s="29">
        <v>2681</v>
      </c>
      <c r="B2682" s="13" t="s">
        <v>2259</v>
      </c>
      <c r="C2682" s="13" t="s">
        <v>2317</v>
      </c>
      <c r="D2682" s="13">
        <v>169</v>
      </c>
      <c r="E2682" s="63" t="s">
        <v>2318</v>
      </c>
      <c r="F2682" s="21" t="s">
        <v>2319</v>
      </c>
      <c r="G2682" s="13" t="s">
        <v>2867</v>
      </c>
      <c r="H2682" s="15" t="s">
        <v>2685</v>
      </c>
      <c r="I2682" s="69">
        <v>59</v>
      </c>
      <c r="J2682" s="15" t="s">
        <v>2672</v>
      </c>
      <c r="K2682" s="15" t="s">
        <v>903</v>
      </c>
      <c r="L2682" s="15" t="s">
        <v>2673</v>
      </c>
      <c r="M2682" s="15" t="s">
        <v>2672</v>
      </c>
      <c r="N2682" s="15" t="s">
        <v>2673</v>
      </c>
      <c r="O2682" s="15"/>
    </row>
    <row r="2683" spans="1:15" ht="18" customHeight="1" x14ac:dyDescent="0.3">
      <c r="A2683" s="29">
        <v>2682</v>
      </c>
      <c r="B2683" s="13" t="s">
        <v>2259</v>
      </c>
      <c r="C2683" s="13" t="s">
        <v>2317</v>
      </c>
      <c r="D2683" s="13">
        <v>169</v>
      </c>
      <c r="E2683" s="63" t="s">
        <v>2318</v>
      </c>
      <c r="F2683" s="21" t="s">
        <v>2319</v>
      </c>
      <c r="G2683" s="13" t="s">
        <v>2867</v>
      </c>
      <c r="H2683" s="15" t="s">
        <v>2678</v>
      </c>
      <c r="I2683" s="69">
        <v>95</v>
      </c>
      <c r="J2683" s="15" t="s">
        <v>2674</v>
      </c>
      <c r="K2683" s="15" t="s">
        <v>903</v>
      </c>
      <c r="L2683" s="15" t="s">
        <v>2673</v>
      </c>
      <c r="M2683" s="15" t="s">
        <v>2672</v>
      </c>
      <c r="N2683" s="15" t="s">
        <v>2673</v>
      </c>
      <c r="O2683" s="15"/>
    </row>
    <row r="2684" spans="1:15" ht="18" customHeight="1" x14ac:dyDescent="0.3">
      <c r="A2684" s="29">
        <v>2683</v>
      </c>
      <c r="B2684" s="13" t="s">
        <v>2259</v>
      </c>
      <c r="C2684" s="13" t="s">
        <v>2323</v>
      </c>
      <c r="D2684" s="13">
        <v>170</v>
      </c>
      <c r="E2684" s="36" t="s">
        <v>2324</v>
      </c>
      <c r="F2684" s="24" t="s">
        <v>2325</v>
      </c>
      <c r="G2684" s="13" t="s">
        <v>2867</v>
      </c>
      <c r="H2684" s="15" t="s">
        <v>2685</v>
      </c>
      <c r="I2684" s="69">
        <v>54</v>
      </c>
      <c r="J2684" s="15" t="s">
        <v>2674</v>
      </c>
      <c r="K2684" s="15" t="s">
        <v>903</v>
      </c>
      <c r="L2684" s="15" t="s">
        <v>2673</v>
      </c>
      <c r="M2684" s="15" t="s">
        <v>2672</v>
      </c>
      <c r="N2684" s="15" t="s">
        <v>2673</v>
      </c>
      <c r="O2684" s="15"/>
    </row>
    <row r="2685" spans="1:15" ht="18" customHeight="1" x14ac:dyDescent="0.3">
      <c r="A2685" s="29">
        <v>2684</v>
      </c>
      <c r="B2685" s="13" t="s">
        <v>2259</v>
      </c>
      <c r="C2685" s="13" t="s">
        <v>2323</v>
      </c>
      <c r="D2685" s="13">
        <v>170</v>
      </c>
      <c r="E2685" s="36" t="s">
        <v>2324</v>
      </c>
      <c r="F2685" s="24" t="s">
        <v>2325</v>
      </c>
      <c r="G2685" s="13" t="s">
        <v>2867</v>
      </c>
      <c r="H2685" s="15" t="s">
        <v>2678</v>
      </c>
      <c r="I2685" s="69">
        <v>44</v>
      </c>
      <c r="J2685" s="15" t="s">
        <v>2672</v>
      </c>
      <c r="K2685" s="15" t="s">
        <v>903</v>
      </c>
      <c r="L2685" s="15" t="s">
        <v>2673</v>
      </c>
      <c r="M2685" s="15" t="s">
        <v>2672</v>
      </c>
      <c r="N2685" s="15" t="s">
        <v>2673</v>
      </c>
      <c r="O2685" s="15"/>
    </row>
    <row r="2686" spans="1:15" ht="18" customHeight="1" x14ac:dyDescent="0.3">
      <c r="A2686" s="29">
        <v>2685</v>
      </c>
      <c r="B2686" s="15" t="s">
        <v>96</v>
      </c>
      <c r="C2686" s="15" t="s">
        <v>105</v>
      </c>
      <c r="D2686" s="69">
        <v>171</v>
      </c>
      <c r="E2686" s="68" t="s">
        <v>938</v>
      </c>
      <c r="F2686" s="21" t="s">
        <v>761</v>
      </c>
      <c r="G2686" s="15" t="s">
        <v>164</v>
      </c>
      <c r="H2686" s="15" t="s">
        <v>901</v>
      </c>
      <c r="I2686" s="69">
        <v>99</v>
      </c>
      <c r="J2686" s="15" t="s">
        <v>2672</v>
      </c>
      <c r="K2686" s="15" t="s">
        <v>903</v>
      </c>
      <c r="L2686" s="15" t="s">
        <v>2673</v>
      </c>
      <c r="M2686" s="15" t="s">
        <v>2672</v>
      </c>
      <c r="N2686" s="15" t="s">
        <v>2673</v>
      </c>
      <c r="O2686" s="15"/>
    </row>
    <row r="2687" spans="1:15" ht="18" customHeight="1" x14ac:dyDescent="0.3">
      <c r="A2687" s="29">
        <v>2686</v>
      </c>
      <c r="B2687" s="15" t="s">
        <v>96</v>
      </c>
      <c r="C2687" s="15" t="s">
        <v>105</v>
      </c>
      <c r="D2687" s="69">
        <v>171</v>
      </c>
      <c r="E2687" s="68" t="s">
        <v>938</v>
      </c>
      <c r="F2687" s="21" t="s">
        <v>761</v>
      </c>
      <c r="G2687" s="15" t="s">
        <v>164</v>
      </c>
      <c r="H2687" s="15" t="s">
        <v>904</v>
      </c>
      <c r="I2687" s="69">
        <v>150</v>
      </c>
      <c r="J2687" s="15" t="s">
        <v>2672</v>
      </c>
      <c r="K2687" s="15" t="s">
        <v>903</v>
      </c>
      <c r="L2687" s="15" t="s">
        <v>2673</v>
      </c>
      <c r="M2687" s="15" t="s">
        <v>2672</v>
      </c>
      <c r="N2687" s="15" t="s">
        <v>2673</v>
      </c>
      <c r="O2687" s="15"/>
    </row>
    <row r="2688" spans="1:15" ht="18" customHeight="1" x14ac:dyDescent="0.3">
      <c r="A2688" s="29">
        <v>2687</v>
      </c>
      <c r="B2688" s="15" t="s">
        <v>96</v>
      </c>
      <c r="C2688" s="15" t="s">
        <v>105</v>
      </c>
      <c r="D2688" s="69">
        <v>171</v>
      </c>
      <c r="E2688" s="68" t="s">
        <v>938</v>
      </c>
      <c r="F2688" s="21" t="s">
        <v>761</v>
      </c>
      <c r="G2688" s="15" t="s">
        <v>164</v>
      </c>
      <c r="H2688" s="15" t="s">
        <v>905</v>
      </c>
      <c r="I2688" s="69">
        <v>92</v>
      </c>
      <c r="J2688" s="15" t="s">
        <v>2674</v>
      </c>
      <c r="K2688" s="15" t="s">
        <v>903</v>
      </c>
      <c r="L2688" s="15" t="s">
        <v>2673</v>
      </c>
      <c r="M2688" s="15" t="s">
        <v>2672</v>
      </c>
      <c r="N2688" s="15" t="s">
        <v>2673</v>
      </c>
      <c r="O2688" s="15"/>
    </row>
    <row r="2689" spans="1:15" ht="18" customHeight="1" x14ac:dyDescent="0.3">
      <c r="A2689" s="29">
        <v>2688</v>
      </c>
      <c r="B2689" s="15" t="s">
        <v>96</v>
      </c>
      <c r="C2689" s="15" t="s">
        <v>105</v>
      </c>
      <c r="D2689" s="69">
        <v>171</v>
      </c>
      <c r="E2689" s="68" t="s">
        <v>938</v>
      </c>
      <c r="F2689" s="21" t="s">
        <v>761</v>
      </c>
      <c r="G2689" s="15" t="s">
        <v>164</v>
      </c>
      <c r="H2689" s="15" t="s">
        <v>906</v>
      </c>
      <c r="I2689" s="69">
        <v>183</v>
      </c>
      <c r="J2689" s="15" t="s">
        <v>2672</v>
      </c>
      <c r="K2689" s="15" t="s">
        <v>903</v>
      </c>
      <c r="L2689" s="15" t="s">
        <v>2673</v>
      </c>
      <c r="M2689" s="15" t="s">
        <v>2672</v>
      </c>
      <c r="N2689" s="15" t="s">
        <v>2673</v>
      </c>
      <c r="O2689" s="15"/>
    </row>
    <row r="2690" spans="1:15" ht="18" customHeight="1" x14ac:dyDescent="0.3">
      <c r="A2690" s="29">
        <v>2689</v>
      </c>
      <c r="B2690" s="15" t="s">
        <v>96</v>
      </c>
      <c r="C2690" s="15" t="s">
        <v>105</v>
      </c>
      <c r="D2690" s="69">
        <v>171</v>
      </c>
      <c r="E2690" s="68" t="s">
        <v>938</v>
      </c>
      <c r="F2690" s="21" t="s">
        <v>761</v>
      </c>
      <c r="G2690" s="15" t="s">
        <v>164</v>
      </c>
      <c r="H2690" s="15" t="s">
        <v>907</v>
      </c>
      <c r="I2690" s="69">
        <v>133</v>
      </c>
      <c r="J2690" s="15" t="s">
        <v>2672</v>
      </c>
      <c r="K2690" s="15" t="s">
        <v>903</v>
      </c>
      <c r="L2690" s="15" t="s">
        <v>2673</v>
      </c>
      <c r="M2690" s="15" t="s">
        <v>2672</v>
      </c>
      <c r="N2690" s="15" t="s">
        <v>2673</v>
      </c>
      <c r="O2690" s="15"/>
    </row>
    <row r="2691" spans="1:15" ht="18" customHeight="1" x14ac:dyDescent="0.3">
      <c r="A2691" s="29">
        <v>2690</v>
      </c>
      <c r="B2691" s="15" t="s">
        <v>2275</v>
      </c>
      <c r="C2691" s="15" t="s">
        <v>3004</v>
      </c>
      <c r="D2691" s="69">
        <v>171</v>
      </c>
      <c r="E2691" s="68" t="s">
        <v>3389</v>
      </c>
      <c r="F2691" s="24" t="s">
        <v>759</v>
      </c>
      <c r="G2691" s="15" t="s">
        <v>1538</v>
      </c>
      <c r="H2691" s="15" t="s">
        <v>2685</v>
      </c>
      <c r="I2691" s="69">
        <v>135</v>
      </c>
      <c r="J2691" s="15" t="s">
        <v>2674</v>
      </c>
      <c r="K2691" s="15" t="s">
        <v>2672</v>
      </c>
      <c r="L2691" s="15" t="s">
        <v>2673</v>
      </c>
      <c r="M2691" s="15" t="s">
        <v>2672</v>
      </c>
      <c r="N2691" s="15" t="s">
        <v>2673</v>
      </c>
      <c r="O2691" s="15"/>
    </row>
    <row r="2692" spans="1:15" ht="18" customHeight="1" x14ac:dyDescent="0.3">
      <c r="A2692" s="29">
        <v>2691</v>
      </c>
      <c r="B2692" s="15" t="s">
        <v>2275</v>
      </c>
      <c r="C2692" s="15" t="s">
        <v>3004</v>
      </c>
      <c r="D2692" s="69">
        <v>171</v>
      </c>
      <c r="E2692" s="68" t="s">
        <v>3389</v>
      </c>
      <c r="F2692" s="24" t="s">
        <v>759</v>
      </c>
      <c r="G2692" s="15" t="s">
        <v>1538</v>
      </c>
      <c r="H2692" s="15" t="s">
        <v>2678</v>
      </c>
      <c r="I2692" s="69">
        <v>137</v>
      </c>
      <c r="J2692" s="15" t="s">
        <v>2674</v>
      </c>
      <c r="K2692" s="15" t="s">
        <v>2672</v>
      </c>
      <c r="L2692" s="15" t="s">
        <v>2673</v>
      </c>
      <c r="M2692" s="15" t="s">
        <v>2672</v>
      </c>
      <c r="N2692" s="15" t="s">
        <v>2673</v>
      </c>
      <c r="O2692" s="15"/>
    </row>
    <row r="2693" spans="1:15" ht="18" customHeight="1" x14ac:dyDescent="0.3">
      <c r="A2693" s="29">
        <v>2692</v>
      </c>
      <c r="B2693" s="15" t="s">
        <v>2275</v>
      </c>
      <c r="C2693" s="15" t="s">
        <v>3004</v>
      </c>
      <c r="D2693" s="69">
        <v>171</v>
      </c>
      <c r="E2693" s="68" t="s">
        <v>3389</v>
      </c>
      <c r="F2693" s="24" t="s">
        <v>759</v>
      </c>
      <c r="G2693" s="15" t="s">
        <v>1538</v>
      </c>
      <c r="H2693" s="15" t="s">
        <v>2679</v>
      </c>
      <c r="I2693" s="69">
        <v>146</v>
      </c>
      <c r="J2693" s="15" t="s">
        <v>2672</v>
      </c>
      <c r="K2693" s="15" t="s">
        <v>2672</v>
      </c>
      <c r="L2693" s="15" t="s">
        <v>2673</v>
      </c>
      <c r="M2693" s="15" t="s">
        <v>2672</v>
      </c>
      <c r="N2693" s="15" t="s">
        <v>2673</v>
      </c>
      <c r="O2693" s="15"/>
    </row>
    <row r="2694" spans="1:15" ht="18" customHeight="1" x14ac:dyDescent="0.3">
      <c r="A2694" s="29">
        <v>2693</v>
      </c>
      <c r="B2694" s="15" t="s">
        <v>2275</v>
      </c>
      <c r="C2694" s="15" t="s">
        <v>3004</v>
      </c>
      <c r="D2694" s="69">
        <v>171</v>
      </c>
      <c r="E2694" s="68" t="s">
        <v>3389</v>
      </c>
      <c r="F2694" s="24" t="s">
        <v>759</v>
      </c>
      <c r="G2694" s="15" t="s">
        <v>1538</v>
      </c>
      <c r="H2694" s="15" t="s">
        <v>2680</v>
      </c>
      <c r="I2694" s="69">
        <v>136</v>
      </c>
      <c r="J2694" s="15" t="s">
        <v>2672</v>
      </c>
      <c r="K2694" s="15" t="s">
        <v>2672</v>
      </c>
      <c r="L2694" s="15" t="s">
        <v>2673</v>
      </c>
      <c r="M2694" s="15" t="s">
        <v>2672</v>
      </c>
      <c r="N2694" s="15" t="s">
        <v>2673</v>
      </c>
      <c r="O2694" s="15"/>
    </row>
    <row r="2695" spans="1:15" ht="18" customHeight="1" x14ac:dyDescent="0.3">
      <c r="A2695" s="29">
        <v>2694</v>
      </c>
      <c r="B2695" s="15" t="s">
        <v>2275</v>
      </c>
      <c r="C2695" s="15" t="s">
        <v>3004</v>
      </c>
      <c r="D2695" s="69">
        <v>171</v>
      </c>
      <c r="E2695" s="68" t="s">
        <v>3389</v>
      </c>
      <c r="F2695" s="24" t="s">
        <v>759</v>
      </c>
      <c r="G2695" s="15" t="s">
        <v>1538</v>
      </c>
      <c r="H2695" s="15" t="s">
        <v>2690</v>
      </c>
      <c r="I2695" s="69">
        <v>131</v>
      </c>
      <c r="J2695" s="15" t="s">
        <v>2672</v>
      </c>
      <c r="K2695" s="15" t="s">
        <v>2672</v>
      </c>
      <c r="L2695" s="15" t="s">
        <v>2673</v>
      </c>
      <c r="M2695" s="15" t="s">
        <v>2672</v>
      </c>
      <c r="N2695" s="15" t="s">
        <v>2673</v>
      </c>
      <c r="O2695" s="15"/>
    </row>
    <row r="2696" spans="1:15" ht="18" customHeight="1" x14ac:dyDescent="0.3">
      <c r="A2696" s="29">
        <v>2695</v>
      </c>
      <c r="B2696" s="15" t="s">
        <v>2275</v>
      </c>
      <c r="C2696" s="15" t="s">
        <v>3004</v>
      </c>
      <c r="D2696" s="69">
        <v>171</v>
      </c>
      <c r="E2696" s="68" t="s">
        <v>3389</v>
      </c>
      <c r="F2696" s="24" t="s">
        <v>759</v>
      </c>
      <c r="G2696" s="15" t="s">
        <v>1538</v>
      </c>
      <c r="H2696" s="15" t="s">
        <v>2682</v>
      </c>
      <c r="I2696" s="69">
        <v>184</v>
      </c>
      <c r="J2696" s="15" t="s">
        <v>2672</v>
      </c>
      <c r="K2696" s="15" t="s">
        <v>2672</v>
      </c>
      <c r="L2696" s="15" t="s">
        <v>2673</v>
      </c>
      <c r="M2696" s="15" t="s">
        <v>2672</v>
      </c>
      <c r="N2696" s="15" t="s">
        <v>2673</v>
      </c>
      <c r="O2696" s="15"/>
    </row>
    <row r="2697" spans="1:15" ht="18" customHeight="1" x14ac:dyDescent="0.3">
      <c r="A2697" s="29">
        <v>2696</v>
      </c>
      <c r="B2697" s="15" t="s">
        <v>96</v>
      </c>
      <c r="C2697" s="15" t="s">
        <v>106</v>
      </c>
      <c r="D2697" s="69">
        <v>172</v>
      </c>
      <c r="E2697" s="68" t="s">
        <v>1039</v>
      </c>
      <c r="F2697" s="21" t="s">
        <v>2333</v>
      </c>
      <c r="G2697" s="15" t="s">
        <v>2673</v>
      </c>
      <c r="H2697" s="15" t="s">
        <v>901</v>
      </c>
      <c r="I2697" s="69">
        <v>52</v>
      </c>
      <c r="J2697" s="15" t="s">
        <v>2674</v>
      </c>
      <c r="K2697" s="15" t="s">
        <v>903</v>
      </c>
      <c r="L2697" s="15" t="s">
        <v>2673</v>
      </c>
      <c r="M2697" s="15" t="s">
        <v>2672</v>
      </c>
      <c r="N2697" s="15" t="s">
        <v>2673</v>
      </c>
      <c r="O2697" s="15"/>
    </row>
    <row r="2698" spans="1:15" ht="18" customHeight="1" x14ac:dyDescent="0.3">
      <c r="A2698" s="29">
        <v>2697</v>
      </c>
      <c r="B2698" s="15" t="s">
        <v>96</v>
      </c>
      <c r="C2698" s="15" t="s">
        <v>106</v>
      </c>
      <c r="D2698" s="69">
        <v>172</v>
      </c>
      <c r="E2698" s="68" t="s">
        <v>1039</v>
      </c>
      <c r="F2698" s="21" t="s">
        <v>2333</v>
      </c>
      <c r="G2698" s="15" t="s">
        <v>2673</v>
      </c>
      <c r="H2698" s="15" t="s">
        <v>904</v>
      </c>
      <c r="I2698" s="69">
        <v>47</v>
      </c>
      <c r="J2698" s="15" t="s">
        <v>2672</v>
      </c>
      <c r="K2698" s="15" t="s">
        <v>903</v>
      </c>
      <c r="L2698" s="15" t="s">
        <v>2673</v>
      </c>
      <c r="M2698" s="15" t="s">
        <v>2672</v>
      </c>
      <c r="N2698" s="15" t="s">
        <v>2673</v>
      </c>
      <c r="O2698" s="15"/>
    </row>
    <row r="2699" spans="1:15" ht="18" customHeight="1" x14ac:dyDescent="0.3">
      <c r="A2699" s="29">
        <v>2698</v>
      </c>
      <c r="B2699" s="15" t="s">
        <v>96</v>
      </c>
      <c r="C2699" s="15" t="s">
        <v>107</v>
      </c>
      <c r="D2699" s="69">
        <v>173</v>
      </c>
      <c r="E2699" s="68" t="s">
        <v>1040</v>
      </c>
      <c r="F2699" s="21" t="s">
        <v>2338</v>
      </c>
      <c r="G2699" s="15" t="s">
        <v>2673</v>
      </c>
      <c r="H2699" s="15" t="s">
        <v>901</v>
      </c>
      <c r="I2699" s="69">
        <v>64</v>
      </c>
      <c r="J2699" s="15" t="s">
        <v>2674</v>
      </c>
      <c r="K2699" s="15" t="s">
        <v>903</v>
      </c>
      <c r="L2699" s="15" t="s">
        <v>2673</v>
      </c>
      <c r="M2699" s="15" t="s">
        <v>2672</v>
      </c>
      <c r="N2699" s="15" t="s">
        <v>2673</v>
      </c>
      <c r="O2699" s="15"/>
    </row>
    <row r="2700" spans="1:15" ht="18" customHeight="1" x14ac:dyDescent="0.3">
      <c r="A2700" s="29">
        <v>2699</v>
      </c>
      <c r="B2700" s="15" t="s">
        <v>96</v>
      </c>
      <c r="C2700" s="15" t="s">
        <v>107</v>
      </c>
      <c r="D2700" s="69">
        <v>173</v>
      </c>
      <c r="E2700" s="68" t="s">
        <v>1040</v>
      </c>
      <c r="F2700" s="21" t="s">
        <v>2338</v>
      </c>
      <c r="G2700" s="15" t="s">
        <v>2673</v>
      </c>
      <c r="H2700" s="15" t="s">
        <v>904</v>
      </c>
      <c r="I2700" s="69">
        <v>35</v>
      </c>
      <c r="J2700" s="15" t="s">
        <v>2672</v>
      </c>
      <c r="K2700" s="15" t="s">
        <v>903</v>
      </c>
      <c r="L2700" s="15" t="s">
        <v>2673</v>
      </c>
      <c r="M2700" s="15" t="s">
        <v>2672</v>
      </c>
      <c r="N2700" s="15" t="s">
        <v>2673</v>
      </c>
      <c r="O2700" s="15"/>
    </row>
    <row r="2701" spans="1:15" ht="18" customHeight="1" x14ac:dyDescent="0.3">
      <c r="A2701" s="29">
        <v>2700</v>
      </c>
      <c r="B2701" s="15" t="s">
        <v>2342</v>
      </c>
      <c r="C2701" s="15" t="s">
        <v>3005</v>
      </c>
      <c r="D2701" s="69">
        <v>174</v>
      </c>
      <c r="E2701" s="68" t="s">
        <v>2344</v>
      </c>
      <c r="F2701" s="24" t="s">
        <v>2345</v>
      </c>
      <c r="G2701" s="15" t="s">
        <v>1553</v>
      </c>
      <c r="H2701" s="15" t="s">
        <v>2685</v>
      </c>
      <c r="I2701" s="69">
        <v>54</v>
      </c>
      <c r="J2701" s="15" t="s">
        <v>2672</v>
      </c>
      <c r="K2701" s="15" t="s">
        <v>903</v>
      </c>
      <c r="L2701" s="15" t="s">
        <v>2673</v>
      </c>
      <c r="M2701" s="15" t="s">
        <v>2672</v>
      </c>
      <c r="N2701" s="15" t="s">
        <v>2673</v>
      </c>
      <c r="O2701" s="15"/>
    </row>
    <row r="2702" spans="1:15" ht="18" customHeight="1" x14ac:dyDescent="0.3">
      <c r="A2702" s="29">
        <v>2701</v>
      </c>
      <c r="B2702" s="15" t="s">
        <v>2342</v>
      </c>
      <c r="C2702" s="15" t="s">
        <v>3005</v>
      </c>
      <c r="D2702" s="69">
        <v>174</v>
      </c>
      <c r="E2702" s="68" t="s">
        <v>2344</v>
      </c>
      <c r="F2702" s="24" t="s">
        <v>2345</v>
      </c>
      <c r="G2702" s="15" t="s">
        <v>1553</v>
      </c>
      <c r="H2702" s="15" t="s">
        <v>2678</v>
      </c>
      <c r="I2702" s="69">
        <v>108</v>
      </c>
      <c r="J2702" s="15" t="s">
        <v>2672</v>
      </c>
      <c r="K2702" s="15" t="s">
        <v>903</v>
      </c>
      <c r="L2702" s="15" t="s">
        <v>2673</v>
      </c>
      <c r="M2702" s="15" t="s">
        <v>2672</v>
      </c>
      <c r="N2702" s="15" t="s">
        <v>2673</v>
      </c>
      <c r="O2702" s="15"/>
    </row>
    <row r="2703" spans="1:15" ht="18" customHeight="1" x14ac:dyDescent="0.3">
      <c r="A2703" s="29">
        <v>2702</v>
      </c>
      <c r="B2703" s="15" t="s">
        <v>2342</v>
      </c>
      <c r="C2703" s="15" t="s">
        <v>3005</v>
      </c>
      <c r="D2703" s="69">
        <v>174</v>
      </c>
      <c r="E2703" s="68" t="s">
        <v>2344</v>
      </c>
      <c r="F2703" s="24" t="s">
        <v>2345</v>
      </c>
      <c r="G2703" s="15" t="s">
        <v>1553</v>
      </c>
      <c r="H2703" s="15" t="s">
        <v>2679</v>
      </c>
      <c r="I2703" s="69">
        <v>54</v>
      </c>
      <c r="J2703" s="15" t="s">
        <v>2672</v>
      </c>
      <c r="K2703" s="15" t="s">
        <v>903</v>
      </c>
      <c r="L2703" s="15" t="s">
        <v>2673</v>
      </c>
      <c r="M2703" s="15" t="s">
        <v>2672</v>
      </c>
      <c r="N2703" s="15" t="s">
        <v>2673</v>
      </c>
      <c r="O2703" s="15"/>
    </row>
    <row r="2704" spans="1:15" ht="18" customHeight="1" x14ac:dyDescent="0.3">
      <c r="A2704" s="29">
        <v>2703</v>
      </c>
      <c r="B2704" s="15" t="s">
        <v>2342</v>
      </c>
      <c r="C2704" s="15" t="s">
        <v>3005</v>
      </c>
      <c r="D2704" s="69">
        <v>174</v>
      </c>
      <c r="E2704" s="68" t="s">
        <v>2344</v>
      </c>
      <c r="F2704" s="24" t="s">
        <v>2345</v>
      </c>
      <c r="G2704" s="15" t="s">
        <v>1553</v>
      </c>
      <c r="H2704" s="15" t="s">
        <v>2680</v>
      </c>
      <c r="I2704" s="69">
        <v>108</v>
      </c>
      <c r="J2704" s="15" t="s">
        <v>2672</v>
      </c>
      <c r="K2704" s="15" t="s">
        <v>903</v>
      </c>
      <c r="L2704" s="15" t="s">
        <v>2673</v>
      </c>
      <c r="M2704" s="15" t="s">
        <v>2672</v>
      </c>
      <c r="N2704" s="15" t="s">
        <v>2673</v>
      </c>
      <c r="O2704" s="15"/>
    </row>
    <row r="2705" spans="1:15" ht="18" customHeight="1" x14ac:dyDescent="0.3">
      <c r="A2705" s="29">
        <v>2704</v>
      </c>
      <c r="B2705" s="15" t="s">
        <v>2342</v>
      </c>
      <c r="C2705" s="15" t="s">
        <v>3005</v>
      </c>
      <c r="D2705" s="69">
        <v>174</v>
      </c>
      <c r="E2705" s="68" t="s">
        <v>2344</v>
      </c>
      <c r="F2705" s="24" t="s">
        <v>2345</v>
      </c>
      <c r="G2705" s="15" t="s">
        <v>1553</v>
      </c>
      <c r="H2705" s="15" t="s">
        <v>2690</v>
      </c>
      <c r="I2705" s="69">
        <v>108</v>
      </c>
      <c r="J2705" s="15" t="s">
        <v>2672</v>
      </c>
      <c r="K2705" s="15" t="s">
        <v>903</v>
      </c>
      <c r="L2705" s="15" t="s">
        <v>2673</v>
      </c>
      <c r="M2705" s="15" t="s">
        <v>2672</v>
      </c>
      <c r="N2705" s="15" t="s">
        <v>2673</v>
      </c>
      <c r="O2705" s="15"/>
    </row>
    <row r="2706" spans="1:15" ht="18" customHeight="1" x14ac:dyDescent="0.3">
      <c r="A2706" s="29">
        <v>2705</v>
      </c>
      <c r="B2706" s="15" t="s">
        <v>2342</v>
      </c>
      <c r="C2706" s="15" t="s">
        <v>3005</v>
      </c>
      <c r="D2706" s="69">
        <v>174</v>
      </c>
      <c r="E2706" s="68" t="s">
        <v>2344</v>
      </c>
      <c r="F2706" s="24" t="s">
        <v>2345</v>
      </c>
      <c r="G2706" s="15" t="s">
        <v>1553</v>
      </c>
      <c r="H2706" s="15" t="s">
        <v>2682</v>
      </c>
      <c r="I2706" s="69">
        <v>174</v>
      </c>
      <c r="J2706" s="15" t="s">
        <v>2672</v>
      </c>
      <c r="K2706" s="15" t="s">
        <v>903</v>
      </c>
      <c r="L2706" s="15" t="s">
        <v>2673</v>
      </c>
      <c r="M2706" s="15" t="s">
        <v>2672</v>
      </c>
      <c r="N2706" s="15" t="s">
        <v>2673</v>
      </c>
      <c r="O2706" s="15"/>
    </row>
    <row r="2707" spans="1:15" ht="18" customHeight="1" x14ac:dyDescent="0.3">
      <c r="A2707" s="29">
        <v>2706</v>
      </c>
      <c r="B2707" s="15" t="s">
        <v>2342</v>
      </c>
      <c r="C2707" s="15" t="s">
        <v>3005</v>
      </c>
      <c r="D2707" s="69">
        <v>174</v>
      </c>
      <c r="E2707" s="68" t="s">
        <v>2344</v>
      </c>
      <c r="F2707" s="24" t="s">
        <v>2345</v>
      </c>
      <c r="G2707" s="15" t="s">
        <v>1553</v>
      </c>
      <c r="H2707" s="15" t="s">
        <v>2732</v>
      </c>
      <c r="I2707" s="69">
        <v>126</v>
      </c>
      <c r="J2707" s="15" t="s">
        <v>2674</v>
      </c>
      <c r="K2707" s="15" t="s">
        <v>903</v>
      </c>
      <c r="L2707" s="15" t="s">
        <v>2673</v>
      </c>
      <c r="M2707" s="15" t="s">
        <v>2672</v>
      </c>
      <c r="N2707" s="15" t="s">
        <v>2673</v>
      </c>
      <c r="O2707" s="15"/>
    </row>
    <row r="2708" spans="1:15" ht="18" customHeight="1" x14ac:dyDescent="0.3">
      <c r="A2708" s="29">
        <v>2707</v>
      </c>
      <c r="B2708" s="15" t="s">
        <v>108</v>
      </c>
      <c r="C2708" s="15" t="s">
        <v>109</v>
      </c>
      <c r="D2708" s="69">
        <v>174</v>
      </c>
      <c r="E2708" s="68" t="s">
        <v>2346</v>
      </c>
      <c r="F2708" s="63" t="s">
        <v>892</v>
      </c>
      <c r="G2708" s="15" t="s">
        <v>164</v>
      </c>
      <c r="H2708" s="15" t="s">
        <v>930</v>
      </c>
      <c r="I2708" s="13">
        <v>76</v>
      </c>
      <c r="J2708" s="15" t="s">
        <v>2674</v>
      </c>
      <c r="K2708" s="15" t="s">
        <v>903</v>
      </c>
      <c r="L2708" s="15" t="s">
        <v>2673</v>
      </c>
      <c r="M2708" s="15" t="s">
        <v>2672</v>
      </c>
      <c r="N2708" s="15" t="s">
        <v>2673</v>
      </c>
      <c r="O2708" s="15"/>
    </row>
    <row r="2709" spans="1:15" ht="18" customHeight="1" x14ac:dyDescent="0.3">
      <c r="A2709" s="29">
        <v>2708</v>
      </c>
      <c r="B2709" s="15" t="s">
        <v>108</v>
      </c>
      <c r="C2709" s="15" t="s">
        <v>109</v>
      </c>
      <c r="D2709" s="69">
        <v>174</v>
      </c>
      <c r="E2709" s="68" t="s">
        <v>2346</v>
      </c>
      <c r="F2709" s="63" t="s">
        <v>892</v>
      </c>
      <c r="G2709" s="15" t="s">
        <v>164</v>
      </c>
      <c r="H2709" s="15" t="s">
        <v>3006</v>
      </c>
      <c r="I2709" s="13">
        <v>228</v>
      </c>
      <c r="J2709" s="15" t="s">
        <v>2674</v>
      </c>
      <c r="K2709" s="15" t="s">
        <v>903</v>
      </c>
      <c r="L2709" s="15" t="s">
        <v>2673</v>
      </c>
      <c r="M2709" s="15" t="s">
        <v>2672</v>
      </c>
      <c r="N2709" s="15" t="s">
        <v>2673</v>
      </c>
      <c r="O2709" s="15"/>
    </row>
    <row r="2710" spans="1:15" ht="18" customHeight="1" x14ac:dyDescent="0.3">
      <c r="A2710" s="29">
        <v>2709</v>
      </c>
      <c r="B2710" s="15" t="s">
        <v>108</v>
      </c>
      <c r="C2710" s="15" t="s">
        <v>109</v>
      </c>
      <c r="D2710" s="69">
        <v>174</v>
      </c>
      <c r="E2710" s="68" t="s">
        <v>2346</v>
      </c>
      <c r="F2710" s="63" t="s">
        <v>892</v>
      </c>
      <c r="G2710" s="15" t="s">
        <v>164</v>
      </c>
      <c r="H2710" s="15" t="s">
        <v>3007</v>
      </c>
      <c r="I2710" s="13">
        <v>184</v>
      </c>
      <c r="J2710" s="15" t="s">
        <v>2674</v>
      </c>
      <c r="K2710" s="15" t="s">
        <v>903</v>
      </c>
      <c r="L2710" s="15" t="s">
        <v>2673</v>
      </c>
      <c r="M2710" s="15" t="s">
        <v>2672</v>
      </c>
      <c r="N2710" s="15" t="s">
        <v>2673</v>
      </c>
      <c r="O2710" s="15"/>
    </row>
    <row r="2711" spans="1:15" ht="18" customHeight="1" x14ac:dyDescent="0.3">
      <c r="A2711" s="29">
        <v>2710</v>
      </c>
      <c r="B2711" s="15" t="s">
        <v>108</v>
      </c>
      <c r="C2711" s="15" t="s">
        <v>109</v>
      </c>
      <c r="D2711" s="69">
        <v>174</v>
      </c>
      <c r="E2711" s="68" t="s">
        <v>2346</v>
      </c>
      <c r="F2711" s="63" t="s">
        <v>892</v>
      </c>
      <c r="G2711" s="15" t="s">
        <v>164</v>
      </c>
      <c r="H2711" s="15" t="s">
        <v>3008</v>
      </c>
      <c r="I2711" s="13">
        <v>108</v>
      </c>
      <c r="J2711" s="15" t="s">
        <v>2674</v>
      </c>
      <c r="K2711" s="15" t="s">
        <v>903</v>
      </c>
      <c r="L2711" s="15" t="s">
        <v>2673</v>
      </c>
      <c r="M2711" s="15" t="s">
        <v>2672</v>
      </c>
      <c r="N2711" s="15" t="s">
        <v>2673</v>
      </c>
      <c r="O2711" s="15"/>
    </row>
    <row r="2712" spans="1:15" ht="18" customHeight="1" x14ac:dyDescent="0.3">
      <c r="A2712" s="29">
        <v>2711</v>
      </c>
      <c r="B2712" s="15" t="s">
        <v>108</v>
      </c>
      <c r="C2712" s="15" t="s">
        <v>109</v>
      </c>
      <c r="D2712" s="69">
        <v>174</v>
      </c>
      <c r="E2712" s="68" t="s">
        <v>2346</v>
      </c>
      <c r="F2712" s="63" t="s">
        <v>892</v>
      </c>
      <c r="G2712" s="15" t="s">
        <v>164</v>
      </c>
      <c r="H2712" s="15" t="s">
        <v>3009</v>
      </c>
      <c r="I2712" s="13">
        <v>90</v>
      </c>
      <c r="J2712" s="15" t="s">
        <v>2672</v>
      </c>
      <c r="K2712" s="15" t="s">
        <v>903</v>
      </c>
      <c r="L2712" s="15" t="s">
        <v>2673</v>
      </c>
      <c r="M2712" s="15" t="s">
        <v>2672</v>
      </c>
      <c r="N2712" s="15" t="s">
        <v>2673</v>
      </c>
      <c r="O2712" s="15"/>
    </row>
    <row r="2713" spans="1:15" ht="18" customHeight="1" x14ac:dyDescent="0.3">
      <c r="A2713" s="29">
        <v>2712</v>
      </c>
      <c r="B2713" s="15" t="s">
        <v>108</v>
      </c>
      <c r="C2713" s="15" t="s">
        <v>109</v>
      </c>
      <c r="D2713" s="69">
        <v>174</v>
      </c>
      <c r="E2713" s="68" t="s">
        <v>2346</v>
      </c>
      <c r="F2713" s="63" t="s">
        <v>892</v>
      </c>
      <c r="G2713" s="15" t="s">
        <v>164</v>
      </c>
      <c r="H2713" s="15" t="s">
        <v>3010</v>
      </c>
      <c r="I2713" s="13">
        <v>120</v>
      </c>
      <c r="J2713" s="15" t="s">
        <v>2672</v>
      </c>
      <c r="K2713" s="15" t="s">
        <v>903</v>
      </c>
      <c r="L2713" s="15" t="s">
        <v>2673</v>
      </c>
      <c r="M2713" s="15" t="s">
        <v>2672</v>
      </c>
      <c r="N2713" s="15" t="s">
        <v>2673</v>
      </c>
      <c r="O2713" s="15"/>
    </row>
    <row r="2714" spans="1:15" ht="18" customHeight="1" x14ac:dyDescent="0.3">
      <c r="A2714" s="29">
        <v>2713</v>
      </c>
      <c r="B2714" s="15" t="s">
        <v>108</v>
      </c>
      <c r="C2714" s="15" t="s">
        <v>109</v>
      </c>
      <c r="D2714" s="69">
        <v>174</v>
      </c>
      <c r="E2714" s="68" t="s">
        <v>2346</v>
      </c>
      <c r="F2714" s="63" t="s">
        <v>892</v>
      </c>
      <c r="G2714" s="15" t="s">
        <v>164</v>
      </c>
      <c r="H2714" s="15" t="s">
        <v>3011</v>
      </c>
      <c r="I2714" s="13">
        <v>120</v>
      </c>
      <c r="J2714" s="15" t="s">
        <v>2674</v>
      </c>
      <c r="K2714" s="15" t="s">
        <v>903</v>
      </c>
      <c r="L2714" s="15" t="s">
        <v>2673</v>
      </c>
      <c r="M2714" s="15" t="s">
        <v>2672</v>
      </c>
      <c r="N2714" s="15" t="s">
        <v>2673</v>
      </c>
      <c r="O2714" s="15"/>
    </row>
    <row r="2715" spans="1:15" ht="18" customHeight="1" x14ac:dyDescent="0.3">
      <c r="A2715" s="29">
        <v>2714</v>
      </c>
      <c r="B2715" s="15" t="s">
        <v>108</v>
      </c>
      <c r="C2715" s="15" t="s">
        <v>109</v>
      </c>
      <c r="D2715" s="69">
        <v>174</v>
      </c>
      <c r="E2715" s="68" t="s">
        <v>2346</v>
      </c>
      <c r="F2715" s="63" t="s">
        <v>892</v>
      </c>
      <c r="G2715" s="15" t="s">
        <v>164</v>
      </c>
      <c r="H2715" s="15" t="s">
        <v>2967</v>
      </c>
      <c r="I2715" s="13">
        <v>132</v>
      </c>
      <c r="J2715" s="15" t="s">
        <v>2674</v>
      </c>
      <c r="K2715" s="15" t="s">
        <v>903</v>
      </c>
      <c r="L2715" s="15" t="s">
        <v>2673</v>
      </c>
      <c r="M2715" s="15" t="s">
        <v>2672</v>
      </c>
      <c r="N2715" s="15" t="s">
        <v>2673</v>
      </c>
      <c r="O2715" s="15"/>
    </row>
    <row r="2716" spans="1:15" ht="18" customHeight="1" x14ac:dyDescent="0.3">
      <c r="A2716" s="29">
        <v>2715</v>
      </c>
      <c r="B2716" s="15" t="s">
        <v>2342</v>
      </c>
      <c r="C2716" s="15" t="s">
        <v>2343</v>
      </c>
      <c r="D2716" s="69">
        <v>174</v>
      </c>
      <c r="E2716" s="68" t="s">
        <v>2347</v>
      </c>
      <c r="F2716" s="51" t="s">
        <v>2348</v>
      </c>
      <c r="G2716" s="29" t="s">
        <v>1553</v>
      </c>
      <c r="H2716" s="15" t="s">
        <v>2685</v>
      </c>
      <c r="I2716" s="69">
        <v>93</v>
      </c>
      <c r="J2716" s="13" t="s">
        <v>2672</v>
      </c>
      <c r="K2716" s="15" t="s">
        <v>2674</v>
      </c>
      <c r="L2716" s="15" t="s">
        <v>2525</v>
      </c>
      <c r="M2716" s="15" t="s">
        <v>2672</v>
      </c>
      <c r="N2716" s="15" t="s">
        <v>2673</v>
      </c>
      <c r="O2716" s="15"/>
    </row>
    <row r="2717" spans="1:15" ht="18" customHeight="1" x14ac:dyDescent="0.3">
      <c r="A2717" s="29">
        <v>2716</v>
      </c>
      <c r="B2717" s="15" t="s">
        <v>2342</v>
      </c>
      <c r="C2717" s="15" t="s">
        <v>2343</v>
      </c>
      <c r="D2717" s="69">
        <v>174</v>
      </c>
      <c r="E2717" s="68" t="s">
        <v>2347</v>
      </c>
      <c r="F2717" s="51" t="s">
        <v>2348</v>
      </c>
      <c r="G2717" s="29" t="s">
        <v>1553</v>
      </c>
      <c r="H2717" s="15" t="s">
        <v>2678</v>
      </c>
      <c r="I2717" s="69">
        <v>100</v>
      </c>
      <c r="J2717" s="13" t="s">
        <v>2672</v>
      </c>
      <c r="K2717" s="15" t="s">
        <v>2674</v>
      </c>
      <c r="L2717" s="15" t="s">
        <v>2525</v>
      </c>
      <c r="M2717" s="15" t="s">
        <v>2672</v>
      </c>
      <c r="N2717" s="15" t="s">
        <v>2673</v>
      </c>
      <c r="O2717" s="15"/>
    </row>
    <row r="2718" spans="1:15" ht="18" customHeight="1" x14ac:dyDescent="0.3">
      <c r="A2718" s="29">
        <v>2717</v>
      </c>
      <c r="B2718" s="15" t="s">
        <v>2342</v>
      </c>
      <c r="C2718" s="15" t="s">
        <v>2343</v>
      </c>
      <c r="D2718" s="69">
        <v>174</v>
      </c>
      <c r="E2718" s="68" t="s">
        <v>2347</v>
      </c>
      <c r="F2718" s="51" t="s">
        <v>2348</v>
      </c>
      <c r="G2718" s="29" t="s">
        <v>1553</v>
      </c>
      <c r="H2718" s="15" t="s">
        <v>2679</v>
      </c>
      <c r="I2718" s="69">
        <v>149</v>
      </c>
      <c r="J2718" s="13" t="s">
        <v>2672</v>
      </c>
      <c r="K2718" s="15" t="s">
        <v>2674</v>
      </c>
      <c r="L2718" s="15" t="s">
        <v>2525</v>
      </c>
      <c r="M2718" s="15" t="s">
        <v>2672</v>
      </c>
      <c r="N2718" s="15" t="s">
        <v>2673</v>
      </c>
      <c r="O2718" s="15"/>
    </row>
    <row r="2719" spans="1:15" ht="18" customHeight="1" x14ac:dyDescent="0.3">
      <c r="A2719" s="29">
        <v>2718</v>
      </c>
      <c r="B2719" s="15" t="s">
        <v>2342</v>
      </c>
      <c r="C2719" s="15" t="s">
        <v>2343</v>
      </c>
      <c r="D2719" s="69">
        <v>174</v>
      </c>
      <c r="E2719" s="68" t="s">
        <v>2347</v>
      </c>
      <c r="F2719" s="51" t="s">
        <v>2348</v>
      </c>
      <c r="G2719" s="29" t="s">
        <v>1553</v>
      </c>
      <c r="H2719" s="15" t="s">
        <v>2680</v>
      </c>
      <c r="I2719" s="69">
        <v>93</v>
      </c>
      <c r="J2719" s="13" t="s">
        <v>2672</v>
      </c>
      <c r="K2719" s="15" t="s">
        <v>2674</v>
      </c>
      <c r="L2719" s="15" t="s">
        <v>2525</v>
      </c>
      <c r="M2719" s="15" t="s">
        <v>2672</v>
      </c>
      <c r="N2719" s="15" t="s">
        <v>2673</v>
      </c>
      <c r="O2719" s="15"/>
    </row>
    <row r="2720" spans="1:15" ht="18" customHeight="1" x14ac:dyDescent="0.3">
      <c r="A2720" s="29">
        <v>2719</v>
      </c>
      <c r="B2720" s="15" t="s">
        <v>2342</v>
      </c>
      <c r="C2720" s="15" t="s">
        <v>2343</v>
      </c>
      <c r="D2720" s="69">
        <v>174</v>
      </c>
      <c r="E2720" s="68" t="s">
        <v>2347</v>
      </c>
      <c r="F2720" s="51" t="s">
        <v>2348</v>
      </c>
      <c r="G2720" s="29" t="s">
        <v>1553</v>
      </c>
      <c r="H2720" s="15" t="s">
        <v>2690</v>
      </c>
      <c r="I2720" s="69">
        <v>93</v>
      </c>
      <c r="J2720" s="13" t="s">
        <v>2672</v>
      </c>
      <c r="K2720" s="15" t="s">
        <v>2674</v>
      </c>
      <c r="L2720" s="15" t="s">
        <v>2525</v>
      </c>
      <c r="M2720" s="15" t="s">
        <v>2672</v>
      </c>
      <c r="N2720" s="15" t="s">
        <v>2673</v>
      </c>
      <c r="O2720" s="15"/>
    </row>
    <row r="2721" spans="1:15" ht="18" customHeight="1" x14ac:dyDescent="0.3">
      <c r="A2721" s="29">
        <v>2720</v>
      </c>
      <c r="B2721" s="15" t="s">
        <v>2342</v>
      </c>
      <c r="C2721" s="15" t="s">
        <v>2343</v>
      </c>
      <c r="D2721" s="69">
        <v>174</v>
      </c>
      <c r="E2721" s="68" t="s">
        <v>2347</v>
      </c>
      <c r="F2721" s="51" t="s">
        <v>2348</v>
      </c>
      <c r="G2721" s="29" t="s">
        <v>1553</v>
      </c>
      <c r="H2721" s="15" t="s">
        <v>2682</v>
      </c>
      <c r="I2721" s="69">
        <v>74</v>
      </c>
      <c r="J2721" s="13" t="s">
        <v>2672</v>
      </c>
      <c r="K2721" s="15" t="s">
        <v>2674</v>
      </c>
      <c r="L2721" s="15" t="s">
        <v>2525</v>
      </c>
      <c r="M2721" s="15" t="s">
        <v>2672</v>
      </c>
      <c r="N2721" s="15" t="s">
        <v>2673</v>
      </c>
      <c r="O2721" s="15"/>
    </row>
    <row r="2722" spans="1:15" ht="18" customHeight="1" x14ac:dyDescent="0.3">
      <c r="A2722" s="29">
        <v>2721</v>
      </c>
      <c r="B2722" s="15" t="s">
        <v>2342</v>
      </c>
      <c r="C2722" s="15" t="s">
        <v>2343</v>
      </c>
      <c r="D2722" s="69">
        <v>174</v>
      </c>
      <c r="E2722" s="68" t="s">
        <v>2347</v>
      </c>
      <c r="F2722" s="51" t="s">
        <v>2348</v>
      </c>
      <c r="G2722" s="29" t="s">
        <v>1553</v>
      </c>
      <c r="H2722" s="15" t="s">
        <v>2732</v>
      </c>
      <c r="I2722" s="69">
        <v>84</v>
      </c>
      <c r="J2722" s="13" t="s">
        <v>2674</v>
      </c>
      <c r="K2722" s="15" t="s">
        <v>2674</v>
      </c>
      <c r="L2722" s="15" t="s">
        <v>2525</v>
      </c>
      <c r="M2722" s="15" t="s">
        <v>2672</v>
      </c>
      <c r="N2722" s="15" t="s">
        <v>2673</v>
      </c>
      <c r="O2722" s="15"/>
    </row>
    <row r="2723" spans="1:15" ht="18" customHeight="1" x14ac:dyDescent="0.3">
      <c r="A2723" s="29">
        <v>2722</v>
      </c>
      <c r="B2723" s="13" t="s">
        <v>108</v>
      </c>
      <c r="C2723" s="13" t="s">
        <v>2349</v>
      </c>
      <c r="D2723" s="13">
        <v>174</v>
      </c>
      <c r="E2723" s="36" t="s">
        <v>2350</v>
      </c>
      <c r="F2723" s="24" t="s">
        <v>2351</v>
      </c>
      <c r="G2723" s="13" t="s">
        <v>2867</v>
      </c>
      <c r="H2723" s="91" t="s">
        <v>2685</v>
      </c>
      <c r="I2723" s="144">
        <v>98</v>
      </c>
      <c r="J2723" s="15" t="s">
        <v>2672</v>
      </c>
      <c r="K2723" s="15" t="s">
        <v>903</v>
      </c>
      <c r="L2723" s="15" t="s">
        <v>2673</v>
      </c>
      <c r="M2723" s="15" t="s">
        <v>2674</v>
      </c>
      <c r="N2723" s="15" t="s">
        <v>1508</v>
      </c>
      <c r="O2723" s="15"/>
    </row>
    <row r="2724" spans="1:15" ht="18" customHeight="1" x14ac:dyDescent="0.3">
      <c r="A2724" s="29">
        <v>2723</v>
      </c>
      <c r="B2724" s="15" t="s">
        <v>108</v>
      </c>
      <c r="C2724" s="15" t="s">
        <v>109</v>
      </c>
      <c r="D2724" s="69">
        <v>174</v>
      </c>
      <c r="E2724" s="68" t="s">
        <v>269</v>
      </c>
      <c r="F2724" s="21" t="s">
        <v>773</v>
      </c>
      <c r="G2724" s="15" t="s">
        <v>154</v>
      </c>
      <c r="H2724" s="15" t="s">
        <v>901</v>
      </c>
      <c r="I2724" s="69">
        <v>197</v>
      </c>
      <c r="J2724" s="13" t="s">
        <v>902</v>
      </c>
      <c r="K2724" s="15" t="s">
        <v>903</v>
      </c>
      <c r="L2724" s="15" t="s">
        <v>2673</v>
      </c>
      <c r="M2724" s="15" t="s">
        <v>2672</v>
      </c>
      <c r="N2724" s="15" t="s">
        <v>2673</v>
      </c>
      <c r="O2724" s="15"/>
    </row>
    <row r="2725" spans="1:15" ht="18" customHeight="1" x14ac:dyDescent="0.3">
      <c r="A2725" s="29">
        <v>2724</v>
      </c>
      <c r="B2725" s="15" t="s">
        <v>108</v>
      </c>
      <c r="C2725" s="15" t="s">
        <v>109</v>
      </c>
      <c r="D2725" s="69">
        <v>174</v>
      </c>
      <c r="E2725" s="68" t="s">
        <v>269</v>
      </c>
      <c r="F2725" s="21" t="s">
        <v>773</v>
      </c>
      <c r="G2725" s="15" t="s">
        <v>154</v>
      </c>
      <c r="H2725" s="15" t="s">
        <v>904</v>
      </c>
      <c r="I2725" s="69">
        <v>213</v>
      </c>
      <c r="J2725" s="13" t="s">
        <v>2672</v>
      </c>
      <c r="K2725" s="15" t="s">
        <v>903</v>
      </c>
      <c r="L2725" s="15" t="s">
        <v>2673</v>
      </c>
      <c r="M2725" s="15" t="s">
        <v>2672</v>
      </c>
      <c r="N2725" s="15" t="s">
        <v>2673</v>
      </c>
      <c r="O2725" s="15"/>
    </row>
    <row r="2726" spans="1:15" ht="18" customHeight="1" x14ac:dyDescent="0.3">
      <c r="A2726" s="29">
        <v>2725</v>
      </c>
      <c r="B2726" s="15" t="s">
        <v>108</v>
      </c>
      <c r="C2726" s="15" t="s">
        <v>109</v>
      </c>
      <c r="D2726" s="69">
        <v>174</v>
      </c>
      <c r="E2726" s="68" t="s">
        <v>269</v>
      </c>
      <c r="F2726" s="21" t="s">
        <v>773</v>
      </c>
      <c r="G2726" s="15" t="s">
        <v>154</v>
      </c>
      <c r="H2726" s="15" t="s">
        <v>2679</v>
      </c>
      <c r="I2726" s="69">
        <v>180</v>
      </c>
      <c r="J2726" s="13" t="s">
        <v>902</v>
      </c>
      <c r="K2726" s="15" t="s">
        <v>903</v>
      </c>
      <c r="L2726" s="15" t="s">
        <v>2673</v>
      </c>
      <c r="M2726" s="15" t="s">
        <v>2672</v>
      </c>
      <c r="N2726" s="15" t="s">
        <v>2673</v>
      </c>
      <c r="O2726" s="15"/>
    </row>
    <row r="2727" spans="1:15" ht="18" customHeight="1" x14ac:dyDescent="0.3">
      <c r="A2727" s="29">
        <v>2726</v>
      </c>
      <c r="B2727" s="15" t="s">
        <v>108</v>
      </c>
      <c r="C2727" s="15" t="s">
        <v>109</v>
      </c>
      <c r="D2727" s="69">
        <v>174</v>
      </c>
      <c r="E2727" s="68" t="s">
        <v>269</v>
      </c>
      <c r="F2727" s="21" t="s">
        <v>773</v>
      </c>
      <c r="G2727" s="15" t="s">
        <v>154</v>
      </c>
      <c r="H2727" s="15" t="s">
        <v>906</v>
      </c>
      <c r="I2727" s="69">
        <v>147</v>
      </c>
      <c r="J2727" s="13" t="s">
        <v>902</v>
      </c>
      <c r="K2727" s="15" t="s">
        <v>903</v>
      </c>
      <c r="L2727" s="15" t="s">
        <v>2673</v>
      </c>
      <c r="M2727" s="15" t="s">
        <v>2672</v>
      </c>
      <c r="N2727" s="15" t="s">
        <v>2673</v>
      </c>
      <c r="O2727" s="15"/>
    </row>
    <row r="2728" spans="1:15" ht="18" customHeight="1" x14ac:dyDescent="0.3">
      <c r="A2728" s="29">
        <v>2727</v>
      </c>
      <c r="B2728" s="15" t="s">
        <v>108</v>
      </c>
      <c r="C2728" s="15" t="s">
        <v>109</v>
      </c>
      <c r="D2728" s="69">
        <v>174</v>
      </c>
      <c r="E2728" s="68" t="s">
        <v>269</v>
      </c>
      <c r="F2728" s="21" t="s">
        <v>773</v>
      </c>
      <c r="G2728" s="15" t="s">
        <v>154</v>
      </c>
      <c r="H2728" s="15" t="s">
        <v>907</v>
      </c>
      <c r="I2728" s="69">
        <v>156</v>
      </c>
      <c r="J2728" s="13" t="s">
        <v>2672</v>
      </c>
      <c r="K2728" s="15" t="s">
        <v>903</v>
      </c>
      <c r="L2728" s="15" t="s">
        <v>2673</v>
      </c>
      <c r="M2728" s="15" t="s">
        <v>2672</v>
      </c>
      <c r="N2728" s="15" t="s">
        <v>2673</v>
      </c>
      <c r="O2728" s="15"/>
    </row>
    <row r="2729" spans="1:15" ht="18" customHeight="1" x14ac:dyDescent="0.3">
      <c r="A2729" s="29">
        <v>2728</v>
      </c>
      <c r="B2729" s="15" t="s">
        <v>108</v>
      </c>
      <c r="C2729" s="15" t="s">
        <v>109</v>
      </c>
      <c r="D2729" s="69">
        <v>174</v>
      </c>
      <c r="E2729" s="68" t="s">
        <v>269</v>
      </c>
      <c r="F2729" s="21" t="s">
        <v>773</v>
      </c>
      <c r="G2729" s="15" t="s">
        <v>154</v>
      </c>
      <c r="H2729" s="15" t="s">
        <v>908</v>
      </c>
      <c r="I2729" s="69">
        <v>147</v>
      </c>
      <c r="J2729" s="13" t="s">
        <v>2672</v>
      </c>
      <c r="K2729" s="15" t="s">
        <v>903</v>
      </c>
      <c r="L2729" s="15" t="s">
        <v>2673</v>
      </c>
      <c r="M2729" s="15" t="s">
        <v>2672</v>
      </c>
      <c r="N2729" s="15" t="s">
        <v>2673</v>
      </c>
      <c r="O2729" s="15"/>
    </row>
    <row r="2730" spans="1:15" ht="18" customHeight="1" x14ac:dyDescent="0.3">
      <c r="A2730" s="29">
        <v>2729</v>
      </c>
      <c r="B2730" s="15" t="s">
        <v>108</v>
      </c>
      <c r="C2730" s="15" t="s">
        <v>109</v>
      </c>
      <c r="D2730" s="69">
        <v>174</v>
      </c>
      <c r="E2730" s="68" t="s">
        <v>3012</v>
      </c>
      <c r="F2730" s="21" t="s">
        <v>772</v>
      </c>
      <c r="G2730" s="15" t="s">
        <v>154</v>
      </c>
      <c r="H2730" s="15" t="s">
        <v>901</v>
      </c>
      <c r="I2730" s="69">
        <v>212</v>
      </c>
      <c r="J2730" s="13" t="s">
        <v>2672</v>
      </c>
      <c r="K2730" s="15" t="s">
        <v>903</v>
      </c>
      <c r="L2730" s="15" t="s">
        <v>2673</v>
      </c>
      <c r="M2730" s="15" t="s">
        <v>2672</v>
      </c>
      <c r="N2730" s="15" t="s">
        <v>2673</v>
      </c>
      <c r="O2730" s="15"/>
    </row>
    <row r="2731" spans="1:15" ht="18" customHeight="1" x14ac:dyDescent="0.3">
      <c r="A2731" s="29">
        <v>2730</v>
      </c>
      <c r="B2731" s="15" t="s">
        <v>108</v>
      </c>
      <c r="C2731" s="15" t="s">
        <v>109</v>
      </c>
      <c r="D2731" s="69">
        <v>174</v>
      </c>
      <c r="E2731" s="68" t="s">
        <v>3012</v>
      </c>
      <c r="F2731" s="21" t="s">
        <v>772</v>
      </c>
      <c r="G2731" s="15" t="s">
        <v>154</v>
      </c>
      <c r="H2731" s="15" t="s">
        <v>904</v>
      </c>
      <c r="I2731" s="69">
        <v>174</v>
      </c>
      <c r="J2731" s="13" t="s">
        <v>902</v>
      </c>
      <c r="K2731" s="15" t="s">
        <v>903</v>
      </c>
      <c r="L2731" s="15" t="s">
        <v>2673</v>
      </c>
      <c r="M2731" s="15" t="s">
        <v>2672</v>
      </c>
      <c r="N2731" s="15" t="s">
        <v>2673</v>
      </c>
      <c r="O2731" s="15"/>
    </row>
    <row r="2732" spans="1:15" ht="18" customHeight="1" x14ac:dyDescent="0.3">
      <c r="A2732" s="29">
        <v>2731</v>
      </c>
      <c r="B2732" s="15" t="s">
        <v>108</v>
      </c>
      <c r="C2732" s="15" t="s">
        <v>109</v>
      </c>
      <c r="D2732" s="69">
        <v>174</v>
      </c>
      <c r="E2732" s="68" t="s">
        <v>3012</v>
      </c>
      <c r="F2732" s="21" t="s">
        <v>772</v>
      </c>
      <c r="G2732" s="15" t="s">
        <v>154</v>
      </c>
      <c r="H2732" s="15" t="s">
        <v>905</v>
      </c>
      <c r="I2732" s="69">
        <v>105</v>
      </c>
      <c r="J2732" s="13" t="s">
        <v>902</v>
      </c>
      <c r="K2732" s="15" t="s">
        <v>903</v>
      </c>
      <c r="L2732" s="15" t="s">
        <v>2673</v>
      </c>
      <c r="M2732" s="15" t="s">
        <v>2672</v>
      </c>
      <c r="N2732" s="15" t="s">
        <v>2673</v>
      </c>
      <c r="O2732" s="15"/>
    </row>
    <row r="2733" spans="1:15" ht="18" customHeight="1" x14ac:dyDescent="0.3">
      <c r="A2733" s="29">
        <v>2732</v>
      </c>
      <c r="B2733" s="15" t="s">
        <v>108</v>
      </c>
      <c r="C2733" s="15" t="s">
        <v>109</v>
      </c>
      <c r="D2733" s="69">
        <v>174</v>
      </c>
      <c r="E2733" s="68" t="s">
        <v>3012</v>
      </c>
      <c r="F2733" s="21" t="s">
        <v>772</v>
      </c>
      <c r="G2733" s="15" t="s">
        <v>154</v>
      </c>
      <c r="H2733" s="15" t="s">
        <v>906</v>
      </c>
      <c r="I2733" s="69">
        <v>174</v>
      </c>
      <c r="J2733" s="13" t="s">
        <v>2672</v>
      </c>
      <c r="K2733" s="15" t="s">
        <v>903</v>
      </c>
      <c r="L2733" s="15" t="s">
        <v>2673</v>
      </c>
      <c r="M2733" s="15" t="s">
        <v>2672</v>
      </c>
      <c r="N2733" s="15" t="s">
        <v>2673</v>
      </c>
      <c r="O2733" s="15"/>
    </row>
    <row r="2734" spans="1:15" ht="18" customHeight="1" x14ac:dyDescent="0.3">
      <c r="A2734" s="29">
        <v>2733</v>
      </c>
      <c r="B2734" s="15" t="s">
        <v>108</v>
      </c>
      <c r="C2734" s="15" t="s">
        <v>109</v>
      </c>
      <c r="D2734" s="69">
        <v>174</v>
      </c>
      <c r="E2734" s="68" t="s">
        <v>3012</v>
      </c>
      <c r="F2734" s="21" t="s">
        <v>772</v>
      </c>
      <c r="G2734" s="15" t="s">
        <v>154</v>
      </c>
      <c r="H2734" s="15" t="s">
        <v>907</v>
      </c>
      <c r="I2734" s="69">
        <v>212</v>
      </c>
      <c r="J2734" s="13" t="s">
        <v>902</v>
      </c>
      <c r="K2734" s="15" t="s">
        <v>903</v>
      </c>
      <c r="L2734" s="15" t="s">
        <v>2673</v>
      </c>
      <c r="M2734" s="15" t="s">
        <v>2672</v>
      </c>
      <c r="N2734" s="15" t="s">
        <v>2673</v>
      </c>
      <c r="O2734" s="15"/>
    </row>
    <row r="2735" spans="1:15" ht="18" customHeight="1" x14ac:dyDescent="0.3">
      <c r="A2735" s="29">
        <v>2734</v>
      </c>
      <c r="B2735" s="15" t="s">
        <v>108</v>
      </c>
      <c r="C2735" s="15" t="s">
        <v>109</v>
      </c>
      <c r="D2735" s="69">
        <v>174</v>
      </c>
      <c r="E2735" s="68" t="s">
        <v>3012</v>
      </c>
      <c r="F2735" s="21" t="s">
        <v>772</v>
      </c>
      <c r="G2735" s="15" t="s">
        <v>154</v>
      </c>
      <c r="H2735" s="15" t="s">
        <v>908</v>
      </c>
      <c r="I2735" s="69">
        <v>335</v>
      </c>
      <c r="J2735" s="13" t="s">
        <v>902</v>
      </c>
      <c r="K2735" s="15" t="s">
        <v>903</v>
      </c>
      <c r="L2735" s="15" t="s">
        <v>2673</v>
      </c>
      <c r="M2735" s="15" t="s">
        <v>2672</v>
      </c>
      <c r="N2735" s="15" t="s">
        <v>2673</v>
      </c>
      <c r="O2735" s="15"/>
    </row>
    <row r="2736" spans="1:15" ht="18" customHeight="1" x14ac:dyDescent="0.3">
      <c r="A2736" s="29">
        <v>2735</v>
      </c>
      <c r="B2736" s="15" t="s">
        <v>108</v>
      </c>
      <c r="C2736" s="15" t="s">
        <v>109</v>
      </c>
      <c r="D2736" s="69">
        <v>174</v>
      </c>
      <c r="E2736" s="68" t="s">
        <v>3012</v>
      </c>
      <c r="F2736" s="21" t="s">
        <v>772</v>
      </c>
      <c r="G2736" s="15" t="s">
        <v>154</v>
      </c>
      <c r="H2736" s="15" t="s">
        <v>909</v>
      </c>
      <c r="I2736" s="69">
        <v>105</v>
      </c>
      <c r="J2736" s="13" t="s">
        <v>2672</v>
      </c>
      <c r="K2736" s="15" t="s">
        <v>903</v>
      </c>
      <c r="L2736" s="15" t="s">
        <v>2673</v>
      </c>
      <c r="M2736" s="15" t="s">
        <v>2672</v>
      </c>
      <c r="N2736" s="15" t="s">
        <v>2673</v>
      </c>
      <c r="O2736" s="15"/>
    </row>
    <row r="2737" spans="1:15" ht="18" customHeight="1" x14ac:dyDescent="0.3">
      <c r="A2737" s="29">
        <v>2736</v>
      </c>
      <c r="B2737" s="15" t="s">
        <v>108</v>
      </c>
      <c r="C2737" s="15" t="s">
        <v>109</v>
      </c>
      <c r="D2737" s="69">
        <v>174</v>
      </c>
      <c r="E2737" s="68" t="s">
        <v>3012</v>
      </c>
      <c r="F2737" s="21" t="s">
        <v>772</v>
      </c>
      <c r="G2737" s="15" t="s">
        <v>154</v>
      </c>
      <c r="H2737" s="15" t="s">
        <v>910</v>
      </c>
      <c r="I2737" s="69">
        <v>315</v>
      </c>
      <c r="J2737" s="13" t="s">
        <v>2672</v>
      </c>
      <c r="K2737" s="15" t="s">
        <v>903</v>
      </c>
      <c r="L2737" s="15" t="s">
        <v>2673</v>
      </c>
      <c r="M2737" s="15" t="s">
        <v>2672</v>
      </c>
      <c r="N2737" s="15" t="s">
        <v>2673</v>
      </c>
      <c r="O2737" s="15"/>
    </row>
    <row r="2738" spans="1:15" ht="18" customHeight="1" x14ac:dyDescent="0.3">
      <c r="A2738" s="29">
        <v>2737</v>
      </c>
      <c r="B2738" s="15" t="s">
        <v>108</v>
      </c>
      <c r="C2738" s="15" t="s">
        <v>109</v>
      </c>
      <c r="D2738" s="69">
        <v>174</v>
      </c>
      <c r="E2738" s="68" t="s">
        <v>3390</v>
      </c>
      <c r="F2738" s="24" t="s">
        <v>769</v>
      </c>
      <c r="G2738" s="15" t="s">
        <v>154</v>
      </c>
      <c r="H2738" s="15" t="s">
        <v>901</v>
      </c>
      <c r="I2738" s="69">
        <v>232</v>
      </c>
      <c r="J2738" s="15" t="s">
        <v>2674</v>
      </c>
      <c r="K2738" s="15" t="s">
        <v>903</v>
      </c>
      <c r="L2738" s="15" t="s">
        <v>2673</v>
      </c>
      <c r="M2738" s="15" t="s">
        <v>2672</v>
      </c>
      <c r="N2738" s="15" t="s">
        <v>2673</v>
      </c>
      <c r="O2738" s="15"/>
    </row>
    <row r="2739" spans="1:15" ht="18" customHeight="1" x14ac:dyDescent="0.3">
      <c r="A2739" s="29">
        <v>2738</v>
      </c>
      <c r="B2739" s="15" t="s">
        <v>108</v>
      </c>
      <c r="C2739" s="15" t="s">
        <v>109</v>
      </c>
      <c r="D2739" s="69">
        <v>174</v>
      </c>
      <c r="E2739" s="68" t="s">
        <v>3390</v>
      </c>
      <c r="F2739" s="24" t="s">
        <v>769</v>
      </c>
      <c r="G2739" s="15" t="s">
        <v>154</v>
      </c>
      <c r="H2739" s="15" t="s">
        <v>904</v>
      </c>
      <c r="I2739" s="69">
        <v>301</v>
      </c>
      <c r="J2739" s="15" t="s">
        <v>2674</v>
      </c>
      <c r="K2739" s="15" t="s">
        <v>903</v>
      </c>
      <c r="L2739" s="15" t="s">
        <v>2673</v>
      </c>
      <c r="M2739" s="15" t="s">
        <v>2672</v>
      </c>
      <c r="N2739" s="15" t="s">
        <v>2673</v>
      </c>
      <c r="O2739" s="15"/>
    </row>
    <row r="2740" spans="1:15" ht="18" customHeight="1" x14ac:dyDescent="0.3">
      <c r="A2740" s="29">
        <v>2739</v>
      </c>
      <c r="B2740" s="15" t="s">
        <v>108</v>
      </c>
      <c r="C2740" s="15" t="s">
        <v>109</v>
      </c>
      <c r="D2740" s="69">
        <v>174</v>
      </c>
      <c r="E2740" s="68" t="s">
        <v>3390</v>
      </c>
      <c r="F2740" s="24" t="s">
        <v>769</v>
      </c>
      <c r="G2740" s="15" t="s">
        <v>154</v>
      </c>
      <c r="H2740" s="15" t="s">
        <v>905</v>
      </c>
      <c r="I2740" s="69">
        <v>218</v>
      </c>
      <c r="J2740" s="15" t="s">
        <v>2672</v>
      </c>
      <c r="K2740" s="15" t="s">
        <v>903</v>
      </c>
      <c r="L2740" s="15" t="s">
        <v>2673</v>
      </c>
      <c r="M2740" s="15" t="s">
        <v>2672</v>
      </c>
      <c r="N2740" s="15" t="s">
        <v>2673</v>
      </c>
      <c r="O2740" s="15"/>
    </row>
    <row r="2741" spans="1:15" ht="18" customHeight="1" x14ac:dyDescent="0.3">
      <c r="A2741" s="29">
        <v>2740</v>
      </c>
      <c r="B2741" s="15" t="s">
        <v>108</v>
      </c>
      <c r="C2741" s="15" t="s">
        <v>109</v>
      </c>
      <c r="D2741" s="69">
        <v>174</v>
      </c>
      <c r="E2741" s="68" t="s">
        <v>3390</v>
      </c>
      <c r="F2741" s="24" t="s">
        <v>769</v>
      </c>
      <c r="G2741" s="15" t="s">
        <v>154</v>
      </c>
      <c r="H2741" s="15" t="s">
        <v>907</v>
      </c>
      <c r="I2741" s="69">
        <v>232</v>
      </c>
      <c r="J2741" s="15" t="s">
        <v>2672</v>
      </c>
      <c r="K2741" s="15" t="s">
        <v>903</v>
      </c>
      <c r="L2741" s="15" t="s">
        <v>2673</v>
      </c>
      <c r="M2741" s="15" t="s">
        <v>2672</v>
      </c>
      <c r="N2741" s="15" t="s">
        <v>2673</v>
      </c>
      <c r="O2741" s="15"/>
    </row>
    <row r="2742" spans="1:15" ht="18" customHeight="1" x14ac:dyDescent="0.3">
      <c r="A2742" s="29">
        <v>2741</v>
      </c>
      <c r="B2742" s="15" t="s">
        <v>108</v>
      </c>
      <c r="C2742" s="15" t="s">
        <v>109</v>
      </c>
      <c r="D2742" s="69">
        <v>174</v>
      </c>
      <c r="E2742" s="68" t="s">
        <v>3390</v>
      </c>
      <c r="F2742" s="24" t="s">
        <v>769</v>
      </c>
      <c r="G2742" s="15" t="s">
        <v>154</v>
      </c>
      <c r="H2742" s="15" t="s">
        <v>908</v>
      </c>
      <c r="I2742" s="69">
        <v>207</v>
      </c>
      <c r="J2742" s="15" t="s">
        <v>2674</v>
      </c>
      <c r="K2742" s="15" t="s">
        <v>903</v>
      </c>
      <c r="L2742" s="15" t="s">
        <v>2673</v>
      </c>
      <c r="M2742" s="15" t="s">
        <v>2672</v>
      </c>
      <c r="N2742" s="15" t="s">
        <v>2673</v>
      </c>
      <c r="O2742" s="15"/>
    </row>
    <row r="2743" spans="1:15" ht="18" customHeight="1" x14ac:dyDescent="0.3">
      <c r="A2743" s="29">
        <v>2742</v>
      </c>
      <c r="B2743" s="15" t="s">
        <v>108</v>
      </c>
      <c r="C2743" s="15" t="s">
        <v>109</v>
      </c>
      <c r="D2743" s="69">
        <v>174</v>
      </c>
      <c r="E2743" s="68" t="s">
        <v>3390</v>
      </c>
      <c r="F2743" s="24" t="s">
        <v>3013</v>
      </c>
      <c r="G2743" s="15" t="s">
        <v>154</v>
      </c>
      <c r="H2743" s="15" t="s">
        <v>906</v>
      </c>
      <c r="I2743" s="69">
        <v>232</v>
      </c>
      <c r="J2743" s="15" t="s">
        <v>2672</v>
      </c>
      <c r="K2743" s="15" t="s">
        <v>902</v>
      </c>
      <c r="L2743" s="15" t="s">
        <v>1069</v>
      </c>
      <c r="M2743" s="15" t="s">
        <v>2672</v>
      </c>
      <c r="N2743" s="15" t="s">
        <v>2673</v>
      </c>
      <c r="O2743" s="15"/>
    </row>
    <row r="2744" spans="1:15" ht="18" customHeight="1" x14ac:dyDescent="0.3">
      <c r="A2744" s="29">
        <v>2743</v>
      </c>
      <c r="B2744" s="15" t="s">
        <v>108</v>
      </c>
      <c r="C2744" s="15" t="s">
        <v>109</v>
      </c>
      <c r="D2744" s="69">
        <v>174</v>
      </c>
      <c r="E2744" s="68" t="s">
        <v>3390</v>
      </c>
      <c r="F2744" s="24" t="s">
        <v>3013</v>
      </c>
      <c r="G2744" s="15" t="s">
        <v>154</v>
      </c>
      <c r="H2744" s="15" t="s">
        <v>979</v>
      </c>
      <c r="I2744" s="69">
        <v>373</v>
      </c>
      <c r="J2744" s="15" t="s">
        <v>2674</v>
      </c>
      <c r="K2744" s="15" t="s">
        <v>902</v>
      </c>
      <c r="L2744" s="15" t="s">
        <v>2715</v>
      </c>
      <c r="M2744" s="15" t="s">
        <v>2672</v>
      </c>
      <c r="N2744" s="15" t="s">
        <v>2673</v>
      </c>
      <c r="O2744" s="15"/>
    </row>
    <row r="2745" spans="1:15" ht="18" customHeight="1" x14ac:dyDescent="0.3">
      <c r="A2745" s="29">
        <v>2744</v>
      </c>
      <c r="B2745" s="15" t="s">
        <v>108</v>
      </c>
      <c r="C2745" s="15" t="s">
        <v>109</v>
      </c>
      <c r="D2745" s="69">
        <v>174</v>
      </c>
      <c r="E2745" s="68" t="s">
        <v>3391</v>
      </c>
      <c r="F2745" s="24" t="s">
        <v>768</v>
      </c>
      <c r="G2745" s="15" t="s">
        <v>154</v>
      </c>
      <c r="H2745" s="15" t="s">
        <v>901</v>
      </c>
      <c r="I2745" s="69">
        <v>231</v>
      </c>
      <c r="J2745" s="15" t="s">
        <v>2674</v>
      </c>
      <c r="K2745" s="15" t="s">
        <v>903</v>
      </c>
      <c r="L2745" s="15" t="s">
        <v>2673</v>
      </c>
      <c r="M2745" s="15" t="s">
        <v>2672</v>
      </c>
      <c r="N2745" s="15" t="s">
        <v>2673</v>
      </c>
      <c r="O2745" s="15"/>
    </row>
    <row r="2746" spans="1:15" ht="18" customHeight="1" x14ac:dyDescent="0.3">
      <c r="A2746" s="29">
        <v>2745</v>
      </c>
      <c r="B2746" s="15" t="s">
        <v>108</v>
      </c>
      <c r="C2746" s="15" t="s">
        <v>109</v>
      </c>
      <c r="D2746" s="69">
        <v>174</v>
      </c>
      <c r="E2746" s="68" t="s">
        <v>3391</v>
      </c>
      <c r="F2746" s="24" t="s">
        <v>768</v>
      </c>
      <c r="G2746" s="15" t="s">
        <v>154</v>
      </c>
      <c r="H2746" s="15" t="s">
        <v>904</v>
      </c>
      <c r="I2746" s="69">
        <v>164</v>
      </c>
      <c r="J2746" s="15" t="s">
        <v>2672</v>
      </c>
      <c r="K2746" s="15" t="s">
        <v>903</v>
      </c>
      <c r="L2746" s="15" t="s">
        <v>2673</v>
      </c>
      <c r="M2746" s="15" t="s">
        <v>2672</v>
      </c>
      <c r="N2746" s="15" t="s">
        <v>2673</v>
      </c>
      <c r="O2746" s="15"/>
    </row>
    <row r="2747" spans="1:15" ht="18" customHeight="1" x14ac:dyDescent="0.3">
      <c r="A2747" s="29">
        <v>2746</v>
      </c>
      <c r="B2747" s="15" t="s">
        <v>108</v>
      </c>
      <c r="C2747" s="15" t="s">
        <v>109</v>
      </c>
      <c r="D2747" s="69">
        <v>174</v>
      </c>
      <c r="E2747" s="68" t="s">
        <v>3391</v>
      </c>
      <c r="F2747" s="24" t="s">
        <v>768</v>
      </c>
      <c r="G2747" s="15" t="s">
        <v>154</v>
      </c>
      <c r="H2747" s="15" t="s">
        <v>905</v>
      </c>
      <c r="I2747" s="69">
        <v>152</v>
      </c>
      <c r="J2747" s="15" t="s">
        <v>2672</v>
      </c>
      <c r="K2747" s="15" t="s">
        <v>903</v>
      </c>
      <c r="L2747" s="15" t="s">
        <v>2673</v>
      </c>
      <c r="M2747" s="15" t="s">
        <v>2672</v>
      </c>
      <c r="N2747" s="15" t="s">
        <v>2673</v>
      </c>
      <c r="O2747" s="15"/>
    </row>
    <row r="2748" spans="1:15" ht="18" customHeight="1" x14ac:dyDescent="0.3">
      <c r="A2748" s="29">
        <v>2747</v>
      </c>
      <c r="B2748" s="15" t="s">
        <v>108</v>
      </c>
      <c r="C2748" s="15" t="s">
        <v>109</v>
      </c>
      <c r="D2748" s="69">
        <v>174</v>
      </c>
      <c r="E2748" s="68" t="s">
        <v>3391</v>
      </c>
      <c r="F2748" s="24" t="s">
        <v>768</v>
      </c>
      <c r="G2748" s="15" t="s">
        <v>154</v>
      </c>
      <c r="H2748" s="15" t="s">
        <v>906</v>
      </c>
      <c r="I2748" s="69">
        <v>166</v>
      </c>
      <c r="J2748" s="15" t="s">
        <v>2672</v>
      </c>
      <c r="K2748" s="15" t="s">
        <v>903</v>
      </c>
      <c r="L2748" s="15" t="s">
        <v>2673</v>
      </c>
      <c r="M2748" s="15" t="s">
        <v>2672</v>
      </c>
      <c r="N2748" s="15" t="s">
        <v>2673</v>
      </c>
      <c r="O2748" s="15"/>
    </row>
    <row r="2749" spans="1:15" ht="18" customHeight="1" x14ac:dyDescent="0.3">
      <c r="A2749" s="29">
        <v>2748</v>
      </c>
      <c r="B2749" s="15" t="s">
        <v>108</v>
      </c>
      <c r="C2749" s="15" t="s">
        <v>109</v>
      </c>
      <c r="D2749" s="69">
        <v>174</v>
      </c>
      <c r="E2749" s="68" t="s">
        <v>3391</v>
      </c>
      <c r="F2749" s="24" t="s">
        <v>768</v>
      </c>
      <c r="G2749" s="15" t="s">
        <v>154</v>
      </c>
      <c r="H2749" s="15" t="s">
        <v>907</v>
      </c>
      <c r="I2749" s="69">
        <v>136</v>
      </c>
      <c r="J2749" s="15" t="s">
        <v>2672</v>
      </c>
      <c r="K2749" s="15" t="s">
        <v>903</v>
      </c>
      <c r="L2749" s="15" t="s">
        <v>2673</v>
      </c>
      <c r="M2749" s="15" t="s">
        <v>2672</v>
      </c>
      <c r="N2749" s="15" t="s">
        <v>2673</v>
      </c>
      <c r="O2749" s="15"/>
    </row>
    <row r="2750" spans="1:15" ht="18" customHeight="1" x14ac:dyDescent="0.3">
      <c r="A2750" s="29">
        <v>2749</v>
      </c>
      <c r="B2750" s="15" t="s">
        <v>108</v>
      </c>
      <c r="C2750" s="15" t="s">
        <v>109</v>
      </c>
      <c r="D2750" s="69">
        <v>174</v>
      </c>
      <c r="E2750" s="68" t="s">
        <v>3391</v>
      </c>
      <c r="F2750" s="24" t="s">
        <v>768</v>
      </c>
      <c r="G2750" s="15" t="s">
        <v>154</v>
      </c>
      <c r="H2750" s="15" t="s">
        <v>908</v>
      </c>
      <c r="I2750" s="69">
        <v>172</v>
      </c>
      <c r="J2750" s="15" t="s">
        <v>2674</v>
      </c>
      <c r="K2750" s="15" t="s">
        <v>903</v>
      </c>
      <c r="L2750" s="15" t="s">
        <v>2673</v>
      </c>
      <c r="M2750" s="15" t="s">
        <v>2672</v>
      </c>
      <c r="N2750" s="15" t="s">
        <v>2673</v>
      </c>
      <c r="O2750" s="15"/>
    </row>
    <row r="2751" spans="1:15" ht="18" customHeight="1" x14ac:dyDescent="0.3">
      <c r="A2751" s="29">
        <v>2750</v>
      </c>
      <c r="B2751" s="15" t="s">
        <v>108</v>
      </c>
      <c r="C2751" s="15" t="s">
        <v>109</v>
      </c>
      <c r="D2751" s="69">
        <v>174</v>
      </c>
      <c r="E2751" s="68" t="s">
        <v>3391</v>
      </c>
      <c r="F2751" s="24" t="s">
        <v>768</v>
      </c>
      <c r="G2751" s="15" t="s">
        <v>154</v>
      </c>
      <c r="H2751" s="15" t="s">
        <v>909</v>
      </c>
      <c r="I2751" s="69">
        <v>170</v>
      </c>
      <c r="J2751" s="15" t="s">
        <v>2674</v>
      </c>
      <c r="K2751" s="15" t="s">
        <v>903</v>
      </c>
      <c r="L2751" s="15" t="s">
        <v>2673</v>
      </c>
      <c r="M2751" s="15" t="s">
        <v>2672</v>
      </c>
      <c r="N2751" s="15" t="s">
        <v>2673</v>
      </c>
      <c r="O2751" s="15"/>
    </row>
    <row r="2752" spans="1:15" ht="18" customHeight="1" x14ac:dyDescent="0.3">
      <c r="A2752" s="29">
        <v>2751</v>
      </c>
      <c r="B2752" s="15" t="s">
        <v>108</v>
      </c>
      <c r="C2752" s="15" t="s">
        <v>109</v>
      </c>
      <c r="D2752" s="69">
        <v>174</v>
      </c>
      <c r="E2752" s="68" t="s">
        <v>3391</v>
      </c>
      <c r="F2752" s="24" t="s">
        <v>768</v>
      </c>
      <c r="G2752" s="15" t="s">
        <v>154</v>
      </c>
      <c r="H2752" s="15" t="s">
        <v>910</v>
      </c>
      <c r="I2752" s="69">
        <v>84</v>
      </c>
      <c r="J2752" s="15" t="s">
        <v>2674</v>
      </c>
      <c r="K2752" s="15" t="s">
        <v>902</v>
      </c>
      <c r="L2752" s="15" t="s">
        <v>208</v>
      </c>
      <c r="M2752" s="15" t="s">
        <v>2672</v>
      </c>
      <c r="N2752" s="15" t="s">
        <v>2673</v>
      </c>
      <c r="O2752" s="15"/>
    </row>
    <row r="2753" spans="1:15" ht="18" customHeight="1" x14ac:dyDescent="0.3">
      <c r="A2753" s="29">
        <v>2752</v>
      </c>
      <c r="B2753" s="15" t="s">
        <v>108</v>
      </c>
      <c r="C2753" s="15" t="s">
        <v>109</v>
      </c>
      <c r="D2753" s="69">
        <v>174</v>
      </c>
      <c r="E2753" s="68" t="s">
        <v>324</v>
      </c>
      <c r="F2753" s="16" t="s">
        <v>2355</v>
      </c>
      <c r="G2753" s="15" t="s">
        <v>2673</v>
      </c>
      <c r="H2753" s="15" t="s">
        <v>907</v>
      </c>
      <c r="I2753" s="69">
        <v>224</v>
      </c>
      <c r="J2753" s="15" t="s">
        <v>2672</v>
      </c>
      <c r="K2753" s="15" t="s">
        <v>903</v>
      </c>
      <c r="L2753" s="15" t="s">
        <v>2673</v>
      </c>
      <c r="M2753" s="15" t="s">
        <v>2672</v>
      </c>
      <c r="N2753" s="15" t="s">
        <v>2673</v>
      </c>
      <c r="O2753" s="15"/>
    </row>
    <row r="2754" spans="1:15" ht="18" customHeight="1" x14ac:dyDescent="0.3">
      <c r="A2754" s="29">
        <v>2753</v>
      </c>
      <c r="B2754" s="15" t="s">
        <v>108</v>
      </c>
      <c r="C2754" s="15" t="s">
        <v>109</v>
      </c>
      <c r="D2754" s="69">
        <v>174</v>
      </c>
      <c r="E2754" s="68" t="s">
        <v>324</v>
      </c>
      <c r="F2754" s="16" t="s">
        <v>2355</v>
      </c>
      <c r="G2754" s="15" t="s">
        <v>2673</v>
      </c>
      <c r="H2754" s="15" t="s">
        <v>908</v>
      </c>
      <c r="I2754" s="69">
        <v>85</v>
      </c>
      <c r="J2754" s="15" t="s">
        <v>2672</v>
      </c>
      <c r="K2754" s="15" t="s">
        <v>903</v>
      </c>
      <c r="L2754" s="15" t="s">
        <v>2673</v>
      </c>
      <c r="M2754" s="15" t="s">
        <v>2672</v>
      </c>
      <c r="N2754" s="15" t="s">
        <v>2673</v>
      </c>
      <c r="O2754" s="15"/>
    </row>
    <row r="2755" spans="1:15" ht="18" customHeight="1" x14ac:dyDescent="0.3">
      <c r="A2755" s="29">
        <v>2754</v>
      </c>
      <c r="B2755" s="15" t="s">
        <v>108</v>
      </c>
      <c r="C2755" s="15" t="s">
        <v>109</v>
      </c>
      <c r="D2755" s="69">
        <v>174</v>
      </c>
      <c r="E2755" s="68" t="s">
        <v>324</v>
      </c>
      <c r="F2755" s="16" t="s">
        <v>2355</v>
      </c>
      <c r="G2755" s="15" t="s">
        <v>2673</v>
      </c>
      <c r="H2755" s="15" t="s">
        <v>909</v>
      </c>
      <c r="I2755" s="69">
        <v>108</v>
      </c>
      <c r="J2755" s="15" t="s">
        <v>2672</v>
      </c>
      <c r="K2755" s="15" t="s">
        <v>903</v>
      </c>
      <c r="L2755" s="15" t="s">
        <v>2673</v>
      </c>
      <c r="M2755" s="15" t="s">
        <v>2672</v>
      </c>
      <c r="N2755" s="15" t="s">
        <v>2673</v>
      </c>
      <c r="O2755" s="15"/>
    </row>
    <row r="2756" spans="1:15" ht="18" customHeight="1" x14ac:dyDescent="0.3">
      <c r="A2756" s="29">
        <v>2755</v>
      </c>
      <c r="B2756" s="15" t="s">
        <v>108</v>
      </c>
      <c r="C2756" s="15" t="s">
        <v>109</v>
      </c>
      <c r="D2756" s="69">
        <v>174</v>
      </c>
      <c r="E2756" s="68" t="s">
        <v>324</v>
      </c>
      <c r="F2756" s="16" t="s">
        <v>2355</v>
      </c>
      <c r="G2756" s="15" t="s">
        <v>2673</v>
      </c>
      <c r="H2756" s="15" t="s">
        <v>910</v>
      </c>
      <c r="I2756" s="69">
        <v>245</v>
      </c>
      <c r="J2756" s="15" t="s">
        <v>2672</v>
      </c>
      <c r="K2756" s="15" t="s">
        <v>903</v>
      </c>
      <c r="L2756" s="15" t="s">
        <v>2673</v>
      </c>
      <c r="M2756" s="15" t="s">
        <v>2672</v>
      </c>
      <c r="N2756" s="15" t="s">
        <v>2673</v>
      </c>
      <c r="O2756" s="15"/>
    </row>
    <row r="2757" spans="1:15" ht="18" customHeight="1" x14ac:dyDescent="0.3">
      <c r="A2757" s="29">
        <v>2756</v>
      </c>
      <c r="B2757" s="15" t="s">
        <v>108</v>
      </c>
      <c r="C2757" s="15" t="s">
        <v>109</v>
      </c>
      <c r="D2757" s="69">
        <v>174</v>
      </c>
      <c r="E2757" s="68" t="s">
        <v>1034</v>
      </c>
      <c r="F2757" s="16" t="s">
        <v>2360</v>
      </c>
      <c r="G2757" s="15" t="s">
        <v>2673</v>
      </c>
      <c r="H2757" s="15" t="s">
        <v>901</v>
      </c>
      <c r="I2757" s="69">
        <v>94</v>
      </c>
      <c r="J2757" s="15" t="s">
        <v>2672</v>
      </c>
      <c r="K2757" s="15" t="s">
        <v>903</v>
      </c>
      <c r="L2757" s="15" t="s">
        <v>2673</v>
      </c>
      <c r="M2757" s="15" t="s">
        <v>2672</v>
      </c>
      <c r="N2757" s="15" t="s">
        <v>2673</v>
      </c>
      <c r="O2757" s="15"/>
    </row>
    <row r="2758" spans="1:15" ht="18" customHeight="1" x14ac:dyDescent="0.3">
      <c r="A2758" s="29">
        <v>2757</v>
      </c>
      <c r="B2758" s="15" t="s">
        <v>108</v>
      </c>
      <c r="C2758" s="15" t="s">
        <v>109</v>
      </c>
      <c r="D2758" s="69">
        <v>174</v>
      </c>
      <c r="E2758" s="68" t="s">
        <v>1035</v>
      </c>
      <c r="F2758" s="16" t="s">
        <v>2360</v>
      </c>
      <c r="G2758" s="15" t="s">
        <v>2673</v>
      </c>
      <c r="H2758" s="15" t="s">
        <v>901</v>
      </c>
      <c r="I2758" s="69">
        <v>91</v>
      </c>
      <c r="J2758" s="15" t="s">
        <v>2672</v>
      </c>
      <c r="K2758" s="15" t="s">
        <v>903</v>
      </c>
      <c r="L2758" s="15" t="s">
        <v>2673</v>
      </c>
      <c r="M2758" s="15" t="s">
        <v>2672</v>
      </c>
      <c r="N2758" s="15" t="s">
        <v>2673</v>
      </c>
      <c r="O2758" s="15"/>
    </row>
    <row r="2759" spans="1:15" ht="18" customHeight="1" x14ac:dyDescent="0.3">
      <c r="A2759" s="29">
        <v>2758</v>
      </c>
      <c r="B2759" s="15" t="s">
        <v>108</v>
      </c>
      <c r="C2759" s="15" t="s">
        <v>109</v>
      </c>
      <c r="D2759" s="69">
        <v>174</v>
      </c>
      <c r="E2759" s="68" t="s">
        <v>1035</v>
      </c>
      <c r="F2759" s="16" t="s">
        <v>2360</v>
      </c>
      <c r="G2759" s="15" t="s">
        <v>2673</v>
      </c>
      <c r="H2759" s="15" t="s">
        <v>904</v>
      </c>
      <c r="I2759" s="69">
        <v>194</v>
      </c>
      <c r="J2759" s="15" t="s">
        <v>2674</v>
      </c>
      <c r="K2759" s="15" t="s">
        <v>903</v>
      </c>
      <c r="L2759" s="15" t="s">
        <v>2673</v>
      </c>
      <c r="M2759" s="15" t="s">
        <v>2672</v>
      </c>
      <c r="N2759" s="15" t="s">
        <v>2673</v>
      </c>
      <c r="O2759" s="15"/>
    </row>
    <row r="2760" spans="1:15" ht="18" customHeight="1" x14ac:dyDescent="0.3">
      <c r="A2760" s="29">
        <v>2759</v>
      </c>
      <c r="B2760" s="15" t="s">
        <v>108</v>
      </c>
      <c r="C2760" s="15" t="s">
        <v>109</v>
      </c>
      <c r="D2760" s="69">
        <v>174</v>
      </c>
      <c r="E2760" s="68" t="s">
        <v>1035</v>
      </c>
      <c r="F2760" s="16" t="s">
        <v>2360</v>
      </c>
      <c r="G2760" s="15" t="s">
        <v>2673</v>
      </c>
      <c r="H2760" s="15" t="s">
        <v>905</v>
      </c>
      <c r="I2760" s="69">
        <v>140</v>
      </c>
      <c r="J2760" s="15" t="s">
        <v>2672</v>
      </c>
      <c r="K2760" s="15" t="s">
        <v>903</v>
      </c>
      <c r="L2760" s="15" t="s">
        <v>2673</v>
      </c>
      <c r="M2760" s="15" t="s">
        <v>2672</v>
      </c>
      <c r="N2760" s="15" t="s">
        <v>2673</v>
      </c>
      <c r="O2760" s="15"/>
    </row>
    <row r="2761" spans="1:15" ht="18" customHeight="1" x14ac:dyDescent="0.3">
      <c r="A2761" s="29">
        <v>2760</v>
      </c>
      <c r="B2761" s="15" t="s">
        <v>108</v>
      </c>
      <c r="C2761" s="15" t="s">
        <v>109</v>
      </c>
      <c r="D2761" s="69">
        <v>174</v>
      </c>
      <c r="E2761" s="68" t="s">
        <v>1035</v>
      </c>
      <c r="F2761" s="16" t="s">
        <v>2360</v>
      </c>
      <c r="G2761" s="15" t="s">
        <v>2673</v>
      </c>
      <c r="H2761" s="15" t="s">
        <v>906</v>
      </c>
      <c r="I2761" s="69">
        <v>195</v>
      </c>
      <c r="J2761" s="15" t="s">
        <v>2672</v>
      </c>
      <c r="K2761" s="15" t="s">
        <v>903</v>
      </c>
      <c r="L2761" s="15" t="s">
        <v>2673</v>
      </c>
      <c r="M2761" s="15" t="s">
        <v>2672</v>
      </c>
      <c r="N2761" s="15" t="s">
        <v>2673</v>
      </c>
      <c r="O2761" s="15"/>
    </row>
    <row r="2762" spans="1:15" ht="18" customHeight="1" x14ac:dyDescent="0.3">
      <c r="A2762" s="29">
        <v>2761</v>
      </c>
      <c r="B2762" s="15" t="s">
        <v>108</v>
      </c>
      <c r="C2762" s="15" t="s">
        <v>109</v>
      </c>
      <c r="D2762" s="69">
        <v>174</v>
      </c>
      <c r="E2762" s="68" t="s">
        <v>1035</v>
      </c>
      <c r="F2762" s="16" t="s">
        <v>2360</v>
      </c>
      <c r="G2762" s="15" t="s">
        <v>2673</v>
      </c>
      <c r="H2762" s="15" t="s">
        <v>907</v>
      </c>
      <c r="I2762" s="69">
        <v>140</v>
      </c>
      <c r="J2762" s="15" t="s">
        <v>2672</v>
      </c>
      <c r="K2762" s="15" t="s">
        <v>903</v>
      </c>
      <c r="L2762" s="15" t="s">
        <v>2673</v>
      </c>
      <c r="M2762" s="15" t="s">
        <v>2672</v>
      </c>
      <c r="N2762" s="15" t="s">
        <v>2673</v>
      </c>
      <c r="O2762" s="15"/>
    </row>
    <row r="2763" spans="1:15" ht="18" customHeight="1" x14ac:dyDescent="0.3">
      <c r="A2763" s="29">
        <v>2762</v>
      </c>
      <c r="B2763" s="15" t="s">
        <v>108</v>
      </c>
      <c r="C2763" s="15" t="s">
        <v>109</v>
      </c>
      <c r="D2763" s="69">
        <v>174</v>
      </c>
      <c r="E2763" s="68" t="s">
        <v>3392</v>
      </c>
      <c r="F2763" s="24" t="s">
        <v>767</v>
      </c>
      <c r="G2763" s="15" t="s">
        <v>154</v>
      </c>
      <c r="H2763" s="15" t="s">
        <v>901</v>
      </c>
      <c r="I2763" s="69">
        <v>132</v>
      </c>
      <c r="J2763" s="15" t="s">
        <v>2672</v>
      </c>
      <c r="K2763" s="15" t="s">
        <v>903</v>
      </c>
      <c r="L2763" s="15" t="s">
        <v>2673</v>
      </c>
      <c r="M2763" s="15" t="s">
        <v>2672</v>
      </c>
      <c r="N2763" s="15" t="s">
        <v>2673</v>
      </c>
      <c r="O2763" s="15"/>
    </row>
    <row r="2764" spans="1:15" ht="18" customHeight="1" x14ac:dyDescent="0.3">
      <c r="A2764" s="29">
        <v>2763</v>
      </c>
      <c r="B2764" s="15" t="s">
        <v>108</v>
      </c>
      <c r="C2764" s="15" t="s">
        <v>109</v>
      </c>
      <c r="D2764" s="69">
        <v>174</v>
      </c>
      <c r="E2764" s="68" t="s">
        <v>3392</v>
      </c>
      <c r="F2764" s="24" t="s">
        <v>767</v>
      </c>
      <c r="G2764" s="15" t="s">
        <v>154</v>
      </c>
      <c r="H2764" s="15" t="s">
        <v>904</v>
      </c>
      <c r="I2764" s="69">
        <v>164</v>
      </c>
      <c r="J2764" s="15" t="s">
        <v>2672</v>
      </c>
      <c r="K2764" s="15" t="s">
        <v>903</v>
      </c>
      <c r="L2764" s="15" t="s">
        <v>2673</v>
      </c>
      <c r="M2764" s="15" t="s">
        <v>2672</v>
      </c>
      <c r="N2764" s="15" t="s">
        <v>2673</v>
      </c>
      <c r="O2764" s="15"/>
    </row>
    <row r="2765" spans="1:15" ht="18" customHeight="1" x14ac:dyDescent="0.3">
      <c r="A2765" s="29">
        <v>2764</v>
      </c>
      <c r="B2765" s="15" t="s">
        <v>108</v>
      </c>
      <c r="C2765" s="15" t="s">
        <v>109</v>
      </c>
      <c r="D2765" s="69">
        <v>174</v>
      </c>
      <c r="E2765" s="68" t="s">
        <v>3392</v>
      </c>
      <c r="F2765" s="24" t="s">
        <v>767</v>
      </c>
      <c r="G2765" s="15" t="s">
        <v>154</v>
      </c>
      <c r="H2765" s="15" t="s">
        <v>905</v>
      </c>
      <c r="I2765" s="69">
        <v>96</v>
      </c>
      <c r="J2765" s="15" t="s">
        <v>2672</v>
      </c>
      <c r="K2765" s="15" t="s">
        <v>903</v>
      </c>
      <c r="L2765" s="15" t="s">
        <v>2673</v>
      </c>
      <c r="M2765" s="15" t="s">
        <v>2672</v>
      </c>
      <c r="N2765" s="15" t="s">
        <v>2673</v>
      </c>
      <c r="O2765" s="15"/>
    </row>
    <row r="2766" spans="1:15" ht="18" customHeight="1" x14ac:dyDescent="0.3">
      <c r="A2766" s="29">
        <v>2765</v>
      </c>
      <c r="B2766" s="15" t="s">
        <v>108</v>
      </c>
      <c r="C2766" s="15" t="s">
        <v>109</v>
      </c>
      <c r="D2766" s="69">
        <v>174</v>
      </c>
      <c r="E2766" s="68" t="s">
        <v>3392</v>
      </c>
      <c r="F2766" s="24" t="s">
        <v>767</v>
      </c>
      <c r="G2766" s="15" t="s">
        <v>154</v>
      </c>
      <c r="H2766" s="15" t="s">
        <v>906</v>
      </c>
      <c r="I2766" s="69">
        <v>172</v>
      </c>
      <c r="J2766" s="15" t="s">
        <v>2674</v>
      </c>
      <c r="K2766" s="15" t="s">
        <v>903</v>
      </c>
      <c r="L2766" s="15" t="s">
        <v>2673</v>
      </c>
      <c r="M2766" s="15" t="s">
        <v>2672</v>
      </c>
      <c r="N2766" s="15" t="s">
        <v>2673</v>
      </c>
      <c r="O2766" s="15"/>
    </row>
    <row r="2767" spans="1:15" ht="18" customHeight="1" x14ac:dyDescent="0.3">
      <c r="A2767" s="29">
        <v>2766</v>
      </c>
      <c r="B2767" s="15" t="s">
        <v>108</v>
      </c>
      <c r="C2767" s="15" t="s">
        <v>109</v>
      </c>
      <c r="D2767" s="69">
        <v>174</v>
      </c>
      <c r="E2767" s="68" t="s">
        <v>3392</v>
      </c>
      <c r="F2767" s="24" t="s">
        <v>767</v>
      </c>
      <c r="G2767" s="15" t="s">
        <v>154</v>
      </c>
      <c r="H2767" s="15" t="s">
        <v>907</v>
      </c>
      <c r="I2767" s="69">
        <v>156</v>
      </c>
      <c r="J2767" s="15" t="s">
        <v>2674</v>
      </c>
      <c r="K2767" s="15" t="s">
        <v>903</v>
      </c>
      <c r="L2767" s="15" t="s">
        <v>2673</v>
      </c>
      <c r="M2767" s="15" t="s">
        <v>2672</v>
      </c>
      <c r="N2767" s="15" t="s">
        <v>2673</v>
      </c>
      <c r="O2767" s="15"/>
    </row>
    <row r="2768" spans="1:15" ht="18" customHeight="1" x14ac:dyDescent="0.3">
      <c r="A2768" s="29">
        <v>2767</v>
      </c>
      <c r="B2768" s="15" t="s">
        <v>108</v>
      </c>
      <c r="C2768" s="15" t="s">
        <v>109</v>
      </c>
      <c r="D2768" s="69">
        <v>174</v>
      </c>
      <c r="E2768" s="68" t="s">
        <v>2366</v>
      </c>
      <c r="F2768" s="21" t="s">
        <v>774</v>
      </c>
      <c r="G2768" s="15" t="s">
        <v>2742</v>
      </c>
      <c r="H2768" s="15" t="s">
        <v>901</v>
      </c>
      <c r="I2768" s="69">
        <v>159</v>
      </c>
      <c r="J2768" s="15" t="s">
        <v>2672</v>
      </c>
      <c r="K2768" s="15" t="s">
        <v>903</v>
      </c>
      <c r="L2768" s="15" t="s">
        <v>2673</v>
      </c>
      <c r="M2768" s="15" t="s">
        <v>2672</v>
      </c>
      <c r="N2768" s="15" t="s">
        <v>2673</v>
      </c>
      <c r="O2768" s="15"/>
    </row>
    <row r="2769" spans="1:15" ht="18" customHeight="1" x14ac:dyDescent="0.3">
      <c r="A2769" s="29">
        <v>2768</v>
      </c>
      <c r="B2769" s="15" t="s">
        <v>108</v>
      </c>
      <c r="C2769" s="15" t="s">
        <v>109</v>
      </c>
      <c r="D2769" s="69">
        <v>174</v>
      </c>
      <c r="E2769" s="68" t="s">
        <v>2366</v>
      </c>
      <c r="F2769" s="21" t="s">
        <v>774</v>
      </c>
      <c r="G2769" s="15" t="s">
        <v>2742</v>
      </c>
      <c r="H2769" s="15" t="s">
        <v>904</v>
      </c>
      <c r="I2769" s="69">
        <v>125</v>
      </c>
      <c r="J2769" s="15" t="s">
        <v>2672</v>
      </c>
      <c r="K2769" s="15" t="s">
        <v>903</v>
      </c>
      <c r="L2769" s="15" t="s">
        <v>2673</v>
      </c>
      <c r="M2769" s="15" t="s">
        <v>2672</v>
      </c>
      <c r="N2769" s="15" t="s">
        <v>2673</v>
      </c>
      <c r="O2769" s="15"/>
    </row>
    <row r="2770" spans="1:15" ht="18" customHeight="1" x14ac:dyDescent="0.3">
      <c r="A2770" s="29">
        <v>2769</v>
      </c>
      <c r="B2770" s="15" t="s">
        <v>108</v>
      </c>
      <c r="C2770" s="15" t="s">
        <v>109</v>
      </c>
      <c r="D2770" s="69">
        <v>174</v>
      </c>
      <c r="E2770" s="68" t="s">
        <v>2366</v>
      </c>
      <c r="F2770" s="21" t="s">
        <v>774</v>
      </c>
      <c r="G2770" s="15" t="s">
        <v>2742</v>
      </c>
      <c r="H2770" s="15" t="s">
        <v>905</v>
      </c>
      <c r="I2770" s="69">
        <v>154</v>
      </c>
      <c r="J2770" s="15" t="s">
        <v>2672</v>
      </c>
      <c r="K2770" s="15" t="s">
        <v>903</v>
      </c>
      <c r="L2770" s="15" t="s">
        <v>2673</v>
      </c>
      <c r="M2770" s="15" t="s">
        <v>2672</v>
      </c>
      <c r="N2770" s="15" t="s">
        <v>2673</v>
      </c>
      <c r="O2770" s="15"/>
    </row>
    <row r="2771" spans="1:15" ht="18" customHeight="1" x14ac:dyDescent="0.3">
      <c r="A2771" s="29">
        <v>2770</v>
      </c>
      <c r="B2771" s="15" t="s">
        <v>108</v>
      </c>
      <c r="C2771" s="15" t="s">
        <v>109</v>
      </c>
      <c r="D2771" s="69">
        <v>174</v>
      </c>
      <c r="E2771" s="68" t="s">
        <v>2366</v>
      </c>
      <c r="F2771" s="21" t="s">
        <v>774</v>
      </c>
      <c r="G2771" s="15" t="s">
        <v>2742</v>
      </c>
      <c r="H2771" s="15" t="s">
        <v>906</v>
      </c>
      <c r="I2771" s="69">
        <v>76</v>
      </c>
      <c r="J2771" s="15" t="s">
        <v>2672</v>
      </c>
      <c r="K2771" s="15" t="s">
        <v>2674</v>
      </c>
      <c r="L2771" s="15" t="s">
        <v>2780</v>
      </c>
      <c r="M2771" s="15" t="s">
        <v>2672</v>
      </c>
      <c r="N2771" s="15" t="s">
        <v>2673</v>
      </c>
      <c r="O2771" s="15"/>
    </row>
    <row r="2772" spans="1:15" ht="18" customHeight="1" x14ac:dyDescent="0.3">
      <c r="A2772" s="29">
        <v>2771</v>
      </c>
      <c r="B2772" s="15" t="s">
        <v>108</v>
      </c>
      <c r="C2772" s="15" t="s">
        <v>109</v>
      </c>
      <c r="D2772" s="69">
        <v>174</v>
      </c>
      <c r="E2772" s="68" t="s">
        <v>2366</v>
      </c>
      <c r="F2772" s="21" t="s">
        <v>774</v>
      </c>
      <c r="G2772" s="15" t="s">
        <v>2742</v>
      </c>
      <c r="H2772" s="15" t="s">
        <v>907</v>
      </c>
      <c r="I2772" s="69">
        <v>60</v>
      </c>
      <c r="J2772" s="15" t="s">
        <v>2672</v>
      </c>
      <c r="K2772" s="15" t="s">
        <v>2674</v>
      </c>
      <c r="L2772" s="15" t="s">
        <v>2780</v>
      </c>
      <c r="M2772" s="15" t="s">
        <v>2672</v>
      </c>
      <c r="N2772" s="15" t="s">
        <v>2673</v>
      </c>
      <c r="O2772" s="15"/>
    </row>
    <row r="2773" spans="1:15" ht="18" customHeight="1" x14ac:dyDescent="0.3">
      <c r="A2773" s="29">
        <v>2772</v>
      </c>
      <c r="B2773" s="15" t="s">
        <v>108</v>
      </c>
      <c r="C2773" s="15" t="s">
        <v>109</v>
      </c>
      <c r="D2773" s="69">
        <v>174</v>
      </c>
      <c r="E2773" s="68" t="s">
        <v>2366</v>
      </c>
      <c r="F2773" s="21" t="s">
        <v>774</v>
      </c>
      <c r="G2773" s="15" t="s">
        <v>2742</v>
      </c>
      <c r="H2773" s="15" t="s">
        <v>908</v>
      </c>
      <c r="I2773" s="69">
        <v>81</v>
      </c>
      <c r="J2773" s="15" t="s">
        <v>2672</v>
      </c>
      <c r="K2773" s="15" t="s">
        <v>2674</v>
      </c>
      <c r="L2773" s="15" t="s">
        <v>2780</v>
      </c>
      <c r="M2773" s="15" t="s">
        <v>2672</v>
      </c>
      <c r="N2773" s="15" t="s">
        <v>2673</v>
      </c>
      <c r="O2773" s="15"/>
    </row>
    <row r="2774" spans="1:15" ht="18" customHeight="1" x14ac:dyDescent="0.3">
      <c r="A2774" s="29">
        <v>2773</v>
      </c>
      <c r="B2774" s="15" t="s">
        <v>108</v>
      </c>
      <c r="C2774" s="15" t="s">
        <v>109</v>
      </c>
      <c r="D2774" s="69">
        <v>174</v>
      </c>
      <c r="E2774" s="68" t="s">
        <v>2366</v>
      </c>
      <c r="F2774" s="21" t="s">
        <v>774</v>
      </c>
      <c r="G2774" s="15" t="s">
        <v>2742</v>
      </c>
      <c r="H2774" s="15" t="s">
        <v>909</v>
      </c>
      <c r="I2774" s="69">
        <v>32</v>
      </c>
      <c r="J2774" s="15" t="s">
        <v>2672</v>
      </c>
      <c r="K2774" s="15" t="s">
        <v>2674</v>
      </c>
      <c r="L2774" s="15" t="s">
        <v>2780</v>
      </c>
      <c r="M2774" s="15" t="s">
        <v>2672</v>
      </c>
      <c r="N2774" s="15" t="s">
        <v>2673</v>
      </c>
      <c r="O2774" s="15"/>
    </row>
    <row r="2775" spans="1:15" ht="18" customHeight="1" x14ac:dyDescent="0.3">
      <c r="A2775" s="29">
        <v>2774</v>
      </c>
      <c r="B2775" s="15" t="s">
        <v>108</v>
      </c>
      <c r="C2775" s="15" t="s">
        <v>109</v>
      </c>
      <c r="D2775" s="69">
        <v>174</v>
      </c>
      <c r="E2775" s="68" t="s">
        <v>2366</v>
      </c>
      <c r="F2775" s="21" t="s">
        <v>774</v>
      </c>
      <c r="G2775" s="15" t="s">
        <v>2742</v>
      </c>
      <c r="H2775" s="15" t="s">
        <v>910</v>
      </c>
      <c r="I2775" s="69">
        <v>37</v>
      </c>
      <c r="J2775" s="15" t="s">
        <v>2672</v>
      </c>
      <c r="K2775" s="15" t="s">
        <v>2674</v>
      </c>
      <c r="L2775" s="15" t="s">
        <v>2780</v>
      </c>
      <c r="M2775" s="15" t="s">
        <v>2672</v>
      </c>
      <c r="N2775" s="15" t="s">
        <v>2673</v>
      </c>
      <c r="O2775" s="15"/>
    </row>
    <row r="2776" spans="1:15" ht="18" customHeight="1" x14ac:dyDescent="0.3">
      <c r="A2776" s="29">
        <v>2775</v>
      </c>
      <c r="B2776" s="15" t="s">
        <v>108</v>
      </c>
      <c r="C2776" s="15" t="s">
        <v>109</v>
      </c>
      <c r="D2776" s="69">
        <v>174</v>
      </c>
      <c r="E2776" s="68" t="s">
        <v>2366</v>
      </c>
      <c r="F2776" s="21" t="s">
        <v>774</v>
      </c>
      <c r="G2776" s="15" t="s">
        <v>2742</v>
      </c>
      <c r="H2776" s="15" t="s">
        <v>911</v>
      </c>
      <c r="I2776" s="69">
        <v>47</v>
      </c>
      <c r="J2776" s="15" t="s">
        <v>2672</v>
      </c>
      <c r="K2776" s="15" t="s">
        <v>2674</v>
      </c>
      <c r="L2776" s="15" t="s">
        <v>2783</v>
      </c>
      <c r="M2776" s="15" t="s">
        <v>2672</v>
      </c>
      <c r="N2776" s="15" t="s">
        <v>2673</v>
      </c>
      <c r="O2776" s="15"/>
    </row>
    <row r="2777" spans="1:15" ht="18" customHeight="1" x14ac:dyDescent="0.3">
      <c r="A2777" s="29">
        <v>2776</v>
      </c>
      <c r="B2777" s="15" t="s">
        <v>108</v>
      </c>
      <c r="C2777" s="15" t="s">
        <v>109</v>
      </c>
      <c r="D2777" s="69">
        <v>174</v>
      </c>
      <c r="E2777" s="68" t="s">
        <v>2366</v>
      </c>
      <c r="F2777" s="21" t="s">
        <v>1235</v>
      </c>
      <c r="G2777" s="15" t="s">
        <v>2742</v>
      </c>
      <c r="H2777" s="15" t="s">
        <v>2776</v>
      </c>
      <c r="I2777" s="69">
        <v>79</v>
      </c>
      <c r="J2777" s="15" t="s">
        <v>2672</v>
      </c>
      <c r="K2777" s="15" t="s">
        <v>2674</v>
      </c>
      <c r="L2777" s="15" t="s">
        <v>2780</v>
      </c>
      <c r="M2777" s="15" t="s">
        <v>2672</v>
      </c>
      <c r="N2777" s="15" t="s">
        <v>2673</v>
      </c>
      <c r="O2777" s="15"/>
    </row>
    <row r="2778" spans="1:15" ht="18" customHeight="1" x14ac:dyDescent="0.3">
      <c r="A2778" s="29">
        <v>2777</v>
      </c>
      <c r="B2778" s="15" t="s">
        <v>2342</v>
      </c>
      <c r="C2778" s="15" t="s">
        <v>2343</v>
      </c>
      <c r="D2778" s="69">
        <v>176</v>
      </c>
      <c r="E2778" s="68" t="s">
        <v>3393</v>
      </c>
      <c r="F2778" s="51" t="s">
        <v>2370</v>
      </c>
      <c r="G2778" s="15" t="s">
        <v>1553</v>
      </c>
      <c r="H2778" s="15" t="s">
        <v>2685</v>
      </c>
      <c r="I2778" s="69">
        <v>146</v>
      </c>
      <c r="J2778" s="15" t="s">
        <v>2672</v>
      </c>
      <c r="K2778" s="15" t="s">
        <v>2672</v>
      </c>
      <c r="L2778" s="15" t="s">
        <v>2673</v>
      </c>
      <c r="M2778" s="15" t="s">
        <v>2672</v>
      </c>
      <c r="N2778" s="15" t="s">
        <v>2673</v>
      </c>
      <c r="O2778" s="15"/>
    </row>
    <row r="2779" spans="1:15" ht="18" customHeight="1" x14ac:dyDescent="0.3">
      <c r="A2779" s="29">
        <v>2778</v>
      </c>
      <c r="B2779" s="15" t="s">
        <v>2342</v>
      </c>
      <c r="C2779" s="15" t="s">
        <v>2343</v>
      </c>
      <c r="D2779" s="69">
        <v>176</v>
      </c>
      <c r="E2779" s="68" t="s">
        <v>3393</v>
      </c>
      <c r="F2779" s="51" t="s">
        <v>2370</v>
      </c>
      <c r="G2779" s="15" t="s">
        <v>1553</v>
      </c>
      <c r="H2779" s="15" t="s">
        <v>2678</v>
      </c>
      <c r="I2779" s="69">
        <v>114</v>
      </c>
      <c r="J2779" s="15" t="s">
        <v>2672</v>
      </c>
      <c r="K2779" s="15" t="s">
        <v>2672</v>
      </c>
      <c r="L2779" s="15" t="s">
        <v>2673</v>
      </c>
      <c r="M2779" s="15" t="s">
        <v>2672</v>
      </c>
      <c r="N2779" s="15" t="s">
        <v>2673</v>
      </c>
      <c r="O2779" s="15"/>
    </row>
    <row r="2780" spans="1:15" ht="18" customHeight="1" x14ac:dyDescent="0.3">
      <c r="A2780" s="29">
        <v>2779</v>
      </c>
      <c r="B2780" s="15" t="s">
        <v>2342</v>
      </c>
      <c r="C2780" s="15" t="s">
        <v>2343</v>
      </c>
      <c r="D2780" s="69">
        <v>176</v>
      </c>
      <c r="E2780" s="68" t="s">
        <v>3393</v>
      </c>
      <c r="F2780" s="51" t="s">
        <v>2370</v>
      </c>
      <c r="G2780" s="15" t="s">
        <v>1553</v>
      </c>
      <c r="H2780" s="15" t="s">
        <v>2679</v>
      </c>
      <c r="I2780" s="69">
        <v>170</v>
      </c>
      <c r="J2780" s="15" t="s">
        <v>2672</v>
      </c>
      <c r="K2780" s="15" t="s">
        <v>2672</v>
      </c>
      <c r="L2780" s="15" t="s">
        <v>2673</v>
      </c>
      <c r="M2780" s="15" t="s">
        <v>2672</v>
      </c>
      <c r="N2780" s="15" t="s">
        <v>2673</v>
      </c>
      <c r="O2780" s="15"/>
    </row>
    <row r="2781" spans="1:15" ht="18" customHeight="1" x14ac:dyDescent="0.3">
      <c r="A2781" s="29">
        <v>2780</v>
      </c>
      <c r="B2781" s="15" t="s">
        <v>2342</v>
      </c>
      <c r="C2781" s="15" t="s">
        <v>2343</v>
      </c>
      <c r="D2781" s="69">
        <v>176</v>
      </c>
      <c r="E2781" s="68" t="s">
        <v>3393</v>
      </c>
      <c r="F2781" s="51" t="s">
        <v>2370</v>
      </c>
      <c r="G2781" s="15" t="s">
        <v>1553</v>
      </c>
      <c r="H2781" s="15" t="s">
        <v>2680</v>
      </c>
      <c r="I2781" s="69">
        <v>92</v>
      </c>
      <c r="J2781" s="15" t="s">
        <v>2672</v>
      </c>
      <c r="K2781" s="15" t="s">
        <v>2672</v>
      </c>
      <c r="L2781" s="15" t="s">
        <v>2673</v>
      </c>
      <c r="M2781" s="15" t="s">
        <v>2672</v>
      </c>
      <c r="N2781" s="15" t="s">
        <v>2673</v>
      </c>
      <c r="O2781" s="15"/>
    </row>
    <row r="2782" spans="1:15" ht="18" customHeight="1" x14ac:dyDescent="0.3">
      <c r="A2782" s="29">
        <v>2781</v>
      </c>
      <c r="B2782" s="15" t="s">
        <v>2342</v>
      </c>
      <c r="C2782" s="15" t="s">
        <v>2343</v>
      </c>
      <c r="D2782" s="69">
        <v>176</v>
      </c>
      <c r="E2782" s="68" t="s">
        <v>3393</v>
      </c>
      <c r="F2782" s="51" t="s">
        <v>2370</v>
      </c>
      <c r="G2782" s="15" t="s">
        <v>1553</v>
      </c>
      <c r="H2782" s="15" t="s">
        <v>2690</v>
      </c>
      <c r="I2782" s="69">
        <v>114</v>
      </c>
      <c r="J2782" s="15" t="s">
        <v>2672</v>
      </c>
      <c r="K2782" s="15" t="s">
        <v>2672</v>
      </c>
      <c r="L2782" s="15" t="s">
        <v>2673</v>
      </c>
      <c r="M2782" s="15" t="s">
        <v>2672</v>
      </c>
      <c r="N2782" s="15" t="s">
        <v>2673</v>
      </c>
      <c r="O2782" s="15"/>
    </row>
    <row r="2783" spans="1:15" ht="18" customHeight="1" x14ac:dyDescent="0.3">
      <c r="A2783" s="29">
        <v>2782</v>
      </c>
      <c r="B2783" s="15" t="s">
        <v>2342</v>
      </c>
      <c r="C2783" s="15" t="s">
        <v>2343</v>
      </c>
      <c r="D2783" s="69">
        <v>176</v>
      </c>
      <c r="E2783" s="68" t="s">
        <v>3393</v>
      </c>
      <c r="F2783" s="51" t="s">
        <v>2370</v>
      </c>
      <c r="G2783" s="15" t="s">
        <v>1553</v>
      </c>
      <c r="H2783" s="15" t="s">
        <v>2682</v>
      </c>
      <c r="I2783" s="69">
        <v>170</v>
      </c>
      <c r="J2783" s="15" t="s">
        <v>2672</v>
      </c>
      <c r="K2783" s="15" t="s">
        <v>2672</v>
      </c>
      <c r="L2783" s="15" t="s">
        <v>2673</v>
      </c>
      <c r="M2783" s="15" t="s">
        <v>2672</v>
      </c>
      <c r="N2783" s="15" t="s">
        <v>2673</v>
      </c>
      <c r="O2783" s="15"/>
    </row>
    <row r="2784" spans="1:15" ht="18" customHeight="1" x14ac:dyDescent="0.3">
      <c r="A2784" s="29">
        <v>2783</v>
      </c>
      <c r="B2784" s="15" t="s">
        <v>108</v>
      </c>
      <c r="C2784" s="15" t="s">
        <v>110</v>
      </c>
      <c r="D2784" s="69">
        <v>177</v>
      </c>
      <c r="E2784" s="68" t="s">
        <v>3394</v>
      </c>
      <c r="F2784" s="24" t="s">
        <v>762</v>
      </c>
      <c r="G2784" s="15" t="s">
        <v>164</v>
      </c>
      <c r="H2784" s="15" t="s">
        <v>901</v>
      </c>
      <c r="I2784" s="69">
        <v>246</v>
      </c>
      <c r="J2784" s="15" t="s">
        <v>2674</v>
      </c>
      <c r="K2784" s="15" t="s">
        <v>903</v>
      </c>
      <c r="L2784" s="15" t="s">
        <v>2673</v>
      </c>
      <c r="M2784" s="15" t="s">
        <v>2672</v>
      </c>
      <c r="N2784" s="15" t="s">
        <v>2673</v>
      </c>
      <c r="O2784" s="15"/>
    </row>
    <row r="2785" spans="1:15" ht="18" customHeight="1" x14ac:dyDescent="0.3">
      <c r="A2785" s="29">
        <v>2784</v>
      </c>
      <c r="B2785" s="15" t="s">
        <v>108</v>
      </c>
      <c r="C2785" s="15" t="s">
        <v>110</v>
      </c>
      <c r="D2785" s="69">
        <v>177</v>
      </c>
      <c r="E2785" s="68" t="s">
        <v>3394</v>
      </c>
      <c r="F2785" s="24" t="s">
        <v>762</v>
      </c>
      <c r="G2785" s="15" t="s">
        <v>164</v>
      </c>
      <c r="H2785" s="15" t="s">
        <v>904</v>
      </c>
      <c r="I2785" s="69">
        <v>231</v>
      </c>
      <c r="J2785" s="15" t="s">
        <v>2674</v>
      </c>
      <c r="K2785" s="15" t="s">
        <v>903</v>
      </c>
      <c r="L2785" s="15" t="s">
        <v>2673</v>
      </c>
      <c r="M2785" s="15" t="s">
        <v>2672</v>
      </c>
      <c r="N2785" s="15" t="s">
        <v>2673</v>
      </c>
      <c r="O2785" s="15"/>
    </row>
    <row r="2786" spans="1:15" ht="18" customHeight="1" x14ac:dyDescent="0.3">
      <c r="A2786" s="29">
        <v>2785</v>
      </c>
      <c r="B2786" s="15" t="s">
        <v>108</v>
      </c>
      <c r="C2786" s="15" t="s">
        <v>110</v>
      </c>
      <c r="D2786" s="69">
        <v>177</v>
      </c>
      <c r="E2786" s="68" t="s">
        <v>3394</v>
      </c>
      <c r="F2786" s="24" t="s">
        <v>762</v>
      </c>
      <c r="G2786" s="15" t="s">
        <v>164</v>
      </c>
      <c r="H2786" s="15" t="s">
        <v>905</v>
      </c>
      <c r="I2786" s="69">
        <v>120</v>
      </c>
      <c r="J2786" s="15" t="s">
        <v>2672</v>
      </c>
      <c r="K2786" s="15" t="s">
        <v>903</v>
      </c>
      <c r="L2786" s="15" t="s">
        <v>2673</v>
      </c>
      <c r="M2786" s="15" t="s">
        <v>2672</v>
      </c>
      <c r="N2786" s="15" t="s">
        <v>2673</v>
      </c>
      <c r="O2786" s="15"/>
    </row>
    <row r="2787" spans="1:15" ht="18" customHeight="1" x14ac:dyDescent="0.3">
      <c r="A2787" s="29">
        <v>2786</v>
      </c>
      <c r="B2787" s="15" t="s">
        <v>108</v>
      </c>
      <c r="C2787" s="15" t="s">
        <v>110</v>
      </c>
      <c r="D2787" s="69">
        <v>177</v>
      </c>
      <c r="E2787" s="68" t="s">
        <v>3394</v>
      </c>
      <c r="F2787" s="24" t="s">
        <v>762</v>
      </c>
      <c r="G2787" s="15" t="s">
        <v>164</v>
      </c>
      <c r="H2787" s="15" t="s">
        <v>906</v>
      </c>
      <c r="I2787" s="69">
        <v>231</v>
      </c>
      <c r="J2787" s="15" t="s">
        <v>2672</v>
      </c>
      <c r="K2787" s="15" t="s">
        <v>903</v>
      </c>
      <c r="L2787" s="15" t="s">
        <v>2673</v>
      </c>
      <c r="M2787" s="15" t="s">
        <v>2672</v>
      </c>
      <c r="N2787" s="15" t="s">
        <v>2673</v>
      </c>
      <c r="O2787" s="15"/>
    </row>
    <row r="2788" spans="1:15" ht="18" customHeight="1" x14ac:dyDescent="0.3">
      <c r="A2788" s="29">
        <v>2787</v>
      </c>
      <c r="B2788" s="15" t="s">
        <v>108</v>
      </c>
      <c r="C2788" s="15" t="s">
        <v>110</v>
      </c>
      <c r="D2788" s="69">
        <v>177</v>
      </c>
      <c r="E2788" s="68" t="s">
        <v>3394</v>
      </c>
      <c r="F2788" s="24" t="s">
        <v>762</v>
      </c>
      <c r="G2788" s="15" t="s">
        <v>164</v>
      </c>
      <c r="H2788" s="15" t="s">
        <v>907</v>
      </c>
      <c r="I2788" s="69">
        <v>147</v>
      </c>
      <c r="J2788" s="15" t="s">
        <v>2672</v>
      </c>
      <c r="K2788" s="15" t="s">
        <v>903</v>
      </c>
      <c r="L2788" s="15" t="s">
        <v>2673</v>
      </c>
      <c r="M2788" s="15" t="s">
        <v>2672</v>
      </c>
      <c r="N2788" s="15" t="s">
        <v>2673</v>
      </c>
      <c r="O2788" s="15"/>
    </row>
    <row r="2789" spans="1:15" ht="18" customHeight="1" x14ac:dyDescent="0.3">
      <c r="A2789" s="29">
        <v>2788</v>
      </c>
      <c r="B2789" s="15" t="s">
        <v>108</v>
      </c>
      <c r="C2789" s="15" t="s">
        <v>110</v>
      </c>
      <c r="D2789" s="69">
        <v>177</v>
      </c>
      <c r="E2789" s="68" t="s">
        <v>233</v>
      </c>
      <c r="F2789" s="16" t="s">
        <v>763</v>
      </c>
      <c r="G2789" s="15" t="s">
        <v>154</v>
      </c>
      <c r="H2789" s="15" t="s">
        <v>901</v>
      </c>
      <c r="I2789" s="69">
        <v>135</v>
      </c>
      <c r="J2789" s="13" t="s">
        <v>902</v>
      </c>
      <c r="K2789" s="15" t="s">
        <v>903</v>
      </c>
      <c r="L2789" s="15" t="s">
        <v>2673</v>
      </c>
      <c r="M2789" s="15" t="s">
        <v>2672</v>
      </c>
      <c r="N2789" s="15" t="s">
        <v>2673</v>
      </c>
      <c r="O2789" s="15"/>
    </row>
    <row r="2790" spans="1:15" ht="18" customHeight="1" x14ac:dyDescent="0.3">
      <c r="A2790" s="29">
        <v>2789</v>
      </c>
      <c r="B2790" s="15" t="s">
        <v>108</v>
      </c>
      <c r="C2790" s="15" t="s">
        <v>110</v>
      </c>
      <c r="D2790" s="69">
        <v>177</v>
      </c>
      <c r="E2790" s="68" t="s">
        <v>233</v>
      </c>
      <c r="F2790" s="16" t="s">
        <v>763</v>
      </c>
      <c r="G2790" s="15" t="s">
        <v>154</v>
      </c>
      <c r="H2790" s="15" t="s">
        <v>904</v>
      </c>
      <c r="I2790" s="69">
        <v>303</v>
      </c>
      <c r="J2790" s="13" t="s">
        <v>902</v>
      </c>
      <c r="K2790" s="15" t="s">
        <v>903</v>
      </c>
      <c r="L2790" s="15" t="s">
        <v>2673</v>
      </c>
      <c r="M2790" s="15" t="s">
        <v>2672</v>
      </c>
      <c r="N2790" s="15" t="s">
        <v>2673</v>
      </c>
      <c r="O2790" s="15"/>
    </row>
    <row r="2791" spans="1:15" ht="18" customHeight="1" x14ac:dyDescent="0.3">
      <c r="A2791" s="29">
        <v>2790</v>
      </c>
      <c r="B2791" s="15" t="s">
        <v>108</v>
      </c>
      <c r="C2791" s="15" t="s">
        <v>110</v>
      </c>
      <c r="D2791" s="69">
        <v>177</v>
      </c>
      <c r="E2791" s="68" t="s">
        <v>233</v>
      </c>
      <c r="F2791" s="16" t="s">
        <v>763</v>
      </c>
      <c r="G2791" s="15" t="s">
        <v>154</v>
      </c>
      <c r="H2791" s="15" t="s">
        <v>905</v>
      </c>
      <c r="I2791" s="69">
        <v>154</v>
      </c>
      <c r="J2791" s="13" t="s">
        <v>2672</v>
      </c>
      <c r="K2791" s="15" t="s">
        <v>903</v>
      </c>
      <c r="L2791" s="15" t="s">
        <v>2673</v>
      </c>
      <c r="M2791" s="15" t="s">
        <v>2672</v>
      </c>
      <c r="N2791" s="15" t="s">
        <v>2673</v>
      </c>
      <c r="O2791" s="15"/>
    </row>
    <row r="2792" spans="1:15" ht="18" customHeight="1" x14ac:dyDescent="0.3">
      <c r="A2792" s="29">
        <v>2791</v>
      </c>
      <c r="B2792" s="15" t="s">
        <v>108</v>
      </c>
      <c r="C2792" s="15" t="s">
        <v>110</v>
      </c>
      <c r="D2792" s="69">
        <v>177</v>
      </c>
      <c r="E2792" s="68" t="s">
        <v>233</v>
      </c>
      <c r="F2792" s="16" t="s">
        <v>763</v>
      </c>
      <c r="G2792" s="15" t="s">
        <v>154</v>
      </c>
      <c r="H2792" s="15" t="s">
        <v>906</v>
      </c>
      <c r="I2792" s="69">
        <v>155</v>
      </c>
      <c r="J2792" s="13" t="s">
        <v>2672</v>
      </c>
      <c r="K2792" s="15" t="s">
        <v>903</v>
      </c>
      <c r="L2792" s="15" t="s">
        <v>2673</v>
      </c>
      <c r="M2792" s="15" t="s">
        <v>2672</v>
      </c>
      <c r="N2792" s="15" t="s">
        <v>2673</v>
      </c>
      <c r="O2792" s="15"/>
    </row>
    <row r="2793" spans="1:15" ht="18" customHeight="1" x14ac:dyDescent="0.3">
      <c r="A2793" s="29">
        <v>2792</v>
      </c>
      <c r="B2793" s="15" t="s">
        <v>108</v>
      </c>
      <c r="C2793" s="15" t="s">
        <v>110</v>
      </c>
      <c r="D2793" s="69">
        <v>177</v>
      </c>
      <c r="E2793" s="68" t="s">
        <v>233</v>
      </c>
      <c r="F2793" s="16" t="s">
        <v>763</v>
      </c>
      <c r="G2793" s="15" t="s">
        <v>154</v>
      </c>
      <c r="H2793" s="15" t="s">
        <v>907</v>
      </c>
      <c r="I2793" s="69">
        <v>152</v>
      </c>
      <c r="J2793" s="13" t="s">
        <v>2672</v>
      </c>
      <c r="K2793" s="15" t="s">
        <v>903</v>
      </c>
      <c r="L2793" s="15" t="s">
        <v>2673</v>
      </c>
      <c r="M2793" s="15" t="s">
        <v>2672</v>
      </c>
      <c r="N2793" s="15" t="s">
        <v>2673</v>
      </c>
      <c r="O2793" s="15"/>
    </row>
    <row r="2794" spans="1:15" ht="18" customHeight="1" x14ac:dyDescent="0.3">
      <c r="A2794" s="29">
        <v>2793</v>
      </c>
      <c r="B2794" s="15" t="s">
        <v>108</v>
      </c>
      <c r="C2794" s="15" t="s">
        <v>110</v>
      </c>
      <c r="D2794" s="69">
        <v>177</v>
      </c>
      <c r="E2794" s="68" t="s">
        <v>233</v>
      </c>
      <c r="F2794" s="16" t="s">
        <v>763</v>
      </c>
      <c r="G2794" s="15" t="s">
        <v>154</v>
      </c>
      <c r="H2794" s="15" t="s">
        <v>908</v>
      </c>
      <c r="I2794" s="69">
        <v>93</v>
      </c>
      <c r="J2794" s="13" t="s">
        <v>2672</v>
      </c>
      <c r="K2794" s="15" t="s">
        <v>903</v>
      </c>
      <c r="L2794" s="15" t="s">
        <v>2673</v>
      </c>
      <c r="M2794" s="15" t="s">
        <v>2672</v>
      </c>
      <c r="N2794" s="15" t="s">
        <v>2673</v>
      </c>
      <c r="O2794" s="15"/>
    </row>
    <row r="2795" spans="1:15" ht="18" customHeight="1" x14ac:dyDescent="0.3">
      <c r="A2795" s="29">
        <v>2794</v>
      </c>
      <c r="B2795" s="15" t="s">
        <v>108</v>
      </c>
      <c r="C2795" s="15" t="s">
        <v>110</v>
      </c>
      <c r="D2795" s="69">
        <v>177</v>
      </c>
      <c r="E2795" s="68" t="s">
        <v>233</v>
      </c>
      <c r="F2795" s="16" t="s">
        <v>763</v>
      </c>
      <c r="G2795" s="15" t="s">
        <v>154</v>
      </c>
      <c r="H2795" s="15" t="s">
        <v>909</v>
      </c>
      <c r="I2795" s="69">
        <v>93</v>
      </c>
      <c r="J2795" s="13" t="s">
        <v>2672</v>
      </c>
      <c r="K2795" s="15" t="s">
        <v>903</v>
      </c>
      <c r="L2795" s="15" t="s">
        <v>2673</v>
      </c>
      <c r="M2795" s="15" t="s">
        <v>2672</v>
      </c>
      <c r="N2795" s="15" t="s">
        <v>2673</v>
      </c>
      <c r="O2795" s="15"/>
    </row>
    <row r="2796" spans="1:15" ht="18" customHeight="1" x14ac:dyDescent="0.3">
      <c r="A2796" s="29">
        <v>2795</v>
      </c>
      <c r="B2796" s="15" t="s">
        <v>108</v>
      </c>
      <c r="C2796" s="15" t="s">
        <v>110</v>
      </c>
      <c r="D2796" s="69">
        <v>177</v>
      </c>
      <c r="E2796" s="68" t="s">
        <v>234</v>
      </c>
      <c r="F2796" s="51" t="s">
        <v>865</v>
      </c>
      <c r="G2796" s="15" t="s">
        <v>154</v>
      </c>
      <c r="H2796" s="15" t="s">
        <v>901</v>
      </c>
      <c r="I2796" s="69">
        <v>132</v>
      </c>
      <c r="J2796" s="13" t="s">
        <v>902</v>
      </c>
      <c r="K2796" s="15" t="s">
        <v>903</v>
      </c>
      <c r="L2796" s="15" t="s">
        <v>2673</v>
      </c>
      <c r="M2796" s="15" t="s">
        <v>2672</v>
      </c>
      <c r="N2796" s="15" t="s">
        <v>2673</v>
      </c>
      <c r="O2796" s="15"/>
    </row>
    <row r="2797" spans="1:15" ht="18" customHeight="1" x14ac:dyDescent="0.3">
      <c r="A2797" s="29">
        <v>2796</v>
      </c>
      <c r="B2797" s="15" t="s">
        <v>108</v>
      </c>
      <c r="C2797" s="15" t="s">
        <v>110</v>
      </c>
      <c r="D2797" s="69">
        <v>177</v>
      </c>
      <c r="E2797" s="68" t="s">
        <v>234</v>
      </c>
      <c r="F2797" s="51" t="s">
        <v>865</v>
      </c>
      <c r="G2797" s="15" t="s">
        <v>154</v>
      </c>
      <c r="H2797" s="15" t="s">
        <v>904</v>
      </c>
      <c r="I2797" s="69">
        <v>132</v>
      </c>
      <c r="J2797" s="13" t="s">
        <v>902</v>
      </c>
      <c r="K2797" s="15" t="s">
        <v>903</v>
      </c>
      <c r="L2797" s="15" t="s">
        <v>2673</v>
      </c>
      <c r="M2797" s="15" t="s">
        <v>2672</v>
      </c>
      <c r="N2797" s="15" t="s">
        <v>2673</v>
      </c>
      <c r="O2797" s="15"/>
    </row>
    <row r="2798" spans="1:15" ht="18" customHeight="1" x14ac:dyDescent="0.3">
      <c r="A2798" s="29">
        <v>2797</v>
      </c>
      <c r="B2798" s="15" t="s">
        <v>108</v>
      </c>
      <c r="C2798" s="15" t="s">
        <v>110</v>
      </c>
      <c r="D2798" s="69">
        <v>177</v>
      </c>
      <c r="E2798" s="68" t="s">
        <v>234</v>
      </c>
      <c r="F2798" s="51" t="s">
        <v>865</v>
      </c>
      <c r="G2798" s="15" t="s">
        <v>154</v>
      </c>
      <c r="H2798" s="15" t="s">
        <v>905</v>
      </c>
      <c r="I2798" s="69">
        <v>282</v>
      </c>
      <c r="J2798" s="13" t="s">
        <v>2672</v>
      </c>
      <c r="K2798" s="15" t="s">
        <v>903</v>
      </c>
      <c r="L2798" s="15" t="s">
        <v>2673</v>
      </c>
      <c r="M2798" s="15" t="s">
        <v>2672</v>
      </c>
      <c r="N2798" s="15" t="s">
        <v>2673</v>
      </c>
      <c r="O2798" s="15"/>
    </row>
    <row r="2799" spans="1:15" ht="18" customHeight="1" x14ac:dyDescent="0.3">
      <c r="A2799" s="29">
        <v>2798</v>
      </c>
      <c r="B2799" s="15" t="s">
        <v>108</v>
      </c>
      <c r="C2799" s="15" t="s">
        <v>110</v>
      </c>
      <c r="D2799" s="69">
        <v>177</v>
      </c>
      <c r="E2799" s="68" t="s">
        <v>234</v>
      </c>
      <c r="F2799" s="51" t="s">
        <v>865</v>
      </c>
      <c r="G2799" s="15" t="s">
        <v>154</v>
      </c>
      <c r="H2799" s="15" t="s">
        <v>906</v>
      </c>
      <c r="I2799" s="69">
        <v>132</v>
      </c>
      <c r="J2799" s="13" t="s">
        <v>2672</v>
      </c>
      <c r="K2799" s="15" t="s">
        <v>903</v>
      </c>
      <c r="L2799" s="15" t="s">
        <v>2673</v>
      </c>
      <c r="M2799" s="15" t="s">
        <v>2672</v>
      </c>
      <c r="N2799" s="15" t="s">
        <v>2673</v>
      </c>
      <c r="O2799" s="15"/>
    </row>
    <row r="2800" spans="1:15" ht="18" customHeight="1" x14ac:dyDescent="0.3">
      <c r="A2800" s="29">
        <v>2799</v>
      </c>
      <c r="B2800" s="15" t="s">
        <v>108</v>
      </c>
      <c r="C2800" s="15" t="s">
        <v>110</v>
      </c>
      <c r="D2800" s="69">
        <v>177</v>
      </c>
      <c r="E2800" s="68" t="s">
        <v>234</v>
      </c>
      <c r="F2800" s="51" t="s">
        <v>865</v>
      </c>
      <c r="G2800" s="15" t="s">
        <v>154</v>
      </c>
      <c r="H2800" s="15" t="s">
        <v>907</v>
      </c>
      <c r="I2800" s="69">
        <v>132</v>
      </c>
      <c r="J2800" s="13" t="s">
        <v>2672</v>
      </c>
      <c r="K2800" s="15" t="s">
        <v>903</v>
      </c>
      <c r="L2800" s="15" t="s">
        <v>2673</v>
      </c>
      <c r="M2800" s="15" t="s">
        <v>2672</v>
      </c>
      <c r="N2800" s="15" t="s">
        <v>2673</v>
      </c>
      <c r="O2800" s="15"/>
    </row>
    <row r="2801" spans="1:15" ht="18" customHeight="1" x14ac:dyDescent="0.3">
      <c r="A2801" s="29">
        <v>2800</v>
      </c>
      <c r="B2801" s="15" t="s">
        <v>108</v>
      </c>
      <c r="C2801" s="15" t="s">
        <v>110</v>
      </c>
      <c r="D2801" s="69">
        <v>177</v>
      </c>
      <c r="E2801" s="68" t="s">
        <v>234</v>
      </c>
      <c r="F2801" s="51" t="s">
        <v>865</v>
      </c>
      <c r="G2801" s="15" t="s">
        <v>154</v>
      </c>
      <c r="H2801" s="15" t="s">
        <v>908</v>
      </c>
      <c r="I2801" s="69">
        <v>100</v>
      </c>
      <c r="J2801" s="13" t="s">
        <v>2672</v>
      </c>
      <c r="K2801" s="15" t="s">
        <v>903</v>
      </c>
      <c r="L2801" s="15" t="s">
        <v>2673</v>
      </c>
      <c r="M2801" s="15" t="s">
        <v>2672</v>
      </c>
      <c r="N2801" s="15" t="s">
        <v>2673</v>
      </c>
      <c r="O2801" s="15"/>
    </row>
    <row r="2802" spans="1:15" ht="18" customHeight="1" x14ac:dyDescent="0.3">
      <c r="A2802" s="29">
        <v>2801</v>
      </c>
      <c r="B2802" s="15" t="s">
        <v>108</v>
      </c>
      <c r="C2802" s="15" t="s">
        <v>110</v>
      </c>
      <c r="D2802" s="69">
        <v>177</v>
      </c>
      <c r="E2802" s="68" t="s">
        <v>234</v>
      </c>
      <c r="F2802" s="51" t="s">
        <v>865</v>
      </c>
      <c r="G2802" s="15" t="s">
        <v>154</v>
      </c>
      <c r="H2802" s="15" t="s">
        <v>909</v>
      </c>
      <c r="I2802" s="69">
        <v>104</v>
      </c>
      <c r="J2802" s="13" t="s">
        <v>2672</v>
      </c>
      <c r="K2802" s="15" t="s">
        <v>903</v>
      </c>
      <c r="L2802" s="15" t="s">
        <v>2673</v>
      </c>
      <c r="M2802" s="15" t="s">
        <v>2672</v>
      </c>
      <c r="N2802" s="15" t="s">
        <v>2673</v>
      </c>
      <c r="O2802" s="15"/>
    </row>
    <row r="2803" spans="1:15" ht="18" customHeight="1" x14ac:dyDescent="0.3">
      <c r="A2803" s="29">
        <v>2802</v>
      </c>
      <c r="B2803" s="15" t="s">
        <v>108</v>
      </c>
      <c r="C2803" s="15" t="s">
        <v>111</v>
      </c>
      <c r="D2803" s="69">
        <v>178</v>
      </c>
      <c r="E2803" s="68" t="s">
        <v>3395</v>
      </c>
      <c r="F2803" s="24" t="s">
        <v>766</v>
      </c>
      <c r="G2803" s="15" t="s">
        <v>164</v>
      </c>
      <c r="H2803" s="15" t="s">
        <v>901</v>
      </c>
      <c r="I2803" s="69">
        <v>130</v>
      </c>
      <c r="J2803" s="15" t="s">
        <v>2674</v>
      </c>
      <c r="K2803" s="15" t="s">
        <v>903</v>
      </c>
      <c r="L2803" s="15" t="s">
        <v>2673</v>
      </c>
      <c r="M2803" s="15" t="s">
        <v>2672</v>
      </c>
      <c r="N2803" s="15" t="s">
        <v>2673</v>
      </c>
      <c r="O2803" s="15"/>
    </row>
    <row r="2804" spans="1:15" ht="18" customHeight="1" x14ac:dyDescent="0.3">
      <c r="A2804" s="29">
        <v>2803</v>
      </c>
      <c r="B2804" s="15" t="s">
        <v>108</v>
      </c>
      <c r="C2804" s="15" t="s">
        <v>111</v>
      </c>
      <c r="D2804" s="69">
        <v>178</v>
      </c>
      <c r="E2804" s="68" t="s">
        <v>3395</v>
      </c>
      <c r="F2804" s="24" t="s">
        <v>766</v>
      </c>
      <c r="G2804" s="15" t="s">
        <v>164</v>
      </c>
      <c r="H2804" s="15" t="s">
        <v>904</v>
      </c>
      <c r="I2804" s="69">
        <v>207</v>
      </c>
      <c r="J2804" s="15" t="s">
        <v>2674</v>
      </c>
      <c r="K2804" s="15" t="s">
        <v>903</v>
      </c>
      <c r="L2804" s="15" t="s">
        <v>2673</v>
      </c>
      <c r="M2804" s="15" t="s">
        <v>2672</v>
      </c>
      <c r="N2804" s="15" t="s">
        <v>2673</v>
      </c>
      <c r="O2804" s="15"/>
    </row>
    <row r="2805" spans="1:15" ht="18" customHeight="1" x14ac:dyDescent="0.3">
      <c r="A2805" s="29">
        <v>2804</v>
      </c>
      <c r="B2805" s="15" t="s">
        <v>108</v>
      </c>
      <c r="C2805" s="15" t="s">
        <v>111</v>
      </c>
      <c r="D2805" s="69">
        <v>178</v>
      </c>
      <c r="E2805" s="68" t="s">
        <v>3395</v>
      </c>
      <c r="F2805" s="24" t="s">
        <v>766</v>
      </c>
      <c r="G2805" s="15" t="s">
        <v>164</v>
      </c>
      <c r="H2805" s="15" t="s">
        <v>905</v>
      </c>
      <c r="I2805" s="69">
        <v>193</v>
      </c>
      <c r="J2805" s="15" t="s">
        <v>2674</v>
      </c>
      <c r="K2805" s="15" t="s">
        <v>903</v>
      </c>
      <c r="L2805" s="15" t="s">
        <v>2673</v>
      </c>
      <c r="M2805" s="15" t="s">
        <v>2672</v>
      </c>
      <c r="N2805" s="15" t="s">
        <v>2673</v>
      </c>
      <c r="O2805" s="15"/>
    </row>
    <row r="2806" spans="1:15" ht="18" customHeight="1" x14ac:dyDescent="0.3">
      <c r="A2806" s="29">
        <v>2805</v>
      </c>
      <c r="B2806" s="15" t="s">
        <v>108</v>
      </c>
      <c r="C2806" s="15" t="s">
        <v>111</v>
      </c>
      <c r="D2806" s="69">
        <v>178</v>
      </c>
      <c r="E2806" s="68" t="s">
        <v>3395</v>
      </c>
      <c r="F2806" s="24" t="s">
        <v>766</v>
      </c>
      <c r="G2806" s="15" t="s">
        <v>164</v>
      </c>
      <c r="H2806" s="15" t="s">
        <v>906</v>
      </c>
      <c r="I2806" s="69">
        <v>177</v>
      </c>
      <c r="J2806" s="15" t="s">
        <v>2674</v>
      </c>
      <c r="K2806" s="15" t="s">
        <v>903</v>
      </c>
      <c r="L2806" s="15" t="s">
        <v>2673</v>
      </c>
      <c r="M2806" s="15" t="s">
        <v>2672</v>
      </c>
      <c r="N2806" s="15" t="s">
        <v>2673</v>
      </c>
      <c r="O2806" s="15"/>
    </row>
    <row r="2807" spans="1:15" ht="18" customHeight="1" x14ac:dyDescent="0.3">
      <c r="A2807" s="29">
        <v>2806</v>
      </c>
      <c r="B2807" s="15" t="s">
        <v>108</v>
      </c>
      <c r="C2807" s="15" t="s">
        <v>111</v>
      </c>
      <c r="D2807" s="69">
        <v>178</v>
      </c>
      <c r="E2807" s="68" t="s">
        <v>3395</v>
      </c>
      <c r="F2807" s="24" t="s">
        <v>766</v>
      </c>
      <c r="G2807" s="15" t="s">
        <v>164</v>
      </c>
      <c r="H2807" s="15" t="s">
        <v>907</v>
      </c>
      <c r="I2807" s="69">
        <v>130</v>
      </c>
      <c r="J2807" s="15" t="s">
        <v>2672</v>
      </c>
      <c r="K2807" s="15" t="s">
        <v>903</v>
      </c>
      <c r="L2807" s="15" t="s">
        <v>2673</v>
      </c>
      <c r="M2807" s="15" t="s">
        <v>2672</v>
      </c>
      <c r="N2807" s="15" t="s">
        <v>2673</v>
      </c>
      <c r="O2807" s="15"/>
    </row>
    <row r="2808" spans="1:15" ht="18" customHeight="1" x14ac:dyDescent="0.3">
      <c r="A2808" s="29">
        <v>2807</v>
      </c>
      <c r="B2808" s="15" t="s">
        <v>108</v>
      </c>
      <c r="C2808" s="15" t="s">
        <v>111</v>
      </c>
      <c r="D2808" s="69">
        <v>178</v>
      </c>
      <c r="E2808" s="68" t="s">
        <v>3395</v>
      </c>
      <c r="F2808" s="24" t="s">
        <v>766</v>
      </c>
      <c r="G2808" s="15" t="s">
        <v>164</v>
      </c>
      <c r="H2808" s="15" t="s">
        <v>908</v>
      </c>
      <c r="I2808" s="69">
        <v>113</v>
      </c>
      <c r="J2808" s="15" t="s">
        <v>2672</v>
      </c>
      <c r="K2808" s="15" t="s">
        <v>903</v>
      </c>
      <c r="L2808" s="15" t="s">
        <v>2673</v>
      </c>
      <c r="M2808" s="15" t="s">
        <v>2672</v>
      </c>
      <c r="N2808" s="15" t="s">
        <v>2673</v>
      </c>
      <c r="O2808" s="15"/>
    </row>
    <row r="2809" spans="1:15" ht="18" customHeight="1" x14ac:dyDescent="0.3">
      <c r="A2809" s="29">
        <v>2808</v>
      </c>
      <c r="B2809" s="15" t="s">
        <v>108</v>
      </c>
      <c r="C2809" s="15" t="s">
        <v>111</v>
      </c>
      <c r="D2809" s="69">
        <v>178</v>
      </c>
      <c r="E2809" s="68" t="s">
        <v>3395</v>
      </c>
      <c r="F2809" s="24" t="s">
        <v>766</v>
      </c>
      <c r="G2809" s="15" t="s">
        <v>164</v>
      </c>
      <c r="H2809" s="15" t="s">
        <v>909</v>
      </c>
      <c r="I2809" s="69">
        <v>173</v>
      </c>
      <c r="J2809" s="15" t="s">
        <v>2672</v>
      </c>
      <c r="K2809" s="15" t="s">
        <v>903</v>
      </c>
      <c r="L2809" s="15" t="s">
        <v>2673</v>
      </c>
      <c r="M2809" s="15" t="s">
        <v>2672</v>
      </c>
      <c r="N2809" s="15" t="s">
        <v>2673</v>
      </c>
      <c r="O2809" s="15"/>
    </row>
    <row r="2810" spans="1:15" ht="18" customHeight="1" x14ac:dyDescent="0.3">
      <c r="A2810" s="29">
        <v>2809</v>
      </c>
      <c r="B2810" s="15" t="s">
        <v>108</v>
      </c>
      <c r="C2810" s="15" t="s">
        <v>111</v>
      </c>
      <c r="D2810" s="69">
        <v>178</v>
      </c>
      <c r="E2810" s="68" t="s">
        <v>975</v>
      </c>
      <c r="F2810" s="24" t="s">
        <v>2377</v>
      </c>
      <c r="G2810" s="15" t="s">
        <v>164</v>
      </c>
      <c r="H2810" s="15" t="s">
        <v>901</v>
      </c>
      <c r="I2810" s="69">
        <v>168</v>
      </c>
      <c r="J2810" s="13" t="s">
        <v>2672</v>
      </c>
      <c r="K2810" s="15" t="s">
        <v>903</v>
      </c>
      <c r="L2810" s="15" t="s">
        <v>2673</v>
      </c>
      <c r="M2810" s="15" t="s">
        <v>2672</v>
      </c>
      <c r="N2810" s="15" t="s">
        <v>2673</v>
      </c>
      <c r="O2810" s="15"/>
    </row>
    <row r="2811" spans="1:15" ht="18" customHeight="1" x14ac:dyDescent="0.3">
      <c r="A2811" s="29">
        <v>2810</v>
      </c>
      <c r="B2811" s="15" t="s">
        <v>108</v>
      </c>
      <c r="C2811" s="15" t="s">
        <v>111</v>
      </c>
      <c r="D2811" s="69">
        <v>178</v>
      </c>
      <c r="E2811" s="68" t="s">
        <v>975</v>
      </c>
      <c r="F2811" s="24" t="s">
        <v>2377</v>
      </c>
      <c r="G2811" s="15" t="s">
        <v>164</v>
      </c>
      <c r="H2811" s="15" t="s">
        <v>904</v>
      </c>
      <c r="I2811" s="69">
        <v>132</v>
      </c>
      <c r="J2811" s="13" t="s">
        <v>2672</v>
      </c>
      <c r="K2811" s="15" t="s">
        <v>903</v>
      </c>
      <c r="L2811" s="15" t="s">
        <v>2673</v>
      </c>
      <c r="M2811" s="15" t="s">
        <v>2672</v>
      </c>
      <c r="N2811" s="15" t="s">
        <v>2673</v>
      </c>
      <c r="O2811" s="15"/>
    </row>
    <row r="2812" spans="1:15" ht="18" customHeight="1" x14ac:dyDescent="0.3">
      <c r="A2812" s="29">
        <v>2811</v>
      </c>
      <c r="B2812" s="15" t="s">
        <v>108</v>
      </c>
      <c r="C2812" s="15" t="s">
        <v>111</v>
      </c>
      <c r="D2812" s="69">
        <v>178</v>
      </c>
      <c r="E2812" s="68" t="s">
        <v>975</v>
      </c>
      <c r="F2812" s="24" t="s">
        <v>2377</v>
      </c>
      <c r="G2812" s="15" t="s">
        <v>164</v>
      </c>
      <c r="H2812" s="15" t="s">
        <v>905</v>
      </c>
      <c r="I2812" s="69">
        <v>134</v>
      </c>
      <c r="J2812" s="13" t="s">
        <v>2672</v>
      </c>
      <c r="K2812" s="15" t="s">
        <v>903</v>
      </c>
      <c r="L2812" s="15" t="s">
        <v>2673</v>
      </c>
      <c r="M2812" s="15" t="s">
        <v>2672</v>
      </c>
      <c r="N2812" s="15" t="s">
        <v>2673</v>
      </c>
      <c r="O2812" s="15"/>
    </row>
    <row r="2813" spans="1:15" ht="18" customHeight="1" x14ac:dyDescent="0.3">
      <c r="A2813" s="29">
        <v>2812</v>
      </c>
      <c r="B2813" s="15" t="s">
        <v>108</v>
      </c>
      <c r="C2813" s="15" t="s">
        <v>111</v>
      </c>
      <c r="D2813" s="69">
        <v>178</v>
      </c>
      <c r="E2813" s="68" t="s">
        <v>975</v>
      </c>
      <c r="F2813" s="24" t="s">
        <v>2377</v>
      </c>
      <c r="G2813" s="15" t="s">
        <v>164</v>
      </c>
      <c r="H2813" s="15" t="s">
        <v>906</v>
      </c>
      <c r="I2813" s="69">
        <v>336</v>
      </c>
      <c r="J2813" s="13" t="s">
        <v>2672</v>
      </c>
      <c r="K2813" s="15" t="s">
        <v>903</v>
      </c>
      <c r="L2813" s="15" t="s">
        <v>2673</v>
      </c>
      <c r="M2813" s="15" t="s">
        <v>2672</v>
      </c>
      <c r="N2813" s="15" t="s">
        <v>2673</v>
      </c>
      <c r="O2813" s="15"/>
    </row>
    <row r="2814" spans="1:15" ht="18" customHeight="1" x14ac:dyDescent="0.3">
      <c r="A2814" s="29">
        <v>2813</v>
      </c>
      <c r="B2814" s="15" t="s">
        <v>108</v>
      </c>
      <c r="C2814" s="15" t="s">
        <v>111</v>
      </c>
      <c r="D2814" s="69">
        <v>178</v>
      </c>
      <c r="E2814" s="68" t="s">
        <v>975</v>
      </c>
      <c r="F2814" s="24" t="s">
        <v>2377</v>
      </c>
      <c r="G2814" s="15" t="s">
        <v>164</v>
      </c>
      <c r="H2814" s="15" t="s">
        <v>907</v>
      </c>
      <c r="I2814" s="69">
        <v>54</v>
      </c>
      <c r="J2814" s="13" t="s">
        <v>2672</v>
      </c>
      <c r="K2814" s="15" t="s">
        <v>903</v>
      </c>
      <c r="L2814" s="15" t="s">
        <v>2673</v>
      </c>
      <c r="M2814" s="15" t="s">
        <v>2672</v>
      </c>
      <c r="N2814" s="15" t="s">
        <v>2673</v>
      </c>
      <c r="O2814" s="15"/>
    </row>
    <row r="2815" spans="1:15" ht="18" customHeight="1" x14ac:dyDescent="0.3">
      <c r="A2815" s="29">
        <v>2814</v>
      </c>
      <c r="B2815" s="15" t="s">
        <v>108</v>
      </c>
      <c r="C2815" s="15" t="s">
        <v>111</v>
      </c>
      <c r="D2815" s="69">
        <v>178</v>
      </c>
      <c r="E2815" s="68" t="s">
        <v>975</v>
      </c>
      <c r="F2815" s="24" t="s">
        <v>2377</v>
      </c>
      <c r="G2815" s="15" t="s">
        <v>164</v>
      </c>
      <c r="H2815" s="15" t="s">
        <v>908</v>
      </c>
      <c r="I2815" s="69">
        <v>135</v>
      </c>
      <c r="J2815" s="13" t="s">
        <v>2674</v>
      </c>
      <c r="K2815" s="15" t="s">
        <v>903</v>
      </c>
      <c r="L2815" s="15" t="s">
        <v>2673</v>
      </c>
      <c r="M2815" s="15" t="s">
        <v>2672</v>
      </c>
      <c r="N2815" s="15" t="s">
        <v>2673</v>
      </c>
      <c r="O2815" s="15"/>
    </row>
    <row r="2816" spans="1:15" ht="18" customHeight="1" x14ac:dyDescent="0.3">
      <c r="A2816" s="29">
        <v>2815</v>
      </c>
      <c r="B2816" s="15" t="s">
        <v>108</v>
      </c>
      <c r="C2816" s="15" t="s">
        <v>111</v>
      </c>
      <c r="D2816" s="69">
        <v>178</v>
      </c>
      <c r="E2816" s="68" t="s">
        <v>975</v>
      </c>
      <c r="F2816" s="24" t="s">
        <v>2377</v>
      </c>
      <c r="G2816" s="15" t="s">
        <v>164</v>
      </c>
      <c r="H2816" s="15" t="s">
        <v>909</v>
      </c>
      <c r="I2816" s="69">
        <v>284</v>
      </c>
      <c r="J2816" s="13" t="s">
        <v>2672</v>
      </c>
      <c r="K2816" s="15" t="s">
        <v>903</v>
      </c>
      <c r="L2816" s="15" t="s">
        <v>2673</v>
      </c>
      <c r="M2816" s="15" t="s">
        <v>2672</v>
      </c>
      <c r="N2816" s="15" t="s">
        <v>2673</v>
      </c>
      <c r="O2816" s="15"/>
    </row>
    <row r="2817" spans="1:15" ht="18" customHeight="1" x14ac:dyDescent="0.3">
      <c r="A2817" s="29">
        <v>2816</v>
      </c>
      <c r="B2817" s="15" t="s">
        <v>108</v>
      </c>
      <c r="C2817" s="15" t="s">
        <v>112</v>
      </c>
      <c r="D2817" s="69">
        <v>179</v>
      </c>
      <c r="E2817" s="68" t="s">
        <v>3396</v>
      </c>
      <c r="F2817" s="24" t="s">
        <v>778</v>
      </c>
      <c r="G2817" s="15" t="s">
        <v>164</v>
      </c>
      <c r="H2817" s="15" t="s">
        <v>901</v>
      </c>
      <c r="I2817" s="69">
        <v>170</v>
      </c>
      <c r="J2817" s="15" t="s">
        <v>2674</v>
      </c>
      <c r="K2817" s="15" t="s">
        <v>903</v>
      </c>
      <c r="L2817" s="15" t="s">
        <v>2673</v>
      </c>
      <c r="M2817" s="15" t="s">
        <v>2672</v>
      </c>
      <c r="N2817" s="15" t="s">
        <v>2673</v>
      </c>
      <c r="O2817" s="15"/>
    </row>
    <row r="2818" spans="1:15" ht="18" customHeight="1" x14ac:dyDescent="0.3">
      <c r="A2818" s="29">
        <v>2817</v>
      </c>
      <c r="B2818" s="15" t="s">
        <v>108</v>
      </c>
      <c r="C2818" s="15" t="s">
        <v>112</v>
      </c>
      <c r="D2818" s="69">
        <v>179</v>
      </c>
      <c r="E2818" s="68" t="s">
        <v>3396</v>
      </c>
      <c r="F2818" s="24" t="s">
        <v>778</v>
      </c>
      <c r="G2818" s="15" t="s">
        <v>164</v>
      </c>
      <c r="H2818" s="15" t="s">
        <v>904</v>
      </c>
      <c r="I2818" s="69">
        <v>131</v>
      </c>
      <c r="J2818" s="15" t="s">
        <v>2672</v>
      </c>
      <c r="K2818" s="15" t="s">
        <v>903</v>
      </c>
      <c r="L2818" s="15" t="s">
        <v>2673</v>
      </c>
      <c r="M2818" s="15" t="s">
        <v>2672</v>
      </c>
      <c r="N2818" s="15" t="s">
        <v>2673</v>
      </c>
      <c r="O2818" s="15"/>
    </row>
    <row r="2819" spans="1:15" ht="18" customHeight="1" x14ac:dyDescent="0.3">
      <c r="A2819" s="29">
        <v>2818</v>
      </c>
      <c r="B2819" s="15" t="s">
        <v>108</v>
      </c>
      <c r="C2819" s="15" t="s">
        <v>112</v>
      </c>
      <c r="D2819" s="69">
        <v>179</v>
      </c>
      <c r="E2819" s="68" t="s">
        <v>3396</v>
      </c>
      <c r="F2819" s="24" t="s">
        <v>778</v>
      </c>
      <c r="G2819" s="15" t="s">
        <v>164</v>
      </c>
      <c r="H2819" s="15" t="s">
        <v>905</v>
      </c>
      <c r="I2819" s="69">
        <v>103</v>
      </c>
      <c r="J2819" s="15" t="s">
        <v>2672</v>
      </c>
      <c r="K2819" s="15" t="s">
        <v>903</v>
      </c>
      <c r="L2819" s="15" t="s">
        <v>2673</v>
      </c>
      <c r="M2819" s="15" t="s">
        <v>2672</v>
      </c>
      <c r="N2819" s="15" t="s">
        <v>2673</v>
      </c>
      <c r="O2819" s="15"/>
    </row>
    <row r="2820" spans="1:15" ht="18" customHeight="1" x14ac:dyDescent="0.3">
      <c r="A2820" s="29">
        <v>2819</v>
      </c>
      <c r="B2820" s="15" t="s">
        <v>108</v>
      </c>
      <c r="C2820" s="15" t="s">
        <v>112</v>
      </c>
      <c r="D2820" s="69">
        <v>179</v>
      </c>
      <c r="E2820" s="68" t="s">
        <v>3396</v>
      </c>
      <c r="F2820" s="24" t="s">
        <v>778</v>
      </c>
      <c r="G2820" s="15" t="s">
        <v>164</v>
      </c>
      <c r="H2820" s="15" t="s">
        <v>906</v>
      </c>
      <c r="I2820" s="69">
        <v>149</v>
      </c>
      <c r="J2820" s="15" t="s">
        <v>2672</v>
      </c>
      <c r="K2820" s="15" t="s">
        <v>903</v>
      </c>
      <c r="L2820" s="15" t="s">
        <v>2673</v>
      </c>
      <c r="M2820" s="15" t="s">
        <v>2672</v>
      </c>
      <c r="N2820" s="15" t="s">
        <v>2673</v>
      </c>
      <c r="O2820" s="15"/>
    </row>
    <row r="2821" spans="1:15" ht="18" customHeight="1" x14ac:dyDescent="0.3">
      <c r="A2821" s="29">
        <v>2820</v>
      </c>
      <c r="B2821" s="13" t="s">
        <v>2342</v>
      </c>
      <c r="C2821" s="13" t="s">
        <v>2379</v>
      </c>
      <c r="D2821" s="13">
        <v>180</v>
      </c>
      <c r="E2821" s="36" t="s">
        <v>2380</v>
      </c>
      <c r="F2821" s="24" t="s">
        <v>2381</v>
      </c>
      <c r="G2821" s="13" t="s">
        <v>2673</v>
      </c>
      <c r="H2821" s="15" t="s">
        <v>2685</v>
      </c>
      <c r="I2821" s="29">
        <v>129</v>
      </c>
      <c r="J2821" s="15" t="s">
        <v>2674</v>
      </c>
      <c r="K2821" s="15" t="s">
        <v>903</v>
      </c>
      <c r="L2821" s="15" t="s">
        <v>2673</v>
      </c>
      <c r="M2821" s="15" t="s">
        <v>2672</v>
      </c>
      <c r="N2821" s="15" t="s">
        <v>2673</v>
      </c>
      <c r="O2821" s="15"/>
    </row>
    <row r="2822" spans="1:15" ht="18" customHeight="1" x14ac:dyDescent="0.3">
      <c r="A2822" s="29">
        <v>2821</v>
      </c>
      <c r="B2822" s="13" t="s">
        <v>2342</v>
      </c>
      <c r="C2822" s="13" t="s">
        <v>2379</v>
      </c>
      <c r="D2822" s="13">
        <v>180</v>
      </c>
      <c r="E2822" s="36" t="s">
        <v>2380</v>
      </c>
      <c r="F2822" s="24" t="s">
        <v>2381</v>
      </c>
      <c r="G2822" s="13" t="s">
        <v>2673</v>
      </c>
      <c r="H2822" s="15" t="s">
        <v>2678</v>
      </c>
      <c r="I2822" s="29">
        <v>86</v>
      </c>
      <c r="J2822" s="15" t="s">
        <v>2672</v>
      </c>
      <c r="K2822" s="15" t="s">
        <v>903</v>
      </c>
      <c r="L2822" s="15" t="s">
        <v>2673</v>
      </c>
      <c r="M2822" s="15" t="s">
        <v>2672</v>
      </c>
      <c r="N2822" s="15" t="s">
        <v>2673</v>
      </c>
      <c r="O2822" s="15"/>
    </row>
    <row r="2823" spans="1:15" ht="18" customHeight="1" x14ac:dyDescent="0.3">
      <c r="A2823" s="29">
        <v>2822</v>
      </c>
      <c r="B2823" s="13" t="s">
        <v>2342</v>
      </c>
      <c r="C2823" s="13" t="s">
        <v>2379</v>
      </c>
      <c r="D2823" s="13">
        <v>180</v>
      </c>
      <c r="E2823" s="36" t="s">
        <v>2380</v>
      </c>
      <c r="F2823" s="24" t="s">
        <v>2381</v>
      </c>
      <c r="G2823" s="13" t="s">
        <v>2673</v>
      </c>
      <c r="H2823" s="15" t="s">
        <v>2679</v>
      </c>
      <c r="I2823" s="29">
        <v>42</v>
      </c>
      <c r="J2823" s="15" t="s">
        <v>2672</v>
      </c>
      <c r="K2823" s="15" t="s">
        <v>903</v>
      </c>
      <c r="L2823" s="15" t="s">
        <v>2673</v>
      </c>
      <c r="M2823" s="15" t="s">
        <v>2672</v>
      </c>
      <c r="N2823" s="15" t="s">
        <v>2673</v>
      </c>
      <c r="O2823" s="15"/>
    </row>
    <row r="2824" spans="1:15" ht="18" customHeight="1" x14ac:dyDescent="0.3">
      <c r="A2824" s="29">
        <v>2823</v>
      </c>
      <c r="B2824" s="15" t="s">
        <v>2358</v>
      </c>
      <c r="C2824" s="15" t="s">
        <v>2385</v>
      </c>
      <c r="D2824" s="13">
        <v>181</v>
      </c>
      <c r="E2824" s="6" t="s">
        <v>2386</v>
      </c>
      <c r="F2824" s="16" t="s">
        <v>2387</v>
      </c>
      <c r="G2824" s="15" t="s">
        <v>2867</v>
      </c>
      <c r="H2824" s="15" t="s">
        <v>2685</v>
      </c>
      <c r="I2824" s="69">
        <v>65</v>
      </c>
      <c r="J2824" s="15" t="s">
        <v>2674</v>
      </c>
      <c r="K2824" s="15" t="s">
        <v>903</v>
      </c>
      <c r="L2824" s="15" t="s">
        <v>2673</v>
      </c>
      <c r="M2824" s="15" t="s">
        <v>2672</v>
      </c>
      <c r="N2824" s="15" t="s">
        <v>2673</v>
      </c>
      <c r="O2824" s="15"/>
    </row>
    <row r="2825" spans="1:15" ht="18" customHeight="1" x14ac:dyDescent="0.3">
      <c r="A2825" s="29">
        <v>2824</v>
      </c>
      <c r="B2825" s="15" t="s">
        <v>2358</v>
      </c>
      <c r="C2825" s="15" t="s">
        <v>2385</v>
      </c>
      <c r="D2825" s="13">
        <v>181</v>
      </c>
      <c r="E2825" s="6" t="s">
        <v>2386</v>
      </c>
      <c r="F2825" s="16" t="s">
        <v>2387</v>
      </c>
      <c r="G2825" s="15" t="s">
        <v>2867</v>
      </c>
      <c r="H2825" s="15" t="s">
        <v>2678</v>
      </c>
      <c r="I2825" s="69">
        <v>34</v>
      </c>
      <c r="J2825" s="15" t="s">
        <v>2672</v>
      </c>
      <c r="K2825" s="15" t="s">
        <v>903</v>
      </c>
      <c r="L2825" s="15" t="s">
        <v>2673</v>
      </c>
      <c r="M2825" s="15" t="s">
        <v>2672</v>
      </c>
      <c r="N2825" s="15" t="s">
        <v>2673</v>
      </c>
      <c r="O2825" s="15"/>
    </row>
    <row r="2826" spans="1:15" ht="18" customHeight="1" x14ac:dyDescent="0.3">
      <c r="A2826" s="29">
        <v>2825</v>
      </c>
      <c r="B2826" s="13" t="s">
        <v>2358</v>
      </c>
      <c r="C2826" s="13" t="s">
        <v>2390</v>
      </c>
      <c r="D2826" s="13">
        <v>182</v>
      </c>
      <c r="E2826" s="36" t="s">
        <v>2391</v>
      </c>
      <c r="F2826" s="24" t="s">
        <v>2392</v>
      </c>
      <c r="G2826" s="13" t="s">
        <v>2867</v>
      </c>
      <c r="H2826" s="15" t="s">
        <v>2685</v>
      </c>
      <c r="I2826" s="69">
        <v>36</v>
      </c>
      <c r="J2826" s="15" t="s">
        <v>2672</v>
      </c>
      <c r="K2826" s="15" t="s">
        <v>903</v>
      </c>
      <c r="L2826" s="15" t="s">
        <v>2673</v>
      </c>
      <c r="M2826" s="15" t="s">
        <v>2672</v>
      </c>
      <c r="N2826" s="15" t="s">
        <v>2673</v>
      </c>
      <c r="O2826" s="15"/>
    </row>
    <row r="2827" spans="1:15" ht="18" customHeight="1" x14ac:dyDescent="0.3">
      <c r="A2827" s="29">
        <v>2826</v>
      </c>
      <c r="B2827" s="13" t="s">
        <v>2358</v>
      </c>
      <c r="C2827" s="13" t="s">
        <v>2390</v>
      </c>
      <c r="D2827" s="13">
        <v>182</v>
      </c>
      <c r="E2827" s="36" t="s">
        <v>2391</v>
      </c>
      <c r="F2827" s="24" t="s">
        <v>2392</v>
      </c>
      <c r="G2827" s="13" t="s">
        <v>2867</v>
      </c>
      <c r="H2827" s="15" t="s">
        <v>2678</v>
      </c>
      <c r="I2827" s="69">
        <v>54</v>
      </c>
      <c r="J2827" s="15" t="s">
        <v>2674</v>
      </c>
      <c r="K2827" s="15" t="s">
        <v>903</v>
      </c>
      <c r="L2827" s="15" t="s">
        <v>2673</v>
      </c>
      <c r="M2827" s="15" t="s">
        <v>2672</v>
      </c>
      <c r="N2827" s="15" t="s">
        <v>2673</v>
      </c>
      <c r="O2827" s="15"/>
    </row>
    <row r="2828" spans="1:15" ht="18" customHeight="1" x14ac:dyDescent="0.3">
      <c r="A2828" s="29">
        <v>2827</v>
      </c>
      <c r="B2828" s="15" t="s">
        <v>108</v>
      </c>
      <c r="C2828" s="15" t="s">
        <v>114</v>
      </c>
      <c r="D2828" s="69">
        <v>183</v>
      </c>
      <c r="E2828" s="68" t="s">
        <v>1036</v>
      </c>
      <c r="F2828" s="24" t="s">
        <v>2397</v>
      </c>
      <c r="G2828" s="15" t="s">
        <v>2673</v>
      </c>
      <c r="H2828" s="15" t="s">
        <v>901</v>
      </c>
      <c r="I2828" s="69">
        <v>55</v>
      </c>
      <c r="J2828" s="15" t="s">
        <v>2674</v>
      </c>
      <c r="K2828" s="15" t="s">
        <v>903</v>
      </c>
      <c r="L2828" s="15" t="s">
        <v>2673</v>
      </c>
      <c r="M2828" s="15" t="s">
        <v>2672</v>
      </c>
      <c r="N2828" s="15" t="s">
        <v>2673</v>
      </c>
      <c r="O2828" s="15"/>
    </row>
    <row r="2829" spans="1:15" ht="18" customHeight="1" x14ac:dyDescent="0.3">
      <c r="A2829" s="29">
        <v>2828</v>
      </c>
      <c r="B2829" s="15" t="s">
        <v>108</v>
      </c>
      <c r="C2829" s="15" t="s">
        <v>114</v>
      </c>
      <c r="D2829" s="69">
        <v>183</v>
      </c>
      <c r="E2829" s="68" t="s">
        <v>1036</v>
      </c>
      <c r="F2829" s="24" t="s">
        <v>2397</v>
      </c>
      <c r="G2829" s="15" t="s">
        <v>2673</v>
      </c>
      <c r="H2829" s="15" t="s">
        <v>904</v>
      </c>
      <c r="I2829" s="69">
        <v>43</v>
      </c>
      <c r="J2829" s="15" t="s">
        <v>2672</v>
      </c>
      <c r="K2829" s="15" t="s">
        <v>903</v>
      </c>
      <c r="L2829" s="15" t="s">
        <v>2673</v>
      </c>
      <c r="M2829" s="15" t="s">
        <v>2672</v>
      </c>
      <c r="N2829" s="15" t="s">
        <v>2673</v>
      </c>
      <c r="O2829" s="15"/>
    </row>
    <row r="2830" spans="1:15" ht="18" customHeight="1" x14ac:dyDescent="0.3">
      <c r="A2830" s="29">
        <v>2829</v>
      </c>
      <c r="B2830" s="15" t="s">
        <v>108</v>
      </c>
      <c r="C2830" s="15" t="s">
        <v>115</v>
      </c>
      <c r="D2830" s="69">
        <v>184</v>
      </c>
      <c r="E2830" s="68" t="s">
        <v>3014</v>
      </c>
      <c r="F2830" s="24" t="s">
        <v>2402</v>
      </c>
      <c r="G2830" s="15" t="s">
        <v>2673</v>
      </c>
      <c r="H2830" s="15" t="s">
        <v>901</v>
      </c>
      <c r="I2830" s="69">
        <v>57</v>
      </c>
      <c r="J2830" s="15" t="s">
        <v>2674</v>
      </c>
      <c r="K2830" s="15" t="s">
        <v>2672</v>
      </c>
      <c r="L2830" s="15" t="s">
        <v>2673</v>
      </c>
      <c r="M2830" s="15" t="s">
        <v>2672</v>
      </c>
      <c r="N2830" s="15" t="s">
        <v>2673</v>
      </c>
      <c r="O2830" s="15"/>
    </row>
    <row r="2831" spans="1:15" ht="18" customHeight="1" x14ac:dyDescent="0.3">
      <c r="A2831" s="29">
        <v>2830</v>
      </c>
      <c r="B2831" s="15" t="s">
        <v>108</v>
      </c>
      <c r="C2831" s="15" t="s">
        <v>115</v>
      </c>
      <c r="D2831" s="69">
        <v>184</v>
      </c>
      <c r="E2831" s="68" t="s">
        <v>3014</v>
      </c>
      <c r="F2831" s="24" t="s">
        <v>2402</v>
      </c>
      <c r="G2831" s="15" t="s">
        <v>2673</v>
      </c>
      <c r="H2831" s="15" t="s">
        <v>904</v>
      </c>
      <c r="I2831" s="69">
        <v>41</v>
      </c>
      <c r="J2831" s="15" t="s">
        <v>2672</v>
      </c>
      <c r="K2831" s="15" t="s">
        <v>2672</v>
      </c>
      <c r="L2831" s="15" t="s">
        <v>2673</v>
      </c>
      <c r="M2831" s="15" t="s">
        <v>2672</v>
      </c>
      <c r="N2831" s="15" t="s">
        <v>2673</v>
      </c>
      <c r="O2831" s="15"/>
    </row>
    <row r="2832" spans="1:15" ht="18" customHeight="1" x14ac:dyDescent="0.3">
      <c r="A2832" s="29">
        <v>2831</v>
      </c>
      <c r="B2832" s="13" t="s">
        <v>2342</v>
      </c>
      <c r="C2832" s="13" t="s">
        <v>2404</v>
      </c>
      <c r="D2832" s="13">
        <v>186</v>
      </c>
      <c r="E2832" s="63" t="s">
        <v>2405</v>
      </c>
      <c r="F2832" s="21" t="s">
        <v>2406</v>
      </c>
      <c r="G2832" s="13" t="s">
        <v>2673</v>
      </c>
      <c r="H2832" s="15" t="s">
        <v>2685</v>
      </c>
      <c r="I2832" s="69">
        <v>39</v>
      </c>
      <c r="J2832" s="15" t="s">
        <v>2672</v>
      </c>
      <c r="K2832" s="15" t="s">
        <v>903</v>
      </c>
      <c r="L2832" s="15" t="s">
        <v>2673</v>
      </c>
      <c r="M2832" s="15" t="s">
        <v>2672</v>
      </c>
      <c r="N2832" s="15" t="s">
        <v>2673</v>
      </c>
      <c r="O2832" s="15"/>
    </row>
    <row r="2833" spans="1:15" ht="18" customHeight="1" x14ac:dyDescent="0.3">
      <c r="A2833" s="29">
        <v>2832</v>
      </c>
      <c r="B2833" s="13" t="s">
        <v>2342</v>
      </c>
      <c r="C2833" s="13" t="s">
        <v>2404</v>
      </c>
      <c r="D2833" s="13">
        <v>186</v>
      </c>
      <c r="E2833" s="63" t="s">
        <v>2405</v>
      </c>
      <c r="F2833" s="21" t="s">
        <v>2406</v>
      </c>
      <c r="G2833" s="13" t="s">
        <v>2673</v>
      </c>
      <c r="H2833" s="15" t="s">
        <v>2678</v>
      </c>
      <c r="I2833" s="69">
        <v>55</v>
      </c>
      <c r="J2833" s="15" t="s">
        <v>2674</v>
      </c>
      <c r="K2833" s="15" t="s">
        <v>903</v>
      </c>
      <c r="L2833" s="15" t="s">
        <v>2673</v>
      </c>
      <c r="M2833" s="15" t="s">
        <v>2672</v>
      </c>
      <c r="N2833" s="15" t="s">
        <v>2673</v>
      </c>
      <c r="O2833" s="15"/>
    </row>
    <row r="2834" spans="1:15" ht="18" customHeight="1" x14ac:dyDescent="0.3">
      <c r="A2834" s="29">
        <v>2833</v>
      </c>
      <c r="B2834" s="15" t="s">
        <v>108</v>
      </c>
      <c r="C2834" s="15" t="s">
        <v>117</v>
      </c>
      <c r="D2834" s="69">
        <v>187</v>
      </c>
      <c r="E2834" s="68" t="s">
        <v>1033</v>
      </c>
      <c r="F2834" s="24" t="s">
        <v>2412</v>
      </c>
      <c r="G2834" s="15" t="s">
        <v>2673</v>
      </c>
      <c r="H2834" s="15" t="s">
        <v>901</v>
      </c>
      <c r="I2834" s="69">
        <v>101</v>
      </c>
      <c r="J2834" s="15" t="s">
        <v>2674</v>
      </c>
      <c r="K2834" s="15" t="s">
        <v>903</v>
      </c>
      <c r="L2834" s="15" t="s">
        <v>2673</v>
      </c>
      <c r="M2834" s="15" t="s">
        <v>2672</v>
      </c>
      <c r="N2834" s="15" t="s">
        <v>2673</v>
      </c>
      <c r="O2834" s="15"/>
    </row>
    <row r="2835" spans="1:15" ht="18" customHeight="1" x14ac:dyDescent="0.3">
      <c r="A2835" s="29">
        <v>2834</v>
      </c>
      <c r="B2835" s="15" t="s">
        <v>108</v>
      </c>
      <c r="C2835" s="15" t="s">
        <v>117</v>
      </c>
      <c r="D2835" s="69">
        <v>187</v>
      </c>
      <c r="E2835" s="68" t="s">
        <v>1033</v>
      </c>
      <c r="F2835" s="24" t="s">
        <v>2412</v>
      </c>
      <c r="G2835" s="15" t="s">
        <v>2673</v>
      </c>
      <c r="H2835" s="15" t="s">
        <v>904</v>
      </c>
      <c r="I2835" s="69">
        <v>48</v>
      </c>
      <c r="J2835" s="15" t="s">
        <v>2672</v>
      </c>
      <c r="K2835" s="15" t="s">
        <v>903</v>
      </c>
      <c r="L2835" s="15" t="s">
        <v>2673</v>
      </c>
      <c r="M2835" s="15" t="s">
        <v>2672</v>
      </c>
      <c r="N2835" s="15" t="s">
        <v>2673</v>
      </c>
      <c r="O2835" s="15"/>
    </row>
    <row r="2836" spans="1:15" ht="18" customHeight="1" x14ac:dyDescent="0.3">
      <c r="A2836" s="29">
        <v>2835</v>
      </c>
      <c r="B2836" s="15" t="s">
        <v>108</v>
      </c>
      <c r="C2836" s="15" t="s">
        <v>118</v>
      </c>
      <c r="D2836" s="69">
        <v>188</v>
      </c>
      <c r="E2836" s="68" t="s">
        <v>1032</v>
      </c>
      <c r="F2836" s="16" t="s">
        <v>2417</v>
      </c>
      <c r="G2836" s="15" t="s">
        <v>2673</v>
      </c>
      <c r="H2836" s="15" t="s">
        <v>901</v>
      </c>
      <c r="I2836" s="69">
        <v>62</v>
      </c>
      <c r="J2836" s="15" t="s">
        <v>2674</v>
      </c>
      <c r="K2836" s="15" t="s">
        <v>903</v>
      </c>
      <c r="L2836" s="15" t="s">
        <v>2673</v>
      </c>
      <c r="M2836" s="15" t="s">
        <v>2672</v>
      </c>
      <c r="N2836" s="15" t="s">
        <v>2673</v>
      </c>
      <c r="O2836" s="15"/>
    </row>
    <row r="2837" spans="1:15" ht="18" customHeight="1" x14ac:dyDescent="0.3">
      <c r="A2837" s="29">
        <v>2836</v>
      </c>
      <c r="B2837" s="15" t="s">
        <v>108</v>
      </c>
      <c r="C2837" s="15" t="s">
        <v>118</v>
      </c>
      <c r="D2837" s="69">
        <v>188</v>
      </c>
      <c r="E2837" s="68" t="s">
        <v>1032</v>
      </c>
      <c r="F2837" s="16" t="s">
        <v>2417</v>
      </c>
      <c r="G2837" s="15" t="s">
        <v>2673</v>
      </c>
      <c r="H2837" s="15" t="s">
        <v>904</v>
      </c>
      <c r="I2837" s="69">
        <v>31</v>
      </c>
      <c r="J2837" s="15" t="s">
        <v>2672</v>
      </c>
      <c r="K2837" s="15" t="s">
        <v>903</v>
      </c>
      <c r="L2837" s="15" t="s">
        <v>2673</v>
      </c>
      <c r="M2837" s="15" t="s">
        <v>2672</v>
      </c>
      <c r="N2837" s="15" t="s">
        <v>2673</v>
      </c>
      <c r="O2837" s="15"/>
    </row>
    <row r="2838" spans="1:15" ht="18" customHeight="1" x14ac:dyDescent="0.3">
      <c r="A2838" s="29">
        <v>2837</v>
      </c>
      <c r="B2838" s="130" t="s">
        <v>2358</v>
      </c>
      <c r="C2838" s="130" t="s">
        <v>2421</v>
      </c>
      <c r="D2838" s="130">
        <v>189</v>
      </c>
      <c r="E2838" s="63" t="s">
        <v>2422</v>
      </c>
      <c r="F2838" s="36" t="s">
        <v>2423</v>
      </c>
      <c r="G2838" s="130" t="s">
        <v>2867</v>
      </c>
      <c r="H2838" s="15" t="s">
        <v>2685</v>
      </c>
      <c r="I2838" s="69">
        <v>54</v>
      </c>
      <c r="J2838" s="15" t="s">
        <v>2672</v>
      </c>
      <c r="K2838" s="15" t="s">
        <v>903</v>
      </c>
      <c r="L2838" s="15" t="s">
        <v>2673</v>
      </c>
      <c r="M2838" s="15" t="s">
        <v>2672</v>
      </c>
      <c r="N2838" s="15" t="s">
        <v>2673</v>
      </c>
      <c r="O2838" s="15"/>
    </row>
    <row r="2839" spans="1:15" ht="18" customHeight="1" x14ac:dyDescent="0.3">
      <c r="A2839" s="29">
        <v>2838</v>
      </c>
      <c r="B2839" s="130" t="s">
        <v>2358</v>
      </c>
      <c r="C2839" s="130" t="s">
        <v>2421</v>
      </c>
      <c r="D2839" s="130">
        <v>189</v>
      </c>
      <c r="E2839" s="63" t="s">
        <v>2422</v>
      </c>
      <c r="F2839" s="36" t="s">
        <v>2423</v>
      </c>
      <c r="G2839" s="130" t="s">
        <v>2867</v>
      </c>
      <c r="H2839" s="15" t="s">
        <v>2678</v>
      </c>
      <c r="I2839" s="69">
        <v>44</v>
      </c>
      <c r="J2839" s="15" t="s">
        <v>2672</v>
      </c>
      <c r="K2839" s="15" t="s">
        <v>903</v>
      </c>
      <c r="L2839" s="15" t="s">
        <v>2673</v>
      </c>
      <c r="M2839" s="15" t="s">
        <v>2672</v>
      </c>
      <c r="N2839" s="15" t="s">
        <v>2673</v>
      </c>
      <c r="O2839" s="15"/>
    </row>
    <row r="2840" spans="1:15" ht="18" customHeight="1" x14ac:dyDescent="0.3">
      <c r="A2840" s="29">
        <v>2839</v>
      </c>
      <c r="B2840" s="15" t="s">
        <v>119</v>
      </c>
      <c r="C2840" s="15" t="s">
        <v>120</v>
      </c>
      <c r="D2840" s="69">
        <v>190</v>
      </c>
      <c r="E2840" s="68" t="s">
        <v>3397</v>
      </c>
      <c r="F2840" s="24" t="s">
        <v>783</v>
      </c>
      <c r="G2840" s="15" t="s">
        <v>154</v>
      </c>
      <c r="H2840" s="15" t="s">
        <v>901</v>
      </c>
      <c r="I2840" s="69">
        <v>110</v>
      </c>
      <c r="J2840" s="15" t="s">
        <v>2674</v>
      </c>
      <c r="K2840" s="15" t="s">
        <v>903</v>
      </c>
      <c r="L2840" s="15" t="s">
        <v>2673</v>
      </c>
      <c r="M2840" s="15" t="s">
        <v>2672</v>
      </c>
      <c r="N2840" s="15" t="s">
        <v>2673</v>
      </c>
      <c r="O2840" s="15"/>
    </row>
    <row r="2841" spans="1:15" ht="18" customHeight="1" x14ac:dyDescent="0.3">
      <c r="A2841" s="29">
        <v>2840</v>
      </c>
      <c r="B2841" s="15" t="s">
        <v>119</v>
      </c>
      <c r="C2841" s="15" t="s">
        <v>120</v>
      </c>
      <c r="D2841" s="69">
        <v>190</v>
      </c>
      <c r="E2841" s="68" t="s">
        <v>3397</v>
      </c>
      <c r="F2841" s="24" t="s">
        <v>783</v>
      </c>
      <c r="G2841" s="15" t="s">
        <v>154</v>
      </c>
      <c r="H2841" s="15" t="s">
        <v>904</v>
      </c>
      <c r="I2841" s="69">
        <v>216</v>
      </c>
      <c r="J2841" s="15" t="s">
        <v>2672</v>
      </c>
      <c r="K2841" s="15" t="s">
        <v>903</v>
      </c>
      <c r="L2841" s="15" t="s">
        <v>2673</v>
      </c>
      <c r="M2841" s="15" t="s">
        <v>2672</v>
      </c>
      <c r="N2841" s="15" t="s">
        <v>2673</v>
      </c>
      <c r="O2841" s="15"/>
    </row>
    <row r="2842" spans="1:15" ht="18" customHeight="1" x14ac:dyDescent="0.3">
      <c r="A2842" s="29">
        <v>2841</v>
      </c>
      <c r="B2842" s="15" t="s">
        <v>119</v>
      </c>
      <c r="C2842" s="15" t="s">
        <v>120</v>
      </c>
      <c r="D2842" s="69">
        <v>190</v>
      </c>
      <c r="E2842" s="68" t="s">
        <v>3397</v>
      </c>
      <c r="F2842" s="24" t="s">
        <v>783</v>
      </c>
      <c r="G2842" s="15" t="s">
        <v>154</v>
      </c>
      <c r="H2842" s="15" t="s">
        <v>905</v>
      </c>
      <c r="I2842" s="69">
        <v>216</v>
      </c>
      <c r="J2842" s="15" t="s">
        <v>2672</v>
      </c>
      <c r="K2842" s="15" t="s">
        <v>903</v>
      </c>
      <c r="L2842" s="15" t="s">
        <v>2673</v>
      </c>
      <c r="M2842" s="15" t="s">
        <v>2672</v>
      </c>
      <c r="N2842" s="15" t="s">
        <v>2673</v>
      </c>
      <c r="O2842" s="15"/>
    </row>
    <row r="2843" spans="1:15" ht="18" customHeight="1" x14ac:dyDescent="0.3">
      <c r="A2843" s="29">
        <v>2842</v>
      </c>
      <c r="B2843" s="15" t="s">
        <v>119</v>
      </c>
      <c r="C2843" s="15" t="s">
        <v>120</v>
      </c>
      <c r="D2843" s="69">
        <v>190</v>
      </c>
      <c r="E2843" s="68" t="s">
        <v>3397</v>
      </c>
      <c r="F2843" s="24" t="s">
        <v>783</v>
      </c>
      <c r="G2843" s="15" t="s">
        <v>154</v>
      </c>
      <c r="H2843" s="15" t="s">
        <v>906</v>
      </c>
      <c r="I2843" s="69">
        <v>220</v>
      </c>
      <c r="J2843" s="15" t="s">
        <v>2672</v>
      </c>
      <c r="K2843" s="15" t="s">
        <v>903</v>
      </c>
      <c r="L2843" s="15" t="s">
        <v>2673</v>
      </c>
      <c r="M2843" s="15" t="s">
        <v>2672</v>
      </c>
      <c r="N2843" s="15" t="s">
        <v>2673</v>
      </c>
      <c r="O2843" s="15"/>
    </row>
    <row r="2844" spans="1:15" ht="18" customHeight="1" x14ac:dyDescent="0.3">
      <c r="A2844" s="29">
        <v>2843</v>
      </c>
      <c r="B2844" s="15" t="s">
        <v>119</v>
      </c>
      <c r="C2844" s="15" t="s">
        <v>120</v>
      </c>
      <c r="D2844" s="69">
        <v>190</v>
      </c>
      <c r="E2844" s="68" t="s">
        <v>3397</v>
      </c>
      <c r="F2844" s="24" t="s">
        <v>783</v>
      </c>
      <c r="G2844" s="15" t="s">
        <v>154</v>
      </c>
      <c r="H2844" s="15" t="s">
        <v>907</v>
      </c>
      <c r="I2844" s="69">
        <v>216</v>
      </c>
      <c r="J2844" s="15" t="s">
        <v>2672</v>
      </c>
      <c r="K2844" s="15" t="s">
        <v>903</v>
      </c>
      <c r="L2844" s="15" t="s">
        <v>2673</v>
      </c>
      <c r="M2844" s="15" t="s">
        <v>2672</v>
      </c>
      <c r="N2844" s="15" t="s">
        <v>2673</v>
      </c>
      <c r="O2844" s="15"/>
    </row>
    <row r="2845" spans="1:15" ht="18" customHeight="1" x14ac:dyDescent="0.3">
      <c r="A2845" s="29">
        <v>2844</v>
      </c>
      <c r="B2845" s="15" t="s">
        <v>119</v>
      </c>
      <c r="C2845" s="15" t="s">
        <v>120</v>
      </c>
      <c r="D2845" s="69">
        <v>190</v>
      </c>
      <c r="E2845" s="68" t="s">
        <v>285</v>
      </c>
      <c r="F2845" s="16" t="s">
        <v>785</v>
      </c>
      <c r="G2845" s="15" t="s">
        <v>164</v>
      </c>
      <c r="H2845" s="15" t="s">
        <v>901</v>
      </c>
      <c r="I2845" s="69">
        <v>211</v>
      </c>
      <c r="J2845" s="15" t="s">
        <v>2674</v>
      </c>
      <c r="K2845" s="15" t="s">
        <v>903</v>
      </c>
      <c r="L2845" s="15" t="s">
        <v>2673</v>
      </c>
      <c r="M2845" s="15" t="s">
        <v>2672</v>
      </c>
      <c r="N2845" s="15" t="s">
        <v>2673</v>
      </c>
      <c r="O2845" s="15"/>
    </row>
    <row r="2846" spans="1:15" ht="18" customHeight="1" x14ac:dyDescent="0.3">
      <c r="A2846" s="29">
        <v>2845</v>
      </c>
      <c r="B2846" s="15" t="s">
        <v>119</v>
      </c>
      <c r="C2846" s="15" t="s">
        <v>120</v>
      </c>
      <c r="D2846" s="69">
        <v>190</v>
      </c>
      <c r="E2846" s="68" t="s">
        <v>285</v>
      </c>
      <c r="F2846" s="16" t="s">
        <v>785</v>
      </c>
      <c r="G2846" s="15" t="s">
        <v>164</v>
      </c>
      <c r="H2846" s="15" t="s">
        <v>904</v>
      </c>
      <c r="I2846" s="69">
        <v>138</v>
      </c>
      <c r="J2846" s="15" t="s">
        <v>2672</v>
      </c>
      <c r="K2846" s="15" t="s">
        <v>903</v>
      </c>
      <c r="L2846" s="15" t="s">
        <v>2673</v>
      </c>
      <c r="M2846" s="15" t="s">
        <v>2672</v>
      </c>
      <c r="N2846" s="15" t="s">
        <v>2673</v>
      </c>
      <c r="O2846" s="15"/>
    </row>
    <row r="2847" spans="1:15" ht="18" customHeight="1" x14ac:dyDescent="0.3">
      <c r="A2847" s="29">
        <v>2846</v>
      </c>
      <c r="B2847" s="15" t="s">
        <v>119</v>
      </c>
      <c r="C2847" s="15" t="s">
        <v>120</v>
      </c>
      <c r="D2847" s="69">
        <v>190</v>
      </c>
      <c r="E2847" s="68" t="s">
        <v>285</v>
      </c>
      <c r="F2847" s="16" t="s">
        <v>785</v>
      </c>
      <c r="G2847" s="15" t="s">
        <v>164</v>
      </c>
      <c r="H2847" s="15" t="s">
        <v>905</v>
      </c>
      <c r="I2847" s="69">
        <v>175</v>
      </c>
      <c r="J2847" s="15" t="s">
        <v>2672</v>
      </c>
      <c r="K2847" s="15" t="s">
        <v>903</v>
      </c>
      <c r="L2847" s="15" t="s">
        <v>2673</v>
      </c>
      <c r="M2847" s="15" t="s">
        <v>2672</v>
      </c>
      <c r="N2847" s="15" t="s">
        <v>2673</v>
      </c>
      <c r="O2847" s="15"/>
    </row>
    <row r="2848" spans="1:15" ht="18" customHeight="1" x14ac:dyDescent="0.3">
      <c r="A2848" s="29">
        <v>2847</v>
      </c>
      <c r="B2848" s="15" t="s">
        <v>119</v>
      </c>
      <c r="C2848" s="15" t="s">
        <v>120</v>
      </c>
      <c r="D2848" s="69">
        <v>190</v>
      </c>
      <c r="E2848" s="68" t="s">
        <v>285</v>
      </c>
      <c r="F2848" s="16" t="s">
        <v>785</v>
      </c>
      <c r="G2848" s="15" t="s">
        <v>164</v>
      </c>
      <c r="H2848" s="15" t="s">
        <v>906</v>
      </c>
      <c r="I2848" s="69">
        <v>162</v>
      </c>
      <c r="J2848" s="15" t="s">
        <v>2672</v>
      </c>
      <c r="K2848" s="15" t="s">
        <v>903</v>
      </c>
      <c r="L2848" s="15" t="s">
        <v>2673</v>
      </c>
      <c r="M2848" s="15" t="s">
        <v>2672</v>
      </c>
      <c r="N2848" s="15" t="s">
        <v>2673</v>
      </c>
      <c r="O2848" s="15"/>
    </row>
    <row r="2849" spans="1:15" ht="18" customHeight="1" x14ac:dyDescent="0.3">
      <c r="A2849" s="29">
        <v>2848</v>
      </c>
      <c r="B2849" s="15" t="s">
        <v>119</v>
      </c>
      <c r="C2849" s="15" t="s">
        <v>120</v>
      </c>
      <c r="D2849" s="69">
        <v>190</v>
      </c>
      <c r="E2849" s="68" t="s">
        <v>285</v>
      </c>
      <c r="F2849" s="16" t="s">
        <v>785</v>
      </c>
      <c r="G2849" s="15" t="s">
        <v>164</v>
      </c>
      <c r="H2849" s="15" t="s">
        <v>907</v>
      </c>
      <c r="I2849" s="69">
        <v>151</v>
      </c>
      <c r="J2849" s="15" t="s">
        <v>2672</v>
      </c>
      <c r="K2849" s="15" t="s">
        <v>903</v>
      </c>
      <c r="L2849" s="15" t="s">
        <v>2673</v>
      </c>
      <c r="M2849" s="15" t="s">
        <v>2672</v>
      </c>
      <c r="N2849" s="15" t="s">
        <v>2673</v>
      </c>
      <c r="O2849" s="15"/>
    </row>
    <row r="2850" spans="1:15" ht="18" customHeight="1" x14ac:dyDescent="0.3">
      <c r="A2850" s="29">
        <v>2849</v>
      </c>
      <c r="B2850" s="15" t="s">
        <v>119</v>
      </c>
      <c r="C2850" s="15" t="s">
        <v>120</v>
      </c>
      <c r="D2850" s="69">
        <v>190</v>
      </c>
      <c r="E2850" s="68" t="s">
        <v>285</v>
      </c>
      <c r="F2850" s="16" t="s">
        <v>785</v>
      </c>
      <c r="G2850" s="15" t="s">
        <v>164</v>
      </c>
      <c r="H2850" s="15" t="s">
        <v>908</v>
      </c>
      <c r="I2850" s="69">
        <v>94</v>
      </c>
      <c r="J2850" s="15" t="s">
        <v>2672</v>
      </c>
      <c r="K2850" s="15" t="s">
        <v>903</v>
      </c>
      <c r="L2850" s="15" t="s">
        <v>2673</v>
      </c>
      <c r="M2850" s="15" t="s">
        <v>2672</v>
      </c>
      <c r="N2850" s="15" t="s">
        <v>2673</v>
      </c>
      <c r="O2850" s="15"/>
    </row>
    <row r="2851" spans="1:15" ht="18" customHeight="1" x14ac:dyDescent="0.3">
      <c r="A2851" s="29">
        <v>2850</v>
      </c>
      <c r="B2851" s="15" t="s">
        <v>119</v>
      </c>
      <c r="C2851" s="15" t="s">
        <v>120</v>
      </c>
      <c r="D2851" s="69">
        <v>190</v>
      </c>
      <c r="E2851" s="68" t="s">
        <v>285</v>
      </c>
      <c r="F2851" s="16" t="s">
        <v>785</v>
      </c>
      <c r="G2851" s="15" t="s">
        <v>164</v>
      </c>
      <c r="H2851" s="15" t="s">
        <v>909</v>
      </c>
      <c r="I2851" s="69">
        <v>65</v>
      </c>
      <c r="J2851" s="15" t="s">
        <v>2672</v>
      </c>
      <c r="K2851" s="15" t="s">
        <v>903</v>
      </c>
      <c r="L2851" s="15" t="s">
        <v>2673</v>
      </c>
      <c r="M2851" s="15" t="s">
        <v>2672</v>
      </c>
      <c r="N2851" s="15" t="s">
        <v>2673</v>
      </c>
      <c r="O2851" s="15"/>
    </row>
    <row r="2852" spans="1:15" ht="18" customHeight="1" x14ac:dyDescent="0.3">
      <c r="A2852" s="29">
        <v>2851</v>
      </c>
      <c r="B2852" s="15" t="s">
        <v>119</v>
      </c>
      <c r="C2852" s="15" t="s">
        <v>120</v>
      </c>
      <c r="D2852" s="69">
        <v>190</v>
      </c>
      <c r="E2852" s="68" t="s">
        <v>3398</v>
      </c>
      <c r="F2852" s="24" t="s">
        <v>784</v>
      </c>
      <c r="G2852" s="15" t="s">
        <v>154</v>
      </c>
      <c r="H2852" s="15" t="s">
        <v>901</v>
      </c>
      <c r="I2852" s="69">
        <v>206</v>
      </c>
      <c r="J2852" s="15" t="s">
        <v>2674</v>
      </c>
      <c r="K2852" s="15" t="s">
        <v>903</v>
      </c>
      <c r="L2852" s="15" t="s">
        <v>2673</v>
      </c>
      <c r="M2852" s="15" t="s">
        <v>2672</v>
      </c>
      <c r="N2852" s="15" t="s">
        <v>2673</v>
      </c>
      <c r="O2852" s="15"/>
    </row>
    <row r="2853" spans="1:15" ht="18" customHeight="1" x14ac:dyDescent="0.3">
      <c r="A2853" s="29">
        <v>2852</v>
      </c>
      <c r="B2853" s="15" t="s">
        <v>119</v>
      </c>
      <c r="C2853" s="15" t="s">
        <v>120</v>
      </c>
      <c r="D2853" s="69">
        <v>190</v>
      </c>
      <c r="E2853" s="68" t="s">
        <v>3398</v>
      </c>
      <c r="F2853" s="24" t="s">
        <v>784</v>
      </c>
      <c r="G2853" s="15" t="s">
        <v>154</v>
      </c>
      <c r="H2853" s="15" t="s">
        <v>904</v>
      </c>
      <c r="I2853" s="69">
        <v>246</v>
      </c>
      <c r="J2853" s="15" t="s">
        <v>2672</v>
      </c>
      <c r="K2853" s="15" t="s">
        <v>903</v>
      </c>
      <c r="L2853" s="15" t="s">
        <v>2673</v>
      </c>
      <c r="M2853" s="15" t="s">
        <v>2672</v>
      </c>
      <c r="N2853" s="15" t="s">
        <v>2673</v>
      </c>
      <c r="O2853" s="15"/>
    </row>
    <row r="2854" spans="1:15" ht="18" customHeight="1" x14ac:dyDescent="0.3">
      <c r="A2854" s="29">
        <v>2853</v>
      </c>
      <c r="B2854" s="15" t="s">
        <v>119</v>
      </c>
      <c r="C2854" s="15" t="s">
        <v>120</v>
      </c>
      <c r="D2854" s="69">
        <v>190</v>
      </c>
      <c r="E2854" s="68" t="s">
        <v>3398</v>
      </c>
      <c r="F2854" s="24" t="s">
        <v>784</v>
      </c>
      <c r="G2854" s="15" t="s">
        <v>154</v>
      </c>
      <c r="H2854" s="15" t="s">
        <v>905</v>
      </c>
      <c r="I2854" s="69">
        <v>251</v>
      </c>
      <c r="J2854" s="15" t="s">
        <v>2672</v>
      </c>
      <c r="K2854" s="15" t="s">
        <v>903</v>
      </c>
      <c r="L2854" s="15" t="s">
        <v>2673</v>
      </c>
      <c r="M2854" s="15" t="s">
        <v>2672</v>
      </c>
      <c r="N2854" s="15" t="s">
        <v>2673</v>
      </c>
      <c r="O2854" s="15"/>
    </row>
    <row r="2855" spans="1:15" ht="18" customHeight="1" x14ac:dyDescent="0.3">
      <c r="A2855" s="29">
        <v>2854</v>
      </c>
      <c r="B2855" s="15" t="s">
        <v>119</v>
      </c>
      <c r="C2855" s="15" t="s">
        <v>120</v>
      </c>
      <c r="D2855" s="69">
        <v>190</v>
      </c>
      <c r="E2855" s="68" t="s">
        <v>3398</v>
      </c>
      <c r="F2855" s="24" t="s">
        <v>784</v>
      </c>
      <c r="G2855" s="15" t="s">
        <v>154</v>
      </c>
      <c r="H2855" s="15" t="s">
        <v>906</v>
      </c>
      <c r="I2855" s="69">
        <v>125</v>
      </c>
      <c r="J2855" s="15" t="s">
        <v>2672</v>
      </c>
      <c r="K2855" s="15" t="s">
        <v>903</v>
      </c>
      <c r="L2855" s="15" t="s">
        <v>2673</v>
      </c>
      <c r="M2855" s="15" t="s">
        <v>2672</v>
      </c>
      <c r="N2855" s="15" t="s">
        <v>2673</v>
      </c>
      <c r="O2855" s="15"/>
    </row>
    <row r="2856" spans="1:15" ht="18" customHeight="1" x14ac:dyDescent="0.3">
      <c r="A2856" s="29">
        <v>2855</v>
      </c>
      <c r="B2856" s="15" t="s">
        <v>119</v>
      </c>
      <c r="C2856" s="15" t="s">
        <v>120</v>
      </c>
      <c r="D2856" s="69">
        <v>190</v>
      </c>
      <c r="E2856" s="68" t="s">
        <v>3398</v>
      </c>
      <c r="F2856" s="24" t="s">
        <v>784</v>
      </c>
      <c r="G2856" s="15" t="s">
        <v>154</v>
      </c>
      <c r="H2856" s="15" t="s">
        <v>907</v>
      </c>
      <c r="I2856" s="69">
        <v>134</v>
      </c>
      <c r="J2856" s="15" t="s">
        <v>2672</v>
      </c>
      <c r="K2856" s="15" t="s">
        <v>903</v>
      </c>
      <c r="L2856" s="15" t="s">
        <v>2673</v>
      </c>
      <c r="M2856" s="15" t="s">
        <v>2672</v>
      </c>
      <c r="N2856" s="15" t="s">
        <v>2673</v>
      </c>
      <c r="O2856" s="15"/>
    </row>
    <row r="2857" spans="1:15" ht="18" customHeight="1" x14ac:dyDescent="0.3">
      <c r="A2857" s="29">
        <v>2856</v>
      </c>
      <c r="B2857" s="15" t="s">
        <v>119</v>
      </c>
      <c r="C2857" s="15" t="s">
        <v>120</v>
      </c>
      <c r="D2857" s="69">
        <v>190</v>
      </c>
      <c r="E2857" s="68" t="s">
        <v>3398</v>
      </c>
      <c r="F2857" s="24" t="s">
        <v>784</v>
      </c>
      <c r="G2857" s="15" t="s">
        <v>154</v>
      </c>
      <c r="H2857" s="15" t="s">
        <v>908</v>
      </c>
      <c r="I2857" s="69">
        <v>164</v>
      </c>
      <c r="J2857" s="15" t="s">
        <v>2674</v>
      </c>
      <c r="K2857" s="15" t="s">
        <v>903</v>
      </c>
      <c r="L2857" s="15" t="s">
        <v>2673</v>
      </c>
      <c r="M2857" s="15" t="s">
        <v>2672</v>
      </c>
      <c r="N2857" s="15" t="s">
        <v>2673</v>
      </c>
      <c r="O2857" s="15"/>
    </row>
    <row r="2858" spans="1:15" ht="18" customHeight="1" x14ac:dyDescent="0.3">
      <c r="A2858" s="29">
        <v>2857</v>
      </c>
      <c r="B2858" s="15" t="s">
        <v>119</v>
      </c>
      <c r="C2858" s="15" t="s">
        <v>120</v>
      </c>
      <c r="D2858" s="69">
        <v>190</v>
      </c>
      <c r="E2858" s="68" t="s">
        <v>3398</v>
      </c>
      <c r="F2858" s="24" t="s">
        <v>784</v>
      </c>
      <c r="G2858" s="15" t="s">
        <v>154</v>
      </c>
      <c r="H2858" s="15" t="s">
        <v>909</v>
      </c>
      <c r="I2858" s="69">
        <v>89</v>
      </c>
      <c r="J2858" s="15" t="s">
        <v>2672</v>
      </c>
      <c r="K2858" s="15" t="s">
        <v>903</v>
      </c>
      <c r="L2858" s="15" t="s">
        <v>2673</v>
      </c>
      <c r="M2858" s="15" t="s">
        <v>2672</v>
      </c>
      <c r="N2858" s="15" t="s">
        <v>2673</v>
      </c>
      <c r="O2858" s="15"/>
    </row>
    <row r="2859" spans="1:15" ht="18" customHeight="1" x14ac:dyDescent="0.3">
      <c r="A2859" s="29">
        <v>2858</v>
      </c>
      <c r="B2859" s="15" t="s">
        <v>119</v>
      </c>
      <c r="C2859" s="15" t="s">
        <v>120</v>
      </c>
      <c r="D2859" s="69">
        <v>190</v>
      </c>
      <c r="E2859" s="68" t="s">
        <v>3398</v>
      </c>
      <c r="F2859" s="24" t="s">
        <v>784</v>
      </c>
      <c r="G2859" s="15" t="s">
        <v>154</v>
      </c>
      <c r="H2859" s="15" t="s">
        <v>910</v>
      </c>
      <c r="I2859" s="69">
        <v>85</v>
      </c>
      <c r="J2859" s="15" t="s">
        <v>2672</v>
      </c>
      <c r="K2859" s="15" t="s">
        <v>903</v>
      </c>
      <c r="L2859" s="15" t="s">
        <v>2673</v>
      </c>
      <c r="M2859" s="15" t="s">
        <v>2672</v>
      </c>
      <c r="N2859" s="15" t="s">
        <v>2673</v>
      </c>
      <c r="O2859" s="15"/>
    </row>
    <row r="2860" spans="1:15" ht="18" customHeight="1" x14ac:dyDescent="0.3">
      <c r="A2860" s="29">
        <v>2859</v>
      </c>
      <c r="B2860" s="15" t="s">
        <v>119</v>
      </c>
      <c r="C2860" s="15" t="s">
        <v>121</v>
      </c>
      <c r="D2860" s="69">
        <v>191</v>
      </c>
      <c r="E2860" s="68" t="s">
        <v>298</v>
      </c>
      <c r="F2860" s="24" t="s">
        <v>793</v>
      </c>
      <c r="G2860" s="15" t="s">
        <v>164</v>
      </c>
      <c r="H2860" s="15" t="s">
        <v>901</v>
      </c>
      <c r="I2860" s="69">
        <v>132</v>
      </c>
      <c r="J2860" s="15" t="s">
        <v>2672</v>
      </c>
      <c r="K2860" s="15" t="s">
        <v>903</v>
      </c>
      <c r="L2860" s="15" t="s">
        <v>2673</v>
      </c>
      <c r="M2860" s="15" t="s">
        <v>2672</v>
      </c>
      <c r="N2860" s="15" t="s">
        <v>2673</v>
      </c>
      <c r="O2860" s="15"/>
    </row>
    <row r="2861" spans="1:15" ht="18" customHeight="1" x14ac:dyDescent="0.3">
      <c r="A2861" s="29">
        <v>2860</v>
      </c>
      <c r="B2861" s="15" t="s">
        <v>119</v>
      </c>
      <c r="C2861" s="15" t="s">
        <v>121</v>
      </c>
      <c r="D2861" s="69">
        <v>191</v>
      </c>
      <c r="E2861" s="68" t="s">
        <v>298</v>
      </c>
      <c r="F2861" s="24" t="s">
        <v>793</v>
      </c>
      <c r="G2861" s="15" t="s">
        <v>164</v>
      </c>
      <c r="H2861" s="15" t="s">
        <v>904</v>
      </c>
      <c r="I2861" s="69">
        <v>122</v>
      </c>
      <c r="J2861" s="15" t="s">
        <v>2674</v>
      </c>
      <c r="K2861" s="15" t="s">
        <v>903</v>
      </c>
      <c r="L2861" s="15" t="s">
        <v>2673</v>
      </c>
      <c r="M2861" s="15" t="s">
        <v>2672</v>
      </c>
      <c r="N2861" s="15" t="s">
        <v>2673</v>
      </c>
      <c r="O2861" s="15"/>
    </row>
    <row r="2862" spans="1:15" ht="18" customHeight="1" x14ac:dyDescent="0.3">
      <c r="A2862" s="29">
        <v>2861</v>
      </c>
      <c r="B2862" s="15" t="s">
        <v>119</v>
      </c>
      <c r="C2862" s="15" t="s">
        <v>121</v>
      </c>
      <c r="D2862" s="69">
        <v>191</v>
      </c>
      <c r="E2862" s="68" t="s">
        <v>298</v>
      </c>
      <c r="F2862" s="24" t="s">
        <v>793</v>
      </c>
      <c r="G2862" s="15" t="s">
        <v>164</v>
      </c>
      <c r="H2862" s="15" t="s">
        <v>905</v>
      </c>
      <c r="I2862" s="69">
        <v>85</v>
      </c>
      <c r="J2862" s="15" t="s">
        <v>2672</v>
      </c>
      <c r="K2862" s="15" t="s">
        <v>903</v>
      </c>
      <c r="L2862" s="15" t="s">
        <v>2673</v>
      </c>
      <c r="M2862" s="15" t="s">
        <v>2672</v>
      </c>
      <c r="N2862" s="15" t="s">
        <v>2673</v>
      </c>
      <c r="O2862" s="15"/>
    </row>
    <row r="2863" spans="1:15" ht="18" customHeight="1" x14ac:dyDescent="0.3">
      <c r="A2863" s="29">
        <v>2862</v>
      </c>
      <c r="B2863" s="15" t="s">
        <v>119</v>
      </c>
      <c r="C2863" s="15" t="s">
        <v>121</v>
      </c>
      <c r="D2863" s="69">
        <v>191</v>
      </c>
      <c r="E2863" s="68" t="s">
        <v>298</v>
      </c>
      <c r="F2863" s="24" t="s">
        <v>793</v>
      </c>
      <c r="G2863" s="15" t="s">
        <v>164</v>
      </c>
      <c r="H2863" s="15" t="s">
        <v>906</v>
      </c>
      <c r="I2863" s="69">
        <v>122</v>
      </c>
      <c r="J2863" s="15" t="s">
        <v>2672</v>
      </c>
      <c r="K2863" s="15" t="s">
        <v>903</v>
      </c>
      <c r="L2863" s="15" t="s">
        <v>2673</v>
      </c>
      <c r="M2863" s="15" t="s">
        <v>2672</v>
      </c>
      <c r="N2863" s="15" t="s">
        <v>2673</v>
      </c>
      <c r="O2863" s="15"/>
    </row>
    <row r="2864" spans="1:15" ht="18" customHeight="1" x14ac:dyDescent="0.3">
      <c r="A2864" s="29">
        <v>2863</v>
      </c>
      <c r="B2864" s="15" t="s">
        <v>119</v>
      </c>
      <c r="C2864" s="15" t="s">
        <v>121</v>
      </c>
      <c r="D2864" s="69">
        <v>191</v>
      </c>
      <c r="E2864" s="68" t="s">
        <v>298</v>
      </c>
      <c r="F2864" s="24" t="s">
        <v>793</v>
      </c>
      <c r="G2864" s="15" t="s">
        <v>164</v>
      </c>
      <c r="H2864" s="15" t="s">
        <v>907</v>
      </c>
      <c r="I2864" s="69">
        <v>133</v>
      </c>
      <c r="J2864" s="15" t="s">
        <v>2672</v>
      </c>
      <c r="K2864" s="15" t="s">
        <v>903</v>
      </c>
      <c r="L2864" s="15" t="s">
        <v>2673</v>
      </c>
      <c r="M2864" s="15" t="s">
        <v>2672</v>
      </c>
      <c r="N2864" s="15" t="s">
        <v>2673</v>
      </c>
      <c r="O2864" s="15"/>
    </row>
    <row r="2865" spans="1:15" ht="18" customHeight="1" x14ac:dyDescent="0.3">
      <c r="A2865" s="29">
        <v>2864</v>
      </c>
      <c r="B2865" s="15" t="s">
        <v>119</v>
      </c>
      <c r="C2865" s="15" t="s">
        <v>121</v>
      </c>
      <c r="D2865" s="69">
        <v>191</v>
      </c>
      <c r="E2865" s="68" t="s">
        <v>298</v>
      </c>
      <c r="F2865" s="24" t="s">
        <v>793</v>
      </c>
      <c r="G2865" s="15" t="s">
        <v>164</v>
      </c>
      <c r="H2865" s="15" t="s">
        <v>908</v>
      </c>
      <c r="I2865" s="69">
        <v>216</v>
      </c>
      <c r="J2865" s="15" t="s">
        <v>2672</v>
      </c>
      <c r="K2865" s="15" t="s">
        <v>903</v>
      </c>
      <c r="L2865" s="15" t="s">
        <v>2673</v>
      </c>
      <c r="M2865" s="15" t="s">
        <v>2672</v>
      </c>
      <c r="N2865" s="15" t="s">
        <v>2673</v>
      </c>
      <c r="O2865" s="15"/>
    </row>
    <row r="2866" spans="1:15" ht="18" customHeight="1" x14ac:dyDescent="0.3">
      <c r="A2866" s="29">
        <v>2865</v>
      </c>
      <c r="B2866" s="15" t="s">
        <v>119</v>
      </c>
      <c r="C2866" s="15" t="s">
        <v>121</v>
      </c>
      <c r="D2866" s="69">
        <v>191</v>
      </c>
      <c r="E2866" s="68" t="s">
        <v>298</v>
      </c>
      <c r="F2866" s="24" t="s">
        <v>793</v>
      </c>
      <c r="G2866" s="15" t="s">
        <v>164</v>
      </c>
      <c r="H2866" s="15" t="s">
        <v>909</v>
      </c>
      <c r="I2866" s="69">
        <v>112</v>
      </c>
      <c r="J2866" s="15" t="s">
        <v>2672</v>
      </c>
      <c r="K2866" s="15" t="s">
        <v>903</v>
      </c>
      <c r="L2866" s="15" t="s">
        <v>2673</v>
      </c>
      <c r="M2866" s="15" t="s">
        <v>2672</v>
      </c>
      <c r="N2866" s="15" t="s">
        <v>2673</v>
      </c>
      <c r="O2866" s="15"/>
    </row>
    <row r="2867" spans="1:15" ht="18" customHeight="1" x14ac:dyDescent="0.3">
      <c r="A2867" s="29">
        <v>2866</v>
      </c>
      <c r="B2867" s="15" t="s">
        <v>119</v>
      </c>
      <c r="C2867" s="15" t="s">
        <v>121</v>
      </c>
      <c r="D2867" s="69">
        <v>191</v>
      </c>
      <c r="E2867" s="68" t="s">
        <v>298</v>
      </c>
      <c r="F2867" s="24" t="s">
        <v>793</v>
      </c>
      <c r="G2867" s="15" t="s">
        <v>164</v>
      </c>
      <c r="H2867" s="15" t="s">
        <v>910</v>
      </c>
      <c r="I2867" s="69">
        <v>216</v>
      </c>
      <c r="J2867" s="15" t="s">
        <v>2672</v>
      </c>
      <c r="K2867" s="15" t="s">
        <v>903</v>
      </c>
      <c r="L2867" s="15" t="s">
        <v>2673</v>
      </c>
      <c r="M2867" s="15" t="s">
        <v>2672</v>
      </c>
      <c r="N2867" s="15" t="s">
        <v>2673</v>
      </c>
      <c r="O2867" s="15"/>
    </row>
    <row r="2868" spans="1:15" ht="18" customHeight="1" x14ac:dyDescent="0.3">
      <c r="A2868" s="29">
        <v>2867</v>
      </c>
      <c r="B2868" s="15" t="s">
        <v>119</v>
      </c>
      <c r="C2868" s="15" t="s">
        <v>121</v>
      </c>
      <c r="D2868" s="69">
        <v>191</v>
      </c>
      <c r="E2868" s="68" t="s">
        <v>3399</v>
      </c>
      <c r="F2868" s="24" t="s">
        <v>792</v>
      </c>
      <c r="G2868" s="15" t="s">
        <v>1538</v>
      </c>
      <c r="H2868" s="15" t="s">
        <v>901</v>
      </c>
      <c r="I2868" s="69">
        <v>267</v>
      </c>
      <c r="J2868" s="15" t="s">
        <v>2672</v>
      </c>
      <c r="K2868" s="15" t="s">
        <v>903</v>
      </c>
      <c r="L2868" s="15" t="s">
        <v>2673</v>
      </c>
      <c r="M2868" s="15" t="s">
        <v>2672</v>
      </c>
      <c r="N2868" s="15" t="s">
        <v>2673</v>
      </c>
      <c r="O2868" s="15"/>
    </row>
    <row r="2869" spans="1:15" ht="18" customHeight="1" x14ac:dyDescent="0.3">
      <c r="A2869" s="29">
        <v>2868</v>
      </c>
      <c r="B2869" s="15" t="s">
        <v>119</v>
      </c>
      <c r="C2869" s="15" t="s">
        <v>121</v>
      </c>
      <c r="D2869" s="69">
        <v>191</v>
      </c>
      <c r="E2869" s="68" t="s">
        <v>3399</v>
      </c>
      <c r="F2869" s="24" t="s">
        <v>792</v>
      </c>
      <c r="G2869" s="15" t="s">
        <v>154</v>
      </c>
      <c r="H2869" s="15" t="s">
        <v>904</v>
      </c>
      <c r="I2869" s="69">
        <v>138</v>
      </c>
      <c r="J2869" s="15" t="s">
        <v>2672</v>
      </c>
      <c r="K2869" s="15" t="s">
        <v>903</v>
      </c>
      <c r="L2869" s="15" t="s">
        <v>2673</v>
      </c>
      <c r="M2869" s="15" t="s">
        <v>2672</v>
      </c>
      <c r="N2869" s="15" t="s">
        <v>2673</v>
      </c>
      <c r="O2869" s="15"/>
    </row>
    <row r="2870" spans="1:15" ht="18" customHeight="1" x14ac:dyDescent="0.3">
      <c r="A2870" s="29">
        <v>2869</v>
      </c>
      <c r="B2870" s="15" t="s">
        <v>119</v>
      </c>
      <c r="C2870" s="15" t="s">
        <v>121</v>
      </c>
      <c r="D2870" s="69">
        <v>191</v>
      </c>
      <c r="E2870" s="68" t="s">
        <v>3399</v>
      </c>
      <c r="F2870" s="24" t="s">
        <v>792</v>
      </c>
      <c r="G2870" s="15" t="s">
        <v>154</v>
      </c>
      <c r="H2870" s="15" t="s">
        <v>905</v>
      </c>
      <c r="I2870" s="69">
        <v>59</v>
      </c>
      <c r="J2870" s="15" t="s">
        <v>2672</v>
      </c>
      <c r="K2870" s="15" t="s">
        <v>903</v>
      </c>
      <c r="L2870" s="15" t="s">
        <v>2673</v>
      </c>
      <c r="M2870" s="15" t="s">
        <v>2672</v>
      </c>
      <c r="N2870" s="15" t="s">
        <v>2673</v>
      </c>
      <c r="O2870" s="15"/>
    </row>
    <row r="2871" spans="1:15" ht="18" customHeight="1" x14ac:dyDescent="0.3">
      <c r="A2871" s="29">
        <v>2870</v>
      </c>
      <c r="B2871" s="15" t="s">
        <v>119</v>
      </c>
      <c r="C2871" s="15" t="s">
        <v>121</v>
      </c>
      <c r="D2871" s="69">
        <v>191</v>
      </c>
      <c r="E2871" s="68" t="s">
        <v>3399</v>
      </c>
      <c r="F2871" s="24" t="s">
        <v>792</v>
      </c>
      <c r="G2871" s="15" t="s">
        <v>154</v>
      </c>
      <c r="H2871" s="15" t="s">
        <v>906</v>
      </c>
      <c r="I2871" s="69">
        <v>59</v>
      </c>
      <c r="J2871" s="15" t="s">
        <v>2672</v>
      </c>
      <c r="K2871" s="15" t="s">
        <v>903</v>
      </c>
      <c r="L2871" s="15" t="s">
        <v>2673</v>
      </c>
      <c r="M2871" s="15" t="s">
        <v>2672</v>
      </c>
      <c r="N2871" s="15" t="s">
        <v>2673</v>
      </c>
      <c r="O2871" s="15"/>
    </row>
    <row r="2872" spans="1:15" ht="18" customHeight="1" x14ac:dyDescent="0.3">
      <c r="A2872" s="29">
        <v>2871</v>
      </c>
      <c r="B2872" s="15" t="s">
        <v>119</v>
      </c>
      <c r="C2872" s="15" t="s">
        <v>121</v>
      </c>
      <c r="D2872" s="69">
        <v>191</v>
      </c>
      <c r="E2872" s="68" t="s">
        <v>3399</v>
      </c>
      <c r="F2872" s="24" t="s">
        <v>792</v>
      </c>
      <c r="G2872" s="15" t="s">
        <v>154</v>
      </c>
      <c r="H2872" s="15" t="s">
        <v>907</v>
      </c>
      <c r="I2872" s="69">
        <v>71</v>
      </c>
      <c r="J2872" s="15" t="s">
        <v>2674</v>
      </c>
      <c r="K2872" s="15" t="s">
        <v>903</v>
      </c>
      <c r="L2872" s="15" t="s">
        <v>2673</v>
      </c>
      <c r="M2872" s="15" t="s">
        <v>2672</v>
      </c>
      <c r="N2872" s="15" t="s">
        <v>2673</v>
      </c>
      <c r="O2872" s="15"/>
    </row>
    <row r="2873" spans="1:15" ht="18" customHeight="1" x14ac:dyDescent="0.3">
      <c r="A2873" s="29">
        <v>2872</v>
      </c>
      <c r="B2873" s="15" t="s">
        <v>119</v>
      </c>
      <c r="C2873" s="15" t="s">
        <v>121</v>
      </c>
      <c r="D2873" s="69">
        <v>191</v>
      </c>
      <c r="E2873" s="68" t="s">
        <v>3399</v>
      </c>
      <c r="F2873" s="24" t="s">
        <v>792</v>
      </c>
      <c r="G2873" s="15" t="s">
        <v>154</v>
      </c>
      <c r="H2873" s="15" t="s">
        <v>908</v>
      </c>
      <c r="I2873" s="69">
        <v>133</v>
      </c>
      <c r="J2873" s="15" t="s">
        <v>2672</v>
      </c>
      <c r="K2873" s="15" t="s">
        <v>903</v>
      </c>
      <c r="L2873" s="15" t="s">
        <v>2673</v>
      </c>
      <c r="M2873" s="15" t="s">
        <v>2672</v>
      </c>
      <c r="N2873" s="15" t="s">
        <v>2673</v>
      </c>
      <c r="O2873" s="15"/>
    </row>
    <row r="2874" spans="1:15" ht="18" customHeight="1" x14ac:dyDescent="0.3">
      <c r="A2874" s="29">
        <v>2873</v>
      </c>
      <c r="B2874" s="15" t="s">
        <v>119</v>
      </c>
      <c r="C2874" s="15" t="s">
        <v>121</v>
      </c>
      <c r="D2874" s="69">
        <v>191</v>
      </c>
      <c r="E2874" s="68" t="s">
        <v>3399</v>
      </c>
      <c r="F2874" s="24" t="s">
        <v>792</v>
      </c>
      <c r="G2874" s="15" t="s">
        <v>154</v>
      </c>
      <c r="H2874" s="15" t="s">
        <v>909</v>
      </c>
      <c r="I2874" s="69">
        <v>106</v>
      </c>
      <c r="J2874" s="15" t="s">
        <v>2674</v>
      </c>
      <c r="K2874" s="15" t="s">
        <v>903</v>
      </c>
      <c r="L2874" s="15" t="s">
        <v>2673</v>
      </c>
      <c r="M2874" s="15" t="s">
        <v>2672</v>
      </c>
      <c r="N2874" s="15" t="s">
        <v>2673</v>
      </c>
      <c r="O2874" s="15"/>
    </row>
    <row r="2875" spans="1:15" ht="18" customHeight="1" x14ac:dyDescent="0.3">
      <c r="A2875" s="29">
        <v>2874</v>
      </c>
      <c r="B2875" s="15" t="s">
        <v>119</v>
      </c>
      <c r="C2875" s="15" t="s">
        <v>121</v>
      </c>
      <c r="D2875" s="69">
        <v>191</v>
      </c>
      <c r="E2875" s="68" t="s">
        <v>3399</v>
      </c>
      <c r="F2875" s="24" t="s">
        <v>792</v>
      </c>
      <c r="G2875" s="15" t="s">
        <v>154</v>
      </c>
      <c r="H2875" s="15" t="s">
        <v>910</v>
      </c>
      <c r="I2875" s="69">
        <v>39</v>
      </c>
      <c r="J2875" s="15" t="s">
        <v>2672</v>
      </c>
      <c r="K2875" s="15" t="s">
        <v>903</v>
      </c>
      <c r="L2875" s="15" t="s">
        <v>2673</v>
      </c>
      <c r="M2875" s="15" t="s">
        <v>2672</v>
      </c>
      <c r="N2875" s="15" t="s">
        <v>2673</v>
      </c>
      <c r="O2875" s="15"/>
    </row>
    <row r="2876" spans="1:15" ht="18" customHeight="1" x14ac:dyDescent="0.3">
      <c r="A2876" s="29">
        <v>2875</v>
      </c>
      <c r="B2876" s="15" t="s">
        <v>119</v>
      </c>
      <c r="C2876" s="15" t="s">
        <v>122</v>
      </c>
      <c r="D2876" s="69">
        <v>192</v>
      </c>
      <c r="E2876" s="68" t="s">
        <v>3400</v>
      </c>
      <c r="F2876" s="24" t="s">
        <v>787</v>
      </c>
      <c r="G2876" s="15" t="s">
        <v>154</v>
      </c>
      <c r="H2876" s="15" t="s">
        <v>901</v>
      </c>
      <c r="I2876" s="69">
        <v>222</v>
      </c>
      <c r="J2876" s="15" t="s">
        <v>2674</v>
      </c>
      <c r="K2876" s="15" t="s">
        <v>903</v>
      </c>
      <c r="L2876" s="15" t="s">
        <v>2673</v>
      </c>
      <c r="M2876" s="15" t="s">
        <v>2672</v>
      </c>
      <c r="N2876" s="15" t="s">
        <v>2673</v>
      </c>
      <c r="O2876" s="15"/>
    </row>
    <row r="2877" spans="1:15" ht="18" customHeight="1" x14ac:dyDescent="0.3">
      <c r="A2877" s="29">
        <v>2876</v>
      </c>
      <c r="B2877" s="15" t="s">
        <v>119</v>
      </c>
      <c r="C2877" s="15" t="s">
        <v>122</v>
      </c>
      <c r="D2877" s="69">
        <v>192</v>
      </c>
      <c r="E2877" s="68" t="s">
        <v>3400</v>
      </c>
      <c r="F2877" s="24" t="s">
        <v>787</v>
      </c>
      <c r="G2877" s="15" t="s">
        <v>154</v>
      </c>
      <c r="H2877" s="15" t="s">
        <v>904</v>
      </c>
      <c r="I2877" s="69">
        <v>192</v>
      </c>
      <c r="J2877" s="15" t="s">
        <v>2674</v>
      </c>
      <c r="K2877" s="15" t="s">
        <v>903</v>
      </c>
      <c r="L2877" s="15" t="s">
        <v>2673</v>
      </c>
      <c r="M2877" s="15" t="s">
        <v>2672</v>
      </c>
      <c r="N2877" s="15" t="s">
        <v>2673</v>
      </c>
      <c r="O2877" s="15"/>
    </row>
    <row r="2878" spans="1:15" ht="18" customHeight="1" x14ac:dyDescent="0.3">
      <c r="A2878" s="29">
        <v>2877</v>
      </c>
      <c r="B2878" s="15" t="s">
        <v>119</v>
      </c>
      <c r="C2878" s="15" t="s">
        <v>122</v>
      </c>
      <c r="D2878" s="69">
        <v>192</v>
      </c>
      <c r="E2878" s="68" t="s">
        <v>3400</v>
      </c>
      <c r="F2878" s="24" t="s">
        <v>787</v>
      </c>
      <c r="G2878" s="15" t="s">
        <v>154</v>
      </c>
      <c r="H2878" s="15" t="s">
        <v>905</v>
      </c>
      <c r="I2878" s="69">
        <v>176</v>
      </c>
      <c r="J2878" s="15" t="s">
        <v>2672</v>
      </c>
      <c r="K2878" s="15" t="s">
        <v>903</v>
      </c>
      <c r="L2878" s="15" t="s">
        <v>2673</v>
      </c>
      <c r="M2878" s="15" t="s">
        <v>2672</v>
      </c>
      <c r="N2878" s="15" t="s">
        <v>2673</v>
      </c>
      <c r="O2878" s="15"/>
    </row>
    <row r="2879" spans="1:15" ht="18" customHeight="1" x14ac:dyDescent="0.3">
      <c r="A2879" s="29">
        <v>2878</v>
      </c>
      <c r="B2879" s="15" t="s">
        <v>119</v>
      </c>
      <c r="C2879" s="15" t="s">
        <v>122</v>
      </c>
      <c r="D2879" s="69">
        <v>192</v>
      </c>
      <c r="E2879" s="68" t="s">
        <v>3400</v>
      </c>
      <c r="F2879" s="24" t="s">
        <v>787</v>
      </c>
      <c r="G2879" s="15" t="s">
        <v>154</v>
      </c>
      <c r="H2879" s="15" t="s">
        <v>906</v>
      </c>
      <c r="I2879" s="69">
        <v>121</v>
      </c>
      <c r="J2879" s="15" t="s">
        <v>2674</v>
      </c>
      <c r="K2879" s="15" t="s">
        <v>903</v>
      </c>
      <c r="L2879" s="15" t="s">
        <v>2673</v>
      </c>
      <c r="M2879" s="15" t="s">
        <v>2672</v>
      </c>
      <c r="N2879" s="15" t="s">
        <v>2673</v>
      </c>
      <c r="O2879" s="15"/>
    </row>
    <row r="2880" spans="1:15" ht="18" customHeight="1" x14ac:dyDescent="0.3">
      <c r="A2880" s="29">
        <v>2879</v>
      </c>
      <c r="B2880" s="15" t="s">
        <v>119</v>
      </c>
      <c r="C2880" s="15" t="s">
        <v>122</v>
      </c>
      <c r="D2880" s="69">
        <v>192</v>
      </c>
      <c r="E2880" s="68" t="s">
        <v>3400</v>
      </c>
      <c r="F2880" s="24" t="s">
        <v>787</v>
      </c>
      <c r="G2880" s="15" t="s">
        <v>154</v>
      </c>
      <c r="H2880" s="15" t="s">
        <v>907</v>
      </c>
      <c r="I2880" s="69">
        <v>90</v>
      </c>
      <c r="J2880" s="15" t="s">
        <v>2674</v>
      </c>
      <c r="K2880" s="15" t="s">
        <v>903</v>
      </c>
      <c r="L2880" s="15" t="s">
        <v>2673</v>
      </c>
      <c r="M2880" s="15" t="s">
        <v>2672</v>
      </c>
      <c r="N2880" s="15" t="s">
        <v>2673</v>
      </c>
      <c r="O2880" s="15"/>
    </row>
    <row r="2881" spans="1:15" ht="18" customHeight="1" x14ac:dyDescent="0.3">
      <c r="A2881" s="29">
        <v>2880</v>
      </c>
      <c r="B2881" s="15" t="s">
        <v>119</v>
      </c>
      <c r="C2881" s="15" t="s">
        <v>122</v>
      </c>
      <c r="D2881" s="69">
        <v>192</v>
      </c>
      <c r="E2881" s="68" t="s">
        <v>3400</v>
      </c>
      <c r="F2881" s="24" t="s">
        <v>787</v>
      </c>
      <c r="G2881" s="15" t="s">
        <v>154</v>
      </c>
      <c r="H2881" s="15" t="s">
        <v>908</v>
      </c>
      <c r="I2881" s="69">
        <v>176</v>
      </c>
      <c r="J2881" s="15" t="s">
        <v>2672</v>
      </c>
      <c r="K2881" s="15" t="s">
        <v>903</v>
      </c>
      <c r="L2881" s="15" t="s">
        <v>2673</v>
      </c>
      <c r="M2881" s="15" t="s">
        <v>2672</v>
      </c>
      <c r="N2881" s="15" t="s">
        <v>2673</v>
      </c>
      <c r="O2881" s="15"/>
    </row>
    <row r="2882" spans="1:15" ht="18" customHeight="1" x14ac:dyDescent="0.3">
      <c r="A2882" s="29">
        <v>2881</v>
      </c>
      <c r="B2882" s="15" t="s">
        <v>119</v>
      </c>
      <c r="C2882" s="15" t="s">
        <v>122</v>
      </c>
      <c r="D2882" s="69">
        <v>192</v>
      </c>
      <c r="E2882" s="68" t="s">
        <v>3400</v>
      </c>
      <c r="F2882" s="24" t="s">
        <v>787</v>
      </c>
      <c r="G2882" s="15" t="s">
        <v>154</v>
      </c>
      <c r="H2882" s="15" t="s">
        <v>909</v>
      </c>
      <c r="I2882" s="69">
        <v>121</v>
      </c>
      <c r="J2882" s="15" t="s">
        <v>2672</v>
      </c>
      <c r="K2882" s="15" t="s">
        <v>903</v>
      </c>
      <c r="L2882" s="15" t="s">
        <v>2673</v>
      </c>
      <c r="M2882" s="15" t="s">
        <v>2672</v>
      </c>
      <c r="N2882" s="15" t="s">
        <v>2673</v>
      </c>
      <c r="O2882" s="15"/>
    </row>
    <row r="2883" spans="1:15" ht="18" customHeight="1" x14ac:dyDescent="0.3">
      <c r="A2883" s="29">
        <v>2882</v>
      </c>
      <c r="B2883" s="15" t="s">
        <v>119</v>
      </c>
      <c r="C2883" s="15" t="s">
        <v>122</v>
      </c>
      <c r="D2883" s="69">
        <v>192</v>
      </c>
      <c r="E2883" s="68" t="s">
        <v>3400</v>
      </c>
      <c r="F2883" s="24" t="s">
        <v>787</v>
      </c>
      <c r="G2883" s="15" t="s">
        <v>154</v>
      </c>
      <c r="H2883" s="15" t="s">
        <v>910</v>
      </c>
      <c r="I2883" s="69">
        <v>90</v>
      </c>
      <c r="J2883" s="15" t="s">
        <v>2672</v>
      </c>
      <c r="K2883" s="15" t="s">
        <v>903</v>
      </c>
      <c r="L2883" s="15" t="s">
        <v>2673</v>
      </c>
      <c r="M2883" s="15" t="s">
        <v>2672</v>
      </c>
      <c r="N2883" s="15" t="s">
        <v>2673</v>
      </c>
      <c r="O2883" s="15"/>
    </row>
    <row r="2884" spans="1:15" ht="18" customHeight="1" x14ac:dyDescent="0.3">
      <c r="A2884" s="29">
        <v>2883</v>
      </c>
      <c r="B2884" s="15" t="s">
        <v>119</v>
      </c>
      <c r="C2884" s="15" t="s">
        <v>122</v>
      </c>
      <c r="D2884" s="69">
        <v>192</v>
      </c>
      <c r="E2884" s="68" t="s">
        <v>295</v>
      </c>
      <c r="F2884" s="24" t="s">
        <v>790</v>
      </c>
      <c r="G2884" s="15" t="s">
        <v>164</v>
      </c>
      <c r="H2884" s="15" t="s">
        <v>901</v>
      </c>
      <c r="I2884" s="69">
        <v>183</v>
      </c>
      <c r="J2884" s="15" t="s">
        <v>2674</v>
      </c>
      <c r="K2884" s="15" t="s">
        <v>903</v>
      </c>
      <c r="L2884" s="15" t="s">
        <v>2673</v>
      </c>
      <c r="M2884" s="15" t="s">
        <v>2672</v>
      </c>
      <c r="N2884" s="15" t="s">
        <v>2673</v>
      </c>
      <c r="O2884" s="15"/>
    </row>
    <row r="2885" spans="1:15" ht="18" customHeight="1" x14ac:dyDescent="0.3">
      <c r="A2885" s="29">
        <v>2884</v>
      </c>
      <c r="B2885" s="15" t="s">
        <v>119</v>
      </c>
      <c r="C2885" s="15" t="s">
        <v>122</v>
      </c>
      <c r="D2885" s="69">
        <v>192</v>
      </c>
      <c r="E2885" s="68" t="s">
        <v>295</v>
      </c>
      <c r="F2885" s="24" t="s">
        <v>790</v>
      </c>
      <c r="G2885" s="15" t="s">
        <v>164</v>
      </c>
      <c r="H2885" s="15" t="s">
        <v>904</v>
      </c>
      <c r="I2885" s="69">
        <v>118</v>
      </c>
      <c r="J2885" s="15" t="s">
        <v>2674</v>
      </c>
      <c r="K2885" s="15" t="s">
        <v>903</v>
      </c>
      <c r="L2885" s="15" t="s">
        <v>2673</v>
      </c>
      <c r="M2885" s="15" t="s">
        <v>2672</v>
      </c>
      <c r="N2885" s="15" t="s">
        <v>2673</v>
      </c>
      <c r="O2885" s="15"/>
    </row>
    <row r="2886" spans="1:15" ht="18" customHeight="1" x14ac:dyDescent="0.3">
      <c r="A2886" s="29">
        <v>2885</v>
      </c>
      <c r="B2886" s="15" t="s">
        <v>119</v>
      </c>
      <c r="C2886" s="15" t="s">
        <v>122</v>
      </c>
      <c r="D2886" s="69">
        <v>192</v>
      </c>
      <c r="E2886" s="68" t="s">
        <v>295</v>
      </c>
      <c r="F2886" s="24" t="s">
        <v>790</v>
      </c>
      <c r="G2886" s="15" t="s">
        <v>164</v>
      </c>
      <c r="H2886" s="15" t="s">
        <v>905</v>
      </c>
      <c r="I2886" s="69">
        <v>132</v>
      </c>
      <c r="J2886" s="15" t="s">
        <v>2674</v>
      </c>
      <c r="K2886" s="15" t="s">
        <v>903</v>
      </c>
      <c r="L2886" s="15" t="s">
        <v>2673</v>
      </c>
      <c r="M2886" s="15" t="s">
        <v>2672</v>
      </c>
      <c r="N2886" s="15" t="s">
        <v>2673</v>
      </c>
      <c r="O2886" s="15"/>
    </row>
    <row r="2887" spans="1:15" ht="18" customHeight="1" x14ac:dyDescent="0.3">
      <c r="A2887" s="29">
        <v>2886</v>
      </c>
      <c r="B2887" s="15" t="s">
        <v>119</v>
      </c>
      <c r="C2887" s="15" t="s">
        <v>122</v>
      </c>
      <c r="D2887" s="69">
        <v>192</v>
      </c>
      <c r="E2887" s="68" t="s">
        <v>295</v>
      </c>
      <c r="F2887" s="24" t="s">
        <v>790</v>
      </c>
      <c r="G2887" s="15" t="s">
        <v>164</v>
      </c>
      <c r="H2887" s="15" t="s">
        <v>906</v>
      </c>
      <c r="I2887" s="69">
        <v>149</v>
      </c>
      <c r="J2887" s="15" t="s">
        <v>2674</v>
      </c>
      <c r="K2887" s="15" t="s">
        <v>903</v>
      </c>
      <c r="L2887" s="15" t="s">
        <v>2673</v>
      </c>
      <c r="M2887" s="15" t="s">
        <v>2672</v>
      </c>
      <c r="N2887" s="15" t="s">
        <v>2673</v>
      </c>
      <c r="O2887" s="15"/>
    </row>
    <row r="2888" spans="1:15" ht="18" customHeight="1" x14ac:dyDescent="0.3">
      <c r="A2888" s="29">
        <v>2887</v>
      </c>
      <c r="B2888" s="15" t="s">
        <v>119</v>
      </c>
      <c r="C2888" s="15" t="s">
        <v>122</v>
      </c>
      <c r="D2888" s="69">
        <v>192</v>
      </c>
      <c r="E2888" s="68" t="s">
        <v>295</v>
      </c>
      <c r="F2888" s="24" t="s">
        <v>790</v>
      </c>
      <c r="G2888" s="15" t="s">
        <v>164</v>
      </c>
      <c r="H2888" s="15" t="s">
        <v>907</v>
      </c>
      <c r="I2888" s="69">
        <v>102</v>
      </c>
      <c r="J2888" s="15" t="s">
        <v>2674</v>
      </c>
      <c r="K2888" s="15" t="s">
        <v>903</v>
      </c>
      <c r="L2888" s="15" t="s">
        <v>2673</v>
      </c>
      <c r="M2888" s="15" t="s">
        <v>2672</v>
      </c>
      <c r="N2888" s="15" t="s">
        <v>2673</v>
      </c>
      <c r="O2888" s="15"/>
    </row>
    <row r="2889" spans="1:15" ht="18" customHeight="1" x14ac:dyDescent="0.3">
      <c r="A2889" s="29">
        <v>2888</v>
      </c>
      <c r="B2889" s="15" t="s">
        <v>119</v>
      </c>
      <c r="C2889" s="15" t="s">
        <v>122</v>
      </c>
      <c r="D2889" s="69">
        <v>192</v>
      </c>
      <c r="E2889" s="68" t="s">
        <v>295</v>
      </c>
      <c r="F2889" s="24" t="s">
        <v>790</v>
      </c>
      <c r="G2889" s="15" t="s">
        <v>164</v>
      </c>
      <c r="H2889" s="15" t="s">
        <v>908</v>
      </c>
      <c r="I2889" s="69">
        <v>102</v>
      </c>
      <c r="J2889" s="15" t="s">
        <v>2674</v>
      </c>
      <c r="K2889" s="15" t="s">
        <v>903</v>
      </c>
      <c r="L2889" s="15" t="s">
        <v>2673</v>
      </c>
      <c r="M2889" s="15" t="s">
        <v>2672</v>
      </c>
      <c r="N2889" s="15" t="s">
        <v>2673</v>
      </c>
      <c r="O2889" s="15"/>
    </row>
    <row r="2890" spans="1:15" ht="18" customHeight="1" x14ac:dyDescent="0.3">
      <c r="A2890" s="29">
        <v>2889</v>
      </c>
      <c r="B2890" s="15" t="s">
        <v>119</v>
      </c>
      <c r="C2890" s="15" t="s">
        <v>122</v>
      </c>
      <c r="D2890" s="69">
        <v>192</v>
      </c>
      <c r="E2890" s="68" t="s">
        <v>295</v>
      </c>
      <c r="F2890" s="24" t="s">
        <v>790</v>
      </c>
      <c r="G2890" s="15" t="s">
        <v>164</v>
      </c>
      <c r="H2890" s="15" t="s">
        <v>909</v>
      </c>
      <c r="I2890" s="69">
        <v>134</v>
      </c>
      <c r="J2890" s="15" t="s">
        <v>2674</v>
      </c>
      <c r="K2890" s="15" t="s">
        <v>903</v>
      </c>
      <c r="L2890" s="15" t="s">
        <v>2673</v>
      </c>
      <c r="M2890" s="15" t="s">
        <v>2672</v>
      </c>
      <c r="N2890" s="15" t="s">
        <v>2673</v>
      </c>
      <c r="O2890" s="15"/>
    </row>
    <row r="2891" spans="1:15" ht="18" customHeight="1" x14ac:dyDescent="0.3">
      <c r="A2891" s="29">
        <v>2890</v>
      </c>
      <c r="B2891" s="15" t="s">
        <v>119</v>
      </c>
      <c r="C2891" s="15" t="s">
        <v>122</v>
      </c>
      <c r="D2891" s="69">
        <v>192</v>
      </c>
      <c r="E2891" s="68" t="s">
        <v>3401</v>
      </c>
      <c r="F2891" s="24" t="s">
        <v>788</v>
      </c>
      <c r="G2891" s="15" t="s">
        <v>154</v>
      </c>
      <c r="H2891" s="15" t="s">
        <v>901</v>
      </c>
      <c r="I2891" s="69">
        <v>153</v>
      </c>
      <c r="J2891" s="15" t="s">
        <v>2672</v>
      </c>
      <c r="K2891" s="15" t="s">
        <v>903</v>
      </c>
      <c r="L2891" s="15" t="s">
        <v>2673</v>
      </c>
      <c r="M2891" s="15" t="s">
        <v>2672</v>
      </c>
      <c r="N2891" s="15" t="s">
        <v>2673</v>
      </c>
      <c r="O2891" s="15"/>
    </row>
    <row r="2892" spans="1:15" ht="18" customHeight="1" x14ac:dyDescent="0.3">
      <c r="A2892" s="29">
        <v>2891</v>
      </c>
      <c r="B2892" s="15" t="s">
        <v>119</v>
      </c>
      <c r="C2892" s="15" t="s">
        <v>122</v>
      </c>
      <c r="D2892" s="69">
        <v>192</v>
      </c>
      <c r="E2892" s="68" t="s">
        <v>3401</v>
      </c>
      <c r="F2892" s="24" t="s">
        <v>788</v>
      </c>
      <c r="G2892" s="15" t="s">
        <v>154</v>
      </c>
      <c r="H2892" s="15" t="s">
        <v>904</v>
      </c>
      <c r="I2892" s="69">
        <v>153</v>
      </c>
      <c r="J2892" s="15" t="s">
        <v>2672</v>
      </c>
      <c r="K2892" s="15" t="s">
        <v>903</v>
      </c>
      <c r="L2892" s="15" t="s">
        <v>2673</v>
      </c>
      <c r="M2892" s="15" t="s">
        <v>2672</v>
      </c>
      <c r="N2892" s="15" t="s">
        <v>2673</v>
      </c>
      <c r="O2892" s="15"/>
    </row>
    <row r="2893" spans="1:15" ht="18" customHeight="1" x14ac:dyDescent="0.3">
      <c r="A2893" s="29">
        <v>2892</v>
      </c>
      <c r="B2893" s="15" t="s">
        <v>119</v>
      </c>
      <c r="C2893" s="15" t="s">
        <v>122</v>
      </c>
      <c r="D2893" s="69">
        <v>192</v>
      </c>
      <c r="E2893" s="68" t="s">
        <v>3401</v>
      </c>
      <c r="F2893" s="24" t="s">
        <v>788</v>
      </c>
      <c r="G2893" s="15" t="s">
        <v>154</v>
      </c>
      <c r="H2893" s="15" t="s">
        <v>905</v>
      </c>
      <c r="I2893" s="69">
        <v>153</v>
      </c>
      <c r="J2893" s="15" t="s">
        <v>2672</v>
      </c>
      <c r="K2893" s="15" t="s">
        <v>903</v>
      </c>
      <c r="L2893" s="15" t="s">
        <v>2673</v>
      </c>
      <c r="M2893" s="15" t="s">
        <v>2672</v>
      </c>
      <c r="N2893" s="15" t="s">
        <v>2673</v>
      </c>
      <c r="O2893" s="15"/>
    </row>
    <row r="2894" spans="1:15" ht="18" customHeight="1" x14ac:dyDescent="0.3">
      <c r="A2894" s="29">
        <v>2893</v>
      </c>
      <c r="B2894" s="15" t="s">
        <v>119</v>
      </c>
      <c r="C2894" s="15" t="s">
        <v>122</v>
      </c>
      <c r="D2894" s="69">
        <v>192</v>
      </c>
      <c r="E2894" s="68" t="s">
        <v>3401</v>
      </c>
      <c r="F2894" s="24" t="s">
        <v>788</v>
      </c>
      <c r="G2894" s="15" t="s">
        <v>154</v>
      </c>
      <c r="H2894" s="15" t="s">
        <v>906</v>
      </c>
      <c r="I2894" s="69">
        <v>153</v>
      </c>
      <c r="J2894" s="15" t="s">
        <v>2672</v>
      </c>
      <c r="K2894" s="15" t="s">
        <v>903</v>
      </c>
      <c r="L2894" s="15" t="s">
        <v>2673</v>
      </c>
      <c r="M2894" s="15" t="s">
        <v>2672</v>
      </c>
      <c r="N2894" s="15" t="s">
        <v>2673</v>
      </c>
      <c r="O2894" s="15"/>
    </row>
    <row r="2895" spans="1:15" ht="18" customHeight="1" x14ac:dyDescent="0.3">
      <c r="A2895" s="29">
        <v>2894</v>
      </c>
      <c r="B2895" s="15" t="s">
        <v>119</v>
      </c>
      <c r="C2895" s="15" t="s">
        <v>122</v>
      </c>
      <c r="D2895" s="69">
        <v>192</v>
      </c>
      <c r="E2895" s="68" t="s">
        <v>3401</v>
      </c>
      <c r="F2895" s="24" t="s">
        <v>788</v>
      </c>
      <c r="G2895" s="15" t="s">
        <v>154</v>
      </c>
      <c r="H2895" s="15" t="s">
        <v>907</v>
      </c>
      <c r="I2895" s="69">
        <v>135</v>
      </c>
      <c r="J2895" s="15" t="s">
        <v>2672</v>
      </c>
      <c r="K2895" s="15" t="s">
        <v>903</v>
      </c>
      <c r="L2895" s="15" t="s">
        <v>2673</v>
      </c>
      <c r="M2895" s="15" t="s">
        <v>2672</v>
      </c>
      <c r="N2895" s="15" t="s">
        <v>2673</v>
      </c>
      <c r="O2895" s="15"/>
    </row>
    <row r="2896" spans="1:15" ht="18" customHeight="1" x14ac:dyDescent="0.3">
      <c r="A2896" s="29">
        <v>2895</v>
      </c>
      <c r="B2896" s="15" t="s">
        <v>119</v>
      </c>
      <c r="C2896" s="15" t="s">
        <v>122</v>
      </c>
      <c r="D2896" s="69">
        <v>192</v>
      </c>
      <c r="E2896" s="68" t="s">
        <v>3401</v>
      </c>
      <c r="F2896" s="24" t="s">
        <v>788</v>
      </c>
      <c r="G2896" s="15" t="s">
        <v>154</v>
      </c>
      <c r="H2896" s="15" t="s">
        <v>908</v>
      </c>
      <c r="I2896" s="69">
        <v>135</v>
      </c>
      <c r="J2896" s="15" t="s">
        <v>2672</v>
      </c>
      <c r="K2896" s="15" t="s">
        <v>903</v>
      </c>
      <c r="L2896" s="15" t="s">
        <v>2673</v>
      </c>
      <c r="M2896" s="15" t="s">
        <v>2672</v>
      </c>
      <c r="N2896" s="15" t="s">
        <v>2673</v>
      </c>
      <c r="O2896" s="15"/>
    </row>
    <row r="2897" spans="1:15" ht="18" customHeight="1" x14ac:dyDescent="0.3">
      <c r="A2897" s="29">
        <v>2896</v>
      </c>
      <c r="B2897" s="15" t="s">
        <v>119</v>
      </c>
      <c r="C2897" s="15" t="s">
        <v>122</v>
      </c>
      <c r="D2897" s="69">
        <v>192</v>
      </c>
      <c r="E2897" s="68" t="s">
        <v>3401</v>
      </c>
      <c r="F2897" s="24" t="s">
        <v>788</v>
      </c>
      <c r="G2897" s="15" t="s">
        <v>154</v>
      </c>
      <c r="H2897" s="15" t="s">
        <v>909</v>
      </c>
      <c r="I2897" s="69">
        <v>135</v>
      </c>
      <c r="J2897" s="15" t="s">
        <v>2674</v>
      </c>
      <c r="K2897" s="15" t="s">
        <v>903</v>
      </c>
      <c r="L2897" s="15" t="s">
        <v>2673</v>
      </c>
      <c r="M2897" s="15" t="s">
        <v>2672</v>
      </c>
      <c r="N2897" s="15" t="s">
        <v>2673</v>
      </c>
      <c r="O2897" s="15"/>
    </row>
    <row r="2898" spans="1:15" ht="18" customHeight="1" x14ac:dyDescent="0.3">
      <c r="A2898" s="29">
        <v>2897</v>
      </c>
      <c r="B2898" s="15" t="s">
        <v>119</v>
      </c>
      <c r="C2898" s="15" t="s">
        <v>122</v>
      </c>
      <c r="D2898" s="69">
        <v>192</v>
      </c>
      <c r="E2898" s="68" t="s">
        <v>3401</v>
      </c>
      <c r="F2898" s="24" t="s">
        <v>788</v>
      </c>
      <c r="G2898" s="15" t="s">
        <v>154</v>
      </c>
      <c r="H2898" s="15" t="s">
        <v>910</v>
      </c>
      <c r="I2898" s="69">
        <v>216</v>
      </c>
      <c r="J2898" s="15" t="s">
        <v>2672</v>
      </c>
      <c r="K2898" s="15" t="s">
        <v>903</v>
      </c>
      <c r="L2898" s="15" t="s">
        <v>2673</v>
      </c>
      <c r="M2898" s="15" t="s">
        <v>2672</v>
      </c>
      <c r="N2898" s="15" t="s">
        <v>2673</v>
      </c>
      <c r="O2898" s="15"/>
    </row>
    <row r="2899" spans="1:15" ht="18" customHeight="1" x14ac:dyDescent="0.3">
      <c r="A2899" s="29">
        <v>2898</v>
      </c>
      <c r="B2899" s="15" t="s">
        <v>119</v>
      </c>
      <c r="C2899" s="15" t="s">
        <v>122</v>
      </c>
      <c r="D2899" s="69">
        <v>192</v>
      </c>
      <c r="E2899" s="68" t="s">
        <v>3401</v>
      </c>
      <c r="F2899" s="24" t="s">
        <v>788</v>
      </c>
      <c r="G2899" s="15" t="s">
        <v>154</v>
      </c>
      <c r="H2899" s="15" t="s">
        <v>911</v>
      </c>
      <c r="I2899" s="69">
        <v>216</v>
      </c>
      <c r="J2899" s="15" t="s">
        <v>2672</v>
      </c>
      <c r="K2899" s="15" t="s">
        <v>903</v>
      </c>
      <c r="L2899" s="15" t="s">
        <v>2673</v>
      </c>
      <c r="M2899" s="15" t="s">
        <v>2672</v>
      </c>
      <c r="N2899" s="15" t="s">
        <v>2673</v>
      </c>
      <c r="O2899" s="15"/>
    </row>
    <row r="2900" spans="1:15" ht="18" customHeight="1" x14ac:dyDescent="0.3">
      <c r="A2900" s="29">
        <v>2899</v>
      </c>
      <c r="B2900" s="15" t="s">
        <v>119</v>
      </c>
      <c r="C2900" s="15" t="s">
        <v>123</v>
      </c>
      <c r="D2900" s="69">
        <v>193</v>
      </c>
      <c r="E2900" s="68" t="s">
        <v>3402</v>
      </c>
      <c r="F2900" s="24" t="s">
        <v>782</v>
      </c>
      <c r="G2900" s="15" t="s">
        <v>164</v>
      </c>
      <c r="H2900" s="15" t="s">
        <v>901</v>
      </c>
      <c r="I2900" s="69">
        <v>89</v>
      </c>
      <c r="J2900" s="15" t="s">
        <v>2672</v>
      </c>
      <c r="K2900" s="15" t="s">
        <v>903</v>
      </c>
      <c r="L2900" s="15" t="s">
        <v>2673</v>
      </c>
      <c r="M2900" s="15" t="s">
        <v>2672</v>
      </c>
      <c r="N2900" s="15" t="s">
        <v>2673</v>
      </c>
      <c r="O2900" s="15"/>
    </row>
    <row r="2901" spans="1:15" ht="18" customHeight="1" x14ac:dyDescent="0.3">
      <c r="A2901" s="29">
        <v>2900</v>
      </c>
      <c r="B2901" s="15" t="s">
        <v>119</v>
      </c>
      <c r="C2901" s="15" t="s">
        <v>123</v>
      </c>
      <c r="D2901" s="69">
        <v>193</v>
      </c>
      <c r="E2901" s="68" t="s">
        <v>3402</v>
      </c>
      <c r="F2901" s="24" t="s">
        <v>782</v>
      </c>
      <c r="G2901" s="15" t="s">
        <v>164</v>
      </c>
      <c r="H2901" s="15" t="s">
        <v>904</v>
      </c>
      <c r="I2901" s="69">
        <v>133</v>
      </c>
      <c r="J2901" s="15" t="s">
        <v>2672</v>
      </c>
      <c r="K2901" s="15" t="s">
        <v>903</v>
      </c>
      <c r="L2901" s="15" t="s">
        <v>2673</v>
      </c>
      <c r="M2901" s="15" t="s">
        <v>2672</v>
      </c>
      <c r="N2901" s="15" t="s">
        <v>2673</v>
      </c>
      <c r="O2901" s="15"/>
    </row>
    <row r="2902" spans="1:15" ht="18" customHeight="1" x14ac:dyDescent="0.3">
      <c r="A2902" s="29">
        <v>2901</v>
      </c>
      <c r="B2902" s="15" t="s">
        <v>119</v>
      </c>
      <c r="C2902" s="15" t="s">
        <v>123</v>
      </c>
      <c r="D2902" s="69">
        <v>193</v>
      </c>
      <c r="E2902" s="68" t="s">
        <v>3402</v>
      </c>
      <c r="F2902" s="24" t="s">
        <v>782</v>
      </c>
      <c r="G2902" s="15" t="s">
        <v>164</v>
      </c>
      <c r="H2902" s="15" t="s">
        <v>905</v>
      </c>
      <c r="I2902" s="69">
        <v>116</v>
      </c>
      <c r="J2902" s="15" t="s">
        <v>2672</v>
      </c>
      <c r="K2902" s="15" t="s">
        <v>903</v>
      </c>
      <c r="L2902" s="15" t="s">
        <v>2673</v>
      </c>
      <c r="M2902" s="15" t="s">
        <v>2672</v>
      </c>
      <c r="N2902" s="15" t="s">
        <v>2673</v>
      </c>
      <c r="O2902" s="15"/>
    </row>
    <row r="2903" spans="1:15" ht="18" customHeight="1" x14ac:dyDescent="0.3">
      <c r="A2903" s="29">
        <v>2902</v>
      </c>
      <c r="B2903" s="15" t="s">
        <v>119</v>
      </c>
      <c r="C2903" s="15" t="s">
        <v>123</v>
      </c>
      <c r="D2903" s="69">
        <v>193</v>
      </c>
      <c r="E2903" s="68" t="s">
        <v>3402</v>
      </c>
      <c r="F2903" s="24" t="s">
        <v>782</v>
      </c>
      <c r="G2903" s="15" t="s">
        <v>164</v>
      </c>
      <c r="H2903" s="15" t="s">
        <v>906</v>
      </c>
      <c r="I2903" s="69">
        <v>116</v>
      </c>
      <c r="J2903" s="15" t="s">
        <v>2672</v>
      </c>
      <c r="K2903" s="15" t="s">
        <v>903</v>
      </c>
      <c r="L2903" s="15" t="s">
        <v>2673</v>
      </c>
      <c r="M2903" s="15" t="s">
        <v>2672</v>
      </c>
      <c r="N2903" s="15" t="s">
        <v>2673</v>
      </c>
      <c r="O2903" s="15"/>
    </row>
    <row r="2904" spans="1:15" ht="18" customHeight="1" x14ac:dyDescent="0.3">
      <c r="A2904" s="29">
        <v>2903</v>
      </c>
      <c r="B2904" s="15" t="s">
        <v>119</v>
      </c>
      <c r="C2904" s="15" t="s">
        <v>123</v>
      </c>
      <c r="D2904" s="69">
        <v>193</v>
      </c>
      <c r="E2904" s="68" t="s">
        <v>3402</v>
      </c>
      <c r="F2904" s="24" t="s">
        <v>782</v>
      </c>
      <c r="G2904" s="15" t="s">
        <v>164</v>
      </c>
      <c r="H2904" s="15" t="s">
        <v>907</v>
      </c>
      <c r="I2904" s="69">
        <v>171</v>
      </c>
      <c r="J2904" s="15" t="s">
        <v>2672</v>
      </c>
      <c r="K2904" s="15" t="s">
        <v>903</v>
      </c>
      <c r="L2904" s="15" t="s">
        <v>2673</v>
      </c>
      <c r="M2904" s="15" t="s">
        <v>2672</v>
      </c>
      <c r="N2904" s="15" t="s">
        <v>2673</v>
      </c>
      <c r="O2904" s="15"/>
    </row>
    <row r="2905" spans="1:15" ht="18" customHeight="1" x14ac:dyDescent="0.3">
      <c r="A2905" s="29">
        <v>2904</v>
      </c>
      <c r="B2905" s="15" t="s">
        <v>119</v>
      </c>
      <c r="C2905" s="15" t="s">
        <v>123</v>
      </c>
      <c r="D2905" s="69">
        <v>193</v>
      </c>
      <c r="E2905" s="68" t="s">
        <v>3402</v>
      </c>
      <c r="F2905" s="24" t="s">
        <v>782</v>
      </c>
      <c r="G2905" s="15" t="s">
        <v>164</v>
      </c>
      <c r="H2905" s="15" t="s">
        <v>908</v>
      </c>
      <c r="I2905" s="69">
        <v>40</v>
      </c>
      <c r="J2905" s="15" t="s">
        <v>2672</v>
      </c>
      <c r="K2905" s="15" t="s">
        <v>2672</v>
      </c>
      <c r="L2905" s="15" t="s">
        <v>2673</v>
      </c>
      <c r="M2905" s="15" t="s">
        <v>2672</v>
      </c>
      <c r="N2905" s="15" t="s">
        <v>2673</v>
      </c>
      <c r="O2905" s="15"/>
    </row>
    <row r="2906" spans="1:15" ht="18" customHeight="1" x14ac:dyDescent="0.3">
      <c r="A2906" s="29">
        <v>2905</v>
      </c>
      <c r="B2906" s="15" t="s">
        <v>119</v>
      </c>
      <c r="C2906" s="15" t="s">
        <v>124</v>
      </c>
      <c r="D2906" s="69">
        <v>194</v>
      </c>
      <c r="E2906" s="68" t="s">
        <v>3403</v>
      </c>
      <c r="F2906" s="24" t="s">
        <v>781</v>
      </c>
      <c r="G2906" s="15" t="s">
        <v>164</v>
      </c>
      <c r="H2906" s="15" t="s">
        <v>901</v>
      </c>
      <c r="I2906" s="69">
        <v>167</v>
      </c>
      <c r="J2906" s="15" t="s">
        <v>2674</v>
      </c>
      <c r="K2906" s="15" t="s">
        <v>903</v>
      </c>
      <c r="L2906" s="15" t="s">
        <v>2673</v>
      </c>
      <c r="M2906" s="15" t="s">
        <v>2672</v>
      </c>
      <c r="N2906" s="15" t="s">
        <v>2673</v>
      </c>
      <c r="O2906" s="15"/>
    </row>
    <row r="2907" spans="1:15" ht="18" customHeight="1" x14ac:dyDescent="0.3">
      <c r="A2907" s="29">
        <v>2906</v>
      </c>
      <c r="B2907" s="15" t="s">
        <v>119</v>
      </c>
      <c r="C2907" s="15" t="s">
        <v>124</v>
      </c>
      <c r="D2907" s="69">
        <v>194</v>
      </c>
      <c r="E2907" s="68" t="s">
        <v>3403</v>
      </c>
      <c r="F2907" s="24" t="s">
        <v>781</v>
      </c>
      <c r="G2907" s="15" t="s">
        <v>164</v>
      </c>
      <c r="H2907" s="15" t="s">
        <v>904</v>
      </c>
      <c r="I2907" s="69">
        <v>261</v>
      </c>
      <c r="J2907" s="15" t="s">
        <v>2674</v>
      </c>
      <c r="K2907" s="15" t="s">
        <v>903</v>
      </c>
      <c r="L2907" s="15" t="s">
        <v>2673</v>
      </c>
      <c r="M2907" s="15" t="s">
        <v>2672</v>
      </c>
      <c r="N2907" s="15" t="s">
        <v>2673</v>
      </c>
      <c r="O2907" s="15"/>
    </row>
    <row r="2908" spans="1:15" ht="18" customHeight="1" x14ac:dyDescent="0.3">
      <c r="A2908" s="29">
        <v>2907</v>
      </c>
      <c r="B2908" s="15" t="s">
        <v>119</v>
      </c>
      <c r="C2908" s="15" t="s">
        <v>124</v>
      </c>
      <c r="D2908" s="69">
        <v>194</v>
      </c>
      <c r="E2908" s="68" t="s">
        <v>3403</v>
      </c>
      <c r="F2908" s="24" t="s">
        <v>781</v>
      </c>
      <c r="G2908" s="15" t="s">
        <v>164</v>
      </c>
      <c r="H2908" s="15" t="s">
        <v>905</v>
      </c>
      <c r="I2908" s="69">
        <v>168</v>
      </c>
      <c r="J2908" s="15" t="s">
        <v>2672</v>
      </c>
      <c r="K2908" s="15" t="s">
        <v>903</v>
      </c>
      <c r="L2908" s="15" t="s">
        <v>2673</v>
      </c>
      <c r="M2908" s="15" t="s">
        <v>2672</v>
      </c>
      <c r="N2908" s="15" t="s">
        <v>2673</v>
      </c>
      <c r="O2908" s="15"/>
    </row>
    <row r="2909" spans="1:15" ht="18" customHeight="1" x14ac:dyDescent="0.3">
      <c r="A2909" s="29">
        <v>2908</v>
      </c>
      <c r="B2909" s="15" t="s">
        <v>119</v>
      </c>
      <c r="C2909" s="15" t="s">
        <v>124</v>
      </c>
      <c r="D2909" s="69">
        <v>194</v>
      </c>
      <c r="E2909" s="68" t="s">
        <v>3403</v>
      </c>
      <c r="F2909" s="24" t="s">
        <v>781</v>
      </c>
      <c r="G2909" s="15" t="s">
        <v>164</v>
      </c>
      <c r="H2909" s="15" t="s">
        <v>906</v>
      </c>
      <c r="I2909" s="69">
        <v>158</v>
      </c>
      <c r="J2909" s="15" t="s">
        <v>2672</v>
      </c>
      <c r="K2909" s="15" t="s">
        <v>903</v>
      </c>
      <c r="L2909" s="15" t="s">
        <v>2673</v>
      </c>
      <c r="M2909" s="15" t="s">
        <v>2672</v>
      </c>
      <c r="N2909" s="15" t="s">
        <v>2673</v>
      </c>
      <c r="O2909" s="15"/>
    </row>
    <row r="2910" spans="1:15" ht="18" customHeight="1" x14ac:dyDescent="0.3">
      <c r="A2910" s="29">
        <v>2909</v>
      </c>
      <c r="B2910" s="15" t="s">
        <v>119</v>
      </c>
      <c r="C2910" s="15" t="s">
        <v>124</v>
      </c>
      <c r="D2910" s="69">
        <v>194</v>
      </c>
      <c r="E2910" s="68" t="s">
        <v>3403</v>
      </c>
      <c r="F2910" s="24" t="s">
        <v>781</v>
      </c>
      <c r="G2910" s="15" t="s">
        <v>164</v>
      </c>
      <c r="H2910" s="15" t="s">
        <v>907</v>
      </c>
      <c r="I2910" s="69">
        <v>146</v>
      </c>
      <c r="J2910" s="15" t="s">
        <v>2672</v>
      </c>
      <c r="K2910" s="15" t="s">
        <v>903</v>
      </c>
      <c r="L2910" s="15" t="s">
        <v>2673</v>
      </c>
      <c r="M2910" s="15" t="s">
        <v>2672</v>
      </c>
      <c r="N2910" s="15" t="s">
        <v>2673</v>
      </c>
      <c r="O2910" s="15"/>
    </row>
    <row r="2911" spans="1:15" ht="18" customHeight="1" x14ac:dyDescent="0.3">
      <c r="A2911" s="29">
        <v>2910</v>
      </c>
      <c r="B2911" s="15" t="s">
        <v>119</v>
      </c>
      <c r="C2911" s="15" t="s">
        <v>124</v>
      </c>
      <c r="D2911" s="69">
        <v>194</v>
      </c>
      <c r="E2911" s="68" t="s">
        <v>3403</v>
      </c>
      <c r="F2911" s="24" t="s">
        <v>781</v>
      </c>
      <c r="G2911" s="15" t="s">
        <v>164</v>
      </c>
      <c r="H2911" s="15" t="s">
        <v>908</v>
      </c>
      <c r="I2911" s="69">
        <v>146</v>
      </c>
      <c r="J2911" s="15" t="s">
        <v>2672</v>
      </c>
      <c r="K2911" s="15" t="s">
        <v>903</v>
      </c>
      <c r="L2911" s="15" t="s">
        <v>2673</v>
      </c>
      <c r="M2911" s="15" t="s">
        <v>2672</v>
      </c>
      <c r="N2911" s="15" t="s">
        <v>2673</v>
      </c>
      <c r="O2911" s="15"/>
    </row>
    <row r="2912" spans="1:15" ht="18" customHeight="1" x14ac:dyDescent="0.3">
      <c r="A2912" s="29">
        <v>2911</v>
      </c>
      <c r="B2912" s="15" t="s">
        <v>119</v>
      </c>
      <c r="C2912" s="15" t="s">
        <v>124</v>
      </c>
      <c r="D2912" s="69">
        <v>194</v>
      </c>
      <c r="E2912" s="68" t="s">
        <v>3403</v>
      </c>
      <c r="F2912" s="24" t="s">
        <v>781</v>
      </c>
      <c r="G2912" s="15" t="s">
        <v>164</v>
      </c>
      <c r="H2912" s="15" t="s">
        <v>909</v>
      </c>
      <c r="I2912" s="69">
        <v>158</v>
      </c>
      <c r="J2912" s="15" t="s">
        <v>2672</v>
      </c>
      <c r="K2912" s="15" t="s">
        <v>903</v>
      </c>
      <c r="L2912" s="15" t="s">
        <v>2673</v>
      </c>
      <c r="M2912" s="15" t="s">
        <v>2672</v>
      </c>
      <c r="N2912" s="15" t="s">
        <v>2673</v>
      </c>
      <c r="O2912" s="15"/>
    </row>
    <row r="2913" spans="1:15" ht="18" customHeight="1" x14ac:dyDescent="0.3">
      <c r="A2913" s="29">
        <v>2912</v>
      </c>
      <c r="B2913" s="15" t="s">
        <v>119</v>
      </c>
      <c r="C2913" s="15" t="s">
        <v>124</v>
      </c>
      <c r="D2913" s="69">
        <v>194</v>
      </c>
      <c r="E2913" s="68" t="s">
        <v>3404</v>
      </c>
      <c r="F2913" s="24" t="s">
        <v>780</v>
      </c>
      <c r="G2913" s="15" t="s">
        <v>154</v>
      </c>
      <c r="H2913" s="15" t="s">
        <v>901</v>
      </c>
      <c r="I2913" s="69">
        <v>169</v>
      </c>
      <c r="J2913" s="15" t="s">
        <v>2672</v>
      </c>
      <c r="K2913" s="15" t="s">
        <v>903</v>
      </c>
      <c r="L2913" s="15" t="s">
        <v>2673</v>
      </c>
      <c r="M2913" s="15" t="s">
        <v>2672</v>
      </c>
      <c r="N2913" s="15" t="s">
        <v>2673</v>
      </c>
      <c r="O2913" s="15"/>
    </row>
    <row r="2914" spans="1:15" ht="18" customHeight="1" x14ac:dyDescent="0.3">
      <c r="A2914" s="29">
        <v>2913</v>
      </c>
      <c r="B2914" s="15" t="s">
        <v>119</v>
      </c>
      <c r="C2914" s="15" t="s">
        <v>124</v>
      </c>
      <c r="D2914" s="69">
        <v>194</v>
      </c>
      <c r="E2914" s="68" t="s">
        <v>3404</v>
      </c>
      <c r="F2914" s="24" t="s">
        <v>780</v>
      </c>
      <c r="G2914" s="15" t="s">
        <v>154</v>
      </c>
      <c r="H2914" s="15" t="s">
        <v>904</v>
      </c>
      <c r="I2914" s="69">
        <v>205</v>
      </c>
      <c r="J2914" s="15" t="s">
        <v>2674</v>
      </c>
      <c r="K2914" s="15" t="s">
        <v>903</v>
      </c>
      <c r="L2914" s="15" t="s">
        <v>2673</v>
      </c>
      <c r="M2914" s="15" t="s">
        <v>2672</v>
      </c>
      <c r="N2914" s="15" t="s">
        <v>2673</v>
      </c>
      <c r="O2914" s="15"/>
    </row>
    <row r="2915" spans="1:15" ht="18" customHeight="1" x14ac:dyDescent="0.3">
      <c r="A2915" s="29">
        <v>2914</v>
      </c>
      <c r="B2915" s="15" t="s">
        <v>119</v>
      </c>
      <c r="C2915" s="15" t="s">
        <v>124</v>
      </c>
      <c r="D2915" s="69">
        <v>194</v>
      </c>
      <c r="E2915" s="68" t="s">
        <v>3404</v>
      </c>
      <c r="F2915" s="24" t="s">
        <v>780</v>
      </c>
      <c r="G2915" s="15" t="s">
        <v>154</v>
      </c>
      <c r="H2915" s="15" t="s">
        <v>905</v>
      </c>
      <c r="I2915" s="69">
        <v>148</v>
      </c>
      <c r="J2915" s="15" t="s">
        <v>2674</v>
      </c>
      <c r="K2915" s="15" t="s">
        <v>903</v>
      </c>
      <c r="L2915" s="15" t="s">
        <v>2673</v>
      </c>
      <c r="M2915" s="15" t="s">
        <v>2672</v>
      </c>
      <c r="N2915" s="15" t="s">
        <v>2673</v>
      </c>
      <c r="O2915" s="15"/>
    </row>
    <row r="2916" spans="1:15" ht="18" customHeight="1" x14ac:dyDescent="0.3">
      <c r="A2916" s="29">
        <v>2915</v>
      </c>
      <c r="B2916" s="15" t="s">
        <v>119</v>
      </c>
      <c r="C2916" s="15" t="s">
        <v>124</v>
      </c>
      <c r="D2916" s="69">
        <v>194</v>
      </c>
      <c r="E2916" s="68" t="s">
        <v>3404</v>
      </c>
      <c r="F2916" s="24" t="s">
        <v>780</v>
      </c>
      <c r="G2916" s="15" t="s">
        <v>154</v>
      </c>
      <c r="H2916" s="15" t="s">
        <v>906</v>
      </c>
      <c r="I2916" s="69">
        <v>148</v>
      </c>
      <c r="J2916" s="15" t="s">
        <v>2672</v>
      </c>
      <c r="K2916" s="15" t="s">
        <v>903</v>
      </c>
      <c r="L2916" s="15" t="s">
        <v>2673</v>
      </c>
      <c r="M2916" s="15" t="s">
        <v>2672</v>
      </c>
      <c r="N2916" s="15" t="s">
        <v>2673</v>
      </c>
      <c r="O2916" s="15"/>
    </row>
    <row r="2917" spans="1:15" ht="18" customHeight="1" x14ac:dyDescent="0.3">
      <c r="A2917" s="29">
        <v>2916</v>
      </c>
      <c r="B2917" s="130" t="s">
        <v>2435</v>
      </c>
      <c r="C2917" s="130" t="s">
        <v>2436</v>
      </c>
      <c r="D2917" s="130">
        <v>195</v>
      </c>
      <c r="E2917" s="63" t="s">
        <v>2437</v>
      </c>
      <c r="F2917" s="63" t="s">
        <v>2438</v>
      </c>
      <c r="G2917" s="15" t="s">
        <v>2673</v>
      </c>
      <c r="H2917" s="15" t="s">
        <v>2685</v>
      </c>
      <c r="I2917" s="69">
        <v>60</v>
      </c>
      <c r="J2917" s="15" t="s">
        <v>2672</v>
      </c>
      <c r="K2917" s="15" t="s">
        <v>903</v>
      </c>
      <c r="L2917" s="15" t="s">
        <v>2673</v>
      </c>
      <c r="M2917" s="15" t="s">
        <v>2672</v>
      </c>
      <c r="N2917" s="15" t="s">
        <v>2673</v>
      </c>
      <c r="O2917" s="15"/>
    </row>
    <row r="2918" spans="1:15" ht="18" customHeight="1" x14ac:dyDescent="0.3">
      <c r="A2918" s="29">
        <v>2917</v>
      </c>
      <c r="B2918" s="130" t="s">
        <v>2435</v>
      </c>
      <c r="C2918" s="130" t="s">
        <v>2436</v>
      </c>
      <c r="D2918" s="130">
        <v>195</v>
      </c>
      <c r="E2918" s="63" t="s">
        <v>2437</v>
      </c>
      <c r="F2918" s="63" t="s">
        <v>2438</v>
      </c>
      <c r="G2918" s="15" t="s">
        <v>2673</v>
      </c>
      <c r="H2918" s="15" t="s">
        <v>2678</v>
      </c>
      <c r="I2918" s="69">
        <v>39</v>
      </c>
      <c r="J2918" s="15" t="s">
        <v>2672</v>
      </c>
      <c r="K2918" s="15" t="s">
        <v>903</v>
      </c>
      <c r="L2918" s="15" t="s">
        <v>2673</v>
      </c>
      <c r="M2918" s="15" t="s">
        <v>2672</v>
      </c>
      <c r="N2918" s="15" t="s">
        <v>2673</v>
      </c>
      <c r="O2918" s="15"/>
    </row>
    <row r="2919" spans="1:15" ht="18" customHeight="1" x14ac:dyDescent="0.3">
      <c r="A2919" s="29">
        <v>2918</v>
      </c>
      <c r="B2919" s="130" t="s">
        <v>2440</v>
      </c>
      <c r="C2919" s="130" t="s">
        <v>2441</v>
      </c>
      <c r="D2919" s="130">
        <v>196</v>
      </c>
      <c r="E2919" s="63" t="s">
        <v>2442</v>
      </c>
      <c r="F2919" s="63" t="s">
        <v>2443</v>
      </c>
      <c r="G2919" s="15" t="s">
        <v>2673</v>
      </c>
      <c r="H2919" s="15" t="s">
        <v>2685</v>
      </c>
      <c r="I2919" s="69">
        <v>62</v>
      </c>
      <c r="J2919" s="15" t="s">
        <v>2674</v>
      </c>
      <c r="K2919" s="15" t="s">
        <v>903</v>
      </c>
      <c r="L2919" s="15" t="s">
        <v>2673</v>
      </c>
      <c r="M2919" s="15" t="s">
        <v>2672</v>
      </c>
      <c r="N2919" s="15" t="s">
        <v>2673</v>
      </c>
      <c r="O2919" s="15"/>
    </row>
    <row r="2920" spans="1:15" ht="18" customHeight="1" x14ac:dyDescent="0.3">
      <c r="A2920" s="29">
        <v>2919</v>
      </c>
      <c r="B2920" s="130" t="s">
        <v>2440</v>
      </c>
      <c r="C2920" s="130" t="s">
        <v>2441</v>
      </c>
      <c r="D2920" s="130">
        <v>196</v>
      </c>
      <c r="E2920" s="63" t="s">
        <v>2442</v>
      </c>
      <c r="F2920" s="63" t="s">
        <v>2443</v>
      </c>
      <c r="G2920" s="15" t="s">
        <v>2673</v>
      </c>
      <c r="H2920" s="15" t="s">
        <v>2678</v>
      </c>
      <c r="I2920" s="69">
        <v>33</v>
      </c>
      <c r="J2920" s="15" t="s">
        <v>2672</v>
      </c>
      <c r="K2920" s="15" t="s">
        <v>903</v>
      </c>
      <c r="L2920" s="15" t="s">
        <v>2673</v>
      </c>
      <c r="M2920" s="15" t="s">
        <v>2672</v>
      </c>
      <c r="N2920" s="15" t="s">
        <v>2673</v>
      </c>
      <c r="O2920" s="15"/>
    </row>
    <row r="2921" spans="1:15" ht="18" customHeight="1" x14ac:dyDescent="0.3">
      <c r="A2921" s="29">
        <v>2920</v>
      </c>
      <c r="B2921" s="15" t="s">
        <v>119</v>
      </c>
      <c r="C2921" s="15" t="s">
        <v>125</v>
      </c>
      <c r="D2921" s="69">
        <v>197</v>
      </c>
      <c r="E2921" s="68" t="s">
        <v>1030</v>
      </c>
      <c r="F2921" s="16" t="s">
        <v>2448</v>
      </c>
      <c r="G2921" s="15" t="s">
        <v>2673</v>
      </c>
      <c r="H2921" s="15" t="s">
        <v>901</v>
      </c>
      <c r="I2921" s="69">
        <v>70</v>
      </c>
      <c r="J2921" s="15" t="s">
        <v>2674</v>
      </c>
      <c r="K2921" s="15" t="s">
        <v>903</v>
      </c>
      <c r="L2921" s="15" t="s">
        <v>2673</v>
      </c>
      <c r="M2921" s="15" t="s">
        <v>2672</v>
      </c>
      <c r="N2921" s="15" t="s">
        <v>2673</v>
      </c>
      <c r="O2921" s="15"/>
    </row>
    <row r="2922" spans="1:15" ht="18" customHeight="1" x14ac:dyDescent="0.3">
      <c r="A2922" s="29">
        <v>2921</v>
      </c>
      <c r="B2922" s="15" t="s">
        <v>119</v>
      </c>
      <c r="C2922" s="15" t="s">
        <v>125</v>
      </c>
      <c r="D2922" s="69">
        <v>197</v>
      </c>
      <c r="E2922" s="68" t="s">
        <v>1030</v>
      </c>
      <c r="F2922" s="16" t="s">
        <v>2448</v>
      </c>
      <c r="G2922" s="15" t="s">
        <v>2673</v>
      </c>
      <c r="H2922" s="15" t="s">
        <v>904</v>
      </c>
      <c r="I2922" s="69">
        <v>70</v>
      </c>
      <c r="J2922" s="15" t="s">
        <v>2674</v>
      </c>
      <c r="K2922" s="15" t="s">
        <v>903</v>
      </c>
      <c r="L2922" s="15" t="s">
        <v>2673</v>
      </c>
      <c r="M2922" s="15" t="s">
        <v>2672</v>
      </c>
      <c r="N2922" s="15" t="s">
        <v>2673</v>
      </c>
      <c r="O2922" s="15"/>
    </row>
    <row r="2923" spans="1:15" ht="18" customHeight="1" x14ac:dyDescent="0.3">
      <c r="A2923" s="29">
        <v>2922</v>
      </c>
      <c r="B2923" s="28" t="s">
        <v>2440</v>
      </c>
      <c r="C2923" s="28" t="s">
        <v>2450</v>
      </c>
      <c r="D2923" s="28">
        <v>198</v>
      </c>
      <c r="E2923" s="63" t="s">
        <v>2451</v>
      </c>
      <c r="F2923" s="32" t="s">
        <v>2452</v>
      </c>
      <c r="G2923" s="15" t="s">
        <v>2673</v>
      </c>
      <c r="H2923" s="15" t="s">
        <v>2685</v>
      </c>
      <c r="I2923" s="69">
        <v>88</v>
      </c>
      <c r="J2923" s="15" t="s">
        <v>2672</v>
      </c>
      <c r="K2923" s="15" t="s">
        <v>903</v>
      </c>
      <c r="L2923" s="15" t="s">
        <v>2673</v>
      </c>
      <c r="M2923" s="15" t="s">
        <v>2672</v>
      </c>
      <c r="N2923" s="15" t="s">
        <v>2673</v>
      </c>
      <c r="O2923" s="15"/>
    </row>
    <row r="2924" spans="1:15" ht="18" customHeight="1" x14ac:dyDescent="0.3">
      <c r="A2924" s="29">
        <v>2923</v>
      </c>
      <c r="B2924" s="28" t="s">
        <v>2440</v>
      </c>
      <c r="C2924" s="28" t="s">
        <v>2450</v>
      </c>
      <c r="D2924" s="28">
        <v>198</v>
      </c>
      <c r="E2924" s="63" t="s">
        <v>2451</v>
      </c>
      <c r="F2924" s="32" t="s">
        <v>2452</v>
      </c>
      <c r="G2924" s="15" t="s">
        <v>2673</v>
      </c>
      <c r="H2924" s="15" t="s">
        <v>2678</v>
      </c>
      <c r="I2924" s="69">
        <v>53</v>
      </c>
      <c r="J2924" s="15" t="s">
        <v>2672</v>
      </c>
      <c r="K2924" s="15" t="s">
        <v>903</v>
      </c>
      <c r="L2924" s="15" t="s">
        <v>2673</v>
      </c>
      <c r="M2924" s="15" t="s">
        <v>2672</v>
      </c>
      <c r="N2924" s="15" t="s">
        <v>2673</v>
      </c>
      <c r="O2924" s="15"/>
    </row>
    <row r="2925" spans="1:15" ht="18" customHeight="1" x14ac:dyDescent="0.3">
      <c r="A2925" s="29">
        <v>2924</v>
      </c>
      <c r="B2925" s="13" t="s">
        <v>2435</v>
      </c>
      <c r="C2925" s="13" t="s">
        <v>2456</v>
      </c>
      <c r="D2925" s="13">
        <v>199</v>
      </c>
      <c r="E2925" s="63" t="s">
        <v>2457</v>
      </c>
      <c r="F2925" s="21" t="s">
        <v>2458</v>
      </c>
      <c r="G2925" s="13" t="s">
        <v>2673</v>
      </c>
      <c r="H2925" s="15" t="s">
        <v>2685</v>
      </c>
      <c r="I2925" s="69">
        <v>56</v>
      </c>
      <c r="J2925" s="15" t="s">
        <v>2674</v>
      </c>
      <c r="K2925" s="15" t="s">
        <v>903</v>
      </c>
      <c r="L2925" s="15" t="s">
        <v>2673</v>
      </c>
      <c r="M2925" s="15" t="s">
        <v>2672</v>
      </c>
      <c r="N2925" s="15" t="s">
        <v>2673</v>
      </c>
      <c r="O2925" s="15"/>
    </row>
    <row r="2926" spans="1:15" ht="18" customHeight="1" x14ac:dyDescent="0.3">
      <c r="A2926" s="29">
        <v>2925</v>
      </c>
      <c r="B2926" s="13" t="s">
        <v>2435</v>
      </c>
      <c r="C2926" s="13" t="s">
        <v>2456</v>
      </c>
      <c r="D2926" s="13">
        <v>199</v>
      </c>
      <c r="E2926" s="63" t="s">
        <v>2457</v>
      </c>
      <c r="F2926" s="21" t="s">
        <v>2458</v>
      </c>
      <c r="G2926" s="13" t="s">
        <v>2673</v>
      </c>
      <c r="H2926" s="15" t="s">
        <v>2678</v>
      </c>
      <c r="I2926" s="69">
        <v>36</v>
      </c>
      <c r="J2926" s="15" t="s">
        <v>2674</v>
      </c>
      <c r="K2926" s="15" t="s">
        <v>903</v>
      </c>
      <c r="L2926" s="15" t="s">
        <v>2673</v>
      </c>
      <c r="M2926" s="15" t="s">
        <v>2672</v>
      </c>
      <c r="N2926" s="15" t="s">
        <v>2673</v>
      </c>
      <c r="O2926" s="15"/>
    </row>
    <row r="2927" spans="1:15" ht="18" customHeight="1" x14ac:dyDescent="0.3">
      <c r="A2927" s="29">
        <v>2926</v>
      </c>
      <c r="B2927" s="13" t="s">
        <v>2440</v>
      </c>
      <c r="C2927" s="13" t="s">
        <v>2460</v>
      </c>
      <c r="D2927" s="13">
        <v>200</v>
      </c>
      <c r="E2927" s="36" t="s">
        <v>2461</v>
      </c>
      <c r="F2927" s="24" t="s">
        <v>2462</v>
      </c>
      <c r="G2927" s="13" t="s">
        <v>2867</v>
      </c>
      <c r="H2927" s="15" t="s">
        <v>2685</v>
      </c>
      <c r="I2927" s="69">
        <v>77</v>
      </c>
      <c r="J2927" s="15" t="s">
        <v>2674</v>
      </c>
      <c r="K2927" s="15" t="s">
        <v>903</v>
      </c>
      <c r="L2927" s="15" t="s">
        <v>2673</v>
      </c>
      <c r="M2927" s="15" t="s">
        <v>2672</v>
      </c>
      <c r="N2927" s="15" t="s">
        <v>2673</v>
      </c>
      <c r="O2927" s="15"/>
    </row>
    <row r="2928" spans="1:15" ht="18" customHeight="1" x14ac:dyDescent="0.3">
      <c r="A2928" s="29">
        <v>2927</v>
      </c>
      <c r="B2928" s="13" t="s">
        <v>2440</v>
      </c>
      <c r="C2928" s="13" t="s">
        <v>2460</v>
      </c>
      <c r="D2928" s="13">
        <v>200</v>
      </c>
      <c r="E2928" s="36" t="s">
        <v>2461</v>
      </c>
      <c r="F2928" s="24" t="s">
        <v>2462</v>
      </c>
      <c r="G2928" s="13" t="s">
        <v>2867</v>
      </c>
      <c r="H2928" s="15" t="s">
        <v>2678</v>
      </c>
      <c r="I2928" s="69">
        <v>47</v>
      </c>
      <c r="J2928" s="15" t="s">
        <v>2672</v>
      </c>
      <c r="K2928" s="15" t="s">
        <v>903</v>
      </c>
      <c r="L2928" s="15" t="s">
        <v>2673</v>
      </c>
      <c r="M2928" s="15" t="s">
        <v>2672</v>
      </c>
      <c r="N2928" s="15" t="s">
        <v>2673</v>
      </c>
      <c r="O2928" s="15"/>
    </row>
    <row r="2929" spans="1:15" ht="18" customHeight="1" x14ac:dyDescent="0.3">
      <c r="A2929" s="29">
        <v>2928</v>
      </c>
      <c r="B2929" s="15" t="s">
        <v>2440</v>
      </c>
      <c r="C2929" s="15" t="s">
        <v>2465</v>
      </c>
      <c r="D2929" s="13">
        <v>201</v>
      </c>
      <c r="E2929" s="6" t="s">
        <v>2466</v>
      </c>
      <c r="F2929" s="14" t="s">
        <v>2467</v>
      </c>
      <c r="G2929" s="15" t="s">
        <v>2867</v>
      </c>
      <c r="H2929" s="15" t="s">
        <v>2685</v>
      </c>
      <c r="I2929" s="69">
        <v>60</v>
      </c>
      <c r="J2929" s="15" t="s">
        <v>2674</v>
      </c>
      <c r="K2929" s="15" t="s">
        <v>903</v>
      </c>
      <c r="L2929" s="15" t="s">
        <v>2673</v>
      </c>
      <c r="M2929" s="15" t="s">
        <v>2672</v>
      </c>
      <c r="N2929" s="15" t="s">
        <v>2673</v>
      </c>
      <c r="O2929" s="15"/>
    </row>
    <row r="2930" spans="1:15" ht="18" customHeight="1" x14ac:dyDescent="0.3">
      <c r="A2930" s="29">
        <v>2929</v>
      </c>
      <c r="B2930" s="15" t="s">
        <v>2440</v>
      </c>
      <c r="C2930" s="15" t="s">
        <v>2465</v>
      </c>
      <c r="D2930" s="13">
        <v>201</v>
      </c>
      <c r="E2930" s="6" t="s">
        <v>2466</v>
      </c>
      <c r="F2930" s="14" t="s">
        <v>2467</v>
      </c>
      <c r="G2930" s="15" t="s">
        <v>2867</v>
      </c>
      <c r="H2930" s="15" t="s">
        <v>2678</v>
      </c>
      <c r="I2930" s="69">
        <v>39</v>
      </c>
      <c r="J2930" s="15" t="s">
        <v>2672</v>
      </c>
      <c r="K2930" s="15" t="s">
        <v>903</v>
      </c>
      <c r="L2930" s="15" t="s">
        <v>2673</v>
      </c>
      <c r="M2930" s="15" t="s">
        <v>2672</v>
      </c>
      <c r="N2930" s="15" t="s">
        <v>2673</v>
      </c>
      <c r="O2930" s="15"/>
    </row>
    <row r="2931" spans="1:15" ht="18" customHeight="1" x14ac:dyDescent="0.3">
      <c r="A2931" s="29">
        <v>2930</v>
      </c>
      <c r="B2931" s="13" t="s">
        <v>2435</v>
      </c>
      <c r="C2931" s="13" t="s">
        <v>2470</v>
      </c>
      <c r="D2931" s="13">
        <v>203</v>
      </c>
      <c r="E2931" s="36" t="s">
        <v>2471</v>
      </c>
      <c r="F2931" s="24" t="s">
        <v>2472</v>
      </c>
      <c r="G2931" s="13" t="s">
        <v>2673</v>
      </c>
      <c r="H2931" s="15" t="s">
        <v>2685</v>
      </c>
      <c r="I2931" s="69">
        <v>91</v>
      </c>
      <c r="J2931" s="15" t="s">
        <v>2674</v>
      </c>
      <c r="K2931" s="15" t="s">
        <v>903</v>
      </c>
      <c r="L2931" s="15" t="s">
        <v>2673</v>
      </c>
      <c r="M2931" s="15" t="s">
        <v>2672</v>
      </c>
      <c r="N2931" s="15" t="s">
        <v>2673</v>
      </c>
      <c r="O2931" s="15"/>
    </row>
    <row r="2932" spans="1:15" ht="18" customHeight="1" x14ac:dyDescent="0.3">
      <c r="A2932" s="29">
        <v>2931</v>
      </c>
      <c r="B2932" s="13" t="s">
        <v>2435</v>
      </c>
      <c r="C2932" s="13" t="s">
        <v>2470</v>
      </c>
      <c r="D2932" s="13">
        <v>203</v>
      </c>
      <c r="E2932" s="36" t="s">
        <v>2471</v>
      </c>
      <c r="F2932" s="24" t="s">
        <v>2472</v>
      </c>
      <c r="G2932" s="13" t="s">
        <v>2673</v>
      </c>
      <c r="H2932" s="15" t="s">
        <v>2678</v>
      </c>
      <c r="I2932" s="69">
        <v>45</v>
      </c>
      <c r="J2932" s="15" t="s">
        <v>2672</v>
      </c>
      <c r="K2932" s="15" t="s">
        <v>903</v>
      </c>
      <c r="L2932" s="15" t="s">
        <v>2673</v>
      </c>
      <c r="M2932" s="15" t="s">
        <v>2672</v>
      </c>
      <c r="N2932" s="15" t="s">
        <v>2673</v>
      </c>
      <c r="O2932" s="15"/>
    </row>
    <row r="2933" spans="1:15" ht="18" customHeight="1" x14ac:dyDescent="0.3">
      <c r="A2933" s="29">
        <v>2932</v>
      </c>
      <c r="B2933" s="13" t="s">
        <v>2435</v>
      </c>
      <c r="C2933" s="13" t="s">
        <v>2475</v>
      </c>
      <c r="D2933" s="13">
        <v>204</v>
      </c>
      <c r="E2933" s="36" t="s">
        <v>2476</v>
      </c>
      <c r="F2933" s="24" t="s">
        <v>2477</v>
      </c>
      <c r="G2933" s="13" t="s">
        <v>2673</v>
      </c>
      <c r="H2933" s="15" t="s">
        <v>2685</v>
      </c>
      <c r="I2933" s="69">
        <v>58</v>
      </c>
      <c r="J2933" s="15" t="s">
        <v>2674</v>
      </c>
      <c r="K2933" s="15" t="s">
        <v>903</v>
      </c>
      <c r="L2933" s="15" t="s">
        <v>2673</v>
      </c>
      <c r="M2933" s="15" t="s">
        <v>2672</v>
      </c>
      <c r="N2933" s="15" t="s">
        <v>2673</v>
      </c>
      <c r="O2933" s="15"/>
    </row>
    <row r="2934" spans="1:15" ht="18" customHeight="1" x14ac:dyDescent="0.3">
      <c r="A2934" s="29">
        <v>2933</v>
      </c>
      <c r="B2934" s="13" t="s">
        <v>2435</v>
      </c>
      <c r="C2934" s="13" t="s">
        <v>2475</v>
      </c>
      <c r="D2934" s="13">
        <v>204</v>
      </c>
      <c r="E2934" s="36" t="s">
        <v>2476</v>
      </c>
      <c r="F2934" s="24" t="s">
        <v>2477</v>
      </c>
      <c r="G2934" s="13" t="s">
        <v>2673</v>
      </c>
      <c r="H2934" s="15" t="s">
        <v>2678</v>
      </c>
      <c r="I2934" s="69">
        <v>35</v>
      </c>
      <c r="J2934" s="15" t="s">
        <v>2672</v>
      </c>
      <c r="K2934" s="15" t="s">
        <v>903</v>
      </c>
      <c r="L2934" s="15" t="s">
        <v>2673</v>
      </c>
      <c r="M2934" s="15" t="s">
        <v>2672</v>
      </c>
      <c r="N2934" s="15" t="s">
        <v>2673</v>
      </c>
      <c r="O2934" s="15"/>
    </row>
    <row r="2935" spans="1:15" ht="18" customHeight="1" x14ac:dyDescent="0.3">
      <c r="A2935" s="29">
        <v>2934</v>
      </c>
      <c r="B2935" s="13" t="s">
        <v>2435</v>
      </c>
      <c r="C2935" s="13" t="s">
        <v>2480</v>
      </c>
      <c r="D2935" s="13">
        <v>207</v>
      </c>
      <c r="E2935" s="63" t="s">
        <v>2481</v>
      </c>
      <c r="F2935" s="21" t="s">
        <v>2482</v>
      </c>
      <c r="G2935" s="13" t="s">
        <v>2673</v>
      </c>
      <c r="H2935" s="15" t="s">
        <v>2685</v>
      </c>
      <c r="I2935" s="69">
        <v>49</v>
      </c>
      <c r="J2935" s="15" t="s">
        <v>2672</v>
      </c>
      <c r="K2935" s="15" t="s">
        <v>903</v>
      </c>
      <c r="L2935" s="15" t="s">
        <v>2673</v>
      </c>
      <c r="M2935" s="15" t="s">
        <v>2672</v>
      </c>
      <c r="N2935" s="15" t="s">
        <v>2673</v>
      </c>
      <c r="O2935" s="15"/>
    </row>
    <row r="2936" spans="1:15" ht="18" customHeight="1" x14ac:dyDescent="0.3">
      <c r="A2936" s="29">
        <v>2935</v>
      </c>
      <c r="B2936" s="13" t="s">
        <v>2435</v>
      </c>
      <c r="C2936" s="13" t="s">
        <v>2480</v>
      </c>
      <c r="D2936" s="13">
        <v>207</v>
      </c>
      <c r="E2936" s="63" t="s">
        <v>2481</v>
      </c>
      <c r="F2936" s="21" t="s">
        <v>2482</v>
      </c>
      <c r="G2936" s="13" t="s">
        <v>2673</v>
      </c>
      <c r="H2936" s="15" t="s">
        <v>2678</v>
      </c>
      <c r="I2936" s="69">
        <v>60</v>
      </c>
      <c r="J2936" s="15" t="s">
        <v>2674</v>
      </c>
      <c r="K2936" s="15" t="s">
        <v>903</v>
      </c>
      <c r="L2936" s="15" t="s">
        <v>2673</v>
      </c>
      <c r="M2936" s="15" t="s">
        <v>2672</v>
      </c>
      <c r="N2936" s="15" t="s">
        <v>2673</v>
      </c>
      <c r="O2936" s="15"/>
    </row>
    <row r="2937" spans="1:15" ht="18" customHeight="1" x14ac:dyDescent="0.3">
      <c r="A2937" s="29">
        <v>2936</v>
      </c>
      <c r="B2937" s="13" t="s">
        <v>2440</v>
      </c>
      <c r="C2937" s="13" t="s">
        <v>2485</v>
      </c>
      <c r="D2937" s="13">
        <v>209</v>
      </c>
      <c r="E2937" s="36" t="s">
        <v>2486</v>
      </c>
      <c r="F2937" s="24" t="s">
        <v>2487</v>
      </c>
      <c r="G2937" s="13" t="s">
        <v>2867</v>
      </c>
      <c r="H2937" s="15" t="s">
        <v>2685</v>
      </c>
      <c r="I2937" s="69">
        <v>49</v>
      </c>
      <c r="J2937" s="15" t="s">
        <v>2674</v>
      </c>
      <c r="K2937" s="15" t="s">
        <v>903</v>
      </c>
      <c r="L2937" s="15" t="s">
        <v>2673</v>
      </c>
      <c r="M2937" s="15" t="s">
        <v>2672</v>
      </c>
      <c r="N2937" s="15" t="s">
        <v>2673</v>
      </c>
      <c r="O2937" s="15"/>
    </row>
    <row r="2938" spans="1:15" ht="18" customHeight="1" x14ac:dyDescent="0.3">
      <c r="A2938" s="29">
        <v>2937</v>
      </c>
      <c r="B2938" s="13" t="s">
        <v>2440</v>
      </c>
      <c r="C2938" s="13" t="s">
        <v>2485</v>
      </c>
      <c r="D2938" s="13">
        <v>209</v>
      </c>
      <c r="E2938" s="36" t="s">
        <v>2486</v>
      </c>
      <c r="F2938" s="24" t="s">
        <v>2487</v>
      </c>
      <c r="G2938" s="13" t="s">
        <v>2867</v>
      </c>
      <c r="H2938" s="15" t="s">
        <v>2678</v>
      </c>
      <c r="I2938" s="69">
        <v>49</v>
      </c>
      <c r="J2938" s="15" t="s">
        <v>2672</v>
      </c>
      <c r="K2938" s="15" t="s">
        <v>903</v>
      </c>
      <c r="L2938" s="15" t="s">
        <v>2673</v>
      </c>
      <c r="M2938" s="15" t="s">
        <v>2672</v>
      </c>
      <c r="N2938" s="15" t="s">
        <v>2673</v>
      </c>
      <c r="O2938" s="15"/>
    </row>
    <row r="2939" spans="1:15" ht="18" customHeight="1" x14ac:dyDescent="0.3">
      <c r="A2939" s="29">
        <v>2938</v>
      </c>
      <c r="B2939" s="15" t="s">
        <v>119</v>
      </c>
      <c r="C2939" s="15" t="s">
        <v>126</v>
      </c>
      <c r="D2939" s="69">
        <v>210</v>
      </c>
      <c r="E2939" s="68" t="s">
        <v>1031</v>
      </c>
      <c r="F2939" s="14" t="s">
        <v>2493</v>
      </c>
      <c r="G2939" s="15" t="s">
        <v>2673</v>
      </c>
      <c r="H2939" s="15" t="s">
        <v>901</v>
      </c>
      <c r="I2939" s="69">
        <v>59</v>
      </c>
      <c r="J2939" s="15" t="s">
        <v>2674</v>
      </c>
      <c r="K2939" s="15" t="s">
        <v>903</v>
      </c>
      <c r="L2939" s="15" t="s">
        <v>2673</v>
      </c>
      <c r="M2939" s="15" t="s">
        <v>2672</v>
      </c>
      <c r="N2939" s="15" t="s">
        <v>2673</v>
      </c>
      <c r="O2939" s="15"/>
    </row>
    <row r="2940" spans="1:15" ht="18" customHeight="1" x14ac:dyDescent="0.3">
      <c r="A2940" s="29">
        <v>2939</v>
      </c>
      <c r="B2940" s="15" t="s">
        <v>119</v>
      </c>
      <c r="C2940" s="15" t="s">
        <v>126</v>
      </c>
      <c r="D2940" s="69">
        <v>210</v>
      </c>
      <c r="E2940" s="68" t="s">
        <v>1031</v>
      </c>
      <c r="F2940" s="14" t="s">
        <v>2493</v>
      </c>
      <c r="G2940" s="15" t="s">
        <v>2673</v>
      </c>
      <c r="H2940" s="15" t="s">
        <v>904</v>
      </c>
      <c r="I2940" s="69">
        <v>39</v>
      </c>
      <c r="J2940" s="15" t="s">
        <v>2672</v>
      </c>
      <c r="K2940" s="15" t="s">
        <v>903</v>
      </c>
      <c r="L2940" s="15" t="s">
        <v>2673</v>
      </c>
      <c r="M2940" s="15" t="s">
        <v>2672</v>
      </c>
      <c r="N2940" s="15" t="s">
        <v>2673</v>
      </c>
      <c r="O2940" s="15"/>
    </row>
    <row r="2941" spans="1:15" ht="18" customHeight="1" x14ac:dyDescent="0.3">
      <c r="A2941" s="29">
        <v>2940</v>
      </c>
      <c r="B2941" s="15" t="s">
        <v>127</v>
      </c>
      <c r="C2941" s="15" t="s">
        <v>128</v>
      </c>
      <c r="D2941" s="69">
        <v>212</v>
      </c>
      <c r="E2941" s="68" t="s">
        <v>281</v>
      </c>
      <c r="F2941" s="16" t="s">
        <v>823</v>
      </c>
      <c r="G2941" s="15" t="s">
        <v>154</v>
      </c>
      <c r="H2941" s="15" t="s">
        <v>901</v>
      </c>
      <c r="I2941" s="69">
        <v>130</v>
      </c>
      <c r="J2941" s="15" t="s">
        <v>2674</v>
      </c>
      <c r="K2941" s="15" t="s">
        <v>903</v>
      </c>
      <c r="L2941" s="15" t="s">
        <v>2673</v>
      </c>
      <c r="M2941" s="15" t="s">
        <v>2672</v>
      </c>
      <c r="N2941" s="15" t="s">
        <v>2673</v>
      </c>
      <c r="O2941" s="15"/>
    </row>
    <row r="2942" spans="1:15" ht="18" customHeight="1" x14ac:dyDescent="0.3">
      <c r="A2942" s="29">
        <v>2941</v>
      </c>
      <c r="B2942" s="15" t="s">
        <v>127</v>
      </c>
      <c r="C2942" s="15" t="s">
        <v>128</v>
      </c>
      <c r="D2942" s="69">
        <v>212</v>
      </c>
      <c r="E2942" s="68" t="s">
        <v>281</v>
      </c>
      <c r="F2942" s="16" t="s">
        <v>823</v>
      </c>
      <c r="G2942" s="15" t="s">
        <v>154</v>
      </c>
      <c r="H2942" s="15" t="s">
        <v>904</v>
      </c>
      <c r="I2942" s="69">
        <v>95</v>
      </c>
      <c r="J2942" s="15" t="s">
        <v>2672</v>
      </c>
      <c r="K2942" s="15" t="s">
        <v>903</v>
      </c>
      <c r="L2942" s="15" t="s">
        <v>2673</v>
      </c>
      <c r="M2942" s="15" t="s">
        <v>2672</v>
      </c>
      <c r="N2942" s="15" t="s">
        <v>2673</v>
      </c>
      <c r="O2942" s="15"/>
    </row>
    <row r="2943" spans="1:15" ht="18" customHeight="1" x14ac:dyDescent="0.3">
      <c r="A2943" s="29">
        <v>2942</v>
      </c>
      <c r="B2943" s="15" t="s">
        <v>127</v>
      </c>
      <c r="C2943" s="15" t="s">
        <v>128</v>
      </c>
      <c r="D2943" s="69">
        <v>212</v>
      </c>
      <c r="E2943" s="68" t="s">
        <v>281</v>
      </c>
      <c r="F2943" s="16" t="s">
        <v>823</v>
      </c>
      <c r="G2943" s="15" t="s">
        <v>154</v>
      </c>
      <c r="H2943" s="15" t="s">
        <v>905</v>
      </c>
      <c r="I2943" s="69">
        <v>95</v>
      </c>
      <c r="J2943" s="15" t="s">
        <v>2672</v>
      </c>
      <c r="K2943" s="15" t="s">
        <v>903</v>
      </c>
      <c r="L2943" s="15" t="s">
        <v>2673</v>
      </c>
      <c r="M2943" s="15" t="s">
        <v>2672</v>
      </c>
      <c r="N2943" s="15" t="s">
        <v>2673</v>
      </c>
      <c r="O2943" s="15"/>
    </row>
    <row r="2944" spans="1:15" ht="18" customHeight="1" x14ac:dyDescent="0.3">
      <c r="A2944" s="29">
        <v>2943</v>
      </c>
      <c r="B2944" s="15" t="s">
        <v>127</v>
      </c>
      <c r="C2944" s="15" t="s">
        <v>128</v>
      </c>
      <c r="D2944" s="69">
        <v>212</v>
      </c>
      <c r="E2944" s="68" t="s">
        <v>281</v>
      </c>
      <c r="F2944" s="16" t="s">
        <v>823</v>
      </c>
      <c r="G2944" s="15" t="s">
        <v>154</v>
      </c>
      <c r="H2944" s="15" t="s">
        <v>906</v>
      </c>
      <c r="I2944" s="69">
        <v>130</v>
      </c>
      <c r="J2944" s="15" t="s">
        <v>2672</v>
      </c>
      <c r="K2944" s="15" t="s">
        <v>903</v>
      </c>
      <c r="L2944" s="15" t="s">
        <v>2673</v>
      </c>
      <c r="M2944" s="15" t="s">
        <v>2672</v>
      </c>
      <c r="N2944" s="15" t="s">
        <v>2673</v>
      </c>
      <c r="O2944" s="15"/>
    </row>
    <row r="2945" spans="1:15" ht="18" customHeight="1" x14ac:dyDescent="0.3">
      <c r="A2945" s="29">
        <v>2944</v>
      </c>
      <c r="B2945" s="15" t="s">
        <v>127</v>
      </c>
      <c r="C2945" s="15" t="s">
        <v>128</v>
      </c>
      <c r="D2945" s="69">
        <v>212</v>
      </c>
      <c r="E2945" s="68" t="s">
        <v>281</v>
      </c>
      <c r="F2945" s="16" t="s">
        <v>823</v>
      </c>
      <c r="G2945" s="15" t="s">
        <v>154</v>
      </c>
      <c r="H2945" s="15" t="s">
        <v>907</v>
      </c>
      <c r="I2945" s="69">
        <v>130</v>
      </c>
      <c r="J2945" s="15" t="s">
        <v>2672</v>
      </c>
      <c r="K2945" s="15" t="s">
        <v>903</v>
      </c>
      <c r="L2945" s="15" t="s">
        <v>2673</v>
      </c>
      <c r="M2945" s="15" t="s">
        <v>2672</v>
      </c>
      <c r="N2945" s="15" t="s">
        <v>2673</v>
      </c>
      <c r="O2945" s="15"/>
    </row>
    <row r="2946" spans="1:15" ht="18" customHeight="1" x14ac:dyDescent="0.3">
      <c r="A2946" s="29">
        <v>2945</v>
      </c>
      <c r="B2946" s="15" t="s">
        <v>127</v>
      </c>
      <c r="C2946" s="15" t="s">
        <v>128</v>
      </c>
      <c r="D2946" s="69">
        <v>212</v>
      </c>
      <c r="E2946" s="68" t="s">
        <v>281</v>
      </c>
      <c r="F2946" s="16" t="s">
        <v>823</v>
      </c>
      <c r="G2946" s="15" t="s">
        <v>154</v>
      </c>
      <c r="H2946" s="15" t="s">
        <v>908</v>
      </c>
      <c r="I2946" s="69">
        <v>83</v>
      </c>
      <c r="J2946" s="15" t="s">
        <v>2672</v>
      </c>
      <c r="K2946" s="15" t="s">
        <v>903</v>
      </c>
      <c r="L2946" s="15" t="s">
        <v>2673</v>
      </c>
      <c r="M2946" s="15" t="s">
        <v>2672</v>
      </c>
      <c r="N2946" s="15" t="s">
        <v>2673</v>
      </c>
      <c r="O2946" s="15"/>
    </row>
    <row r="2947" spans="1:15" ht="18" customHeight="1" x14ac:dyDescent="0.3">
      <c r="A2947" s="29">
        <v>2946</v>
      </c>
      <c r="B2947" s="15" t="s">
        <v>127</v>
      </c>
      <c r="C2947" s="15" t="s">
        <v>128</v>
      </c>
      <c r="D2947" s="69">
        <v>212</v>
      </c>
      <c r="E2947" s="68" t="s">
        <v>2497</v>
      </c>
      <c r="F2947" s="16" t="s">
        <v>2498</v>
      </c>
      <c r="G2947" s="15" t="s">
        <v>1538</v>
      </c>
      <c r="H2947" s="15" t="s">
        <v>2937</v>
      </c>
      <c r="I2947" s="69">
        <v>125</v>
      </c>
      <c r="J2947" s="15" t="s">
        <v>2672</v>
      </c>
      <c r="K2947" s="15" t="s">
        <v>2674</v>
      </c>
      <c r="L2947" s="15" t="s">
        <v>1703</v>
      </c>
      <c r="M2947" s="15" t="s">
        <v>2672</v>
      </c>
      <c r="N2947" s="15" t="s">
        <v>2673</v>
      </c>
      <c r="O2947" s="15"/>
    </row>
    <row r="2948" spans="1:15" ht="18" customHeight="1" x14ac:dyDescent="0.3">
      <c r="A2948" s="29">
        <v>2947</v>
      </c>
      <c r="B2948" s="15" t="s">
        <v>127</v>
      </c>
      <c r="C2948" s="15" t="s">
        <v>128</v>
      </c>
      <c r="D2948" s="69">
        <v>212</v>
      </c>
      <c r="E2948" s="68" t="s">
        <v>2497</v>
      </c>
      <c r="F2948" s="16" t="s">
        <v>2498</v>
      </c>
      <c r="G2948" s="15" t="s">
        <v>1538</v>
      </c>
      <c r="H2948" s="15" t="s">
        <v>2861</v>
      </c>
      <c r="I2948" s="69">
        <v>203</v>
      </c>
      <c r="J2948" s="15" t="s">
        <v>2672</v>
      </c>
      <c r="K2948" s="15" t="s">
        <v>2674</v>
      </c>
      <c r="L2948" s="15" t="s">
        <v>1703</v>
      </c>
      <c r="M2948" s="15" t="s">
        <v>2672</v>
      </c>
      <c r="N2948" s="15" t="s">
        <v>2673</v>
      </c>
      <c r="O2948" s="15"/>
    </row>
    <row r="2949" spans="1:15" ht="18" customHeight="1" x14ac:dyDescent="0.3">
      <c r="A2949" s="29">
        <v>2948</v>
      </c>
      <c r="B2949" s="15" t="s">
        <v>127</v>
      </c>
      <c r="C2949" s="15" t="s">
        <v>128</v>
      </c>
      <c r="D2949" s="69">
        <v>212</v>
      </c>
      <c r="E2949" s="68" t="s">
        <v>2497</v>
      </c>
      <c r="F2949" s="16" t="s">
        <v>2498</v>
      </c>
      <c r="G2949" s="15" t="s">
        <v>1538</v>
      </c>
      <c r="H2949" s="15" t="s">
        <v>2763</v>
      </c>
      <c r="I2949" s="69">
        <v>210</v>
      </c>
      <c r="J2949" s="15" t="s">
        <v>2672</v>
      </c>
      <c r="K2949" s="15" t="s">
        <v>2674</v>
      </c>
      <c r="L2949" s="15" t="s">
        <v>3210</v>
      </c>
      <c r="M2949" s="15" t="s">
        <v>2672</v>
      </c>
      <c r="N2949" s="15" t="s">
        <v>2673</v>
      </c>
      <c r="O2949" s="15"/>
    </row>
    <row r="2950" spans="1:15" ht="18" customHeight="1" x14ac:dyDescent="0.3">
      <c r="A2950" s="29">
        <v>2949</v>
      </c>
      <c r="B2950" s="15" t="s">
        <v>127</v>
      </c>
      <c r="C2950" s="15" t="s">
        <v>128</v>
      </c>
      <c r="D2950" s="69">
        <v>212</v>
      </c>
      <c r="E2950" s="68" t="s">
        <v>2497</v>
      </c>
      <c r="F2950" s="16" t="s">
        <v>2498</v>
      </c>
      <c r="G2950" s="15" t="s">
        <v>1538</v>
      </c>
      <c r="H2950" s="15" t="s">
        <v>3015</v>
      </c>
      <c r="I2950" s="69">
        <v>84</v>
      </c>
      <c r="J2950" s="15" t="s">
        <v>2672</v>
      </c>
      <c r="K2950" s="15" t="s">
        <v>2674</v>
      </c>
      <c r="L2950" s="15" t="s">
        <v>1703</v>
      </c>
      <c r="M2950" s="15" t="s">
        <v>2672</v>
      </c>
      <c r="N2950" s="15" t="s">
        <v>2673</v>
      </c>
      <c r="O2950" s="15"/>
    </row>
    <row r="2951" spans="1:15" ht="18" customHeight="1" x14ac:dyDescent="0.3">
      <c r="A2951" s="29">
        <v>2950</v>
      </c>
      <c r="B2951" s="15" t="s">
        <v>127</v>
      </c>
      <c r="C2951" s="15" t="s">
        <v>128</v>
      </c>
      <c r="D2951" s="69">
        <v>212</v>
      </c>
      <c r="E2951" s="68" t="s">
        <v>2497</v>
      </c>
      <c r="F2951" s="16" t="s">
        <v>2498</v>
      </c>
      <c r="G2951" s="15" t="s">
        <v>1538</v>
      </c>
      <c r="H2951" s="15" t="s">
        <v>2940</v>
      </c>
      <c r="I2951" s="69">
        <v>82</v>
      </c>
      <c r="J2951" s="15" t="s">
        <v>2672</v>
      </c>
      <c r="K2951" s="15" t="s">
        <v>2674</v>
      </c>
      <c r="L2951" s="15" t="s">
        <v>1703</v>
      </c>
      <c r="M2951" s="15" t="s">
        <v>2672</v>
      </c>
      <c r="N2951" s="15" t="s">
        <v>2673</v>
      </c>
      <c r="O2951" s="15"/>
    </row>
    <row r="2952" spans="1:15" ht="18" customHeight="1" x14ac:dyDescent="0.3">
      <c r="A2952" s="29">
        <v>2951</v>
      </c>
      <c r="B2952" s="15" t="s">
        <v>127</v>
      </c>
      <c r="C2952" s="15" t="s">
        <v>128</v>
      </c>
      <c r="D2952" s="69">
        <v>212</v>
      </c>
      <c r="E2952" s="68" t="s">
        <v>2497</v>
      </c>
      <c r="F2952" s="16" t="s">
        <v>2498</v>
      </c>
      <c r="G2952" s="15" t="s">
        <v>1538</v>
      </c>
      <c r="H2952" s="15" t="s">
        <v>2941</v>
      </c>
      <c r="I2952" s="69">
        <v>82</v>
      </c>
      <c r="J2952" s="15" t="s">
        <v>2672</v>
      </c>
      <c r="K2952" s="15" t="s">
        <v>2674</v>
      </c>
      <c r="L2952" s="15" t="s">
        <v>1703</v>
      </c>
      <c r="M2952" s="15" t="s">
        <v>2672</v>
      </c>
      <c r="N2952" s="15" t="s">
        <v>2673</v>
      </c>
      <c r="O2952" s="15"/>
    </row>
    <row r="2953" spans="1:15" ht="18" customHeight="1" x14ac:dyDescent="0.3">
      <c r="A2953" s="29">
        <v>2952</v>
      </c>
      <c r="B2953" s="15" t="s">
        <v>127</v>
      </c>
      <c r="C2953" s="15" t="s">
        <v>128</v>
      </c>
      <c r="D2953" s="69">
        <v>212</v>
      </c>
      <c r="E2953" s="68" t="s">
        <v>2497</v>
      </c>
      <c r="F2953" s="16" t="s">
        <v>2498</v>
      </c>
      <c r="G2953" s="15" t="s">
        <v>1538</v>
      </c>
      <c r="H2953" s="15" t="s">
        <v>2942</v>
      </c>
      <c r="I2953" s="69">
        <v>82</v>
      </c>
      <c r="J2953" s="15" t="s">
        <v>2672</v>
      </c>
      <c r="K2953" s="15" t="s">
        <v>2674</v>
      </c>
      <c r="L2953" s="15" t="s">
        <v>1703</v>
      </c>
      <c r="M2953" s="15" t="s">
        <v>2672</v>
      </c>
      <c r="N2953" s="15" t="s">
        <v>2673</v>
      </c>
      <c r="O2953" s="15"/>
    </row>
    <row r="2954" spans="1:15" ht="18" customHeight="1" x14ac:dyDescent="0.3">
      <c r="A2954" s="29">
        <v>2953</v>
      </c>
      <c r="B2954" s="15" t="s">
        <v>127</v>
      </c>
      <c r="C2954" s="15" t="s">
        <v>128</v>
      </c>
      <c r="D2954" s="69">
        <v>212</v>
      </c>
      <c r="E2954" s="63" t="s">
        <v>3016</v>
      </c>
      <c r="F2954" s="16" t="s">
        <v>2503</v>
      </c>
      <c r="G2954" s="15" t="s">
        <v>2673</v>
      </c>
      <c r="H2954" s="15" t="s">
        <v>2685</v>
      </c>
      <c r="I2954" s="69">
        <v>262</v>
      </c>
      <c r="J2954" s="15" t="s">
        <v>2672</v>
      </c>
      <c r="K2954" s="15" t="s">
        <v>903</v>
      </c>
      <c r="L2954" s="15" t="s">
        <v>2673</v>
      </c>
      <c r="M2954" s="15" t="s">
        <v>2674</v>
      </c>
      <c r="N2954" s="15" t="s">
        <v>1508</v>
      </c>
      <c r="O2954" s="15"/>
    </row>
    <row r="2955" spans="1:15" ht="18" customHeight="1" x14ac:dyDescent="0.3">
      <c r="A2955" s="29">
        <v>2954</v>
      </c>
      <c r="B2955" s="15" t="s">
        <v>127</v>
      </c>
      <c r="C2955" s="15" t="s">
        <v>128</v>
      </c>
      <c r="D2955" s="69">
        <v>212</v>
      </c>
      <c r="E2955" s="68" t="s">
        <v>3405</v>
      </c>
      <c r="F2955" s="24" t="s">
        <v>820</v>
      </c>
      <c r="G2955" s="15" t="s">
        <v>164</v>
      </c>
      <c r="H2955" s="15" t="s">
        <v>901</v>
      </c>
      <c r="I2955" s="69">
        <v>123</v>
      </c>
      <c r="J2955" s="15" t="s">
        <v>2674</v>
      </c>
      <c r="K2955" s="15" t="s">
        <v>903</v>
      </c>
      <c r="L2955" s="15" t="s">
        <v>2673</v>
      </c>
      <c r="M2955" s="15" t="s">
        <v>2672</v>
      </c>
      <c r="N2955" s="15" t="s">
        <v>2673</v>
      </c>
      <c r="O2955" s="15"/>
    </row>
    <row r="2956" spans="1:15" ht="18" customHeight="1" x14ac:dyDescent="0.3">
      <c r="A2956" s="29">
        <v>2955</v>
      </c>
      <c r="B2956" s="15" t="s">
        <v>127</v>
      </c>
      <c r="C2956" s="15" t="s">
        <v>128</v>
      </c>
      <c r="D2956" s="69">
        <v>212</v>
      </c>
      <c r="E2956" s="68" t="s">
        <v>3405</v>
      </c>
      <c r="F2956" s="24" t="s">
        <v>820</v>
      </c>
      <c r="G2956" s="15" t="s">
        <v>164</v>
      </c>
      <c r="H2956" s="15" t="s">
        <v>904</v>
      </c>
      <c r="I2956" s="69">
        <v>70</v>
      </c>
      <c r="J2956" s="15" t="s">
        <v>2674</v>
      </c>
      <c r="K2956" s="15" t="s">
        <v>903</v>
      </c>
      <c r="L2956" s="15" t="s">
        <v>2673</v>
      </c>
      <c r="M2956" s="15" t="s">
        <v>2672</v>
      </c>
      <c r="N2956" s="15" t="s">
        <v>2673</v>
      </c>
      <c r="O2956" s="15"/>
    </row>
    <row r="2957" spans="1:15" ht="18" customHeight="1" x14ac:dyDescent="0.3">
      <c r="A2957" s="29">
        <v>2956</v>
      </c>
      <c r="B2957" s="15" t="s">
        <v>127</v>
      </c>
      <c r="C2957" s="15" t="s">
        <v>128</v>
      </c>
      <c r="D2957" s="69">
        <v>212</v>
      </c>
      <c r="E2957" s="68" t="s">
        <v>3405</v>
      </c>
      <c r="F2957" s="24" t="s">
        <v>820</v>
      </c>
      <c r="G2957" s="15" t="s">
        <v>164</v>
      </c>
      <c r="H2957" s="15" t="s">
        <v>905</v>
      </c>
      <c r="I2957" s="69">
        <v>100</v>
      </c>
      <c r="J2957" s="15" t="s">
        <v>2672</v>
      </c>
      <c r="K2957" s="15" t="s">
        <v>903</v>
      </c>
      <c r="L2957" s="15" t="s">
        <v>2673</v>
      </c>
      <c r="M2957" s="15" t="s">
        <v>2672</v>
      </c>
      <c r="N2957" s="15" t="s">
        <v>2673</v>
      </c>
      <c r="O2957" s="15"/>
    </row>
    <row r="2958" spans="1:15" ht="18" customHeight="1" x14ac:dyDescent="0.3">
      <c r="A2958" s="29">
        <v>2957</v>
      </c>
      <c r="B2958" s="15" t="s">
        <v>127</v>
      </c>
      <c r="C2958" s="15" t="s">
        <v>128</v>
      </c>
      <c r="D2958" s="69">
        <v>212</v>
      </c>
      <c r="E2958" s="68" t="s">
        <v>3405</v>
      </c>
      <c r="F2958" s="24" t="s">
        <v>820</v>
      </c>
      <c r="G2958" s="15" t="s">
        <v>164</v>
      </c>
      <c r="H2958" s="15" t="s">
        <v>907</v>
      </c>
      <c r="I2958" s="69">
        <v>221</v>
      </c>
      <c r="J2958" s="15" t="s">
        <v>2672</v>
      </c>
      <c r="K2958" s="15" t="s">
        <v>903</v>
      </c>
      <c r="L2958" s="15" t="s">
        <v>2673</v>
      </c>
      <c r="M2958" s="15" t="s">
        <v>2672</v>
      </c>
      <c r="N2958" s="15" t="s">
        <v>2673</v>
      </c>
      <c r="O2958" s="15"/>
    </row>
    <row r="2959" spans="1:15" ht="18" customHeight="1" x14ac:dyDescent="0.3">
      <c r="A2959" s="29">
        <v>2958</v>
      </c>
      <c r="B2959" s="15" t="s">
        <v>127</v>
      </c>
      <c r="C2959" s="15" t="s">
        <v>128</v>
      </c>
      <c r="D2959" s="69">
        <v>212</v>
      </c>
      <c r="E2959" s="68" t="s">
        <v>3405</v>
      </c>
      <c r="F2959" s="24" t="s">
        <v>820</v>
      </c>
      <c r="G2959" s="15" t="s">
        <v>164</v>
      </c>
      <c r="H2959" s="15" t="s">
        <v>908</v>
      </c>
      <c r="I2959" s="69">
        <v>138</v>
      </c>
      <c r="J2959" s="15" t="s">
        <v>2672</v>
      </c>
      <c r="K2959" s="15" t="s">
        <v>903</v>
      </c>
      <c r="L2959" s="15" t="s">
        <v>2673</v>
      </c>
      <c r="M2959" s="15" t="s">
        <v>2672</v>
      </c>
      <c r="N2959" s="15" t="s">
        <v>2673</v>
      </c>
      <c r="O2959" s="15"/>
    </row>
    <row r="2960" spans="1:15" ht="18" customHeight="1" x14ac:dyDescent="0.3">
      <c r="A2960" s="29">
        <v>2959</v>
      </c>
      <c r="B2960" s="15" t="s">
        <v>127</v>
      </c>
      <c r="C2960" s="15" t="s">
        <v>128</v>
      </c>
      <c r="D2960" s="69">
        <v>212</v>
      </c>
      <c r="E2960" s="68" t="s">
        <v>3405</v>
      </c>
      <c r="F2960" s="24" t="s">
        <v>820</v>
      </c>
      <c r="G2960" s="15" t="s">
        <v>164</v>
      </c>
      <c r="H2960" s="15" t="s">
        <v>909</v>
      </c>
      <c r="I2960" s="69">
        <v>185</v>
      </c>
      <c r="J2960" s="15" t="s">
        <v>2672</v>
      </c>
      <c r="K2960" s="15" t="s">
        <v>903</v>
      </c>
      <c r="L2960" s="15" t="s">
        <v>2673</v>
      </c>
      <c r="M2960" s="15" t="s">
        <v>2672</v>
      </c>
      <c r="N2960" s="15" t="s">
        <v>2673</v>
      </c>
      <c r="O2960" s="15"/>
    </row>
    <row r="2961" spans="1:15" ht="18" customHeight="1" x14ac:dyDescent="0.3">
      <c r="A2961" s="29">
        <v>2960</v>
      </c>
      <c r="B2961" s="15" t="s">
        <v>127</v>
      </c>
      <c r="C2961" s="15" t="s">
        <v>128</v>
      </c>
      <c r="D2961" s="69">
        <v>212</v>
      </c>
      <c r="E2961" s="68" t="s">
        <v>3405</v>
      </c>
      <c r="F2961" s="24" t="s">
        <v>820</v>
      </c>
      <c r="G2961" s="15" t="s">
        <v>164</v>
      </c>
      <c r="H2961" s="15" t="s">
        <v>910</v>
      </c>
      <c r="I2961" s="69">
        <v>70</v>
      </c>
      <c r="J2961" s="15" t="s">
        <v>2672</v>
      </c>
      <c r="K2961" s="15" t="s">
        <v>903</v>
      </c>
      <c r="L2961" s="15" t="s">
        <v>2673</v>
      </c>
      <c r="M2961" s="15" t="s">
        <v>2672</v>
      </c>
      <c r="N2961" s="15" t="s">
        <v>2673</v>
      </c>
      <c r="O2961" s="15"/>
    </row>
    <row r="2962" spans="1:15" ht="18" customHeight="1" x14ac:dyDescent="0.3">
      <c r="A2962" s="29">
        <v>2961</v>
      </c>
      <c r="B2962" s="15" t="s">
        <v>127</v>
      </c>
      <c r="C2962" s="15" t="s">
        <v>128</v>
      </c>
      <c r="D2962" s="69">
        <v>212</v>
      </c>
      <c r="E2962" s="68" t="s">
        <v>3405</v>
      </c>
      <c r="F2962" s="24" t="s">
        <v>820</v>
      </c>
      <c r="G2962" s="15" t="s">
        <v>164</v>
      </c>
      <c r="H2962" s="15" t="s">
        <v>911</v>
      </c>
      <c r="I2962" s="69">
        <v>100</v>
      </c>
      <c r="J2962" s="15" t="s">
        <v>2672</v>
      </c>
      <c r="K2962" s="15" t="s">
        <v>903</v>
      </c>
      <c r="L2962" s="15" t="s">
        <v>2673</v>
      </c>
      <c r="M2962" s="15" t="s">
        <v>2672</v>
      </c>
      <c r="N2962" s="15" t="s">
        <v>2673</v>
      </c>
      <c r="O2962" s="15"/>
    </row>
    <row r="2963" spans="1:15" ht="18" customHeight="1" x14ac:dyDescent="0.3">
      <c r="A2963" s="29">
        <v>2962</v>
      </c>
      <c r="B2963" s="15" t="s">
        <v>127</v>
      </c>
      <c r="C2963" s="15" t="s">
        <v>128</v>
      </c>
      <c r="D2963" s="69">
        <v>212</v>
      </c>
      <c r="E2963" s="68" t="s">
        <v>274</v>
      </c>
      <c r="F2963" s="21" t="s">
        <v>822</v>
      </c>
      <c r="G2963" s="15" t="s">
        <v>164</v>
      </c>
      <c r="H2963" s="15" t="s">
        <v>901</v>
      </c>
      <c r="I2963" s="69">
        <v>91</v>
      </c>
      <c r="J2963" s="13" t="s">
        <v>2672</v>
      </c>
      <c r="K2963" s="15" t="s">
        <v>902</v>
      </c>
      <c r="L2963" s="15" t="s">
        <v>943</v>
      </c>
      <c r="M2963" s="15" t="s">
        <v>2672</v>
      </c>
      <c r="N2963" s="15" t="s">
        <v>2673</v>
      </c>
      <c r="O2963" s="15"/>
    </row>
    <row r="2964" spans="1:15" ht="18" customHeight="1" x14ac:dyDescent="0.3">
      <c r="A2964" s="29">
        <v>2963</v>
      </c>
      <c r="B2964" s="15" t="s">
        <v>127</v>
      </c>
      <c r="C2964" s="15" t="s">
        <v>128</v>
      </c>
      <c r="D2964" s="69">
        <v>212</v>
      </c>
      <c r="E2964" s="68" t="s">
        <v>274</v>
      </c>
      <c r="F2964" s="21" t="s">
        <v>822</v>
      </c>
      <c r="G2964" s="15" t="s">
        <v>164</v>
      </c>
      <c r="H2964" s="15" t="s">
        <v>904</v>
      </c>
      <c r="I2964" s="69">
        <v>72</v>
      </c>
      <c r="J2964" s="13" t="s">
        <v>2672</v>
      </c>
      <c r="K2964" s="15" t="s">
        <v>902</v>
      </c>
      <c r="L2964" s="15" t="s">
        <v>943</v>
      </c>
      <c r="M2964" s="15" t="s">
        <v>2672</v>
      </c>
      <c r="N2964" s="15" t="s">
        <v>2673</v>
      </c>
      <c r="O2964" s="15"/>
    </row>
    <row r="2965" spans="1:15" ht="18" customHeight="1" x14ac:dyDescent="0.3">
      <c r="A2965" s="29">
        <v>2964</v>
      </c>
      <c r="B2965" s="15" t="s">
        <v>127</v>
      </c>
      <c r="C2965" s="15" t="s">
        <v>128</v>
      </c>
      <c r="D2965" s="69">
        <v>212</v>
      </c>
      <c r="E2965" s="68" t="s">
        <v>274</v>
      </c>
      <c r="F2965" s="21" t="s">
        <v>822</v>
      </c>
      <c r="G2965" s="15" t="s">
        <v>164</v>
      </c>
      <c r="H2965" s="15" t="s">
        <v>905</v>
      </c>
      <c r="I2965" s="69">
        <v>82</v>
      </c>
      <c r="J2965" s="13" t="s">
        <v>2672</v>
      </c>
      <c r="K2965" s="15" t="s">
        <v>902</v>
      </c>
      <c r="L2965" s="15" t="s">
        <v>943</v>
      </c>
      <c r="M2965" s="15" t="s">
        <v>2672</v>
      </c>
      <c r="N2965" s="15" t="s">
        <v>2673</v>
      </c>
      <c r="O2965" s="15"/>
    </row>
    <row r="2966" spans="1:15" ht="18" customHeight="1" x14ac:dyDescent="0.3">
      <c r="A2966" s="29">
        <v>2965</v>
      </c>
      <c r="B2966" s="15" t="s">
        <v>127</v>
      </c>
      <c r="C2966" s="15" t="s">
        <v>128</v>
      </c>
      <c r="D2966" s="69">
        <v>212</v>
      </c>
      <c r="E2966" s="68" t="s">
        <v>274</v>
      </c>
      <c r="F2966" s="21" t="s">
        <v>822</v>
      </c>
      <c r="G2966" s="15" t="s">
        <v>164</v>
      </c>
      <c r="H2966" s="15" t="s">
        <v>906</v>
      </c>
      <c r="I2966" s="69">
        <v>89</v>
      </c>
      <c r="J2966" s="13" t="s">
        <v>2672</v>
      </c>
      <c r="K2966" s="15" t="s">
        <v>902</v>
      </c>
      <c r="L2966" s="15" t="s">
        <v>943</v>
      </c>
      <c r="M2966" s="15" t="s">
        <v>2672</v>
      </c>
      <c r="N2966" s="15" t="s">
        <v>2673</v>
      </c>
      <c r="O2966" s="15"/>
    </row>
    <row r="2967" spans="1:15" ht="18" customHeight="1" x14ac:dyDescent="0.3">
      <c r="A2967" s="29">
        <v>2966</v>
      </c>
      <c r="B2967" s="15" t="s">
        <v>127</v>
      </c>
      <c r="C2967" s="15" t="s">
        <v>128</v>
      </c>
      <c r="D2967" s="69">
        <v>212</v>
      </c>
      <c r="E2967" s="68" t="s">
        <v>274</v>
      </c>
      <c r="F2967" s="21" t="s">
        <v>822</v>
      </c>
      <c r="G2967" s="15" t="s">
        <v>164</v>
      </c>
      <c r="H2967" s="15" t="s">
        <v>907</v>
      </c>
      <c r="I2967" s="69">
        <v>71</v>
      </c>
      <c r="J2967" s="13" t="s">
        <v>2672</v>
      </c>
      <c r="K2967" s="15" t="s">
        <v>902</v>
      </c>
      <c r="L2967" s="15" t="s">
        <v>943</v>
      </c>
      <c r="M2967" s="15" t="s">
        <v>2672</v>
      </c>
      <c r="N2967" s="15" t="s">
        <v>2673</v>
      </c>
      <c r="O2967" s="15"/>
    </row>
    <row r="2968" spans="1:15" ht="18" customHeight="1" x14ac:dyDescent="0.3">
      <c r="A2968" s="29">
        <v>2967</v>
      </c>
      <c r="B2968" s="15" t="s">
        <v>127</v>
      </c>
      <c r="C2968" s="15" t="s">
        <v>128</v>
      </c>
      <c r="D2968" s="69">
        <v>212</v>
      </c>
      <c r="E2968" s="68" t="s">
        <v>274</v>
      </c>
      <c r="F2968" s="21" t="s">
        <v>822</v>
      </c>
      <c r="G2968" s="15" t="s">
        <v>164</v>
      </c>
      <c r="H2968" s="15" t="s">
        <v>908</v>
      </c>
      <c r="I2968" s="69">
        <v>98</v>
      </c>
      <c r="J2968" s="13" t="s">
        <v>2672</v>
      </c>
      <c r="K2968" s="15" t="s">
        <v>902</v>
      </c>
      <c r="L2968" s="15" t="s">
        <v>943</v>
      </c>
      <c r="M2968" s="15" t="s">
        <v>2672</v>
      </c>
      <c r="N2968" s="15" t="s">
        <v>2673</v>
      </c>
      <c r="O2968" s="15"/>
    </row>
    <row r="2969" spans="1:15" ht="18" customHeight="1" x14ac:dyDescent="0.3">
      <c r="A2969" s="29">
        <v>2968</v>
      </c>
      <c r="B2969" s="15" t="s">
        <v>127</v>
      </c>
      <c r="C2969" s="15" t="s">
        <v>128</v>
      </c>
      <c r="D2969" s="69">
        <v>212</v>
      </c>
      <c r="E2969" s="68" t="s">
        <v>274</v>
      </c>
      <c r="F2969" s="21" t="s">
        <v>822</v>
      </c>
      <c r="G2969" s="15" t="s">
        <v>164</v>
      </c>
      <c r="H2969" s="15" t="s">
        <v>909</v>
      </c>
      <c r="I2969" s="69">
        <v>93</v>
      </c>
      <c r="J2969" s="13" t="s">
        <v>2672</v>
      </c>
      <c r="K2969" s="15" t="s">
        <v>902</v>
      </c>
      <c r="L2969" s="15" t="s">
        <v>943</v>
      </c>
      <c r="M2969" s="15" t="s">
        <v>2672</v>
      </c>
      <c r="N2969" s="15" t="s">
        <v>2673</v>
      </c>
      <c r="O2969" s="15"/>
    </row>
    <row r="2970" spans="1:15" ht="18" customHeight="1" x14ac:dyDescent="0.3">
      <c r="A2970" s="29">
        <v>2969</v>
      </c>
      <c r="B2970" s="15" t="s">
        <v>127</v>
      </c>
      <c r="C2970" s="15" t="s">
        <v>128</v>
      </c>
      <c r="D2970" s="69">
        <v>212</v>
      </c>
      <c r="E2970" s="68" t="s">
        <v>274</v>
      </c>
      <c r="F2970" s="21" t="s">
        <v>822</v>
      </c>
      <c r="G2970" s="15" t="s">
        <v>164</v>
      </c>
      <c r="H2970" s="15" t="s">
        <v>910</v>
      </c>
      <c r="I2970" s="69">
        <v>116</v>
      </c>
      <c r="J2970" s="13" t="s">
        <v>2672</v>
      </c>
      <c r="K2970" s="15" t="s">
        <v>902</v>
      </c>
      <c r="L2970" s="15" t="s">
        <v>943</v>
      </c>
      <c r="M2970" s="15" t="s">
        <v>2672</v>
      </c>
      <c r="N2970" s="15" t="s">
        <v>2673</v>
      </c>
      <c r="O2970" s="15"/>
    </row>
    <row r="2971" spans="1:15" ht="18" customHeight="1" x14ac:dyDescent="0.3">
      <c r="A2971" s="29">
        <v>2970</v>
      </c>
      <c r="B2971" s="15" t="s">
        <v>127</v>
      </c>
      <c r="C2971" s="15" t="s">
        <v>129</v>
      </c>
      <c r="D2971" s="69">
        <v>215</v>
      </c>
      <c r="E2971" s="68" t="s">
        <v>228</v>
      </c>
      <c r="F2971" s="14" t="s">
        <v>798</v>
      </c>
      <c r="G2971" s="15" t="s">
        <v>164</v>
      </c>
      <c r="H2971" s="15" t="s">
        <v>901</v>
      </c>
      <c r="I2971" s="69">
        <v>136</v>
      </c>
      <c r="J2971" s="13" t="s">
        <v>2672</v>
      </c>
      <c r="K2971" s="15" t="s">
        <v>903</v>
      </c>
      <c r="L2971" s="15" t="s">
        <v>2673</v>
      </c>
      <c r="M2971" s="15" t="s">
        <v>2672</v>
      </c>
      <c r="N2971" s="15" t="s">
        <v>2673</v>
      </c>
      <c r="O2971" s="15"/>
    </row>
    <row r="2972" spans="1:15" ht="18" customHeight="1" x14ac:dyDescent="0.3">
      <c r="A2972" s="29">
        <v>2971</v>
      </c>
      <c r="B2972" s="15" t="s">
        <v>127</v>
      </c>
      <c r="C2972" s="15" t="s">
        <v>129</v>
      </c>
      <c r="D2972" s="69">
        <v>215</v>
      </c>
      <c r="E2972" s="68" t="s">
        <v>228</v>
      </c>
      <c r="F2972" s="14" t="s">
        <v>798</v>
      </c>
      <c r="G2972" s="15" t="s">
        <v>164</v>
      </c>
      <c r="H2972" s="15" t="s">
        <v>904</v>
      </c>
      <c r="I2972" s="69">
        <v>143</v>
      </c>
      <c r="J2972" s="13" t="s">
        <v>2674</v>
      </c>
      <c r="K2972" s="15" t="s">
        <v>903</v>
      </c>
      <c r="L2972" s="15" t="s">
        <v>2673</v>
      </c>
      <c r="M2972" s="15" t="s">
        <v>2672</v>
      </c>
      <c r="N2972" s="15" t="s">
        <v>2673</v>
      </c>
      <c r="O2972" s="15"/>
    </row>
    <row r="2973" spans="1:15" ht="18" customHeight="1" x14ac:dyDescent="0.3">
      <c r="A2973" s="29">
        <v>2972</v>
      </c>
      <c r="B2973" s="15" t="s">
        <v>127</v>
      </c>
      <c r="C2973" s="15" t="s">
        <v>129</v>
      </c>
      <c r="D2973" s="69">
        <v>215</v>
      </c>
      <c r="E2973" s="68" t="s">
        <v>3017</v>
      </c>
      <c r="F2973" s="21" t="s">
        <v>800</v>
      </c>
      <c r="G2973" s="15" t="s">
        <v>154</v>
      </c>
      <c r="H2973" s="15" t="s">
        <v>901</v>
      </c>
      <c r="I2973" s="69">
        <v>201</v>
      </c>
      <c r="J2973" s="15" t="s">
        <v>2674</v>
      </c>
      <c r="K2973" s="15" t="s">
        <v>903</v>
      </c>
      <c r="L2973" s="15" t="s">
        <v>2673</v>
      </c>
      <c r="M2973" s="15" t="s">
        <v>2672</v>
      </c>
      <c r="N2973" s="15" t="s">
        <v>2673</v>
      </c>
      <c r="O2973" s="15"/>
    </row>
    <row r="2974" spans="1:15" ht="18" customHeight="1" x14ac:dyDescent="0.3">
      <c r="A2974" s="29">
        <v>2973</v>
      </c>
      <c r="B2974" s="15" t="s">
        <v>127</v>
      </c>
      <c r="C2974" s="15" t="s">
        <v>129</v>
      </c>
      <c r="D2974" s="69">
        <v>215</v>
      </c>
      <c r="E2974" s="68" t="s">
        <v>3017</v>
      </c>
      <c r="F2974" s="21" t="s">
        <v>800</v>
      </c>
      <c r="G2974" s="15" t="s">
        <v>154</v>
      </c>
      <c r="H2974" s="15" t="s">
        <v>904</v>
      </c>
      <c r="I2974" s="69">
        <v>144</v>
      </c>
      <c r="J2974" s="15" t="s">
        <v>2672</v>
      </c>
      <c r="K2974" s="15" t="s">
        <v>903</v>
      </c>
      <c r="L2974" s="15" t="s">
        <v>2673</v>
      </c>
      <c r="M2974" s="15" t="s">
        <v>2672</v>
      </c>
      <c r="N2974" s="15" t="s">
        <v>2673</v>
      </c>
      <c r="O2974" s="15"/>
    </row>
    <row r="2975" spans="1:15" ht="18" customHeight="1" x14ac:dyDescent="0.3">
      <c r="A2975" s="29">
        <v>2974</v>
      </c>
      <c r="B2975" s="15" t="s">
        <v>127</v>
      </c>
      <c r="C2975" s="15" t="s">
        <v>129</v>
      </c>
      <c r="D2975" s="69">
        <v>215</v>
      </c>
      <c r="E2975" s="68" t="s">
        <v>3017</v>
      </c>
      <c r="F2975" s="21" t="s">
        <v>800</v>
      </c>
      <c r="G2975" s="15" t="s">
        <v>154</v>
      </c>
      <c r="H2975" s="15" t="s">
        <v>905</v>
      </c>
      <c r="I2975" s="69">
        <v>131</v>
      </c>
      <c r="J2975" s="15" t="s">
        <v>2672</v>
      </c>
      <c r="K2975" s="15" t="s">
        <v>903</v>
      </c>
      <c r="L2975" s="15" t="s">
        <v>2673</v>
      </c>
      <c r="M2975" s="15" t="s">
        <v>2672</v>
      </c>
      <c r="N2975" s="15" t="s">
        <v>2673</v>
      </c>
      <c r="O2975" s="15"/>
    </row>
    <row r="2976" spans="1:15" ht="18" customHeight="1" x14ac:dyDescent="0.3">
      <c r="A2976" s="29">
        <v>2975</v>
      </c>
      <c r="B2976" s="15" t="s">
        <v>127</v>
      </c>
      <c r="C2976" s="15" t="s">
        <v>129</v>
      </c>
      <c r="D2976" s="69">
        <v>215</v>
      </c>
      <c r="E2976" s="68" t="s">
        <v>3017</v>
      </c>
      <c r="F2976" s="21" t="s">
        <v>800</v>
      </c>
      <c r="G2976" s="15" t="s">
        <v>154</v>
      </c>
      <c r="H2976" s="15" t="s">
        <v>906</v>
      </c>
      <c r="I2976" s="69">
        <v>95</v>
      </c>
      <c r="J2976" s="15" t="s">
        <v>2672</v>
      </c>
      <c r="K2976" s="15" t="s">
        <v>903</v>
      </c>
      <c r="L2976" s="15" t="s">
        <v>2673</v>
      </c>
      <c r="M2976" s="15" t="s">
        <v>2672</v>
      </c>
      <c r="N2976" s="15" t="s">
        <v>2673</v>
      </c>
      <c r="O2976" s="15"/>
    </row>
    <row r="2977" spans="1:15" ht="18" customHeight="1" x14ac:dyDescent="0.3">
      <c r="A2977" s="29">
        <v>2976</v>
      </c>
      <c r="B2977" s="15" t="s">
        <v>127</v>
      </c>
      <c r="C2977" s="15" t="s">
        <v>129</v>
      </c>
      <c r="D2977" s="69">
        <v>215</v>
      </c>
      <c r="E2977" s="68" t="s">
        <v>3017</v>
      </c>
      <c r="F2977" s="21" t="s">
        <v>800</v>
      </c>
      <c r="G2977" s="15" t="s">
        <v>154</v>
      </c>
      <c r="H2977" s="15" t="s">
        <v>907</v>
      </c>
      <c r="I2977" s="69">
        <v>98</v>
      </c>
      <c r="J2977" s="15" t="s">
        <v>2672</v>
      </c>
      <c r="K2977" s="15" t="s">
        <v>903</v>
      </c>
      <c r="L2977" s="15" t="s">
        <v>2673</v>
      </c>
      <c r="M2977" s="15" t="s">
        <v>2672</v>
      </c>
      <c r="N2977" s="15" t="s">
        <v>2673</v>
      </c>
      <c r="O2977" s="15"/>
    </row>
    <row r="2978" spans="1:15" ht="18" customHeight="1" x14ac:dyDescent="0.3">
      <c r="A2978" s="29">
        <v>2977</v>
      </c>
      <c r="B2978" s="15" t="s">
        <v>127</v>
      </c>
      <c r="C2978" s="15" t="s">
        <v>129</v>
      </c>
      <c r="D2978" s="69">
        <v>215</v>
      </c>
      <c r="E2978" s="68" t="s">
        <v>3017</v>
      </c>
      <c r="F2978" s="21" t="s">
        <v>800</v>
      </c>
      <c r="G2978" s="15" t="s">
        <v>154</v>
      </c>
      <c r="H2978" s="15" t="s">
        <v>908</v>
      </c>
      <c r="I2978" s="69">
        <v>98</v>
      </c>
      <c r="J2978" s="15" t="s">
        <v>2674</v>
      </c>
      <c r="K2978" s="15" t="s">
        <v>903</v>
      </c>
      <c r="L2978" s="15" t="s">
        <v>2673</v>
      </c>
      <c r="M2978" s="15" t="s">
        <v>2672</v>
      </c>
      <c r="N2978" s="15" t="s">
        <v>2673</v>
      </c>
      <c r="O2978" s="15"/>
    </row>
    <row r="2979" spans="1:15" ht="18" customHeight="1" x14ac:dyDescent="0.3">
      <c r="A2979" s="29">
        <v>2978</v>
      </c>
      <c r="B2979" s="15" t="s">
        <v>2508</v>
      </c>
      <c r="C2979" s="13" t="s">
        <v>2509</v>
      </c>
      <c r="D2979" s="13">
        <v>215</v>
      </c>
      <c r="E2979" s="21" t="s">
        <v>2510</v>
      </c>
      <c r="F2979" s="21" t="s">
        <v>2511</v>
      </c>
      <c r="G2979" s="15" t="s">
        <v>164</v>
      </c>
      <c r="H2979" s="15" t="s">
        <v>930</v>
      </c>
      <c r="I2979" s="69">
        <v>183</v>
      </c>
      <c r="J2979" s="15" t="s">
        <v>2672</v>
      </c>
      <c r="K2979" s="15" t="s">
        <v>903</v>
      </c>
      <c r="L2979" s="15" t="s">
        <v>2673</v>
      </c>
      <c r="M2979" s="15" t="s">
        <v>2672</v>
      </c>
      <c r="N2979" s="15"/>
      <c r="O2979" s="15"/>
    </row>
    <row r="2980" spans="1:15" ht="18" customHeight="1" x14ac:dyDescent="0.3">
      <c r="A2980" s="29">
        <v>2979</v>
      </c>
      <c r="B2980" s="15" t="s">
        <v>2508</v>
      </c>
      <c r="C2980" s="13" t="s">
        <v>2509</v>
      </c>
      <c r="D2980" s="13">
        <v>215</v>
      </c>
      <c r="E2980" s="21" t="s">
        <v>2510</v>
      </c>
      <c r="F2980" s="21" t="s">
        <v>2511</v>
      </c>
      <c r="G2980" s="15" t="s">
        <v>164</v>
      </c>
      <c r="H2980" s="15" t="s">
        <v>2861</v>
      </c>
      <c r="I2980" s="69">
        <v>50</v>
      </c>
      <c r="J2980" s="15" t="s">
        <v>2672</v>
      </c>
      <c r="K2980" s="15" t="s">
        <v>2674</v>
      </c>
      <c r="L2980" s="15" t="s">
        <v>1703</v>
      </c>
      <c r="M2980" s="15" t="s">
        <v>2672</v>
      </c>
      <c r="N2980" s="15"/>
      <c r="O2980" s="15"/>
    </row>
    <row r="2981" spans="1:15" ht="18" customHeight="1" x14ac:dyDescent="0.3">
      <c r="A2981" s="29">
        <v>2980</v>
      </c>
      <c r="B2981" s="15" t="s">
        <v>2508</v>
      </c>
      <c r="C2981" s="13" t="s">
        <v>2509</v>
      </c>
      <c r="D2981" s="13">
        <v>215</v>
      </c>
      <c r="E2981" s="21" t="s">
        <v>2510</v>
      </c>
      <c r="F2981" s="21" t="s">
        <v>2511</v>
      </c>
      <c r="G2981" s="15" t="s">
        <v>164</v>
      </c>
      <c r="H2981" s="15" t="s">
        <v>3007</v>
      </c>
      <c r="I2981" s="69">
        <v>126</v>
      </c>
      <c r="J2981" s="15" t="s">
        <v>2672</v>
      </c>
      <c r="K2981" s="15" t="s">
        <v>903</v>
      </c>
      <c r="L2981" s="15" t="s">
        <v>2673</v>
      </c>
      <c r="M2981" s="15" t="s">
        <v>2672</v>
      </c>
      <c r="N2981" s="15"/>
      <c r="O2981" s="15"/>
    </row>
    <row r="2982" spans="1:15" ht="18" customHeight="1" x14ac:dyDescent="0.3">
      <c r="A2982" s="29">
        <v>2981</v>
      </c>
      <c r="B2982" s="15" t="s">
        <v>127</v>
      </c>
      <c r="C2982" s="15" t="s">
        <v>129</v>
      </c>
      <c r="D2982" s="69">
        <v>215</v>
      </c>
      <c r="E2982" s="68" t="s">
        <v>2514</v>
      </c>
      <c r="F2982" s="51" t="s">
        <v>2515</v>
      </c>
      <c r="G2982" s="29" t="s">
        <v>1553</v>
      </c>
      <c r="H2982" s="15" t="s">
        <v>2685</v>
      </c>
      <c r="I2982" s="69">
        <v>218</v>
      </c>
      <c r="J2982" s="13" t="s">
        <v>2674</v>
      </c>
      <c r="K2982" s="15" t="s">
        <v>903</v>
      </c>
      <c r="L2982" s="15" t="s">
        <v>2673</v>
      </c>
      <c r="M2982" s="15" t="s">
        <v>2672</v>
      </c>
      <c r="N2982" s="15" t="s">
        <v>2673</v>
      </c>
      <c r="O2982" s="15"/>
    </row>
    <row r="2983" spans="1:15" ht="18" customHeight="1" x14ac:dyDescent="0.3">
      <c r="A2983" s="29">
        <v>2982</v>
      </c>
      <c r="B2983" s="15" t="s">
        <v>127</v>
      </c>
      <c r="C2983" s="15" t="s">
        <v>129</v>
      </c>
      <c r="D2983" s="69">
        <v>215</v>
      </c>
      <c r="E2983" s="68" t="s">
        <v>2514</v>
      </c>
      <c r="F2983" s="51" t="s">
        <v>2515</v>
      </c>
      <c r="G2983" s="29" t="s">
        <v>1553</v>
      </c>
      <c r="H2983" s="15" t="s">
        <v>2678</v>
      </c>
      <c r="I2983" s="69">
        <v>103</v>
      </c>
      <c r="J2983" s="13" t="s">
        <v>2672</v>
      </c>
      <c r="K2983" s="15" t="s">
        <v>2674</v>
      </c>
      <c r="L2983" s="15" t="s">
        <v>2525</v>
      </c>
      <c r="M2983" s="15" t="s">
        <v>2672</v>
      </c>
      <c r="N2983" s="15" t="s">
        <v>2673</v>
      </c>
      <c r="O2983" s="15"/>
    </row>
    <row r="2984" spans="1:15" ht="18" customHeight="1" x14ac:dyDescent="0.3">
      <c r="A2984" s="29">
        <v>2983</v>
      </c>
      <c r="B2984" s="15" t="s">
        <v>127</v>
      </c>
      <c r="C2984" s="15" t="s">
        <v>129</v>
      </c>
      <c r="D2984" s="69">
        <v>215</v>
      </c>
      <c r="E2984" s="68" t="s">
        <v>2514</v>
      </c>
      <c r="F2984" s="51" t="s">
        <v>2515</v>
      </c>
      <c r="G2984" s="29" t="s">
        <v>1553</v>
      </c>
      <c r="H2984" s="15" t="s">
        <v>2679</v>
      </c>
      <c r="I2984" s="69">
        <v>103</v>
      </c>
      <c r="J2984" s="13" t="s">
        <v>2672</v>
      </c>
      <c r="K2984" s="15" t="s">
        <v>2674</v>
      </c>
      <c r="L2984" s="15" t="s">
        <v>2525</v>
      </c>
      <c r="M2984" s="15" t="s">
        <v>2672</v>
      </c>
      <c r="N2984" s="15" t="s">
        <v>2673</v>
      </c>
      <c r="O2984" s="15"/>
    </row>
    <row r="2985" spans="1:15" ht="18" customHeight="1" x14ac:dyDescent="0.3">
      <c r="A2985" s="29">
        <v>2984</v>
      </c>
      <c r="B2985" s="15" t="s">
        <v>127</v>
      </c>
      <c r="C2985" s="15" t="s">
        <v>129</v>
      </c>
      <c r="D2985" s="69">
        <v>215</v>
      </c>
      <c r="E2985" s="68" t="s">
        <v>2514</v>
      </c>
      <c r="F2985" s="51" t="s">
        <v>2515</v>
      </c>
      <c r="G2985" s="29" t="s">
        <v>1553</v>
      </c>
      <c r="H2985" s="15" t="s">
        <v>2680</v>
      </c>
      <c r="I2985" s="69">
        <v>218</v>
      </c>
      <c r="J2985" s="13" t="s">
        <v>2672</v>
      </c>
      <c r="K2985" s="15" t="s">
        <v>903</v>
      </c>
      <c r="L2985" s="15" t="s">
        <v>2673</v>
      </c>
      <c r="M2985" s="15" t="s">
        <v>2672</v>
      </c>
      <c r="N2985" s="15" t="s">
        <v>2673</v>
      </c>
      <c r="O2985" s="15"/>
    </row>
    <row r="2986" spans="1:15" ht="18" customHeight="1" x14ac:dyDescent="0.3">
      <c r="A2986" s="29">
        <v>2985</v>
      </c>
      <c r="B2986" s="15" t="s">
        <v>127</v>
      </c>
      <c r="C2986" s="15" t="s">
        <v>129</v>
      </c>
      <c r="D2986" s="69">
        <v>215</v>
      </c>
      <c r="E2986" s="68" t="s">
        <v>2514</v>
      </c>
      <c r="F2986" s="51" t="s">
        <v>2515</v>
      </c>
      <c r="G2986" s="29" t="s">
        <v>1553</v>
      </c>
      <c r="H2986" s="15" t="s">
        <v>2690</v>
      </c>
      <c r="I2986" s="69">
        <v>103</v>
      </c>
      <c r="J2986" s="13" t="s">
        <v>2672</v>
      </c>
      <c r="K2986" s="15" t="s">
        <v>2674</v>
      </c>
      <c r="L2986" s="15" t="s">
        <v>2525</v>
      </c>
      <c r="M2986" s="15" t="s">
        <v>2672</v>
      </c>
      <c r="N2986" s="15" t="s">
        <v>2673</v>
      </c>
      <c r="O2986" s="15"/>
    </row>
    <row r="2987" spans="1:15" ht="18" customHeight="1" x14ac:dyDescent="0.3">
      <c r="A2987" s="29">
        <v>2986</v>
      </c>
      <c r="B2987" s="15" t="s">
        <v>127</v>
      </c>
      <c r="C2987" s="15" t="s">
        <v>129</v>
      </c>
      <c r="D2987" s="69">
        <v>215</v>
      </c>
      <c r="E2987" s="68" t="s">
        <v>2514</v>
      </c>
      <c r="F2987" s="51" t="s">
        <v>2515</v>
      </c>
      <c r="G2987" s="29" t="s">
        <v>1553</v>
      </c>
      <c r="H2987" s="15" t="s">
        <v>2682</v>
      </c>
      <c r="I2987" s="69">
        <v>103</v>
      </c>
      <c r="J2987" s="13" t="s">
        <v>2672</v>
      </c>
      <c r="K2987" s="15" t="s">
        <v>2674</v>
      </c>
      <c r="L2987" s="15" t="s">
        <v>2525</v>
      </c>
      <c r="M2987" s="15" t="s">
        <v>2672</v>
      </c>
      <c r="N2987" s="15" t="s">
        <v>2673</v>
      </c>
      <c r="O2987" s="15"/>
    </row>
    <row r="2988" spans="1:15" ht="18" customHeight="1" x14ac:dyDescent="0.3">
      <c r="A2988" s="29">
        <v>2987</v>
      </c>
      <c r="B2988" s="15" t="s">
        <v>127</v>
      </c>
      <c r="C2988" s="15" t="s">
        <v>130</v>
      </c>
      <c r="D2988" s="69">
        <v>216</v>
      </c>
      <c r="E2988" s="68" t="s">
        <v>924</v>
      </c>
      <c r="F2988" s="21" t="s">
        <v>811</v>
      </c>
      <c r="G2988" s="15" t="s">
        <v>164</v>
      </c>
      <c r="H2988" s="15" t="s">
        <v>901</v>
      </c>
      <c r="I2988" s="69">
        <v>196</v>
      </c>
      <c r="J2988" s="15" t="s">
        <v>2674</v>
      </c>
      <c r="K2988" s="15" t="s">
        <v>903</v>
      </c>
      <c r="L2988" s="15" t="s">
        <v>2673</v>
      </c>
      <c r="M2988" s="15" t="s">
        <v>2672</v>
      </c>
      <c r="N2988" s="15" t="s">
        <v>2673</v>
      </c>
      <c r="O2988" s="15"/>
    </row>
    <row r="2989" spans="1:15" ht="18" customHeight="1" x14ac:dyDescent="0.3">
      <c r="A2989" s="29">
        <v>2988</v>
      </c>
      <c r="B2989" s="15" t="s">
        <v>127</v>
      </c>
      <c r="C2989" s="15" t="s">
        <v>130</v>
      </c>
      <c r="D2989" s="69">
        <v>216</v>
      </c>
      <c r="E2989" s="68" t="s">
        <v>924</v>
      </c>
      <c r="F2989" s="21" t="s">
        <v>811</v>
      </c>
      <c r="G2989" s="15" t="s">
        <v>164</v>
      </c>
      <c r="H2989" s="15" t="s">
        <v>904</v>
      </c>
      <c r="I2989" s="69">
        <v>112</v>
      </c>
      <c r="J2989" s="15" t="s">
        <v>2674</v>
      </c>
      <c r="K2989" s="15" t="s">
        <v>903</v>
      </c>
      <c r="L2989" s="15" t="s">
        <v>2673</v>
      </c>
      <c r="M2989" s="15" t="s">
        <v>2672</v>
      </c>
      <c r="N2989" s="15" t="s">
        <v>2673</v>
      </c>
      <c r="O2989" s="15"/>
    </row>
    <row r="2990" spans="1:15" ht="18" customHeight="1" x14ac:dyDescent="0.3">
      <c r="A2990" s="29">
        <v>2989</v>
      </c>
      <c r="B2990" s="15" t="s">
        <v>127</v>
      </c>
      <c r="C2990" s="15" t="s">
        <v>130</v>
      </c>
      <c r="D2990" s="69">
        <v>216</v>
      </c>
      <c r="E2990" s="68" t="s">
        <v>924</v>
      </c>
      <c r="F2990" s="21" t="s">
        <v>811</v>
      </c>
      <c r="G2990" s="15" t="s">
        <v>164</v>
      </c>
      <c r="H2990" s="15" t="s">
        <v>905</v>
      </c>
      <c r="I2990" s="69">
        <v>196</v>
      </c>
      <c r="J2990" s="15" t="s">
        <v>2674</v>
      </c>
      <c r="K2990" s="15" t="s">
        <v>903</v>
      </c>
      <c r="L2990" s="15" t="s">
        <v>2673</v>
      </c>
      <c r="M2990" s="15" t="s">
        <v>2672</v>
      </c>
      <c r="N2990" s="15" t="s">
        <v>2673</v>
      </c>
      <c r="O2990" s="15"/>
    </row>
    <row r="2991" spans="1:15" ht="18" customHeight="1" x14ac:dyDescent="0.3">
      <c r="A2991" s="29">
        <v>2990</v>
      </c>
      <c r="B2991" s="15" t="s">
        <v>127</v>
      </c>
      <c r="C2991" s="15" t="s">
        <v>130</v>
      </c>
      <c r="D2991" s="69">
        <v>216</v>
      </c>
      <c r="E2991" s="68" t="s">
        <v>924</v>
      </c>
      <c r="F2991" s="21" t="s">
        <v>811</v>
      </c>
      <c r="G2991" s="15" t="s">
        <v>164</v>
      </c>
      <c r="H2991" s="15" t="s">
        <v>906</v>
      </c>
      <c r="I2991" s="69">
        <v>138</v>
      </c>
      <c r="J2991" s="15" t="s">
        <v>2672</v>
      </c>
      <c r="K2991" s="15" t="s">
        <v>903</v>
      </c>
      <c r="L2991" s="15" t="s">
        <v>2673</v>
      </c>
      <c r="M2991" s="15" t="s">
        <v>2672</v>
      </c>
      <c r="N2991" s="15" t="s">
        <v>2673</v>
      </c>
      <c r="O2991" s="15"/>
    </row>
    <row r="2992" spans="1:15" ht="18" customHeight="1" x14ac:dyDescent="0.3">
      <c r="A2992" s="29">
        <v>2991</v>
      </c>
      <c r="B2992" s="15" t="s">
        <v>127</v>
      </c>
      <c r="C2992" s="15" t="s">
        <v>130</v>
      </c>
      <c r="D2992" s="69">
        <v>216</v>
      </c>
      <c r="E2992" s="68" t="s">
        <v>3406</v>
      </c>
      <c r="F2992" s="16" t="s">
        <v>809</v>
      </c>
      <c r="G2992" s="15" t="s">
        <v>164</v>
      </c>
      <c r="H2992" s="15" t="s">
        <v>901</v>
      </c>
      <c r="I2992" s="69">
        <v>186</v>
      </c>
      <c r="J2992" s="15" t="s">
        <v>2674</v>
      </c>
      <c r="K2992" s="15" t="s">
        <v>903</v>
      </c>
      <c r="L2992" s="15" t="s">
        <v>2673</v>
      </c>
      <c r="M2992" s="15" t="s">
        <v>2672</v>
      </c>
      <c r="N2992" s="15" t="s">
        <v>2673</v>
      </c>
      <c r="O2992" s="15"/>
    </row>
    <row r="2993" spans="1:15" ht="18" customHeight="1" x14ac:dyDescent="0.3">
      <c r="A2993" s="29">
        <v>2992</v>
      </c>
      <c r="B2993" s="15" t="s">
        <v>127</v>
      </c>
      <c r="C2993" s="15" t="s">
        <v>130</v>
      </c>
      <c r="D2993" s="69">
        <v>216</v>
      </c>
      <c r="E2993" s="68" t="s">
        <v>3406</v>
      </c>
      <c r="F2993" s="16" t="s">
        <v>809</v>
      </c>
      <c r="G2993" s="15" t="s">
        <v>164</v>
      </c>
      <c r="H2993" s="15" t="s">
        <v>904</v>
      </c>
      <c r="I2993" s="69">
        <v>218</v>
      </c>
      <c r="J2993" s="15" t="s">
        <v>2672</v>
      </c>
      <c r="K2993" s="15" t="s">
        <v>903</v>
      </c>
      <c r="L2993" s="15" t="s">
        <v>2673</v>
      </c>
      <c r="M2993" s="15" t="s">
        <v>2672</v>
      </c>
      <c r="N2993" s="15" t="s">
        <v>2673</v>
      </c>
      <c r="O2993" s="15"/>
    </row>
    <row r="2994" spans="1:15" ht="18" customHeight="1" x14ac:dyDescent="0.3">
      <c r="A2994" s="29">
        <v>2993</v>
      </c>
      <c r="B2994" s="15" t="s">
        <v>127</v>
      </c>
      <c r="C2994" s="15" t="s">
        <v>130</v>
      </c>
      <c r="D2994" s="69">
        <v>216</v>
      </c>
      <c r="E2994" s="68" t="s">
        <v>3406</v>
      </c>
      <c r="F2994" s="16" t="s">
        <v>809</v>
      </c>
      <c r="G2994" s="15" t="s">
        <v>164</v>
      </c>
      <c r="H2994" s="15" t="s">
        <v>905</v>
      </c>
      <c r="I2994" s="69">
        <v>169</v>
      </c>
      <c r="J2994" s="15" t="s">
        <v>2672</v>
      </c>
      <c r="K2994" s="15" t="s">
        <v>903</v>
      </c>
      <c r="L2994" s="15" t="s">
        <v>2673</v>
      </c>
      <c r="M2994" s="15" t="s">
        <v>2672</v>
      </c>
      <c r="N2994" s="15" t="s">
        <v>2673</v>
      </c>
      <c r="O2994" s="15"/>
    </row>
    <row r="2995" spans="1:15" ht="18" customHeight="1" x14ac:dyDescent="0.3">
      <c r="A2995" s="29">
        <v>2994</v>
      </c>
      <c r="B2995" s="15" t="s">
        <v>127</v>
      </c>
      <c r="C2995" s="15" t="s">
        <v>130</v>
      </c>
      <c r="D2995" s="69">
        <v>216</v>
      </c>
      <c r="E2995" s="68" t="s">
        <v>3406</v>
      </c>
      <c r="F2995" s="16" t="s">
        <v>809</v>
      </c>
      <c r="G2995" s="15" t="s">
        <v>164</v>
      </c>
      <c r="H2995" s="15" t="s">
        <v>906</v>
      </c>
      <c r="I2995" s="69">
        <v>156</v>
      </c>
      <c r="J2995" s="15" t="s">
        <v>2672</v>
      </c>
      <c r="K2995" s="15" t="s">
        <v>903</v>
      </c>
      <c r="L2995" s="15" t="s">
        <v>2673</v>
      </c>
      <c r="M2995" s="15" t="s">
        <v>2672</v>
      </c>
      <c r="N2995" s="15" t="s">
        <v>2673</v>
      </c>
      <c r="O2995" s="15"/>
    </row>
    <row r="2996" spans="1:15" ht="18" customHeight="1" x14ac:dyDescent="0.3">
      <c r="A2996" s="29">
        <v>2995</v>
      </c>
      <c r="B2996" s="15" t="s">
        <v>127</v>
      </c>
      <c r="C2996" s="15" t="s">
        <v>130</v>
      </c>
      <c r="D2996" s="69">
        <v>216</v>
      </c>
      <c r="E2996" s="68" t="s">
        <v>3406</v>
      </c>
      <c r="F2996" s="16" t="s">
        <v>809</v>
      </c>
      <c r="G2996" s="15" t="s">
        <v>164</v>
      </c>
      <c r="H2996" s="15" t="s">
        <v>907</v>
      </c>
      <c r="I2996" s="69">
        <v>87</v>
      </c>
      <c r="J2996" s="15" t="s">
        <v>2672</v>
      </c>
      <c r="K2996" s="15" t="s">
        <v>903</v>
      </c>
      <c r="L2996" s="15" t="s">
        <v>2673</v>
      </c>
      <c r="M2996" s="15" t="s">
        <v>2672</v>
      </c>
      <c r="N2996" s="15" t="s">
        <v>2673</v>
      </c>
      <c r="O2996" s="15"/>
    </row>
    <row r="2997" spans="1:15" ht="18" customHeight="1" x14ac:dyDescent="0.3">
      <c r="A2997" s="29">
        <v>2996</v>
      </c>
      <c r="B2997" s="15" t="s">
        <v>127</v>
      </c>
      <c r="C2997" s="15" t="s">
        <v>131</v>
      </c>
      <c r="D2997" s="69">
        <v>217</v>
      </c>
      <c r="E2997" s="68" t="s">
        <v>3407</v>
      </c>
      <c r="F2997" s="21" t="s">
        <v>1110</v>
      </c>
      <c r="G2997" s="15" t="s">
        <v>164</v>
      </c>
      <c r="H2997" s="15" t="s">
        <v>905</v>
      </c>
      <c r="I2997" s="69">
        <v>66</v>
      </c>
      <c r="J2997" s="15" t="s">
        <v>2674</v>
      </c>
      <c r="K2997" s="15" t="s">
        <v>903</v>
      </c>
      <c r="L2997" s="15" t="s">
        <v>2673</v>
      </c>
      <c r="M2997" s="15" t="s">
        <v>2672</v>
      </c>
      <c r="N2997" s="15" t="s">
        <v>2673</v>
      </c>
      <c r="O2997" s="15"/>
    </row>
    <row r="2998" spans="1:15" ht="18" customHeight="1" x14ac:dyDescent="0.3">
      <c r="A2998" s="29">
        <v>2997</v>
      </c>
      <c r="B2998" s="15" t="s">
        <v>127</v>
      </c>
      <c r="C2998" s="15" t="s">
        <v>131</v>
      </c>
      <c r="D2998" s="69">
        <v>217</v>
      </c>
      <c r="E2998" s="68" t="s">
        <v>3407</v>
      </c>
      <c r="F2998" s="21" t="s">
        <v>1110</v>
      </c>
      <c r="G2998" s="15" t="s">
        <v>164</v>
      </c>
      <c r="H2998" s="15" t="s">
        <v>906</v>
      </c>
      <c r="I2998" s="69">
        <v>66</v>
      </c>
      <c r="J2998" s="15" t="s">
        <v>2672</v>
      </c>
      <c r="K2998" s="15" t="s">
        <v>903</v>
      </c>
      <c r="L2998" s="15" t="s">
        <v>2673</v>
      </c>
      <c r="M2998" s="15" t="s">
        <v>2672</v>
      </c>
      <c r="N2998" s="15" t="s">
        <v>2673</v>
      </c>
      <c r="O2998" s="15"/>
    </row>
    <row r="2999" spans="1:15" ht="18" customHeight="1" x14ac:dyDescent="0.3">
      <c r="A2999" s="29">
        <v>2998</v>
      </c>
      <c r="B2999" s="15" t="s">
        <v>127</v>
      </c>
      <c r="C2999" s="15" t="s">
        <v>131</v>
      </c>
      <c r="D2999" s="69">
        <v>217</v>
      </c>
      <c r="E2999" s="68" t="s">
        <v>3407</v>
      </c>
      <c r="F2999" s="21" t="s">
        <v>1110</v>
      </c>
      <c r="G2999" s="15" t="s">
        <v>164</v>
      </c>
      <c r="H2999" s="15" t="s">
        <v>907</v>
      </c>
      <c r="I2999" s="69">
        <v>210</v>
      </c>
      <c r="J2999" s="15" t="s">
        <v>2674</v>
      </c>
      <c r="K2999" s="15" t="s">
        <v>903</v>
      </c>
      <c r="L2999" s="15" t="s">
        <v>2673</v>
      </c>
      <c r="M2999" s="15" t="s">
        <v>2672</v>
      </c>
      <c r="N2999" s="15" t="s">
        <v>2673</v>
      </c>
      <c r="O2999" s="15"/>
    </row>
    <row r="3000" spans="1:15" ht="18" customHeight="1" x14ac:dyDescent="0.3">
      <c r="A3000" s="29">
        <v>2999</v>
      </c>
      <c r="B3000" s="15" t="s">
        <v>127</v>
      </c>
      <c r="C3000" s="15" t="s">
        <v>131</v>
      </c>
      <c r="D3000" s="69">
        <v>217</v>
      </c>
      <c r="E3000" s="68" t="s">
        <v>3407</v>
      </c>
      <c r="F3000" s="21" t="s">
        <v>1110</v>
      </c>
      <c r="G3000" s="15" t="s">
        <v>164</v>
      </c>
      <c r="H3000" s="15" t="s">
        <v>908</v>
      </c>
      <c r="I3000" s="69">
        <v>200</v>
      </c>
      <c r="J3000" s="15" t="s">
        <v>2672</v>
      </c>
      <c r="K3000" s="15" t="s">
        <v>903</v>
      </c>
      <c r="L3000" s="15" t="s">
        <v>2673</v>
      </c>
      <c r="M3000" s="15" t="s">
        <v>2672</v>
      </c>
      <c r="N3000" s="15" t="s">
        <v>2673</v>
      </c>
      <c r="O3000" s="15"/>
    </row>
    <row r="3001" spans="1:15" ht="18" customHeight="1" x14ac:dyDescent="0.3">
      <c r="A3001" s="29">
        <v>3000</v>
      </c>
      <c r="B3001" s="15" t="s">
        <v>127</v>
      </c>
      <c r="C3001" s="15" t="s">
        <v>131</v>
      </c>
      <c r="D3001" s="69">
        <v>217</v>
      </c>
      <c r="E3001" s="68" t="s">
        <v>3407</v>
      </c>
      <c r="F3001" s="21" t="s">
        <v>817</v>
      </c>
      <c r="G3001" s="15" t="s">
        <v>164</v>
      </c>
      <c r="H3001" s="15" t="s">
        <v>901</v>
      </c>
      <c r="I3001" s="69">
        <v>66</v>
      </c>
      <c r="J3001" s="15" t="s">
        <v>2672</v>
      </c>
      <c r="K3001" s="15" t="s">
        <v>903</v>
      </c>
      <c r="L3001" s="15" t="s">
        <v>2673</v>
      </c>
      <c r="M3001" s="15" t="s">
        <v>2672</v>
      </c>
      <c r="N3001" s="15" t="s">
        <v>2673</v>
      </c>
      <c r="O3001" s="15"/>
    </row>
    <row r="3002" spans="1:15" ht="18" customHeight="1" x14ac:dyDescent="0.3">
      <c r="A3002" s="29">
        <v>3001</v>
      </c>
      <c r="B3002" s="15" t="s">
        <v>127</v>
      </c>
      <c r="C3002" s="15" t="s">
        <v>131</v>
      </c>
      <c r="D3002" s="69">
        <v>217</v>
      </c>
      <c r="E3002" s="68" t="s">
        <v>3407</v>
      </c>
      <c r="F3002" s="21" t="s">
        <v>817</v>
      </c>
      <c r="G3002" s="15" t="s">
        <v>164</v>
      </c>
      <c r="H3002" s="15" t="s">
        <v>904</v>
      </c>
      <c r="I3002" s="69">
        <v>66</v>
      </c>
      <c r="J3002" s="15" t="s">
        <v>2672</v>
      </c>
      <c r="K3002" s="15" t="s">
        <v>903</v>
      </c>
      <c r="L3002" s="15" t="s">
        <v>2673</v>
      </c>
      <c r="M3002" s="15" t="s">
        <v>2672</v>
      </c>
      <c r="N3002" s="15" t="s">
        <v>2673</v>
      </c>
      <c r="O3002" s="15"/>
    </row>
    <row r="3003" spans="1:15" ht="18" customHeight="1" x14ac:dyDescent="0.3">
      <c r="A3003" s="29">
        <v>3002</v>
      </c>
      <c r="B3003" s="15" t="s">
        <v>127</v>
      </c>
      <c r="C3003" s="15" t="s">
        <v>131</v>
      </c>
      <c r="D3003" s="69">
        <v>217</v>
      </c>
      <c r="E3003" s="68" t="s">
        <v>3018</v>
      </c>
      <c r="F3003" s="16" t="s">
        <v>2519</v>
      </c>
      <c r="G3003" s="15" t="s">
        <v>164</v>
      </c>
      <c r="H3003" s="15" t="s">
        <v>901</v>
      </c>
      <c r="I3003" s="69">
        <v>113</v>
      </c>
      <c r="J3003" s="13" t="s">
        <v>2674</v>
      </c>
      <c r="K3003" s="15" t="s">
        <v>903</v>
      </c>
      <c r="L3003" s="15" t="s">
        <v>2673</v>
      </c>
      <c r="M3003" s="15" t="s">
        <v>2672</v>
      </c>
      <c r="N3003" s="15" t="s">
        <v>2673</v>
      </c>
      <c r="O3003" s="15"/>
    </row>
    <row r="3004" spans="1:15" ht="18" customHeight="1" x14ac:dyDescent="0.3">
      <c r="A3004" s="29">
        <v>3003</v>
      </c>
      <c r="B3004" s="15" t="s">
        <v>127</v>
      </c>
      <c r="C3004" s="15" t="s">
        <v>131</v>
      </c>
      <c r="D3004" s="69">
        <v>217</v>
      </c>
      <c r="E3004" s="68" t="s">
        <v>3018</v>
      </c>
      <c r="F3004" s="16" t="s">
        <v>2519</v>
      </c>
      <c r="G3004" s="15" t="s">
        <v>164</v>
      </c>
      <c r="H3004" s="15" t="s">
        <v>904</v>
      </c>
      <c r="I3004" s="69">
        <v>70</v>
      </c>
      <c r="J3004" s="13" t="s">
        <v>2672</v>
      </c>
      <c r="K3004" s="15" t="s">
        <v>903</v>
      </c>
      <c r="L3004" s="15" t="s">
        <v>2673</v>
      </c>
      <c r="M3004" s="15" t="s">
        <v>2672</v>
      </c>
      <c r="N3004" s="15" t="s">
        <v>2673</v>
      </c>
      <c r="O3004" s="15"/>
    </row>
    <row r="3005" spans="1:15" ht="18" customHeight="1" x14ac:dyDescent="0.3">
      <c r="A3005" s="29">
        <v>3004</v>
      </c>
      <c r="B3005" s="15" t="s">
        <v>127</v>
      </c>
      <c r="C3005" s="15" t="s">
        <v>131</v>
      </c>
      <c r="D3005" s="69">
        <v>217</v>
      </c>
      <c r="E3005" s="68" t="s">
        <v>3018</v>
      </c>
      <c r="F3005" s="16" t="s">
        <v>1111</v>
      </c>
      <c r="G3005" s="15" t="s">
        <v>164</v>
      </c>
      <c r="H3005" s="15" t="s">
        <v>905</v>
      </c>
      <c r="I3005" s="69">
        <v>56</v>
      </c>
      <c r="J3005" s="13" t="s">
        <v>2672</v>
      </c>
      <c r="K3005" s="15" t="s">
        <v>903</v>
      </c>
      <c r="L3005" s="15" t="s">
        <v>2673</v>
      </c>
      <c r="M3005" s="15" t="s">
        <v>2672</v>
      </c>
      <c r="N3005" s="15" t="s">
        <v>2673</v>
      </c>
      <c r="O3005" s="15"/>
    </row>
    <row r="3006" spans="1:15" ht="18" customHeight="1" x14ac:dyDescent="0.3">
      <c r="A3006" s="29">
        <v>3005</v>
      </c>
      <c r="B3006" s="15" t="s">
        <v>127</v>
      </c>
      <c r="C3006" s="15" t="s">
        <v>131</v>
      </c>
      <c r="D3006" s="69">
        <v>217</v>
      </c>
      <c r="E3006" s="68" t="s">
        <v>3018</v>
      </c>
      <c r="F3006" s="16" t="s">
        <v>1111</v>
      </c>
      <c r="G3006" s="15" t="s">
        <v>164</v>
      </c>
      <c r="H3006" s="15" t="s">
        <v>906</v>
      </c>
      <c r="I3006" s="69">
        <v>52</v>
      </c>
      <c r="J3006" s="13" t="s">
        <v>2672</v>
      </c>
      <c r="K3006" s="15" t="s">
        <v>903</v>
      </c>
      <c r="L3006" s="15" t="s">
        <v>2673</v>
      </c>
      <c r="M3006" s="15" t="s">
        <v>2672</v>
      </c>
      <c r="N3006" s="15" t="s">
        <v>2673</v>
      </c>
      <c r="O3006" s="15"/>
    </row>
    <row r="3007" spans="1:15" ht="18" customHeight="1" x14ac:dyDescent="0.3">
      <c r="A3007" s="29">
        <v>3006</v>
      </c>
      <c r="B3007" s="15" t="s">
        <v>127</v>
      </c>
      <c r="C3007" s="15" t="s">
        <v>131</v>
      </c>
      <c r="D3007" s="69">
        <v>217</v>
      </c>
      <c r="E3007" s="68" t="s">
        <v>3018</v>
      </c>
      <c r="F3007" s="16" t="s">
        <v>1111</v>
      </c>
      <c r="G3007" s="15" t="s">
        <v>164</v>
      </c>
      <c r="H3007" s="15" t="s">
        <v>907</v>
      </c>
      <c r="I3007" s="69">
        <v>52</v>
      </c>
      <c r="J3007" s="13" t="s">
        <v>2672</v>
      </c>
      <c r="K3007" s="15" t="s">
        <v>903</v>
      </c>
      <c r="L3007" s="15" t="s">
        <v>2673</v>
      </c>
      <c r="M3007" s="15" t="s">
        <v>2672</v>
      </c>
      <c r="N3007" s="15" t="s">
        <v>2673</v>
      </c>
      <c r="O3007" s="15"/>
    </row>
    <row r="3008" spans="1:15" ht="18" customHeight="1" x14ac:dyDescent="0.3">
      <c r="A3008" s="29">
        <v>3007</v>
      </c>
      <c r="B3008" s="15" t="s">
        <v>127</v>
      </c>
      <c r="C3008" s="15" t="s">
        <v>131</v>
      </c>
      <c r="D3008" s="69">
        <v>217</v>
      </c>
      <c r="E3008" s="68" t="s">
        <v>3019</v>
      </c>
      <c r="F3008" s="21" t="s">
        <v>2521</v>
      </c>
      <c r="G3008" s="15" t="s">
        <v>2673</v>
      </c>
      <c r="H3008" s="15" t="s">
        <v>901</v>
      </c>
      <c r="I3008" s="69">
        <v>144</v>
      </c>
      <c r="J3008" s="15" t="s">
        <v>2672</v>
      </c>
      <c r="K3008" s="15" t="s">
        <v>903</v>
      </c>
      <c r="L3008" s="15" t="s">
        <v>2673</v>
      </c>
      <c r="M3008" s="15" t="s">
        <v>2674</v>
      </c>
      <c r="N3008" s="15" t="s">
        <v>1508</v>
      </c>
      <c r="O3008" s="15"/>
    </row>
    <row r="3009" spans="1:15" ht="18" customHeight="1" x14ac:dyDescent="0.3">
      <c r="A3009" s="29">
        <v>3008</v>
      </c>
      <c r="B3009" s="15" t="s">
        <v>127</v>
      </c>
      <c r="C3009" s="15" t="s">
        <v>132</v>
      </c>
      <c r="D3009" s="69">
        <v>218</v>
      </c>
      <c r="E3009" s="68" t="s">
        <v>3020</v>
      </c>
      <c r="F3009" s="24" t="s">
        <v>804</v>
      </c>
      <c r="G3009" s="15" t="s">
        <v>164</v>
      </c>
      <c r="H3009" s="15" t="s">
        <v>901</v>
      </c>
      <c r="I3009" s="69">
        <v>103</v>
      </c>
      <c r="J3009" s="13" t="s">
        <v>2672</v>
      </c>
      <c r="K3009" s="15" t="s">
        <v>903</v>
      </c>
      <c r="L3009" s="15" t="s">
        <v>2673</v>
      </c>
      <c r="M3009" s="15" t="s">
        <v>2672</v>
      </c>
      <c r="N3009" s="15" t="s">
        <v>2673</v>
      </c>
      <c r="O3009" s="15"/>
    </row>
    <row r="3010" spans="1:15" ht="18" customHeight="1" x14ac:dyDescent="0.3">
      <c r="A3010" s="29">
        <v>3009</v>
      </c>
      <c r="B3010" s="15" t="s">
        <v>127</v>
      </c>
      <c r="C3010" s="15" t="s">
        <v>132</v>
      </c>
      <c r="D3010" s="69">
        <v>218</v>
      </c>
      <c r="E3010" s="68" t="s">
        <v>3020</v>
      </c>
      <c r="F3010" s="24" t="s">
        <v>804</v>
      </c>
      <c r="G3010" s="15" t="s">
        <v>164</v>
      </c>
      <c r="H3010" s="15" t="s">
        <v>904</v>
      </c>
      <c r="I3010" s="69">
        <v>89</v>
      </c>
      <c r="J3010" s="13" t="s">
        <v>2672</v>
      </c>
      <c r="K3010" s="15" t="s">
        <v>903</v>
      </c>
      <c r="L3010" s="15" t="s">
        <v>2673</v>
      </c>
      <c r="M3010" s="15" t="s">
        <v>2672</v>
      </c>
      <c r="N3010" s="15" t="s">
        <v>2673</v>
      </c>
      <c r="O3010" s="15"/>
    </row>
    <row r="3011" spans="1:15" ht="18" customHeight="1" x14ac:dyDescent="0.3">
      <c r="A3011" s="29">
        <v>3010</v>
      </c>
      <c r="B3011" s="15" t="s">
        <v>127</v>
      </c>
      <c r="C3011" s="15" t="s">
        <v>132</v>
      </c>
      <c r="D3011" s="69">
        <v>218</v>
      </c>
      <c r="E3011" s="68" t="s">
        <v>3020</v>
      </c>
      <c r="F3011" s="24" t="s">
        <v>804</v>
      </c>
      <c r="G3011" s="15" t="s">
        <v>164</v>
      </c>
      <c r="H3011" s="15" t="s">
        <v>905</v>
      </c>
      <c r="I3011" s="69">
        <v>90</v>
      </c>
      <c r="J3011" s="13" t="s">
        <v>2672</v>
      </c>
      <c r="K3011" s="15" t="s">
        <v>903</v>
      </c>
      <c r="L3011" s="15" t="s">
        <v>2673</v>
      </c>
      <c r="M3011" s="15" t="s">
        <v>2672</v>
      </c>
      <c r="N3011" s="15" t="s">
        <v>2673</v>
      </c>
      <c r="O3011" s="15"/>
    </row>
    <row r="3012" spans="1:15" ht="18" customHeight="1" x14ac:dyDescent="0.3">
      <c r="A3012" s="29">
        <v>3011</v>
      </c>
      <c r="B3012" s="15" t="s">
        <v>127</v>
      </c>
      <c r="C3012" s="15" t="s">
        <v>132</v>
      </c>
      <c r="D3012" s="69">
        <v>218</v>
      </c>
      <c r="E3012" s="68" t="s">
        <v>3020</v>
      </c>
      <c r="F3012" s="24" t="s">
        <v>804</v>
      </c>
      <c r="G3012" s="15" t="s">
        <v>164</v>
      </c>
      <c r="H3012" s="15" t="s">
        <v>906</v>
      </c>
      <c r="I3012" s="69">
        <v>76</v>
      </c>
      <c r="J3012" s="13" t="s">
        <v>2672</v>
      </c>
      <c r="K3012" s="15" t="s">
        <v>903</v>
      </c>
      <c r="L3012" s="15" t="s">
        <v>2673</v>
      </c>
      <c r="M3012" s="15" t="s">
        <v>2672</v>
      </c>
      <c r="N3012" s="15" t="s">
        <v>2673</v>
      </c>
      <c r="O3012" s="15"/>
    </row>
    <row r="3013" spans="1:15" ht="18" customHeight="1" x14ac:dyDescent="0.3">
      <c r="A3013" s="29">
        <v>3012</v>
      </c>
      <c r="B3013" s="15" t="s">
        <v>127</v>
      </c>
      <c r="C3013" s="15" t="s">
        <v>132</v>
      </c>
      <c r="D3013" s="69">
        <v>218</v>
      </c>
      <c r="E3013" s="68" t="s">
        <v>3020</v>
      </c>
      <c r="F3013" s="24" t="s">
        <v>804</v>
      </c>
      <c r="G3013" s="15" t="s">
        <v>164</v>
      </c>
      <c r="H3013" s="15" t="s">
        <v>907</v>
      </c>
      <c r="I3013" s="69">
        <v>43</v>
      </c>
      <c r="J3013" s="13" t="s">
        <v>2672</v>
      </c>
      <c r="K3013" s="15" t="s">
        <v>903</v>
      </c>
      <c r="L3013" s="15" t="s">
        <v>2673</v>
      </c>
      <c r="M3013" s="15" t="s">
        <v>2672</v>
      </c>
      <c r="N3013" s="15" t="s">
        <v>2673</v>
      </c>
      <c r="O3013" s="15"/>
    </row>
    <row r="3014" spans="1:15" ht="18" customHeight="1" x14ac:dyDescent="0.3">
      <c r="A3014" s="29">
        <v>3013</v>
      </c>
      <c r="B3014" s="15" t="s">
        <v>127</v>
      </c>
      <c r="C3014" s="15" t="s">
        <v>132</v>
      </c>
      <c r="D3014" s="69">
        <v>218</v>
      </c>
      <c r="E3014" s="68" t="s">
        <v>3020</v>
      </c>
      <c r="F3014" s="24" t="s">
        <v>804</v>
      </c>
      <c r="G3014" s="15" t="s">
        <v>164</v>
      </c>
      <c r="H3014" s="15" t="s">
        <v>908</v>
      </c>
      <c r="I3014" s="69">
        <v>38</v>
      </c>
      <c r="J3014" s="13" t="s">
        <v>2672</v>
      </c>
      <c r="K3014" s="15" t="s">
        <v>903</v>
      </c>
      <c r="L3014" s="15" t="s">
        <v>2673</v>
      </c>
      <c r="M3014" s="15" t="s">
        <v>2672</v>
      </c>
      <c r="N3014" s="15" t="s">
        <v>2673</v>
      </c>
      <c r="O3014" s="15"/>
    </row>
    <row r="3015" spans="1:15" ht="18" customHeight="1" x14ac:dyDescent="0.3">
      <c r="A3015" s="29">
        <v>3014</v>
      </c>
      <c r="B3015" s="15" t="s">
        <v>127</v>
      </c>
      <c r="C3015" s="15" t="s">
        <v>132</v>
      </c>
      <c r="D3015" s="69">
        <v>218</v>
      </c>
      <c r="E3015" s="68" t="s">
        <v>3020</v>
      </c>
      <c r="F3015" s="24" t="s">
        <v>804</v>
      </c>
      <c r="G3015" s="15" t="s">
        <v>164</v>
      </c>
      <c r="H3015" s="15" t="s">
        <v>909</v>
      </c>
      <c r="I3015" s="69">
        <v>74</v>
      </c>
      <c r="J3015" s="13" t="s">
        <v>2672</v>
      </c>
      <c r="K3015" s="15" t="s">
        <v>903</v>
      </c>
      <c r="L3015" s="15" t="s">
        <v>2673</v>
      </c>
      <c r="M3015" s="15" t="s">
        <v>2672</v>
      </c>
      <c r="N3015" s="15" t="s">
        <v>2673</v>
      </c>
      <c r="O3015" s="15"/>
    </row>
    <row r="3016" spans="1:15" ht="18" customHeight="1" x14ac:dyDescent="0.3">
      <c r="A3016" s="29">
        <v>3015</v>
      </c>
      <c r="B3016" s="15" t="s">
        <v>127</v>
      </c>
      <c r="C3016" s="15" t="s">
        <v>132</v>
      </c>
      <c r="D3016" s="69">
        <v>218</v>
      </c>
      <c r="E3016" s="68" t="s">
        <v>3408</v>
      </c>
      <c r="F3016" s="16" t="s">
        <v>802</v>
      </c>
      <c r="G3016" s="15" t="s">
        <v>164</v>
      </c>
      <c r="H3016" s="15" t="s">
        <v>901</v>
      </c>
      <c r="I3016" s="69">
        <v>184</v>
      </c>
      <c r="J3016" s="15" t="s">
        <v>2672</v>
      </c>
      <c r="K3016" s="15" t="s">
        <v>903</v>
      </c>
      <c r="L3016" s="15" t="s">
        <v>2673</v>
      </c>
      <c r="M3016" s="15" t="s">
        <v>2672</v>
      </c>
      <c r="N3016" s="15" t="s">
        <v>2673</v>
      </c>
      <c r="O3016" s="15"/>
    </row>
    <row r="3017" spans="1:15" ht="18" customHeight="1" x14ac:dyDescent="0.3">
      <c r="A3017" s="29">
        <v>3016</v>
      </c>
      <c r="B3017" s="15" t="s">
        <v>127</v>
      </c>
      <c r="C3017" s="15" t="s">
        <v>132</v>
      </c>
      <c r="D3017" s="69">
        <v>218</v>
      </c>
      <c r="E3017" s="68" t="s">
        <v>3408</v>
      </c>
      <c r="F3017" s="16" t="s">
        <v>802</v>
      </c>
      <c r="G3017" s="15" t="s">
        <v>164</v>
      </c>
      <c r="H3017" s="15" t="s">
        <v>904</v>
      </c>
      <c r="I3017" s="69">
        <v>184</v>
      </c>
      <c r="J3017" s="15" t="s">
        <v>2672</v>
      </c>
      <c r="K3017" s="15" t="s">
        <v>903</v>
      </c>
      <c r="L3017" s="15" t="s">
        <v>2673</v>
      </c>
      <c r="M3017" s="15" t="s">
        <v>2672</v>
      </c>
      <c r="N3017" s="15" t="s">
        <v>2673</v>
      </c>
      <c r="O3017" s="15"/>
    </row>
    <row r="3018" spans="1:15" ht="18" customHeight="1" x14ac:dyDescent="0.3">
      <c r="A3018" s="29">
        <v>3017</v>
      </c>
      <c r="B3018" s="15" t="s">
        <v>127</v>
      </c>
      <c r="C3018" s="15" t="s">
        <v>132</v>
      </c>
      <c r="D3018" s="69">
        <v>218</v>
      </c>
      <c r="E3018" s="68" t="s">
        <v>3408</v>
      </c>
      <c r="F3018" s="16" t="s">
        <v>802</v>
      </c>
      <c r="G3018" s="15" t="s">
        <v>164</v>
      </c>
      <c r="H3018" s="15" t="s">
        <v>905</v>
      </c>
      <c r="I3018" s="69">
        <v>131</v>
      </c>
      <c r="J3018" s="15" t="s">
        <v>2672</v>
      </c>
      <c r="K3018" s="15" t="s">
        <v>903</v>
      </c>
      <c r="L3018" s="15" t="s">
        <v>2673</v>
      </c>
      <c r="M3018" s="15" t="s">
        <v>2672</v>
      </c>
      <c r="N3018" s="15" t="s">
        <v>2673</v>
      </c>
      <c r="O3018" s="15"/>
    </row>
    <row r="3019" spans="1:15" ht="18" customHeight="1" x14ac:dyDescent="0.3">
      <c r="A3019" s="29">
        <v>3018</v>
      </c>
      <c r="B3019" s="15" t="s">
        <v>127</v>
      </c>
      <c r="C3019" s="15" t="s">
        <v>132</v>
      </c>
      <c r="D3019" s="69">
        <v>218</v>
      </c>
      <c r="E3019" s="68" t="s">
        <v>3408</v>
      </c>
      <c r="F3019" s="16" t="s">
        <v>802</v>
      </c>
      <c r="G3019" s="15" t="s">
        <v>164</v>
      </c>
      <c r="H3019" s="15" t="s">
        <v>906</v>
      </c>
      <c r="I3019" s="69">
        <v>134</v>
      </c>
      <c r="J3019" s="15" t="s">
        <v>2674</v>
      </c>
      <c r="K3019" s="15" t="s">
        <v>903</v>
      </c>
      <c r="L3019" s="15" t="s">
        <v>2673</v>
      </c>
      <c r="M3019" s="15" t="s">
        <v>2672</v>
      </c>
      <c r="N3019" s="15" t="s">
        <v>2673</v>
      </c>
      <c r="O3019" s="15"/>
    </row>
    <row r="3020" spans="1:15" ht="18" customHeight="1" x14ac:dyDescent="0.3">
      <c r="A3020" s="29">
        <v>3019</v>
      </c>
      <c r="B3020" s="15" t="s">
        <v>127</v>
      </c>
      <c r="C3020" s="15" t="s">
        <v>132</v>
      </c>
      <c r="D3020" s="69">
        <v>218</v>
      </c>
      <c r="E3020" s="68" t="s">
        <v>3408</v>
      </c>
      <c r="F3020" s="16" t="s">
        <v>802</v>
      </c>
      <c r="G3020" s="15" t="s">
        <v>164</v>
      </c>
      <c r="H3020" s="15" t="s">
        <v>907</v>
      </c>
      <c r="I3020" s="69">
        <v>184</v>
      </c>
      <c r="J3020" s="15" t="s">
        <v>2674</v>
      </c>
      <c r="K3020" s="15" t="s">
        <v>903</v>
      </c>
      <c r="L3020" s="15" t="s">
        <v>2673</v>
      </c>
      <c r="M3020" s="15" t="s">
        <v>2672</v>
      </c>
      <c r="N3020" s="15" t="s">
        <v>2673</v>
      </c>
      <c r="O3020" s="15"/>
    </row>
    <row r="3021" spans="1:15" ht="18" customHeight="1" x14ac:dyDescent="0.3">
      <c r="A3021" s="29">
        <v>3020</v>
      </c>
      <c r="B3021" s="15" t="s">
        <v>127</v>
      </c>
      <c r="C3021" s="15" t="s">
        <v>132</v>
      </c>
      <c r="D3021" s="69">
        <v>218</v>
      </c>
      <c r="E3021" s="68" t="s">
        <v>3408</v>
      </c>
      <c r="F3021" s="16" t="s">
        <v>802</v>
      </c>
      <c r="G3021" s="15" t="s">
        <v>164</v>
      </c>
      <c r="H3021" s="15" t="s">
        <v>908</v>
      </c>
      <c r="I3021" s="69">
        <v>184</v>
      </c>
      <c r="J3021" s="15" t="s">
        <v>2674</v>
      </c>
      <c r="K3021" s="15" t="s">
        <v>903</v>
      </c>
      <c r="L3021" s="15" t="s">
        <v>2673</v>
      </c>
      <c r="M3021" s="15" t="s">
        <v>2672</v>
      </c>
      <c r="N3021" s="15" t="s">
        <v>2673</v>
      </c>
      <c r="O3021" s="15"/>
    </row>
    <row r="3022" spans="1:15" ht="18" customHeight="1" x14ac:dyDescent="0.3">
      <c r="A3022" s="29">
        <v>3021</v>
      </c>
      <c r="B3022" s="15" t="s">
        <v>127</v>
      </c>
      <c r="C3022" s="15" t="s">
        <v>132</v>
      </c>
      <c r="D3022" s="69">
        <v>218</v>
      </c>
      <c r="E3022" s="68" t="s">
        <v>3408</v>
      </c>
      <c r="F3022" s="16" t="s">
        <v>802</v>
      </c>
      <c r="G3022" s="15" t="s">
        <v>164</v>
      </c>
      <c r="H3022" s="15" t="s">
        <v>909</v>
      </c>
      <c r="I3022" s="69">
        <v>86</v>
      </c>
      <c r="J3022" s="15" t="s">
        <v>2672</v>
      </c>
      <c r="K3022" s="15" t="s">
        <v>903</v>
      </c>
      <c r="L3022" s="15" t="s">
        <v>2673</v>
      </c>
      <c r="M3022" s="15" t="s">
        <v>2672</v>
      </c>
      <c r="N3022" s="15" t="s">
        <v>2673</v>
      </c>
      <c r="O3022" s="15"/>
    </row>
    <row r="3023" spans="1:15" ht="18" customHeight="1" x14ac:dyDescent="0.3">
      <c r="A3023" s="29">
        <v>3022</v>
      </c>
      <c r="B3023" s="15" t="s">
        <v>127</v>
      </c>
      <c r="C3023" s="15" t="s">
        <v>132</v>
      </c>
      <c r="D3023" s="69">
        <v>218</v>
      </c>
      <c r="E3023" s="68" t="s">
        <v>3408</v>
      </c>
      <c r="F3023" s="16" t="s">
        <v>802</v>
      </c>
      <c r="G3023" s="15" t="s">
        <v>164</v>
      </c>
      <c r="H3023" s="15" t="s">
        <v>910</v>
      </c>
      <c r="I3023" s="69">
        <v>64</v>
      </c>
      <c r="J3023" s="15" t="s">
        <v>2672</v>
      </c>
      <c r="K3023" s="15" t="s">
        <v>903</v>
      </c>
      <c r="L3023" s="15" t="s">
        <v>2673</v>
      </c>
      <c r="M3023" s="15" t="s">
        <v>2672</v>
      </c>
      <c r="N3023" s="15" t="s">
        <v>2673</v>
      </c>
      <c r="O3023" s="15"/>
    </row>
    <row r="3024" spans="1:15" ht="18" customHeight="1" x14ac:dyDescent="0.3">
      <c r="A3024" s="29">
        <v>3023</v>
      </c>
      <c r="B3024" s="15" t="s">
        <v>127</v>
      </c>
      <c r="C3024" s="15" t="s">
        <v>132</v>
      </c>
      <c r="D3024" s="69">
        <v>218</v>
      </c>
      <c r="E3024" s="68" t="s">
        <v>3408</v>
      </c>
      <c r="F3024" s="16" t="s">
        <v>802</v>
      </c>
      <c r="G3024" s="15" t="s">
        <v>164</v>
      </c>
      <c r="H3024" s="15" t="s">
        <v>911</v>
      </c>
      <c r="I3024" s="69">
        <v>81</v>
      </c>
      <c r="J3024" s="15" t="s">
        <v>2674</v>
      </c>
      <c r="K3024" s="15" t="s">
        <v>903</v>
      </c>
      <c r="L3024" s="15" t="s">
        <v>2673</v>
      </c>
      <c r="M3024" s="15" t="s">
        <v>2672</v>
      </c>
      <c r="N3024" s="15" t="s">
        <v>2673</v>
      </c>
      <c r="O3024" s="15"/>
    </row>
    <row r="3025" spans="1:15" ht="18" customHeight="1" x14ac:dyDescent="0.3">
      <c r="A3025" s="29">
        <v>3024</v>
      </c>
      <c r="B3025" s="15" t="s">
        <v>127</v>
      </c>
      <c r="C3025" s="15" t="s">
        <v>132</v>
      </c>
      <c r="D3025" s="69">
        <v>218</v>
      </c>
      <c r="E3025" s="68" t="s">
        <v>3408</v>
      </c>
      <c r="F3025" s="16" t="s">
        <v>802</v>
      </c>
      <c r="G3025" s="15" t="s">
        <v>164</v>
      </c>
      <c r="H3025" s="15" t="s">
        <v>927</v>
      </c>
      <c r="I3025" s="69">
        <v>114</v>
      </c>
      <c r="J3025" s="15" t="s">
        <v>2672</v>
      </c>
      <c r="K3025" s="15" t="s">
        <v>903</v>
      </c>
      <c r="L3025" s="15" t="s">
        <v>2673</v>
      </c>
      <c r="M3025" s="15" t="s">
        <v>2672</v>
      </c>
      <c r="N3025" s="15" t="s">
        <v>2673</v>
      </c>
      <c r="O3025" s="15"/>
    </row>
    <row r="3026" spans="1:15" ht="18" customHeight="1" x14ac:dyDescent="0.3">
      <c r="A3026" s="29">
        <v>3025</v>
      </c>
      <c r="B3026" s="15" t="s">
        <v>127</v>
      </c>
      <c r="C3026" s="15" t="s">
        <v>132</v>
      </c>
      <c r="D3026" s="69">
        <v>218</v>
      </c>
      <c r="E3026" s="68" t="s">
        <v>232</v>
      </c>
      <c r="F3026" s="14" t="s">
        <v>803</v>
      </c>
      <c r="G3026" s="15" t="s">
        <v>154</v>
      </c>
      <c r="H3026" s="15" t="s">
        <v>901</v>
      </c>
      <c r="I3026" s="69">
        <v>194</v>
      </c>
      <c r="J3026" s="13" t="s">
        <v>2672</v>
      </c>
      <c r="K3026" s="15" t="s">
        <v>903</v>
      </c>
      <c r="L3026" s="15" t="s">
        <v>2673</v>
      </c>
      <c r="M3026" s="15" t="s">
        <v>2672</v>
      </c>
      <c r="N3026" s="15" t="s">
        <v>2673</v>
      </c>
      <c r="O3026" s="15"/>
    </row>
    <row r="3027" spans="1:15" ht="18" customHeight="1" x14ac:dyDescent="0.3">
      <c r="A3027" s="29">
        <v>3026</v>
      </c>
      <c r="B3027" s="15" t="s">
        <v>127</v>
      </c>
      <c r="C3027" s="15" t="s">
        <v>132</v>
      </c>
      <c r="D3027" s="69">
        <v>218</v>
      </c>
      <c r="E3027" s="68" t="s">
        <v>232</v>
      </c>
      <c r="F3027" s="14" t="s">
        <v>803</v>
      </c>
      <c r="G3027" s="15" t="s">
        <v>154</v>
      </c>
      <c r="H3027" s="15" t="s">
        <v>904</v>
      </c>
      <c r="I3027" s="69">
        <v>135</v>
      </c>
      <c r="J3027" s="13" t="s">
        <v>902</v>
      </c>
      <c r="K3027" s="15" t="s">
        <v>903</v>
      </c>
      <c r="L3027" s="15" t="s">
        <v>2673</v>
      </c>
      <c r="M3027" s="15" t="s">
        <v>2672</v>
      </c>
      <c r="N3027" s="15" t="s">
        <v>2673</v>
      </c>
      <c r="O3027" s="15"/>
    </row>
    <row r="3028" spans="1:15" ht="18" customHeight="1" x14ac:dyDescent="0.3">
      <c r="A3028" s="29">
        <v>3027</v>
      </c>
      <c r="B3028" s="15" t="s">
        <v>127</v>
      </c>
      <c r="C3028" s="15" t="s">
        <v>132</v>
      </c>
      <c r="D3028" s="69">
        <v>218</v>
      </c>
      <c r="E3028" s="68" t="s">
        <v>232</v>
      </c>
      <c r="F3028" s="14" t="s">
        <v>803</v>
      </c>
      <c r="G3028" s="15" t="s">
        <v>154</v>
      </c>
      <c r="H3028" s="15" t="s">
        <v>905</v>
      </c>
      <c r="I3028" s="69">
        <v>209</v>
      </c>
      <c r="J3028" s="13" t="s">
        <v>902</v>
      </c>
      <c r="K3028" s="15" t="s">
        <v>903</v>
      </c>
      <c r="L3028" s="15" t="s">
        <v>2673</v>
      </c>
      <c r="M3028" s="15" t="s">
        <v>2672</v>
      </c>
      <c r="N3028" s="15" t="s">
        <v>2673</v>
      </c>
      <c r="O3028" s="15"/>
    </row>
    <row r="3029" spans="1:15" ht="18" customHeight="1" x14ac:dyDescent="0.3">
      <c r="A3029" s="29">
        <v>3028</v>
      </c>
      <c r="B3029" s="15" t="s">
        <v>127</v>
      </c>
      <c r="C3029" s="15" t="s">
        <v>132</v>
      </c>
      <c r="D3029" s="69">
        <v>218</v>
      </c>
      <c r="E3029" s="68" t="s">
        <v>232</v>
      </c>
      <c r="F3029" s="14" t="s">
        <v>803</v>
      </c>
      <c r="G3029" s="15" t="s">
        <v>154</v>
      </c>
      <c r="H3029" s="15" t="s">
        <v>906</v>
      </c>
      <c r="I3029" s="69">
        <v>114</v>
      </c>
      <c r="J3029" s="13" t="s">
        <v>2672</v>
      </c>
      <c r="K3029" s="15" t="s">
        <v>903</v>
      </c>
      <c r="L3029" s="15" t="s">
        <v>2673</v>
      </c>
      <c r="M3029" s="15" t="s">
        <v>2672</v>
      </c>
      <c r="N3029" s="15" t="s">
        <v>2673</v>
      </c>
      <c r="O3029" s="15"/>
    </row>
    <row r="3030" spans="1:15" ht="18" customHeight="1" x14ac:dyDescent="0.3">
      <c r="A3030" s="29">
        <v>3029</v>
      </c>
      <c r="B3030" s="15" t="s">
        <v>127</v>
      </c>
      <c r="C3030" s="15" t="s">
        <v>132</v>
      </c>
      <c r="D3030" s="69">
        <v>218</v>
      </c>
      <c r="E3030" s="68" t="s">
        <v>232</v>
      </c>
      <c r="F3030" s="14" t="s">
        <v>803</v>
      </c>
      <c r="G3030" s="15" t="s">
        <v>154</v>
      </c>
      <c r="H3030" s="15" t="s">
        <v>907</v>
      </c>
      <c r="I3030" s="69">
        <v>161</v>
      </c>
      <c r="J3030" s="13" t="s">
        <v>2672</v>
      </c>
      <c r="K3030" s="15" t="s">
        <v>903</v>
      </c>
      <c r="L3030" s="15" t="s">
        <v>2673</v>
      </c>
      <c r="M3030" s="15" t="s">
        <v>2672</v>
      </c>
      <c r="N3030" s="15" t="s">
        <v>2673</v>
      </c>
      <c r="O3030" s="15"/>
    </row>
    <row r="3031" spans="1:15" ht="18" customHeight="1" x14ac:dyDescent="0.3">
      <c r="A3031" s="29">
        <v>3030</v>
      </c>
      <c r="B3031" s="15" t="s">
        <v>127</v>
      </c>
      <c r="C3031" s="15" t="s">
        <v>132</v>
      </c>
      <c r="D3031" s="69">
        <v>218</v>
      </c>
      <c r="E3031" s="68" t="s">
        <v>232</v>
      </c>
      <c r="F3031" s="14" t="s">
        <v>803</v>
      </c>
      <c r="G3031" s="15" t="s">
        <v>154</v>
      </c>
      <c r="H3031" s="15" t="s">
        <v>908</v>
      </c>
      <c r="I3031" s="69">
        <v>119</v>
      </c>
      <c r="J3031" s="13" t="s">
        <v>2672</v>
      </c>
      <c r="K3031" s="15" t="s">
        <v>903</v>
      </c>
      <c r="L3031" s="15" t="s">
        <v>2673</v>
      </c>
      <c r="M3031" s="15" t="s">
        <v>2672</v>
      </c>
      <c r="N3031" s="15" t="s">
        <v>2673</v>
      </c>
      <c r="O3031" s="15"/>
    </row>
    <row r="3032" spans="1:15" ht="18" customHeight="1" x14ac:dyDescent="0.3">
      <c r="A3032" s="29">
        <v>3031</v>
      </c>
      <c r="B3032" s="15" t="s">
        <v>127</v>
      </c>
      <c r="C3032" s="15" t="s">
        <v>132</v>
      </c>
      <c r="D3032" s="69">
        <v>218</v>
      </c>
      <c r="E3032" s="68" t="s">
        <v>232</v>
      </c>
      <c r="F3032" s="14" t="s">
        <v>803</v>
      </c>
      <c r="G3032" s="15" t="s">
        <v>154</v>
      </c>
      <c r="H3032" s="15" t="s">
        <v>909</v>
      </c>
      <c r="I3032" s="69">
        <v>174</v>
      </c>
      <c r="J3032" s="13" t="s">
        <v>2672</v>
      </c>
      <c r="K3032" s="15" t="s">
        <v>903</v>
      </c>
      <c r="L3032" s="15" t="s">
        <v>2673</v>
      </c>
      <c r="M3032" s="15" t="s">
        <v>2672</v>
      </c>
      <c r="N3032" s="15" t="s">
        <v>2673</v>
      </c>
      <c r="O3032" s="15"/>
    </row>
    <row r="3033" spans="1:15" ht="18" customHeight="1" x14ac:dyDescent="0.3">
      <c r="A3033" s="29">
        <v>3032</v>
      </c>
      <c r="B3033" s="15" t="s">
        <v>127</v>
      </c>
      <c r="C3033" s="15" t="s">
        <v>132</v>
      </c>
      <c r="D3033" s="69">
        <v>218</v>
      </c>
      <c r="E3033" s="68" t="s">
        <v>232</v>
      </c>
      <c r="F3033" s="14" t="s">
        <v>803</v>
      </c>
      <c r="G3033" s="15" t="s">
        <v>154</v>
      </c>
      <c r="H3033" s="15" t="s">
        <v>910</v>
      </c>
      <c r="I3033" s="69">
        <v>98</v>
      </c>
      <c r="J3033" s="13" t="s">
        <v>2672</v>
      </c>
      <c r="K3033" s="15" t="s">
        <v>903</v>
      </c>
      <c r="L3033" s="15" t="s">
        <v>2673</v>
      </c>
      <c r="M3033" s="15" t="s">
        <v>2672</v>
      </c>
      <c r="N3033" s="15" t="s">
        <v>2673</v>
      </c>
      <c r="O3033" s="15"/>
    </row>
    <row r="3034" spans="1:15" ht="18" customHeight="1" x14ac:dyDescent="0.3">
      <c r="A3034" s="29">
        <v>3033</v>
      </c>
      <c r="B3034" s="15" t="s">
        <v>127</v>
      </c>
      <c r="C3034" s="15" t="s">
        <v>132</v>
      </c>
      <c r="D3034" s="69">
        <v>218</v>
      </c>
      <c r="E3034" s="68" t="s">
        <v>3021</v>
      </c>
      <c r="F3034" s="21" t="s">
        <v>808</v>
      </c>
      <c r="G3034" s="15" t="s">
        <v>154</v>
      </c>
      <c r="H3034" s="15" t="s">
        <v>901</v>
      </c>
      <c r="I3034" s="69">
        <v>149</v>
      </c>
      <c r="J3034" s="15" t="s">
        <v>2674</v>
      </c>
      <c r="K3034" s="15" t="s">
        <v>903</v>
      </c>
      <c r="L3034" s="15" t="s">
        <v>2673</v>
      </c>
      <c r="M3034" s="15" t="s">
        <v>2672</v>
      </c>
      <c r="N3034" s="15" t="s">
        <v>2673</v>
      </c>
      <c r="O3034" s="15"/>
    </row>
    <row r="3035" spans="1:15" ht="18" customHeight="1" x14ac:dyDescent="0.3">
      <c r="A3035" s="29">
        <v>3034</v>
      </c>
      <c r="B3035" s="15" t="s">
        <v>127</v>
      </c>
      <c r="C3035" s="15" t="s">
        <v>132</v>
      </c>
      <c r="D3035" s="69">
        <v>218</v>
      </c>
      <c r="E3035" s="68" t="s">
        <v>3021</v>
      </c>
      <c r="F3035" s="21" t="s">
        <v>808</v>
      </c>
      <c r="G3035" s="15" t="s">
        <v>154</v>
      </c>
      <c r="H3035" s="15" t="s">
        <v>904</v>
      </c>
      <c r="I3035" s="69">
        <v>91</v>
      </c>
      <c r="J3035" s="15" t="s">
        <v>2672</v>
      </c>
      <c r="K3035" s="15" t="s">
        <v>903</v>
      </c>
      <c r="L3035" s="15" t="s">
        <v>2673</v>
      </c>
      <c r="M3035" s="15" t="s">
        <v>2672</v>
      </c>
      <c r="N3035" s="15" t="s">
        <v>2673</v>
      </c>
      <c r="O3035" s="15"/>
    </row>
    <row r="3036" spans="1:15" ht="18" customHeight="1" x14ac:dyDescent="0.3">
      <c r="A3036" s="29">
        <v>3035</v>
      </c>
      <c r="B3036" s="15" t="s">
        <v>127</v>
      </c>
      <c r="C3036" s="15" t="s">
        <v>132</v>
      </c>
      <c r="D3036" s="69">
        <v>218</v>
      </c>
      <c r="E3036" s="68" t="s">
        <v>3021</v>
      </c>
      <c r="F3036" s="21" t="s">
        <v>808</v>
      </c>
      <c r="G3036" s="15" t="s">
        <v>154</v>
      </c>
      <c r="H3036" s="15" t="s">
        <v>905</v>
      </c>
      <c r="I3036" s="69">
        <v>83</v>
      </c>
      <c r="J3036" s="15" t="s">
        <v>2672</v>
      </c>
      <c r="K3036" s="15" t="s">
        <v>903</v>
      </c>
      <c r="L3036" s="15" t="s">
        <v>2673</v>
      </c>
      <c r="M3036" s="15" t="s">
        <v>2672</v>
      </c>
      <c r="N3036" s="15" t="s">
        <v>2673</v>
      </c>
      <c r="O3036" s="15"/>
    </row>
    <row r="3037" spans="1:15" ht="18" customHeight="1" x14ac:dyDescent="0.3">
      <c r="A3037" s="29">
        <v>3036</v>
      </c>
      <c r="B3037" s="15" t="s">
        <v>127</v>
      </c>
      <c r="C3037" s="15" t="s">
        <v>132</v>
      </c>
      <c r="D3037" s="69">
        <v>218</v>
      </c>
      <c r="E3037" s="68" t="s">
        <v>3021</v>
      </c>
      <c r="F3037" s="21" t="s">
        <v>808</v>
      </c>
      <c r="G3037" s="15" t="s">
        <v>154</v>
      </c>
      <c r="H3037" s="15" t="s">
        <v>906</v>
      </c>
      <c r="I3037" s="69">
        <v>73</v>
      </c>
      <c r="J3037" s="15" t="s">
        <v>2672</v>
      </c>
      <c r="K3037" s="15" t="s">
        <v>903</v>
      </c>
      <c r="L3037" s="15" t="s">
        <v>2673</v>
      </c>
      <c r="M3037" s="15" t="s">
        <v>2672</v>
      </c>
      <c r="N3037" s="15" t="s">
        <v>2673</v>
      </c>
      <c r="O3037" s="15"/>
    </row>
    <row r="3038" spans="1:15" ht="18" customHeight="1" x14ac:dyDescent="0.3">
      <c r="A3038" s="29">
        <v>3037</v>
      </c>
      <c r="B3038" s="15" t="s">
        <v>127</v>
      </c>
      <c r="C3038" s="15" t="s">
        <v>132</v>
      </c>
      <c r="D3038" s="69">
        <v>218</v>
      </c>
      <c r="E3038" s="68" t="s">
        <v>3021</v>
      </c>
      <c r="F3038" s="21" t="s">
        <v>808</v>
      </c>
      <c r="G3038" s="15" t="s">
        <v>154</v>
      </c>
      <c r="H3038" s="15" t="s">
        <v>907</v>
      </c>
      <c r="I3038" s="69">
        <v>106</v>
      </c>
      <c r="J3038" s="15" t="s">
        <v>2672</v>
      </c>
      <c r="K3038" s="15" t="s">
        <v>903</v>
      </c>
      <c r="L3038" s="15" t="s">
        <v>2673</v>
      </c>
      <c r="M3038" s="15" t="s">
        <v>2672</v>
      </c>
      <c r="N3038" s="15" t="s">
        <v>2673</v>
      </c>
      <c r="O3038" s="15"/>
    </row>
    <row r="3039" spans="1:15" ht="18" customHeight="1" x14ac:dyDescent="0.3">
      <c r="A3039" s="29">
        <v>3038</v>
      </c>
      <c r="B3039" s="15" t="s">
        <v>127</v>
      </c>
      <c r="C3039" s="15" t="s">
        <v>132</v>
      </c>
      <c r="D3039" s="69">
        <v>218</v>
      </c>
      <c r="E3039" s="68" t="s">
        <v>278</v>
      </c>
      <c r="F3039" s="24" t="s">
        <v>806</v>
      </c>
      <c r="G3039" s="15" t="s">
        <v>154</v>
      </c>
      <c r="H3039" s="15" t="s">
        <v>901</v>
      </c>
      <c r="I3039" s="69">
        <v>166</v>
      </c>
      <c r="J3039" s="15" t="s">
        <v>2672</v>
      </c>
      <c r="K3039" s="15" t="s">
        <v>903</v>
      </c>
      <c r="L3039" s="15" t="s">
        <v>2673</v>
      </c>
      <c r="M3039" s="15" t="s">
        <v>2672</v>
      </c>
      <c r="N3039" s="15" t="s">
        <v>2673</v>
      </c>
      <c r="O3039" s="15"/>
    </row>
    <row r="3040" spans="1:15" ht="18" customHeight="1" x14ac:dyDescent="0.3">
      <c r="A3040" s="29">
        <v>3039</v>
      </c>
      <c r="B3040" s="15" t="s">
        <v>127</v>
      </c>
      <c r="C3040" s="15" t="s">
        <v>132</v>
      </c>
      <c r="D3040" s="69">
        <v>218</v>
      </c>
      <c r="E3040" s="68" t="s">
        <v>278</v>
      </c>
      <c r="F3040" s="24" t="s">
        <v>806</v>
      </c>
      <c r="G3040" s="15" t="s">
        <v>154</v>
      </c>
      <c r="H3040" s="15" t="s">
        <v>904</v>
      </c>
      <c r="I3040" s="69">
        <v>119</v>
      </c>
      <c r="J3040" s="15" t="s">
        <v>2672</v>
      </c>
      <c r="K3040" s="15" t="s">
        <v>903</v>
      </c>
      <c r="L3040" s="15" t="s">
        <v>2673</v>
      </c>
      <c r="M3040" s="15" t="s">
        <v>2672</v>
      </c>
      <c r="N3040" s="15" t="s">
        <v>2673</v>
      </c>
      <c r="O3040" s="15"/>
    </row>
    <row r="3041" spans="1:15" ht="18" customHeight="1" x14ac:dyDescent="0.3">
      <c r="A3041" s="29">
        <v>3040</v>
      </c>
      <c r="B3041" s="15" t="s">
        <v>127</v>
      </c>
      <c r="C3041" s="15" t="s">
        <v>132</v>
      </c>
      <c r="D3041" s="69">
        <v>218</v>
      </c>
      <c r="E3041" s="68" t="s">
        <v>278</v>
      </c>
      <c r="F3041" s="24" t="s">
        <v>806</v>
      </c>
      <c r="G3041" s="15" t="s">
        <v>154</v>
      </c>
      <c r="H3041" s="15" t="s">
        <v>905</v>
      </c>
      <c r="I3041" s="69">
        <v>168</v>
      </c>
      <c r="J3041" s="15" t="s">
        <v>2674</v>
      </c>
      <c r="K3041" s="15" t="s">
        <v>903</v>
      </c>
      <c r="L3041" s="15" t="s">
        <v>2673</v>
      </c>
      <c r="M3041" s="15" t="s">
        <v>2672</v>
      </c>
      <c r="N3041" s="15" t="s">
        <v>2673</v>
      </c>
      <c r="O3041" s="15"/>
    </row>
    <row r="3042" spans="1:15" ht="18" customHeight="1" x14ac:dyDescent="0.3">
      <c r="A3042" s="29">
        <v>3041</v>
      </c>
      <c r="B3042" s="15" t="s">
        <v>127</v>
      </c>
      <c r="C3042" s="15" t="s">
        <v>132</v>
      </c>
      <c r="D3042" s="69">
        <v>218</v>
      </c>
      <c r="E3042" s="68" t="s">
        <v>278</v>
      </c>
      <c r="F3042" s="24" t="s">
        <v>806</v>
      </c>
      <c r="G3042" s="15" t="s">
        <v>154</v>
      </c>
      <c r="H3042" s="15" t="s">
        <v>906</v>
      </c>
      <c r="I3042" s="69">
        <v>168</v>
      </c>
      <c r="J3042" s="15" t="s">
        <v>2672</v>
      </c>
      <c r="K3042" s="15" t="s">
        <v>903</v>
      </c>
      <c r="L3042" s="15" t="s">
        <v>2673</v>
      </c>
      <c r="M3042" s="15" t="s">
        <v>2672</v>
      </c>
      <c r="N3042" s="15" t="s">
        <v>2673</v>
      </c>
      <c r="O3042" s="15"/>
    </row>
    <row r="3043" spans="1:15" ht="18" customHeight="1" x14ac:dyDescent="0.3">
      <c r="A3043" s="29">
        <v>3042</v>
      </c>
      <c r="B3043" s="15" t="s">
        <v>127</v>
      </c>
      <c r="C3043" s="15" t="s">
        <v>132</v>
      </c>
      <c r="D3043" s="69">
        <v>218</v>
      </c>
      <c r="E3043" s="68" t="s">
        <v>278</v>
      </c>
      <c r="F3043" s="24" t="s">
        <v>806</v>
      </c>
      <c r="G3043" s="15" t="s">
        <v>154</v>
      </c>
      <c r="H3043" s="15" t="s">
        <v>907</v>
      </c>
      <c r="I3043" s="69">
        <v>153</v>
      </c>
      <c r="J3043" s="15" t="s">
        <v>2672</v>
      </c>
      <c r="K3043" s="15" t="s">
        <v>903</v>
      </c>
      <c r="L3043" s="15" t="s">
        <v>2673</v>
      </c>
      <c r="M3043" s="15" t="s">
        <v>2672</v>
      </c>
      <c r="N3043" s="15" t="s">
        <v>2673</v>
      </c>
      <c r="O3043" s="15"/>
    </row>
    <row r="3044" spans="1:15" ht="18" customHeight="1" x14ac:dyDescent="0.3">
      <c r="A3044" s="29">
        <v>3043</v>
      </c>
      <c r="B3044" s="15" t="s">
        <v>127</v>
      </c>
      <c r="C3044" s="15" t="s">
        <v>132</v>
      </c>
      <c r="D3044" s="69">
        <v>218</v>
      </c>
      <c r="E3044" s="68" t="s">
        <v>278</v>
      </c>
      <c r="F3044" s="24" t="s">
        <v>806</v>
      </c>
      <c r="G3044" s="15" t="s">
        <v>154</v>
      </c>
      <c r="H3044" s="15" t="s">
        <v>908</v>
      </c>
      <c r="I3044" s="69">
        <v>202</v>
      </c>
      <c r="J3044" s="15" t="s">
        <v>2674</v>
      </c>
      <c r="K3044" s="15" t="s">
        <v>903</v>
      </c>
      <c r="L3044" s="15" t="s">
        <v>2673</v>
      </c>
      <c r="M3044" s="15" t="s">
        <v>2672</v>
      </c>
      <c r="N3044" s="15" t="s">
        <v>2673</v>
      </c>
      <c r="O3044" s="15"/>
    </row>
    <row r="3045" spans="1:15" ht="18" customHeight="1" x14ac:dyDescent="0.3">
      <c r="A3045" s="29">
        <v>3044</v>
      </c>
      <c r="B3045" s="15" t="s">
        <v>127</v>
      </c>
      <c r="C3045" s="15" t="s">
        <v>133</v>
      </c>
      <c r="D3045" s="69">
        <v>219</v>
      </c>
      <c r="E3045" s="68" t="s">
        <v>262</v>
      </c>
      <c r="F3045" s="24" t="s">
        <v>819</v>
      </c>
      <c r="G3045" s="15" t="s">
        <v>164</v>
      </c>
      <c r="H3045" s="15" t="s">
        <v>901</v>
      </c>
      <c r="I3045" s="69">
        <v>191</v>
      </c>
      <c r="J3045" s="13" t="s">
        <v>2674</v>
      </c>
      <c r="K3045" s="15" t="s">
        <v>903</v>
      </c>
      <c r="L3045" s="15" t="s">
        <v>2673</v>
      </c>
      <c r="M3045" s="15" t="s">
        <v>2672</v>
      </c>
      <c r="N3045" s="15" t="s">
        <v>2673</v>
      </c>
      <c r="O3045" s="15"/>
    </row>
    <row r="3046" spans="1:15" ht="18" customHeight="1" x14ac:dyDescent="0.3">
      <c r="A3046" s="29">
        <v>3045</v>
      </c>
      <c r="B3046" s="15" t="s">
        <v>127</v>
      </c>
      <c r="C3046" s="15" t="s">
        <v>133</v>
      </c>
      <c r="D3046" s="69">
        <v>219</v>
      </c>
      <c r="E3046" s="68" t="s">
        <v>262</v>
      </c>
      <c r="F3046" s="24" t="s">
        <v>819</v>
      </c>
      <c r="G3046" s="15" t="s">
        <v>164</v>
      </c>
      <c r="H3046" s="15" t="s">
        <v>904</v>
      </c>
      <c r="I3046" s="69">
        <v>152</v>
      </c>
      <c r="J3046" s="13" t="s">
        <v>2674</v>
      </c>
      <c r="K3046" s="15" t="s">
        <v>903</v>
      </c>
      <c r="L3046" s="15" t="s">
        <v>2673</v>
      </c>
      <c r="M3046" s="15" t="s">
        <v>2672</v>
      </c>
      <c r="N3046" s="15" t="s">
        <v>2673</v>
      </c>
      <c r="O3046" s="15"/>
    </row>
    <row r="3047" spans="1:15" ht="18" customHeight="1" x14ac:dyDescent="0.3">
      <c r="A3047" s="29">
        <v>3046</v>
      </c>
      <c r="B3047" s="15" t="s">
        <v>127</v>
      </c>
      <c r="C3047" s="15" t="s">
        <v>133</v>
      </c>
      <c r="D3047" s="69">
        <v>219</v>
      </c>
      <c r="E3047" s="68" t="s">
        <v>262</v>
      </c>
      <c r="F3047" s="24" t="s">
        <v>819</v>
      </c>
      <c r="G3047" s="15" t="s">
        <v>164</v>
      </c>
      <c r="H3047" s="15" t="s">
        <v>905</v>
      </c>
      <c r="I3047" s="69">
        <v>60</v>
      </c>
      <c r="J3047" s="13" t="s">
        <v>2672</v>
      </c>
      <c r="K3047" s="15" t="s">
        <v>2674</v>
      </c>
      <c r="L3047" s="15" t="s">
        <v>2525</v>
      </c>
      <c r="M3047" s="15" t="s">
        <v>2672</v>
      </c>
      <c r="N3047" s="15" t="s">
        <v>2673</v>
      </c>
      <c r="O3047" s="15"/>
    </row>
    <row r="3048" spans="1:15" ht="18" customHeight="1" x14ac:dyDescent="0.3">
      <c r="A3048" s="29">
        <v>3047</v>
      </c>
      <c r="B3048" s="15" t="s">
        <v>127</v>
      </c>
      <c r="C3048" s="15" t="s">
        <v>133</v>
      </c>
      <c r="D3048" s="69">
        <v>219</v>
      </c>
      <c r="E3048" s="68" t="s">
        <v>262</v>
      </c>
      <c r="F3048" s="24" t="s">
        <v>819</v>
      </c>
      <c r="G3048" s="15" t="s">
        <v>164</v>
      </c>
      <c r="H3048" s="15" t="s">
        <v>906</v>
      </c>
      <c r="I3048" s="69">
        <v>152</v>
      </c>
      <c r="J3048" s="13" t="s">
        <v>2672</v>
      </c>
      <c r="K3048" s="15" t="s">
        <v>903</v>
      </c>
      <c r="L3048" s="15" t="s">
        <v>2673</v>
      </c>
      <c r="M3048" s="15" t="s">
        <v>2672</v>
      </c>
      <c r="N3048" s="15" t="s">
        <v>2673</v>
      </c>
      <c r="O3048" s="15"/>
    </row>
    <row r="3049" spans="1:15" ht="18" customHeight="1" x14ac:dyDescent="0.3">
      <c r="A3049" s="29">
        <v>3048</v>
      </c>
      <c r="B3049" s="15" t="s">
        <v>127</v>
      </c>
      <c r="C3049" s="15" t="s">
        <v>133</v>
      </c>
      <c r="D3049" s="69">
        <v>219</v>
      </c>
      <c r="E3049" s="68" t="s">
        <v>262</v>
      </c>
      <c r="F3049" s="24" t="s">
        <v>819</v>
      </c>
      <c r="G3049" s="15" t="s">
        <v>164</v>
      </c>
      <c r="H3049" s="15" t="s">
        <v>907</v>
      </c>
      <c r="I3049" s="69">
        <v>152</v>
      </c>
      <c r="J3049" s="13" t="s">
        <v>2672</v>
      </c>
      <c r="K3049" s="15" t="s">
        <v>903</v>
      </c>
      <c r="L3049" s="15" t="s">
        <v>2673</v>
      </c>
      <c r="M3049" s="15" t="s">
        <v>2672</v>
      </c>
      <c r="N3049" s="15" t="s">
        <v>2673</v>
      </c>
      <c r="O3049" s="15"/>
    </row>
    <row r="3050" spans="1:15" ht="18" customHeight="1" x14ac:dyDescent="0.3">
      <c r="A3050" s="29">
        <v>3049</v>
      </c>
      <c r="B3050" s="15" t="s">
        <v>127</v>
      </c>
      <c r="C3050" s="15" t="s">
        <v>133</v>
      </c>
      <c r="D3050" s="69">
        <v>219</v>
      </c>
      <c r="E3050" s="68" t="s">
        <v>262</v>
      </c>
      <c r="F3050" s="24" t="s">
        <v>819</v>
      </c>
      <c r="G3050" s="15" t="s">
        <v>164</v>
      </c>
      <c r="H3050" s="15" t="s">
        <v>908</v>
      </c>
      <c r="I3050" s="69">
        <v>202</v>
      </c>
      <c r="J3050" s="13" t="s">
        <v>2672</v>
      </c>
      <c r="K3050" s="15" t="s">
        <v>903</v>
      </c>
      <c r="L3050" s="15" t="s">
        <v>2673</v>
      </c>
      <c r="M3050" s="15" t="s">
        <v>2672</v>
      </c>
      <c r="N3050" s="15" t="s">
        <v>2673</v>
      </c>
      <c r="O3050" s="15"/>
    </row>
    <row r="3051" spans="1:15" ht="18" customHeight="1" x14ac:dyDescent="0.3">
      <c r="A3051" s="29">
        <v>3050</v>
      </c>
      <c r="B3051" s="15" t="s">
        <v>2508</v>
      </c>
      <c r="C3051" s="15" t="s">
        <v>2531</v>
      </c>
      <c r="D3051" s="88">
        <v>220</v>
      </c>
      <c r="E3051" s="63" t="s">
        <v>2527</v>
      </c>
      <c r="F3051" s="21" t="s">
        <v>2528</v>
      </c>
      <c r="G3051" s="15" t="s">
        <v>1538</v>
      </c>
      <c r="H3051" s="15" t="s">
        <v>2685</v>
      </c>
      <c r="I3051" s="69">
        <v>76</v>
      </c>
      <c r="J3051" s="15" t="s">
        <v>2672</v>
      </c>
      <c r="K3051" s="15" t="s">
        <v>2672</v>
      </c>
      <c r="L3051" s="15" t="s">
        <v>2673</v>
      </c>
      <c r="M3051" s="15" t="s">
        <v>2672</v>
      </c>
      <c r="N3051" s="15" t="s">
        <v>2673</v>
      </c>
      <c r="O3051" s="15"/>
    </row>
    <row r="3052" spans="1:15" ht="18" customHeight="1" x14ac:dyDescent="0.3">
      <c r="A3052" s="29">
        <v>3051</v>
      </c>
      <c r="B3052" s="15" t="s">
        <v>2508</v>
      </c>
      <c r="C3052" s="15" t="s">
        <v>2531</v>
      </c>
      <c r="D3052" s="69">
        <v>220</v>
      </c>
      <c r="E3052" s="68" t="s">
        <v>2532</v>
      </c>
      <c r="F3052" s="51" t="s">
        <v>2533</v>
      </c>
      <c r="G3052" s="29" t="s">
        <v>1553</v>
      </c>
      <c r="H3052" s="15" t="s">
        <v>2685</v>
      </c>
      <c r="I3052" s="69">
        <v>102</v>
      </c>
      <c r="J3052" s="13" t="s">
        <v>2672</v>
      </c>
      <c r="K3052" s="15" t="s">
        <v>2674</v>
      </c>
      <c r="L3052" s="15" t="s">
        <v>2525</v>
      </c>
      <c r="M3052" s="15" t="s">
        <v>2672</v>
      </c>
      <c r="N3052" s="15" t="s">
        <v>2673</v>
      </c>
      <c r="O3052" s="15"/>
    </row>
    <row r="3053" spans="1:15" ht="18" customHeight="1" x14ac:dyDescent="0.3">
      <c r="A3053" s="29">
        <v>3052</v>
      </c>
      <c r="B3053" s="15" t="s">
        <v>2508</v>
      </c>
      <c r="C3053" s="15" t="s">
        <v>2531</v>
      </c>
      <c r="D3053" s="69">
        <v>220</v>
      </c>
      <c r="E3053" s="68" t="s">
        <v>2532</v>
      </c>
      <c r="F3053" s="51" t="s">
        <v>2533</v>
      </c>
      <c r="G3053" s="29" t="s">
        <v>1553</v>
      </c>
      <c r="H3053" s="15" t="s">
        <v>2678</v>
      </c>
      <c r="I3053" s="69">
        <v>102</v>
      </c>
      <c r="J3053" s="13" t="s">
        <v>2672</v>
      </c>
      <c r="K3053" s="15" t="s">
        <v>2674</v>
      </c>
      <c r="L3053" s="15" t="s">
        <v>2525</v>
      </c>
      <c r="M3053" s="15" t="s">
        <v>2672</v>
      </c>
      <c r="N3053" s="15" t="s">
        <v>2673</v>
      </c>
      <c r="O3053" s="15"/>
    </row>
    <row r="3054" spans="1:15" ht="18" customHeight="1" x14ac:dyDescent="0.3">
      <c r="A3054" s="29">
        <v>3053</v>
      </c>
      <c r="B3054" s="15" t="s">
        <v>2508</v>
      </c>
      <c r="C3054" s="15" t="s">
        <v>2531</v>
      </c>
      <c r="D3054" s="69">
        <v>220</v>
      </c>
      <c r="E3054" s="68" t="s">
        <v>2532</v>
      </c>
      <c r="F3054" s="51" t="s">
        <v>2533</v>
      </c>
      <c r="G3054" s="29" t="s">
        <v>1553</v>
      </c>
      <c r="H3054" s="15" t="s">
        <v>2679</v>
      </c>
      <c r="I3054" s="69">
        <v>102</v>
      </c>
      <c r="J3054" s="13" t="s">
        <v>2672</v>
      </c>
      <c r="K3054" s="15" t="s">
        <v>2674</v>
      </c>
      <c r="L3054" s="15" t="s">
        <v>2525</v>
      </c>
      <c r="M3054" s="15" t="s">
        <v>2672</v>
      </c>
      <c r="N3054" s="15" t="s">
        <v>2673</v>
      </c>
      <c r="O3054" s="15"/>
    </row>
    <row r="3055" spans="1:15" ht="18" customHeight="1" x14ac:dyDescent="0.3">
      <c r="A3055" s="29">
        <v>3054</v>
      </c>
      <c r="B3055" s="15" t="s">
        <v>2508</v>
      </c>
      <c r="C3055" s="15" t="s">
        <v>2531</v>
      </c>
      <c r="D3055" s="69">
        <v>220</v>
      </c>
      <c r="E3055" s="68" t="s">
        <v>2532</v>
      </c>
      <c r="F3055" s="51" t="s">
        <v>2533</v>
      </c>
      <c r="G3055" s="29" t="s">
        <v>1553</v>
      </c>
      <c r="H3055" s="15" t="s">
        <v>2680</v>
      </c>
      <c r="I3055" s="69">
        <v>102</v>
      </c>
      <c r="J3055" s="13" t="s">
        <v>2672</v>
      </c>
      <c r="K3055" s="15" t="s">
        <v>2674</v>
      </c>
      <c r="L3055" s="15" t="s">
        <v>2525</v>
      </c>
      <c r="M3055" s="15" t="s">
        <v>2672</v>
      </c>
      <c r="N3055" s="15" t="s">
        <v>2673</v>
      </c>
      <c r="O3055" s="15"/>
    </row>
    <row r="3056" spans="1:15" ht="18" customHeight="1" x14ac:dyDescent="0.3">
      <c r="A3056" s="29">
        <v>3055</v>
      </c>
      <c r="B3056" s="15" t="s">
        <v>2508</v>
      </c>
      <c r="C3056" s="15" t="s">
        <v>2531</v>
      </c>
      <c r="D3056" s="69">
        <v>220</v>
      </c>
      <c r="E3056" s="68" t="s">
        <v>2532</v>
      </c>
      <c r="F3056" s="51" t="s">
        <v>2533</v>
      </c>
      <c r="G3056" s="29" t="s">
        <v>1553</v>
      </c>
      <c r="H3056" s="15" t="s">
        <v>2690</v>
      </c>
      <c r="I3056" s="69">
        <v>102</v>
      </c>
      <c r="J3056" s="13" t="s">
        <v>2674</v>
      </c>
      <c r="K3056" s="15" t="s">
        <v>2674</v>
      </c>
      <c r="L3056" s="15" t="s">
        <v>2525</v>
      </c>
      <c r="M3056" s="15" t="s">
        <v>2672</v>
      </c>
      <c r="N3056" s="15" t="s">
        <v>2673</v>
      </c>
      <c r="O3056" s="15"/>
    </row>
    <row r="3057" spans="1:15" ht="18" customHeight="1" x14ac:dyDescent="0.3">
      <c r="A3057" s="29">
        <v>3056</v>
      </c>
      <c r="B3057" s="15" t="s">
        <v>2508</v>
      </c>
      <c r="C3057" s="15" t="s">
        <v>2531</v>
      </c>
      <c r="D3057" s="69">
        <v>220</v>
      </c>
      <c r="E3057" s="68" t="s">
        <v>2532</v>
      </c>
      <c r="F3057" s="51" t="s">
        <v>2533</v>
      </c>
      <c r="G3057" s="29" t="s">
        <v>1553</v>
      </c>
      <c r="H3057" s="15" t="s">
        <v>2682</v>
      </c>
      <c r="I3057" s="69">
        <v>102</v>
      </c>
      <c r="J3057" s="13" t="s">
        <v>2674</v>
      </c>
      <c r="K3057" s="15" t="s">
        <v>2674</v>
      </c>
      <c r="L3057" s="15" t="s">
        <v>2525</v>
      </c>
      <c r="M3057" s="15" t="s">
        <v>2672</v>
      </c>
      <c r="N3057" s="15" t="s">
        <v>2673</v>
      </c>
      <c r="O3057" s="15"/>
    </row>
    <row r="3058" spans="1:15" ht="18" customHeight="1" x14ac:dyDescent="0.3">
      <c r="A3058" s="29">
        <v>3057</v>
      </c>
      <c r="B3058" s="15" t="s">
        <v>2508</v>
      </c>
      <c r="C3058" s="15" t="s">
        <v>3022</v>
      </c>
      <c r="D3058" s="69">
        <v>221</v>
      </c>
      <c r="E3058" s="68" t="s">
        <v>3023</v>
      </c>
      <c r="F3058" s="21" t="s">
        <v>2536</v>
      </c>
      <c r="G3058" s="15" t="s">
        <v>1553</v>
      </c>
      <c r="H3058" s="15" t="s">
        <v>2685</v>
      </c>
      <c r="I3058" s="89">
        <v>145</v>
      </c>
      <c r="J3058" s="13" t="s">
        <v>2672</v>
      </c>
      <c r="K3058" s="15" t="s">
        <v>2672</v>
      </c>
      <c r="L3058" s="15" t="s">
        <v>2673</v>
      </c>
      <c r="M3058" s="15" t="s">
        <v>2672</v>
      </c>
      <c r="N3058" s="15" t="s">
        <v>2673</v>
      </c>
      <c r="O3058" s="15"/>
    </row>
    <row r="3059" spans="1:15" ht="18" customHeight="1" x14ac:dyDescent="0.3">
      <c r="A3059" s="29">
        <v>3058</v>
      </c>
      <c r="B3059" s="15" t="s">
        <v>2508</v>
      </c>
      <c r="C3059" s="15" t="s">
        <v>3022</v>
      </c>
      <c r="D3059" s="69">
        <v>221</v>
      </c>
      <c r="E3059" s="68" t="s">
        <v>3023</v>
      </c>
      <c r="F3059" s="21" t="s">
        <v>2536</v>
      </c>
      <c r="G3059" s="15" t="s">
        <v>1553</v>
      </c>
      <c r="H3059" s="15" t="s">
        <v>2678</v>
      </c>
      <c r="I3059" s="89">
        <v>98</v>
      </c>
      <c r="J3059" s="13" t="s">
        <v>2672</v>
      </c>
      <c r="K3059" s="15" t="s">
        <v>2672</v>
      </c>
      <c r="L3059" s="15" t="s">
        <v>2673</v>
      </c>
      <c r="M3059" s="15" t="s">
        <v>2672</v>
      </c>
      <c r="N3059" s="15" t="s">
        <v>2673</v>
      </c>
      <c r="O3059" s="15"/>
    </row>
    <row r="3060" spans="1:15" ht="18" customHeight="1" x14ac:dyDescent="0.3">
      <c r="A3060" s="29">
        <v>3059</v>
      </c>
      <c r="B3060" s="15" t="s">
        <v>2508</v>
      </c>
      <c r="C3060" s="15" t="s">
        <v>3022</v>
      </c>
      <c r="D3060" s="69">
        <v>221</v>
      </c>
      <c r="E3060" s="68" t="s">
        <v>3023</v>
      </c>
      <c r="F3060" s="21" t="s">
        <v>2536</v>
      </c>
      <c r="G3060" s="15" t="s">
        <v>1553</v>
      </c>
      <c r="H3060" s="15" t="s">
        <v>2679</v>
      </c>
      <c r="I3060" s="89">
        <v>174</v>
      </c>
      <c r="J3060" s="13" t="s">
        <v>2672</v>
      </c>
      <c r="K3060" s="15" t="s">
        <v>2672</v>
      </c>
      <c r="L3060" s="15" t="s">
        <v>2673</v>
      </c>
      <c r="M3060" s="15" t="s">
        <v>2672</v>
      </c>
      <c r="N3060" s="15" t="s">
        <v>2673</v>
      </c>
      <c r="O3060" s="15"/>
    </row>
    <row r="3061" spans="1:15" ht="18" customHeight="1" x14ac:dyDescent="0.3">
      <c r="A3061" s="29">
        <v>3060</v>
      </c>
      <c r="B3061" s="15" t="s">
        <v>2508</v>
      </c>
      <c r="C3061" s="15" t="s">
        <v>3022</v>
      </c>
      <c r="D3061" s="69">
        <v>221</v>
      </c>
      <c r="E3061" s="68" t="s">
        <v>3023</v>
      </c>
      <c r="F3061" s="21" t="s">
        <v>2536</v>
      </c>
      <c r="G3061" s="15" t="s">
        <v>1553</v>
      </c>
      <c r="H3061" s="15" t="s">
        <v>2680</v>
      </c>
      <c r="I3061" s="89">
        <v>54</v>
      </c>
      <c r="J3061" s="13" t="s">
        <v>2672</v>
      </c>
      <c r="K3061" s="15" t="s">
        <v>2674</v>
      </c>
      <c r="L3061" s="15" t="s">
        <v>2525</v>
      </c>
      <c r="M3061" s="15" t="s">
        <v>2672</v>
      </c>
      <c r="N3061" s="15" t="s">
        <v>2673</v>
      </c>
      <c r="O3061" s="15"/>
    </row>
    <row r="3062" spans="1:15" ht="18" customHeight="1" x14ac:dyDescent="0.3">
      <c r="A3062" s="29">
        <v>3061</v>
      </c>
      <c r="B3062" s="15" t="s">
        <v>127</v>
      </c>
      <c r="C3062" s="15" t="s">
        <v>134</v>
      </c>
      <c r="D3062" s="69">
        <v>222</v>
      </c>
      <c r="E3062" s="68" t="s">
        <v>925</v>
      </c>
      <c r="F3062" s="21" t="s">
        <v>814</v>
      </c>
      <c r="G3062" s="15" t="s">
        <v>154</v>
      </c>
      <c r="H3062" s="15" t="s">
        <v>901</v>
      </c>
      <c r="I3062" s="69">
        <v>105</v>
      </c>
      <c r="J3062" s="15" t="s">
        <v>2672</v>
      </c>
      <c r="K3062" s="15" t="s">
        <v>903</v>
      </c>
      <c r="L3062" s="15" t="s">
        <v>2673</v>
      </c>
      <c r="M3062" s="15" t="s">
        <v>2672</v>
      </c>
      <c r="N3062" s="15" t="s">
        <v>2673</v>
      </c>
      <c r="O3062" s="15"/>
    </row>
    <row r="3063" spans="1:15" ht="18" customHeight="1" x14ac:dyDescent="0.3">
      <c r="A3063" s="29">
        <v>3062</v>
      </c>
      <c r="B3063" s="15" t="s">
        <v>127</v>
      </c>
      <c r="C3063" s="15" t="s">
        <v>134</v>
      </c>
      <c r="D3063" s="69">
        <v>222</v>
      </c>
      <c r="E3063" s="68" t="s">
        <v>925</v>
      </c>
      <c r="F3063" s="21" t="s">
        <v>814</v>
      </c>
      <c r="G3063" s="15" t="s">
        <v>154</v>
      </c>
      <c r="H3063" s="15" t="s">
        <v>904</v>
      </c>
      <c r="I3063" s="69">
        <v>93</v>
      </c>
      <c r="J3063" s="15" t="s">
        <v>2672</v>
      </c>
      <c r="K3063" s="15" t="s">
        <v>903</v>
      </c>
      <c r="L3063" s="15" t="s">
        <v>2673</v>
      </c>
      <c r="M3063" s="15" t="s">
        <v>2672</v>
      </c>
      <c r="N3063" s="15" t="s">
        <v>2673</v>
      </c>
      <c r="O3063" s="15"/>
    </row>
    <row r="3064" spans="1:15" ht="18" customHeight="1" x14ac:dyDescent="0.3">
      <c r="A3064" s="29">
        <v>3063</v>
      </c>
      <c r="B3064" s="15" t="s">
        <v>127</v>
      </c>
      <c r="C3064" s="15" t="s">
        <v>134</v>
      </c>
      <c r="D3064" s="69">
        <v>222</v>
      </c>
      <c r="E3064" s="68" t="s">
        <v>925</v>
      </c>
      <c r="F3064" s="21" t="s">
        <v>814</v>
      </c>
      <c r="G3064" s="15" t="s">
        <v>154</v>
      </c>
      <c r="H3064" s="15" t="s">
        <v>905</v>
      </c>
      <c r="I3064" s="69">
        <v>61</v>
      </c>
      <c r="J3064" s="15" t="s">
        <v>2672</v>
      </c>
      <c r="K3064" s="15" t="s">
        <v>903</v>
      </c>
      <c r="L3064" s="15" t="s">
        <v>2673</v>
      </c>
      <c r="M3064" s="15" t="s">
        <v>2672</v>
      </c>
      <c r="N3064" s="15" t="s">
        <v>2673</v>
      </c>
      <c r="O3064" s="15"/>
    </row>
    <row r="3065" spans="1:15" ht="18" customHeight="1" x14ac:dyDescent="0.3">
      <c r="A3065" s="29">
        <v>3064</v>
      </c>
      <c r="B3065" s="15" t="s">
        <v>2508</v>
      </c>
      <c r="C3065" s="15" t="s">
        <v>2537</v>
      </c>
      <c r="D3065" s="69">
        <v>223</v>
      </c>
      <c r="E3065" s="68" t="s">
        <v>3409</v>
      </c>
      <c r="F3065" s="51" t="s">
        <v>2539</v>
      </c>
      <c r="G3065" s="15" t="s">
        <v>1553</v>
      </c>
      <c r="H3065" s="15" t="s">
        <v>2685</v>
      </c>
      <c r="I3065" s="69">
        <v>81</v>
      </c>
      <c r="J3065" s="15" t="s">
        <v>2672</v>
      </c>
      <c r="K3065" s="15" t="s">
        <v>903</v>
      </c>
      <c r="L3065" s="15" t="s">
        <v>2673</v>
      </c>
      <c r="M3065" s="15" t="s">
        <v>2672</v>
      </c>
      <c r="N3065" s="15" t="s">
        <v>2673</v>
      </c>
      <c r="O3065" s="15"/>
    </row>
    <row r="3066" spans="1:15" ht="18" customHeight="1" x14ac:dyDescent="0.3">
      <c r="A3066" s="29">
        <v>3065</v>
      </c>
      <c r="B3066" s="15" t="s">
        <v>2508</v>
      </c>
      <c r="C3066" s="15" t="s">
        <v>2537</v>
      </c>
      <c r="D3066" s="69">
        <v>223</v>
      </c>
      <c r="E3066" s="68" t="s">
        <v>3409</v>
      </c>
      <c r="F3066" s="51" t="s">
        <v>2539</v>
      </c>
      <c r="G3066" s="15" t="s">
        <v>1553</v>
      </c>
      <c r="H3066" s="15" t="s">
        <v>2678</v>
      </c>
      <c r="I3066" s="69">
        <v>81</v>
      </c>
      <c r="J3066" s="15" t="s">
        <v>2672</v>
      </c>
      <c r="K3066" s="15" t="s">
        <v>903</v>
      </c>
      <c r="L3066" s="15" t="s">
        <v>2673</v>
      </c>
      <c r="M3066" s="15" t="s">
        <v>2672</v>
      </c>
      <c r="N3066" s="15" t="s">
        <v>2673</v>
      </c>
      <c r="O3066" s="15"/>
    </row>
    <row r="3067" spans="1:15" ht="18" customHeight="1" x14ac:dyDescent="0.3">
      <c r="A3067" s="29">
        <v>3066</v>
      </c>
      <c r="B3067" s="15" t="s">
        <v>2508</v>
      </c>
      <c r="C3067" s="15" t="s">
        <v>2537</v>
      </c>
      <c r="D3067" s="69">
        <v>223</v>
      </c>
      <c r="E3067" s="68" t="s">
        <v>3409</v>
      </c>
      <c r="F3067" s="51" t="s">
        <v>2539</v>
      </c>
      <c r="G3067" s="15" t="s">
        <v>1553</v>
      </c>
      <c r="H3067" s="15" t="s">
        <v>2679</v>
      </c>
      <c r="I3067" s="69">
        <v>81</v>
      </c>
      <c r="J3067" s="15" t="s">
        <v>2672</v>
      </c>
      <c r="K3067" s="15" t="s">
        <v>903</v>
      </c>
      <c r="L3067" s="15" t="s">
        <v>2673</v>
      </c>
      <c r="M3067" s="15" t="s">
        <v>2672</v>
      </c>
      <c r="N3067" s="15" t="s">
        <v>2673</v>
      </c>
      <c r="O3067" s="15"/>
    </row>
    <row r="3068" spans="1:15" ht="18" customHeight="1" x14ac:dyDescent="0.3">
      <c r="A3068" s="29">
        <v>3067</v>
      </c>
      <c r="B3068" s="15" t="s">
        <v>2508</v>
      </c>
      <c r="C3068" s="15" t="s">
        <v>2537</v>
      </c>
      <c r="D3068" s="69">
        <v>223</v>
      </c>
      <c r="E3068" s="68" t="s">
        <v>3409</v>
      </c>
      <c r="F3068" s="51" t="s">
        <v>2539</v>
      </c>
      <c r="G3068" s="15" t="s">
        <v>1553</v>
      </c>
      <c r="H3068" s="15" t="s">
        <v>2680</v>
      </c>
      <c r="I3068" s="69">
        <v>75</v>
      </c>
      <c r="J3068" s="15" t="s">
        <v>2672</v>
      </c>
      <c r="K3068" s="15" t="s">
        <v>903</v>
      </c>
      <c r="L3068" s="15" t="s">
        <v>2673</v>
      </c>
      <c r="M3068" s="15" t="s">
        <v>2672</v>
      </c>
      <c r="N3068" s="15" t="s">
        <v>2673</v>
      </c>
      <c r="O3068" s="15"/>
    </row>
    <row r="3069" spans="1:15" ht="18" customHeight="1" x14ac:dyDescent="0.3">
      <c r="A3069" s="29">
        <v>3068</v>
      </c>
      <c r="B3069" s="15" t="s">
        <v>2508</v>
      </c>
      <c r="C3069" s="15" t="s">
        <v>2537</v>
      </c>
      <c r="D3069" s="69">
        <v>223</v>
      </c>
      <c r="E3069" s="68" t="s">
        <v>3409</v>
      </c>
      <c r="F3069" s="51" t="s">
        <v>2539</v>
      </c>
      <c r="G3069" s="15" t="s">
        <v>1553</v>
      </c>
      <c r="H3069" s="15" t="s">
        <v>2690</v>
      </c>
      <c r="I3069" s="69">
        <v>81</v>
      </c>
      <c r="J3069" s="15" t="s">
        <v>2672</v>
      </c>
      <c r="K3069" s="15" t="s">
        <v>903</v>
      </c>
      <c r="L3069" s="15" t="s">
        <v>2673</v>
      </c>
      <c r="M3069" s="15" t="s">
        <v>2672</v>
      </c>
      <c r="N3069" s="15" t="s">
        <v>2673</v>
      </c>
      <c r="O3069" s="15"/>
    </row>
    <row r="3070" spans="1:15" ht="18" customHeight="1" x14ac:dyDescent="0.3">
      <c r="A3070" s="29">
        <v>3069</v>
      </c>
      <c r="B3070" s="15" t="s">
        <v>2508</v>
      </c>
      <c r="C3070" s="15" t="s">
        <v>2537</v>
      </c>
      <c r="D3070" s="69">
        <v>223</v>
      </c>
      <c r="E3070" s="68" t="s">
        <v>3409</v>
      </c>
      <c r="F3070" s="51" t="s">
        <v>2539</v>
      </c>
      <c r="G3070" s="15" t="s">
        <v>1553</v>
      </c>
      <c r="H3070" s="15" t="s">
        <v>2682</v>
      </c>
      <c r="I3070" s="69">
        <v>81</v>
      </c>
      <c r="J3070" s="15" t="s">
        <v>2672</v>
      </c>
      <c r="K3070" s="15" t="s">
        <v>903</v>
      </c>
      <c r="L3070" s="15" t="s">
        <v>2673</v>
      </c>
      <c r="M3070" s="15" t="s">
        <v>2672</v>
      </c>
      <c r="N3070" s="15" t="s">
        <v>2673</v>
      </c>
      <c r="O3070" s="15"/>
    </row>
    <row r="3071" spans="1:15" ht="18" customHeight="1" x14ac:dyDescent="0.3">
      <c r="A3071" s="29">
        <v>3070</v>
      </c>
      <c r="B3071" s="15" t="s">
        <v>2508</v>
      </c>
      <c r="C3071" s="15" t="s">
        <v>2537</v>
      </c>
      <c r="D3071" s="69">
        <v>223</v>
      </c>
      <c r="E3071" s="68" t="s">
        <v>3409</v>
      </c>
      <c r="F3071" s="51" t="s">
        <v>2539</v>
      </c>
      <c r="G3071" s="15" t="s">
        <v>1553</v>
      </c>
      <c r="H3071" s="15" t="s">
        <v>2732</v>
      </c>
      <c r="I3071" s="69">
        <v>81</v>
      </c>
      <c r="J3071" s="15" t="s">
        <v>2672</v>
      </c>
      <c r="K3071" s="15" t="s">
        <v>903</v>
      </c>
      <c r="L3071" s="15" t="s">
        <v>2673</v>
      </c>
      <c r="M3071" s="15" t="s">
        <v>2672</v>
      </c>
      <c r="N3071" s="15" t="s">
        <v>2673</v>
      </c>
      <c r="O3071" s="15"/>
    </row>
    <row r="3072" spans="1:15" ht="18" customHeight="1" x14ac:dyDescent="0.3">
      <c r="A3072" s="29">
        <v>3071</v>
      </c>
      <c r="B3072" s="15" t="s">
        <v>127</v>
      </c>
      <c r="C3072" s="15" t="s">
        <v>135</v>
      </c>
      <c r="D3072" s="69">
        <v>223</v>
      </c>
      <c r="E3072" s="68" t="s">
        <v>3024</v>
      </c>
      <c r="F3072" s="24" t="s">
        <v>797</v>
      </c>
      <c r="G3072" s="15" t="s">
        <v>164</v>
      </c>
      <c r="H3072" s="15" t="s">
        <v>901</v>
      </c>
      <c r="I3072" s="69">
        <v>108</v>
      </c>
      <c r="J3072" s="15" t="s">
        <v>2672</v>
      </c>
      <c r="K3072" s="15" t="s">
        <v>903</v>
      </c>
      <c r="L3072" s="15" t="s">
        <v>2673</v>
      </c>
      <c r="M3072" s="15" t="s">
        <v>2672</v>
      </c>
      <c r="N3072" s="15" t="s">
        <v>2673</v>
      </c>
      <c r="O3072" s="15"/>
    </row>
    <row r="3073" spans="1:15" ht="18" customHeight="1" x14ac:dyDescent="0.3">
      <c r="A3073" s="29">
        <v>3072</v>
      </c>
      <c r="B3073" s="15" t="s">
        <v>127</v>
      </c>
      <c r="C3073" s="15" t="s">
        <v>135</v>
      </c>
      <c r="D3073" s="69">
        <v>223</v>
      </c>
      <c r="E3073" s="68" t="s">
        <v>3024</v>
      </c>
      <c r="F3073" s="24" t="s">
        <v>797</v>
      </c>
      <c r="G3073" s="15" t="s">
        <v>164</v>
      </c>
      <c r="H3073" s="15" t="s">
        <v>904</v>
      </c>
      <c r="I3073" s="69">
        <v>117</v>
      </c>
      <c r="J3073" s="15" t="s">
        <v>2672</v>
      </c>
      <c r="K3073" s="15" t="s">
        <v>903</v>
      </c>
      <c r="L3073" s="15" t="s">
        <v>2673</v>
      </c>
      <c r="M3073" s="15" t="s">
        <v>2672</v>
      </c>
      <c r="N3073" s="15" t="s">
        <v>2673</v>
      </c>
      <c r="O3073" s="15"/>
    </row>
    <row r="3074" spans="1:15" ht="18" customHeight="1" x14ac:dyDescent="0.3">
      <c r="A3074" s="29">
        <v>3073</v>
      </c>
      <c r="B3074" s="15" t="s">
        <v>127</v>
      </c>
      <c r="C3074" s="15" t="s">
        <v>135</v>
      </c>
      <c r="D3074" s="69">
        <v>223</v>
      </c>
      <c r="E3074" s="68" t="s">
        <v>3024</v>
      </c>
      <c r="F3074" s="24" t="s">
        <v>797</v>
      </c>
      <c r="G3074" s="15" t="s">
        <v>164</v>
      </c>
      <c r="H3074" s="15" t="s">
        <v>905</v>
      </c>
      <c r="I3074" s="69">
        <v>139</v>
      </c>
      <c r="J3074" s="15" t="s">
        <v>2674</v>
      </c>
      <c r="K3074" s="15" t="s">
        <v>903</v>
      </c>
      <c r="L3074" s="15" t="s">
        <v>2673</v>
      </c>
      <c r="M3074" s="15" t="s">
        <v>2672</v>
      </c>
      <c r="N3074" s="15" t="s">
        <v>2673</v>
      </c>
      <c r="O3074" s="15"/>
    </row>
    <row r="3075" spans="1:15" ht="18" customHeight="1" x14ac:dyDescent="0.3">
      <c r="A3075" s="29">
        <v>3074</v>
      </c>
      <c r="B3075" s="15" t="s">
        <v>127</v>
      </c>
      <c r="C3075" s="15" t="s">
        <v>135</v>
      </c>
      <c r="D3075" s="69">
        <v>223</v>
      </c>
      <c r="E3075" s="68" t="s">
        <v>3024</v>
      </c>
      <c r="F3075" s="24" t="s">
        <v>797</v>
      </c>
      <c r="G3075" s="15" t="s">
        <v>164</v>
      </c>
      <c r="H3075" s="15" t="s">
        <v>906</v>
      </c>
      <c r="I3075" s="69">
        <v>105</v>
      </c>
      <c r="J3075" s="15" t="s">
        <v>2672</v>
      </c>
      <c r="K3075" s="15" t="s">
        <v>903</v>
      </c>
      <c r="L3075" s="15" t="s">
        <v>2673</v>
      </c>
      <c r="M3075" s="15" t="s">
        <v>2672</v>
      </c>
      <c r="N3075" s="15" t="s">
        <v>2673</v>
      </c>
      <c r="O3075" s="15"/>
    </row>
    <row r="3076" spans="1:15" ht="18" customHeight="1" x14ac:dyDescent="0.3">
      <c r="A3076" s="29">
        <v>3075</v>
      </c>
      <c r="B3076" s="15" t="s">
        <v>127</v>
      </c>
      <c r="C3076" s="15" t="s">
        <v>135</v>
      </c>
      <c r="D3076" s="69">
        <v>223</v>
      </c>
      <c r="E3076" s="68" t="s">
        <v>3024</v>
      </c>
      <c r="F3076" s="24" t="s">
        <v>797</v>
      </c>
      <c r="G3076" s="15" t="s">
        <v>164</v>
      </c>
      <c r="H3076" s="15" t="s">
        <v>907</v>
      </c>
      <c r="I3076" s="69">
        <v>104</v>
      </c>
      <c r="J3076" s="15" t="s">
        <v>2672</v>
      </c>
      <c r="K3076" s="15" t="s">
        <v>903</v>
      </c>
      <c r="L3076" s="15" t="s">
        <v>2673</v>
      </c>
      <c r="M3076" s="15" t="s">
        <v>2672</v>
      </c>
      <c r="N3076" s="15" t="s">
        <v>2673</v>
      </c>
      <c r="O3076" s="15"/>
    </row>
    <row r="3077" spans="1:15" ht="18" customHeight="1" x14ac:dyDescent="0.3">
      <c r="A3077" s="29">
        <v>3076</v>
      </c>
      <c r="B3077" s="15" t="s">
        <v>2508</v>
      </c>
      <c r="C3077" s="15" t="s">
        <v>2540</v>
      </c>
      <c r="D3077" s="13">
        <v>225</v>
      </c>
      <c r="E3077" s="63" t="s">
        <v>2541</v>
      </c>
      <c r="F3077" s="21" t="s">
        <v>2542</v>
      </c>
      <c r="G3077" s="15" t="s">
        <v>2673</v>
      </c>
      <c r="H3077" s="15" t="s">
        <v>2685</v>
      </c>
      <c r="I3077" s="69">
        <v>57</v>
      </c>
      <c r="J3077" s="15" t="s">
        <v>2674</v>
      </c>
      <c r="K3077" s="15" t="s">
        <v>903</v>
      </c>
      <c r="L3077" s="15" t="s">
        <v>2673</v>
      </c>
      <c r="M3077" s="15" t="s">
        <v>2672</v>
      </c>
      <c r="N3077" s="15" t="s">
        <v>2673</v>
      </c>
      <c r="O3077" s="15"/>
    </row>
    <row r="3078" spans="1:15" ht="18" customHeight="1" x14ac:dyDescent="0.3">
      <c r="A3078" s="29">
        <v>3077</v>
      </c>
      <c r="B3078" s="15" t="s">
        <v>2508</v>
      </c>
      <c r="C3078" s="15" t="s">
        <v>2540</v>
      </c>
      <c r="D3078" s="13">
        <v>225</v>
      </c>
      <c r="E3078" s="63" t="s">
        <v>2541</v>
      </c>
      <c r="F3078" s="21" t="s">
        <v>2542</v>
      </c>
      <c r="G3078" s="15" t="s">
        <v>2673</v>
      </c>
      <c r="H3078" s="15" t="s">
        <v>2678</v>
      </c>
      <c r="I3078" s="69">
        <v>37</v>
      </c>
      <c r="J3078" s="15" t="s">
        <v>2672</v>
      </c>
      <c r="K3078" s="15" t="s">
        <v>903</v>
      </c>
      <c r="L3078" s="15" t="s">
        <v>2673</v>
      </c>
      <c r="M3078" s="15" t="s">
        <v>2672</v>
      </c>
      <c r="N3078" s="15" t="s">
        <v>2673</v>
      </c>
      <c r="O3078" s="15"/>
    </row>
    <row r="3079" spans="1:15" ht="18" customHeight="1" x14ac:dyDescent="0.3">
      <c r="A3079" s="29">
        <v>3078</v>
      </c>
      <c r="B3079" s="15" t="s">
        <v>127</v>
      </c>
      <c r="C3079" s="15" t="s">
        <v>136</v>
      </c>
      <c r="D3079" s="69">
        <v>227</v>
      </c>
      <c r="E3079" s="68" t="s">
        <v>1013</v>
      </c>
      <c r="F3079" s="16" t="s">
        <v>2547</v>
      </c>
      <c r="G3079" s="15" t="s">
        <v>2673</v>
      </c>
      <c r="H3079" s="15" t="s">
        <v>901</v>
      </c>
      <c r="I3079" s="69">
        <v>93</v>
      </c>
      <c r="J3079" s="15" t="s">
        <v>2672</v>
      </c>
      <c r="K3079" s="15" t="s">
        <v>903</v>
      </c>
      <c r="L3079" s="15" t="s">
        <v>2673</v>
      </c>
      <c r="M3079" s="15" t="s">
        <v>2672</v>
      </c>
      <c r="N3079" s="15" t="s">
        <v>2673</v>
      </c>
      <c r="O3079" s="15"/>
    </row>
    <row r="3080" spans="1:15" ht="18" customHeight="1" x14ac:dyDescent="0.3">
      <c r="A3080" s="29">
        <v>3079</v>
      </c>
      <c r="B3080" s="15" t="s">
        <v>127</v>
      </c>
      <c r="C3080" s="15" t="s">
        <v>137</v>
      </c>
      <c r="D3080" s="69">
        <v>230</v>
      </c>
      <c r="E3080" s="68" t="s">
        <v>1012</v>
      </c>
      <c r="F3080" s="21" t="s">
        <v>2553</v>
      </c>
      <c r="G3080" s="15" t="s">
        <v>2673</v>
      </c>
      <c r="H3080" s="15" t="s">
        <v>901</v>
      </c>
      <c r="I3080" s="69">
        <v>54</v>
      </c>
      <c r="J3080" s="15" t="s">
        <v>2674</v>
      </c>
      <c r="K3080" s="15" t="s">
        <v>903</v>
      </c>
      <c r="L3080" s="15" t="s">
        <v>2673</v>
      </c>
      <c r="M3080" s="15" t="s">
        <v>2672</v>
      </c>
      <c r="N3080" s="15" t="s">
        <v>2673</v>
      </c>
      <c r="O3080" s="15"/>
    </row>
    <row r="3081" spans="1:15" ht="18" customHeight="1" x14ac:dyDescent="0.3">
      <c r="A3081" s="29">
        <v>3080</v>
      </c>
      <c r="B3081" s="15" t="s">
        <v>127</v>
      </c>
      <c r="C3081" s="15" t="s">
        <v>137</v>
      </c>
      <c r="D3081" s="69">
        <v>230</v>
      </c>
      <c r="E3081" s="68" t="s">
        <v>1012</v>
      </c>
      <c r="F3081" s="21" t="s">
        <v>2553</v>
      </c>
      <c r="G3081" s="15" t="s">
        <v>2673</v>
      </c>
      <c r="H3081" s="15" t="s">
        <v>904</v>
      </c>
      <c r="I3081" s="69">
        <v>45</v>
      </c>
      <c r="J3081" s="15" t="s">
        <v>2672</v>
      </c>
      <c r="K3081" s="15" t="s">
        <v>903</v>
      </c>
      <c r="L3081" s="15" t="s">
        <v>2673</v>
      </c>
      <c r="M3081" s="15" t="s">
        <v>2672</v>
      </c>
      <c r="N3081" s="15" t="s">
        <v>2673</v>
      </c>
      <c r="O3081" s="15"/>
    </row>
    <row r="3082" spans="1:15" ht="18" customHeight="1" x14ac:dyDescent="0.3">
      <c r="A3082" s="29">
        <v>3081</v>
      </c>
      <c r="B3082" s="13" t="s">
        <v>2508</v>
      </c>
      <c r="C3082" s="13" t="s">
        <v>2556</v>
      </c>
      <c r="D3082" s="13">
        <v>231</v>
      </c>
      <c r="E3082" s="21" t="s">
        <v>2557</v>
      </c>
      <c r="F3082" s="21" t="s">
        <v>2558</v>
      </c>
      <c r="G3082" s="13" t="s">
        <v>2673</v>
      </c>
      <c r="H3082" s="15" t="s">
        <v>2685</v>
      </c>
      <c r="I3082" s="69">
        <v>49</v>
      </c>
      <c r="J3082" s="15" t="s">
        <v>2674</v>
      </c>
      <c r="K3082" s="15" t="s">
        <v>903</v>
      </c>
      <c r="L3082" s="15" t="s">
        <v>2673</v>
      </c>
      <c r="M3082" s="15" t="s">
        <v>2672</v>
      </c>
      <c r="N3082" s="15" t="s">
        <v>2673</v>
      </c>
      <c r="O3082" s="15"/>
    </row>
    <row r="3083" spans="1:15" ht="18" customHeight="1" x14ac:dyDescent="0.3">
      <c r="A3083" s="29">
        <v>3082</v>
      </c>
      <c r="B3083" s="13" t="s">
        <v>2508</v>
      </c>
      <c r="C3083" s="13" t="s">
        <v>2556</v>
      </c>
      <c r="D3083" s="13">
        <v>231</v>
      </c>
      <c r="E3083" s="21" t="s">
        <v>2557</v>
      </c>
      <c r="F3083" s="21" t="s">
        <v>2558</v>
      </c>
      <c r="G3083" s="13" t="s">
        <v>2673</v>
      </c>
      <c r="H3083" s="15" t="s">
        <v>2678</v>
      </c>
      <c r="I3083" s="69">
        <v>49</v>
      </c>
      <c r="J3083" s="15" t="s">
        <v>2672</v>
      </c>
      <c r="K3083" s="15" t="s">
        <v>903</v>
      </c>
      <c r="L3083" s="15" t="s">
        <v>2673</v>
      </c>
      <c r="M3083" s="15" t="s">
        <v>2672</v>
      </c>
      <c r="N3083" s="15" t="s">
        <v>2673</v>
      </c>
      <c r="O3083" s="15"/>
    </row>
    <row r="3084" spans="1:15" ht="18" customHeight="1" x14ac:dyDescent="0.3">
      <c r="A3084" s="29">
        <v>3083</v>
      </c>
      <c r="B3084" s="15" t="s">
        <v>2508</v>
      </c>
      <c r="C3084" s="15" t="s">
        <v>3025</v>
      </c>
      <c r="D3084" s="69">
        <v>232</v>
      </c>
      <c r="E3084" s="51" t="s">
        <v>3026</v>
      </c>
      <c r="F3084" s="51" t="s">
        <v>3027</v>
      </c>
      <c r="G3084" s="29" t="s">
        <v>3028</v>
      </c>
      <c r="H3084" s="15" t="s">
        <v>2685</v>
      </c>
      <c r="I3084" s="69">
        <v>47</v>
      </c>
      <c r="J3084" s="15" t="s">
        <v>2674</v>
      </c>
      <c r="K3084" s="15" t="s">
        <v>2672</v>
      </c>
      <c r="L3084" s="15" t="s">
        <v>2673</v>
      </c>
      <c r="M3084" s="15" t="s">
        <v>2672</v>
      </c>
      <c r="N3084" s="15" t="s">
        <v>2673</v>
      </c>
      <c r="O3084" s="15"/>
    </row>
    <row r="3085" spans="1:15" ht="18" customHeight="1" x14ac:dyDescent="0.3">
      <c r="A3085" s="29">
        <v>3084</v>
      </c>
      <c r="B3085" s="15" t="s">
        <v>2508</v>
      </c>
      <c r="C3085" s="15" t="s">
        <v>3025</v>
      </c>
      <c r="D3085" s="69">
        <v>232</v>
      </c>
      <c r="E3085" s="51" t="s">
        <v>3026</v>
      </c>
      <c r="F3085" s="51" t="s">
        <v>3027</v>
      </c>
      <c r="G3085" s="13" t="s">
        <v>2529</v>
      </c>
      <c r="H3085" s="15" t="s">
        <v>2678</v>
      </c>
      <c r="I3085" s="69">
        <v>47</v>
      </c>
      <c r="J3085" s="15" t="s">
        <v>2672</v>
      </c>
      <c r="K3085" s="15" t="s">
        <v>2672</v>
      </c>
      <c r="L3085" s="15" t="s">
        <v>2673</v>
      </c>
      <c r="M3085" s="15" t="s">
        <v>2672</v>
      </c>
      <c r="N3085" s="15" t="s">
        <v>2673</v>
      </c>
      <c r="O3085" s="15"/>
    </row>
    <row r="3086" spans="1:15" ht="18" customHeight="1" x14ac:dyDescent="0.3">
      <c r="A3086" s="29">
        <v>3085</v>
      </c>
      <c r="B3086" s="15" t="s">
        <v>127</v>
      </c>
      <c r="C3086" s="15" t="s">
        <v>138</v>
      </c>
      <c r="D3086" s="69">
        <v>233</v>
      </c>
      <c r="E3086" s="68" t="s">
        <v>926</v>
      </c>
      <c r="F3086" s="21" t="s">
        <v>2567</v>
      </c>
      <c r="G3086" s="15" t="s">
        <v>164</v>
      </c>
      <c r="H3086" s="15" t="s">
        <v>901</v>
      </c>
      <c r="I3086" s="69">
        <v>75</v>
      </c>
      <c r="J3086" s="15" t="s">
        <v>2672</v>
      </c>
      <c r="K3086" s="15" t="s">
        <v>903</v>
      </c>
      <c r="L3086" s="15" t="s">
        <v>2673</v>
      </c>
      <c r="M3086" s="15" t="s">
        <v>2672</v>
      </c>
      <c r="N3086" s="15" t="s">
        <v>2673</v>
      </c>
      <c r="O3086" s="15"/>
    </row>
    <row r="3087" spans="1:15" ht="18" customHeight="1" x14ac:dyDescent="0.3">
      <c r="A3087" s="29">
        <v>3086</v>
      </c>
      <c r="B3087" s="15" t="s">
        <v>127</v>
      </c>
      <c r="C3087" s="15" t="s">
        <v>138</v>
      </c>
      <c r="D3087" s="69">
        <v>233</v>
      </c>
      <c r="E3087" s="68" t="s">
        <v>926</v>
      </c>
      <c r="F3087" s="21" t="s">
        <v>2567</v>
      </c>
      <c r="G3087" s="15" t="s">
        <v>164</v>
      </c>
      <c r="H3087" s="15" t="s">
        <v>904</v>
      </c>
      <c r="I3087" s="69">
        <v>88</v>
      </c>
      <c r="J3087" s="15" t="s">
        <v>2672</v>
      </c>
      <c r="K3087" s="15" t="s">
        <v>903</v>
      </c>
      <c r="L3087" s="15" t="s">
        <v>2673</v>
      </c>
      <c r="M3087" s="15" t="s">
        <v>2672</v>
      </c>
      <c r="N3087" s="15" t="s">
        <v>2673</v>
      </c>
      <c r="O3087" s="15"/>
    </row>
    <row r="3088" spans="1:15" ht="18" customHeight="1" x14ac:dyDescent="0.3">
      <c r="A3088" s="29">
        <v>3087</v>
      </c>
      <c r="B3088" s="15" t="s">
        <v>127</v>
      </c>
      <c r="C3088" s="15" t="s">
        <v>138</v>
      </c>
      <c r="D3088" s="69">
        <v>233</v>
      </c>
      <c r="E3088" s="68" t="s">
        <v>926</v>
      </c>
      <c r="F3088" s="21" t="s">
        <v>1112</v>
      </c>
      <c r="G3088" s="15" t="s">
        <v>164</v>
      </c>
      <c r="H3088" s="15" t="s">
        <v>905</v>
      </c>
      <c r="I3088" s="69">
        <v>101</v>
      </c>
      <c r="J3088" s="15" t="s">
        <v>2674</v>
      </c>
      <c r="K3088" s="15" t="s">
        <v>903</v>
      </c>
      <c r="L3088" s="15" t="s">
        <v>2673</v>
      </c>
      <c r="M3088" s="15" t="s">
        <v>2672</v>
      </c>
      <c r="N3088" s="15" t="s">
        <v>2673</v>
      </c>
      <c r="O3088" s="15"/>
    </row>
    <row r="3089" spans="1:15" ht="18" customHeight="1" x14ac:dyDescent="0.3">
      <c r="A3089" s="29">
        <v>3088</v>
      </c>
      <c r="B3089" s="15" t="s">
        <v>127</v>
      </c>
      <c r="C3089" s="15" t="s">
        <v>138</v>
      </c>
      <c r="D3089" s="69">
        <v>233</v>
      </c>
      <c r="E3089" s="68" t="s">
        <v>926</v>
      </c>
      <c r="F3089" s="21" t="s">
        <v>1112</v>
      </c>
      <c r="G3089" s="15" t="s">
        <v>164</v>
      </c>
      <c r="H3089" s="15" t="s">
        <v>906</v>
      </c>
      <c r="I3089" s="69">
        <v>69</v>
      </c>
      <c r="J3089" s="15" t="s">
        <v>2672</v>
      </c>
      <c r="K3089" s="15" t="s">
        <v>903</v>
      </c>
      <c r="L3089" s="15" t="s">
        <v>2673</v>
      </c>
      <c r="M3089" s="15" t="s">
        <v>2672</v>
      </c>
      <c r="N3089" s="15" t="s">
        <v>2673</v>
      </c>
      <c r="O3089" s="15"/>
    </row>
    <row r="3090" spans="1:15" ht="18" customHeight="1" x14ac:dyDescent="0.3">
      <c r="A3090" s="29">
        <v>3089</v>
      </c>
      <c r="B3090" s="15" t="s">
        <v>127</v>
      </c>
      <c r="C3090" s="15" t="s">
        <v>138</v>
      </c>
      <c r="D3090" s="69">
        <v>233</v>
      </c>
      <c r="E3090" s="68" t="s">
        <v>926</v>
      </c>
      <c r="F3090" s="21" t="s">
        <v>1112</v>
      </c>
      <c r="G3090" s="15" t="s">
        <v>164</v>
      </c>
      <c r="H3090" s="15" t="s">
        <v>907</v>
      </c>
      <c r="I3090" s="69">
        <v>69</v>
      </c>
      <c r="J3090" s="15" t="s">
        <v>2672</v>
      </c>
      <c r="K3090" s="15" t="s">
        <v>903</v>
      </c>
      <c r="L3090" s="15" t="s">
        <v>2673</v>
      </c>
      <c r="M3090" s="15" t="s">
        <v>2672</v>
      </c>
      <c r="N3090" s="15" t="s">
        <v>2673</v>
      </c>
      <c r="O3090" s="15"/>
    </row>
    <row r="3091" spans="1:15" ht="18" customHeight="1" x14ac:dyDescent="0.3">
      <c r="A3091" s="29">
        <v>3090</v>
      </c>
      <c r="B3091" s="15" t="s">
        <v>127</v>
      </c>
      <c r="C3091" s="15" t="s">
        <v>138</v>
      </c>
      <c r="D3091" s="69">
        <v>233</v>
      </c>
      <c r="E3091" s="68" t="s">
        <v>926</v>
      </c>
      <c r="F3091" s="21" t="s">
        <v>1112</v>
      </c>
      <c r="G3091" s="15" t="s">
        <v>164</v>
      </c>
      <c r="H3091" s="15" t="s">
        <v>908</v>
      </c>
      <c r="I3091" s="69">
        <v>69</v>
      </c>
      <c r="J3091" s="15" t="s">
        <v>2672</v>
      </c>
      <c r="K3091" s="15" t="s">
        <v>903</v>
      </c>
      <c r="L3091" s="15" t="s">
        <v>2673</v>
      </c>
      <c r="M3091" s="15" t="s">
        <v>2672</v>
      </c>
      <c r="N3091" s="15" t="s">
        <v>2673</v>
      </c>
      <c r="O3091" s="15"/>
    </row>
    <row r="3092" spans="1:15" ht="18" customHeight="1" x14ac:dyDescent="0.3">
      <c r="A3092" s="29">
        <v>3091</v>
      </c>
      <c r="B3092" s="15" t="s">
        <v>2508</v>
      </c>
      <c r="C3092" s="15" t="s">
        <v>3029</v>
      </c>
      <c r="D3092" s="69">
        <v>235</v>
      </c>
      <c r="E3092" s="63" t="s">
        <v>2569</v>
      </c>
      <c r="F3092" s="21" t="s">
        <v>2570</v>
      </c>
      <c r="G3092" s="15" t="s">
        <v>2673</v>
      </c>
      <c r="H3092" s="15" t="s">
        <v>2685</v>
      </c>
      <c r="I3092" s="69">
        <v>87</v>
      </c>
      <c r="J3092" s="15" t="s">
        <v>2674</v>
      </c>
      <c r="K3092" s="15" t="s">
        <v>903</v>
      </c>
      <c r="L3092" s="15" t="s">
        <v>2673</v>
      </c>
      <c r="M3092" s="15" t="s">
        <v>2672</v>
      </c>
      <c r="N3092" s="15" t="s">
        <v>2673</v>
      </c>
      <c r="O3092" s="15"/>
    </row>
    <row r="3093" spans="1:15" ht="18" customHeight="1" x14ac:dyDescent="0.3">
      <c r="A3093" s="29">
        <v>3092</v>
      </c>
      <c r="B3093" s="15" t="s">
        <v>139</v>
      </c>
      <c r="C3093" s="15" t="s">
        <v>2589</v>
      </c>
      <c r="D3093" s="69">
        <v>237</v>
      </c>
      <c r="E3093" s="68" t="s">
        <v>1010</v>
      </c>
      <c r="F3093" s="21" t="s">
        <v>2577</v>
      </c>
      <c r="G3093" s="15" t="s">
        <v>2673</v>
      </c>
      <c r="H3093" s="15" t="s">
        <v>901</v>
      </c>
      <c r="I3093" s="69">
        <v>51</v>
      </c>
      <c r="J3093" s="15" t="s">
        <v>2672</v>
      </c>
      <c r="K3093" s="15" t="s">
        <v>903</v>
      </c>
      <c r="L3093" s="15" t="s">
        <v>2673</v>
      </c>
      <c r="M3093" s="15" t="s">
        <v>2674</v>
      </c>
      <c r="N3093" s="15" t="s">
        <v>1508</v>
      </c>
      <c r="O3093" s="15"/>
    </row>
    <row r="3094" spans="1:15" ht="18" customHeight="1" x14ac:dyDescent="0.3">
      <c r="A3094" s="29">
        <v>3093</v>
      </c>
      <c r="B3094" s="15" t="s">
        <v>139</v>
      </c>
      <c r="C3094" s="15" t="s">
        <v>2589</v>
      </c>
      <c r="D3094" s="69">
        <v>237</v>
      </c>
      <c r="E3094" s="68" t="s">
        <v>923</v>
      </c>
      <c r="F3094" s="16" t="s">
        <v>852</v>
      </c>
      <c r="G3094" s="15" t="s">
        <v>154</v>
      </c>
      <c r="H3094" s="15" t="s">
        <v>2685</v>
      </c>
      <c r="I3094" s="69">
        <v>134</v>
      </c>
      <c r="J3094" s="15" t="s">
        <v>2672</v>
      </c>
      <c r="K3094" s="15" t="s">
        <v>2674</v>
      </c>
      <c r="L3094" s="15" t="s">
        <v>1703</v>
      </c>
      <c r="M3094" s="15" t="s">
        <v>2672</v>
      </c>
      <c r="N3094" s="15" t="s">
        <v>2673</v>
      </c>
      <c r="O3094" s="15"/>
    </row>
    <row r="3095" spans="1:15" ht="18" customHeight="1" x14ac:dyDescent="0.3">
      <c r="A3095" s="29">
        <v>3094</v>
      </c>
      <c r="B3095" s="15" t="s">
        <v>139</v>
      </c>
      <c r="C3095" s="15" t="s">
        <v>2589</v>
      </c>
      <c r="D3095" s="69">
        <v>237</v>
      </c>
      <c r="E3095" s="68" t="s">
        <v>923</v>
      </c>
      <c r="F3095" s="16" t="s">
        <v>852</v>
      </c>
      <c r="G3095" s="15" t="s">
        <v>154</v>
      </c>
      <c r="H3095" s="15" t="s">
        <v>904</v>
      </c>
      <c r="I3095" s="69">
        <v>128</v>
      </c>
      <c r="J3095" s="15" t="s">
        <v>2672</v>
      </c>
      <c r="K3095" s="15" t="s">
        <v>903</v>
      </c>
      <c r="L3095" s="15" t="s">
        <v>2673</v>
      </c>
      <c r="M3095" s="15" t="s">
        <v>2672</v>
      </c>
      <c r="N3095" s="15" t="s">
        <v>2673</v>
      </c>
      <c r="O3095" s="15"/>
    </row>
    <row r="3096" spans="1:15" ht="18" customHeight="1" x14ac:dyDescent="0.3">
      <c r="A3096" s="29">
        <v>3095</v>
      </c>
      <c r="B3096" s="15" t="s">
        <v>139</v>
      </c>
      <c r="C3096" s="15" t="s">
        <v>2589</v>
      </c>
      <c r="D3096" s="69">
        <v>237</v>
      </c>
      <c r="E3096" s="68" t="s">
        <v>923</v>
      </c>
      <c r="F3096" s="16" t="s">
        <v>852</v>
      </c>
      <c r="G3096" s="15" t="s">
        <v>154</v>
      </c>
      <c r="H3096" s="15" t="s">
        <v>905</v>
      </c>
      <c r="I3096" s="69">
        <v>252</v>
      </c>
      <c r="J3096" s="15" t="s">
        <v>2672</v>
      </c>
      <c r="K3096" s="15" t="s">
        <v>903</v>
      </c>
      <c r="L3096" s="15" t="s">
        <v>2673</v>
      </c>
      <c r="M3096" s="15" t="s">
        <v>2672</v>
      </c>
      <c r="N3096" s="15" t="s">
        <v>2673</v>
      </c>
      <c r="O3096" s="15"/>
    </row>
    <row r="3097" spans="1:15" ht="18" customHeight="1" x14ac:dyDescent="0.3">
      <c r="A3097" s="29">
        <v>3096</v>
      </c>
      <c r="B3097" s="15" t="s">
        <v>139</v>
      </c>
      <c r="C3097" s="15" t="s">
        <v>2589</v>
      </c>
      <c r="D3097" s="69">
        <v>237</v>
      </c>
      <c r="E3097" s="68" t="s">
        <v>923</v>
      </c>
      <c r="F3097" s="16" t="s">
        <v>852</v>
      </c>
      <c r="G3097" s="15" t="s">
        <v>154</v>
      </c>
      <c r="H3097" s="15" t="s">
        <v>906</v>
      </c>
      <c r="I3097" s="69">
        <v>252</v>
      </c>
      <c r="J3097" s="15" t="s">
        <v>2672</v>
      </c>
      <c r="K3097" s="15" t="s">
        <v>903</v>
      </c>
      <c r="L3097" s="15" t="s">
        <v>2673</v>
      </c>
      <c r="M3097" s="15" t="s">
        <v>2672</v>
      </c>
      <c r="N3097" s="15" t="s">
        <v>2673</v>
      </c>
      <c r="O3097" s="15"/>
    </row>
    <row r="3098" spans="1:15" ht="18" customHeight="1" x14ac:dyDescent="0.3">
      <c r="A3098" s="29">
        <v>3097</v>
      </c>
      <c r="B3098" s="15" t="s">
        <v>139</v>
      </c>
      <c r="C3098" s="15" t="s">
        <v>2589</v>
      </c>
      <c r="D3098" s="69">
        <v>237</v>
      </c>
      <c r="E3098" s="68" t="s">
        <v>923</v>
      </c>
      <c r="F3098" s="16" t="s">
        <v>852</v>
      </c>
      <c r="G3098" s="15" t="s">
        <v>154</v>
      </c>
      <c r="H3098" s="15" t="s">
        <v>907</v>
      </c>
      <c r="I3098" s="69">
        <v>161</v>
      </c>
      <c r="J3098" s="15" t="s">
        <v>2672</v>
      </c>
      <c r="K3098" s="15" t="s">
        <v>903</v>
      </c>
      <c r="L3098" s="15" t="s">
        <v>2673</v>
      </c>
      <c r="M3098" s="15" t="s">
        <v>2672</v>
      </c>
      <c r="N3098" s="15" t="s">
        <v>2673</v>
      </c>
      <c r="O3098" s="15"/>
    </row>
    <row r="3099" spans="1:15" ht="18" customHeight="1" x14ac:dyDescent="0.3">
      <c r="A3099" s="29">
        <v>3098</v>
      </c>
      <c r="B3099" s="15" t="s">
        <v>139</v>
      </c>
      <c r="C3099" s="15" t="s">
        <v>2589</v>
      </c>
      <c r="D3099" s="69">
        <v>237</v>
      </c>
      <c r="E3099" s="68" t="s">
        <v>923</v>
      </c>
      <c r="F3099" s="16" t="s">
        <v>852</v>
      </c>
      <c r="G3099" s="15" t="s">
        <v>154</v>
      </c>
      <c r="H3099" s="15" t="s">
        <v>2682</v>
      </c>
      <c r="I3099" s="69">
        <v>116</v>
      </c>
      <c r="J3099" s="15" t="s">
        <v>2672</v>
      </c>
      <c r="K3099" s="15" t="s">
        <v>2674</v>
      </c>
      <c r="L3099" s="15" t="s">
        <v>3030</v>
      </c>
      <c r="M3099" s="15" t="s">
        <v>2672</v>
      </c>
      <c r="N3099" s="15" t="s">
        <v>2673</v>
      </c>
      <c r="O3099" s="15"/>
    </row>
    <row r="3100" spans="1:15" ht="18" customHeight="1" x14ac:dyDescent="0.3">
      <c r="A3100" s="29">
        <v>3099</v>
      </c>
      <c r="B3100" s="15" t="s">
        <v>139</v>
      </c>
      <c r="C3100" s="15" t="s">
        <v>2589</v>
      </c>
      <c r="D3100" s="69">
        <v>237</v>
      </c>
      <c r="E3100" s="68" t="s">
        <v>3031</v>
      </c>
      <c r="F3100" s="21" t="s">
        <v>2583</v>
      </c>
      <c r="G3100" s="15" t="s">
        <v>164</v>
      </c>
      <c r="H3100" s="15" t="s">
        <v>901</v>
      </c>
      <c r="I3100" s="69">
        <v>55</v>
      </c>
      <c r="J3100" s="13" t="s">
        <v>2674</v>
      </c>
      <c r="K3100" s="15" t="s">
        <v>903</v>
      </c>
      <c r="L3100" s="15" t="s">
        <v>2673</v>
      </c>
      <c r="M3100" s="15" t="s">
        <v>2672</v>
      </c>
      <c r="N3100" s="15" t="s">
        <v>2673</v>
      </c>
      <c r="O3100" s="15"/>
    </row>
    <row r="3101" spans="1:15" ht="18" customHeight="1" x14ac:dyDescent="0.3">
      <c r="A3101" s="29">
        <v>3100</v>
      </c>
      <c r="B3101" s="15" t="s">
        <v>139</v>
      </c>
      <c r="C3101" s="15" t="s">
        <v>2589</v>
      </c>
      <c r="D3101" s="69">
        <v>237</v>
      </c>
      <c r="E3101" s="68" t="s">
        <v>3031</v>
      </c>
      <c r="F3101" s="21" t="s">
        <v>2583</v>
      </c>
      <c r="G3101" s="15" t="s">
        <v>164</v>
      </c>
      <c r="H3101" s="15" t="s">
        <v>904</v>
      </c>
      <c r="I3101" s="69">
        <v>54</v>
      </c>
      <c r="J3101" s="13" t="s">
        <v>2672</v>
      </c>
      <c r="K3101" s="15" t="s">
        <v>903</v>
      </c>
      <c r="L3101" s="15" t="s">
        <v>2673</v>
      </c>
      <c r="M3101" s="15" t="s">
        <v>2672</v>
      </c>
      <c r="N3101" s="15" t="s">
        <v>2673</v>
      </c>
      <c r="O3101" s="15"/>
    </row>
    <row r="3102" spans="1:15" ht="18" customHeight="1" x14ac:dyDescent="0.3">
      <c r="A3102" s="29">
        <v>3101</v>
      </c>
      <c r="B3102" s="15" t="s">
        <v>139</v>
      </c>
      <c r="C3102" s="15" t="s">
        <v>2589</v>
      </c>
      <c r="D3102" s="69">
        <v>237</v>
      </c>
      <c r="E3102" s="68" t="s">
        <v>3031</v>
      </c>
      <c r="F3102" s="21" t="s">
        <v>1108</v>
      </c>
      <c r="G3102" s="15" t="s">
        <v>164</v>
      </c>
      <c r="H3102" s="15" t="s">
        <v>905</v>
      </c>
      <c r="I3102" s="69">
        <v>84</v>
      </c>
      <c r="J3102" s="13" t="s">
        <v>2674</v>
      </c>
      <c r="K3102" s="15" t="s">
        <v>903</v>
      </c>
      <c r="L3102" s="15" t="s">
        <v>2673</v>
      </c>
      <c r="M3102" s="15" t="s">
        <v>2672</v>
      </c>
      <c r="N3102" s="15" t="s">
        <v>2673</v>
      </c>
      <c r="O3102" s="15"/>
    </row>
    <row r="3103" spans="1:15" ht="18" customHeight="1" x14ac:dyDescent="0.3">
      <c r="A3103" s="29">
        <v>3102</v>
      </c>
      <c r="B3103" s="15" t="s">
        <v>139</v>
      </c>
      <c r="C3103" s="15" t="s">
        <v>2589</v>
      </c>
      <c r="D3103" s="69">
        <v>237</v>
      </c>
      <c r="E3103" s="68" t="s">
        <v>3031</v>
      </c>
      <c r="F3103" s="21" t="s">
        <v>1108</v>
      </c>
      <c r="G3103" s="15" t="s">
        <v>164</v>
      </c>
      <c r="H3103" s="15" t="s">
        <v>906</v>
      </c>
      <c r="I3103" s="69">
        <v>46</v>
      </c>
      <c r="J3103" s="13" t="s">
        <v>2672</v>
      </c>
      <c r="K3103" s="15" t="s">
        <v>903</v>
      </c>
      <c r="L3103" s="15" t="s">
        <v>2673</v>
      </c>
      <c r="M3103" s="15" t="s">
        <v>2672</v>
      </c>
      <c r="N3103" s="15" t="s">
        <v>2673</v>
      </c>
      <c r="O3103" s="15"/>
    </row>
    <row r="3104" spans="1:15" ht="18" customHeight="1" x14ac:dyDescent="0.3">
      <c r="A3104" s="29">
        <v>3103</v>
      </c>
      <c r="B3104" s="15" t="s">
        <v>139</v>
      </c>
      <c r="C3104" s="15" t="s">
        <v>2589</v>
      </c>
      <c r="D3104" s="69">
        <v>237</v>
      </c>
      <c r="E3104" s="68" t="s">
        <v>3031</v>
      </c>
      <c r="F3104" s="21" t="s">
        <v>1108</v>
      </c>
      <c r="G3104" s="15" t="s">
        <v>164</v>
      </c>
      <c r="H3104" s="15" t="s">
        <v>907</v>
      </c>
      <c r="I3104" s="69">
        <v>55</v>
      </c>
      <c r="J3104" s="13" t="s">
        <v>2672</v>
      </c>
      <c r="K3104" s="15" t="s">
        <v>903</v>
      </c>
      <c r="L3104" s="15" t="s">
        <v>2673</v>
      </c>
      <c r="M3104" s="15" t="s">
        <v>2672</v>
      </c>
      <c r="N3104" s="15" t="s">
        <v>2673</v>
      </c>
      <c r="O3104" s="15"/>
    </row>
    <row r="3105" spans="1:15" ht="18" customHeight="1" x14ac:dyDescent="0.3">
      <c r="A3105" s="29">
        <v>3104</v>
      </c>
      <c r="B3105" s="15" t="s">
        <v>139</v>
      </c>
      <c r="C3105" s="15" t="s">
        <v>2589</v>
      </c>
      <c r="D3105" s="69">
        <v>237</v>
      </c>
      <c r="E3105" s="68" t="s">
        <v>3031</v>
      </c>
      <c r="F3105" s="21" t="s">
        <v>1108</v>
      </c>
      <c r="G3105" s="15" t="s">
        <v>164</v>
      </c>
      <c r="H3105" s="15" t="s">
        <v>908</v>
      </c>
      <c r="I3105" s="69">
        <v>54</v>
      </c>
      <c r="J3105" s="13" t="s">
        <v>2672</v>
      </c>
      <c r="K3105" s="15" t="s">
        <v>903</v>
      </c>
      <c r="L3105" s="15" t="s">
        <v>2673</v>
      </c>
      <c r="M3105" s="15" t="s">
        <v>2672</v>
      </c>
      <c r="N3105" s="15" t="s">
        <v>2673</v>
      </c>
      <c r="O3105" s="15"/>
    </row>
    <row r="3106" spans="1:15" ht="18" customHeight="1" x14ac:dyDescent="0.3">
      <c r="A3106" s="29">
        <v>3105</v>
      </c>
      <c r="B3106" s="15" t="s">
        <v>139</v>
      </c>
      <c r="C3106" s="15" t="s">
        <v>2589</v>
      </c>
      <c r="D3106" s="69">
        <v>237</v>
      </c>
      <c r="E3106" s="68" t="s">
        <v>3410</v>
      </c>
      <c r="F3106" s="24" t="s">
        <v>845</v>
      </c>
      <c r="G3106" s="15" t="s">
        <v>154</v>
      </c>
      <c r="H3106" s="15" t="s">
        <v>901</v>
      </c>
      <c r="I3106" s="69">
        <v>136</v>
      </c>
      <c r="J3106" s="15" t="s">
        <v>2674</v>
      </c>
      <c r="K3106" s="15" t="s">
        <v>903</v>
      </c>
      <c r="L3106" s="15" t="s">
        <v>2673</v>
      </c>
      <c r="M3106" s="15" t="s">
        <v>2672</v>
      </c>
      <c r="N3106" s="15" t="s">
        <v>2673</v>
      </c>
      <c r="O3106" s="15"/>
    </row>
    <row r="3107" spans="1:15" ht="18" customHeight="1" x14ac:dyDescent="0.3">
      <c r="A3107" s="29">
        <v>3106</v>
      </c>
      <c r="B3107" s="15" t="s">
        <v>139</v>
      </c>
      <c r="C3107" s="15" t="s">
        <v>2589</v>
      </c>
      <c r="D3107" s="69">
        <v>237</v>
      </c>
      <c r="E3107" s="68" t="s">
        <v>3410</v>
      </c>
      <c r="F3107" s="24" t="s">
        <v>845</v>
      </c>
      <c r="G3107" s="15" t="s">
        <v>154</v>
      </c>
      <c r="H3107" s="15" t="s">
        <v>904</v>
      </c>
      <c r="I3107" s="69">
        <v>137</v>
      </c>
      <c r="J3107" s="15" t="s">
        <v>2674</v>
      </c>
      <c r="K3107" s="15" t="s">
        <v>903</v>
      </c>
      <c r="L3107" s="15" t="s">
        <v>2673</v>
      </c>
      <c r="M3107" s="15" t="s">
        <v>2672</v>
      </c>
      <c r="N3107" s="15" t="s">
        <v>2673</v>
      </c>
      <c r="O3107" s="15"/>
    </row>
    <row r="3108" spans="1:15" ht="18" customHeight="1" x14ac:dyDescent="0.3">
      <c r="A3108" s="29">
        <v>3107</v>
      </c>
      <c r="B3108" s="15" t="s">
        <v>139</v>
      </c>
      <c r="C3108" s="15" t="s">
        <v>2589</v>
      </c>
      <c r="D3108" s="69">
        <v>237</v>
      </c>
      <c r="E3108" s="68" t="s">
        <v>3410</v>
      </c>
      <c r="F3108" s="24" t="s">
        <v>845</v>
      </c>
      <c r="G3108" s="15" t="s">
        <v>154</v>
      </c>
      <c r="H3108" s="15" t="s">
        <v>905</v>
      </c>
      <c r="I3108" s="69">
        <v>98</v>
      </c>
      <c r="J3108" s="15" t="s">
        <v>2672</v>
      </c>
      <c r="K3108" s="15" t="s">
        <v>903</v>
      </c>
      <c r="L3108" s="15" t="s">
        <v>2673</v>
      </c>
      <c r="M3108" s="15" t="s">
        <v>2672</v>
      </c>
      <c r="N3108" s="15" t="s">
        <v>2673</v>
      </c>
      <c r="O3108" s="15"/>
    </row>
    <row r="3109" spans="1:15" ht="18" customHeight="1" x14ac:dyDescent="0.3">
      <c r="A3109" s="29">
        <v>3108</v>
      </c>
      <c r="B3109" s="15" t="s">
        <v>139</v>
      </c>
      <c r="C3109" s="15" t="s">
        <v>2589</v>
      </c>
      <c r="D3109" s="69">
        <v>237</v>
      </c>
      <c r="E3109" s="68" t="s">
        <v>3410</v>
      </c>
      <c r="F3109" s="24" t="s">
        <v>845</v>
      </c>
      <c r="G3109" s="15" t="s">
        <v>154</v>
      </c>
      <c r="H3109" s="15" t="s">
        <v>906</v>
      </c>
      <c r="I3109" s="69">
        <v>268</v>
      </c>
      <c r="J3109" s="15" t="s">
        <v>2674</v>
      </c>
      <c r="K3109" s="15" t="s">
        <v>903</v>
      </c>
      <c r="L3109" s="15" t="s">
        <v>2673</v>
      </c>
      <c r="M3109" s="15" t="s">
        <v>2672</v>
      </c>
      <c r="N3109" s="15" t="s">
        <v>2673</v>
      </c>
      <c r="O3109" s="15"/>
    </row>
    <row r="3110" spans="1:15" ht="18" customHeight="1" x14ac:dyDescent="0.3">
      <c r="A3110" s="29">
        <v>3109</v>
      </c>
      <c r="B3110" s="15" t="s">
        <v>139</v>
      </c>
      <c r="C3110" s="15" t="s">
        <v>2589</v>
      </c>
      <c r="D3110" s="69">
        <v>237</v>
      </c>
      <c r="E3110" s="68" t="s">
        <v>3410</v>
      </c>
      <c r="F3110" s="24" t="s">
        <v>845</v>
      </c>
      <c r="G3110" s="15" t="s">
        <v>154</v>
      </c>
      <c r="H3110" s="15" t="s">
        <v>907</v>
      </c>
      <c r="I3110" s="69">
        <v>136</v>
      </c>
      <c r="J3110" s="15" t="s">
        <v>2672</v>
      </c>
      <c r="K3110" s="15" t="s">
        <v>903</v>
      </c>
      <c r="L3110" s="15" t="s">
        <v>2673</v>
      </c>
      <c r="M3110" s="15" t="s">
        <v>2672</v>
      </c>
      <c r="N3110" s="15" t="s">
        <v>2673</v>
      </c>
      <c r="O3110" s="15"/>
    </row>
    <row r="3111" spans="1:15" ht="18" customHeight="1" x14ac:dyDescent="0.3">
      <c r="A3111" s="29">
        <v>3110</v>
      </c>
      <c r="B3111" s="15" t="s">
        <v>139</v>
      </c>
      <c r="C3111" s="15" t="s">
        <v>2589</v>
      </c>
      <c r="D3111" s="69">
        <v>237</v>
      </c>
      <c r="E3111" s="68" t="s">
        <v>3410</v>
      </c>
      <c r="F3111" s="24" t="s">
        <v>845</v>
      </c>
      <c r="G3111" s="15" t="s">
        <v>154</v>
      </c>
      <c r="H3111" s="15" t="s">
        <v>908</v>
      </c>
      <c r="I3111" s="69">
        <v>137</v>
      </c>
      <c r="J3111" s="15" t="s">
        <v>2672</v>
      </c>
      <c r="K3111" s="15" t="s">
        <v>903</v>
      </c>
      <c r="L3111" s="15" t="s">
        <v>2673</v>
      </c>
      <c r="M3111" s="15" t="s">
        <v>2672</v>
      </c>
      <c r="N3111" s="15" t="s">
        <v>2673</v>
      </c>
      <c r="O3111" s="15"/>
    </row>
    <row r="3112" spans="1:15" ht="18" customHeight="1" x14ac:dyDescent="0.3">
      <c r="A3112" s="29">
        <v>3111</v>
      </c>
      <c r="B3112" s="15" t="s">
        <v>139</v>
      </c>
      <c r="C3112" s="15" t="s">
        <v>2589</v>
      </c>
      <c r="D3112" s="69">
        <v>237</v>
      </c>
      <c r="E3112" s="68" t="s">
        <v>3410</v>
      </c>
      <c r="F3112" s="24" t="s">
        <v>845</v>
      </c>
      <c r="G3112" s="15" t="s">
        <v>154</v>
      </c>
      <c r="H3112" s="15" t="s">
        <v>910</v>
      </c>
      <c r="I3112" s="69">
        <v>266</v>
      </c>
      <c r="J3112" s="15" t="s">
        <v>2674</v>
      </c>
      <c r="K3112" s="15" t="s">
        <v>903</v>
      </c>
      <c r="L3112" s="15" t="s">
        <v>2673</v>
      </c>
      <c r="M3112" s="15" t="s">
        <v>2672</v>
      </c>
      <c r="N3112" s="15" t="s">
        <v>2673</v>
      </c>
      <c r="O3112" s="15"/>
    </row>
    <row r="3113" spans="1:15" ht="18" customHeight="1" x14ac:dyDescent="0.3">
      <c r="A3113" s="29">
        <v>3112</v>
      </c>
      <c r="B3113" s="15" t="s">
        <v>139</v>
      </c>
      <c r="C3113" s="15" t="s">
        <v>2589</v>
      </c>
      <c r="D3113" s="69">
        <v>237</v>
      </c>
      <c r="E3113" s="68" t="s">
        <v>2586</v>
      </c>
      <c r="F3113" s="21" t="s">
        <v>847</v>
      </c>
      <c r="G3113" s="15" t="s">
        <v>164</v>
      </c>
      <c r="H3113" s="15" t="s">
        <v>901</v>
      </c>
      <c r="I3113" s="69">
        <v>98</v>
      </c>
      <c r="J3113" s="13" t="s">
        <v>2674</v>
      </c>
      <c r="K3113" s="15" t="s">
        <v>903</v>
      </c>
      <c r="L3113" s="15" t="s">
        <v>2673</v>
      </c>
      <c r="M3113" s="15" t="s">
        <v>2672</v>
      </c>
      <c r="N3113" s="15" t="s">
        <v>2673</v>
      </c>
      <c r="O3113" s="15"/>
    </row>
    <row r="3114" spans="1:15" ht="18" customHeight="1" x14ac:dyDescent="0.3">
      <c r="A3114" s="29">
        <v>3113</v>
      </c>
      <c r="B3114" s="15" t="s">
        <v>139</v>
      </c>
      <c r="C3114" s="15" t="s">
        <v>2589</v>
      </c>
      <c r="D3114" s="69">
        <v>237</v>
      </c>
      <c r="E3114" s="68" t="s">
        <v>2586</v>
      </c>
      <c r="F3114" s="21" t="s">
        <v>847</v>
      </c>
      <c r="G3114" s="15" t="s">
        <v>164</v>
      </c>
      <c r="H3114" s="15" t="s">
        <v>904</v>
      </c>
      <c r="I3114" s="69">
        <v>98</v>
      </c>
      <c r="J3114" s="13" t="s">
        <v>2672</v>
      </c>
      <c r="K3114" s="15" t="s">
        <v>903</v>
      </c>
      <c r="L3114" s="15" t="s">
        <v>2673</v>
      </c>
      <c r="M3114" s="15" t="s">
        <v>2672</v>
      </c>
      <c r="N3114" s="15" t="s">
        <v>2673</v>
      </c>
      <c r="O3114" s="15"/>
    </row>
    <row r="3115" spans="1:15" ht="18" customHeight="1" x14ac:dyDescent="0.3">
      <c r="A3115" s="29">
        <v>3114</v>
      </c>
      <c r="B3115" s="15" t="s">
        <v>139</v>
      </c>
      <c r="C3115" s="15" t="s">
        <v>2589</v>
      </c>
      <c r="D3115" s="69">
        <v>237</v>
      </c>
      <c r="E3115" s="68" t="s">
        <v>2586</v>
      </c>
      <c r="F3115" s="21" t="s">
        <v>847</v>
      </c>
      <c r="G3115" s="15" t="s">
        <v>164</v>
      </c>
      <c r="H3115" s="15" t="s">
        <v>905</v>
      </c>
      <c r="I3115" s="69">
        <v>68</v>
      </c>
      <c r="J3115" s="13" t="s">
        <v>2672</v>
      </c>
      <c r="K3115" s="15" t="s">
        <v>903</v>
      </c>
      <c r="L3115" s="15" t="s">
        <v>2673</v>
      </c>
      <c r="M3115" s="15" t="s">
        <v>2672</v>
      </c>
      <c r="N3115" s="15" t="s">
        <v>2673</v>
      </c>
      <c r="O3115" s="15"/>
    </row>
    <row r="3116" spans="1:15" ht="18" customHeight="1" x14ac:dyDescent="0.3">
      <c r="A3116" s="29">
        <v>3115</v>
      </c>
      <c r="B3116" s="15" t="s">
        <v>139</v>
      </c>
      <c r="C3116" s="15" t="s">
        <v>2589</v>
      </c>
      <c r="D3116" s="69">
        <v>237</v>
      </c>
      <c r="E3116" s="68" t="s">
        <v>2586</v>
      </c>
      <c r="F3116" s="21" t="s">
        <v>847</v>
      </c>
      <c r="G3116" s="15" t="s">
        <v>164</v>
      </c>
      <c r="H3116" s="15" t="s">
        <v>906</v>
      </c>
      <c r="I3116" s="69">
        <v>72</v>
      </c>
      <c r="J3116" s="13" t="s">
        <v>2672</v>
      </c>
      <c r="K3116" s="15" t="s">
        <v>903</v>
      </c>
      <c r="L3116" s="15" t="s">
        <v>2673</v>
      </c>
      <c r="M3116" s="15" t="s">
        <v>2672</v>
      </c>
      <c r="N3116" s="15" t="s">
        <v>2673</v>
      </c>
      <c r="O3116" s="15"/>
    </row>
    <row r="3117" spans="1:15" ht="18" customHeight="1" x14ac:dyDescent="0.3">
      <c r="A3117" s="29">
        <v>3116</v>
      </c>
      <c r="B3117" s="15" t="s">
        <v>139</v>
      </c>
      <c r="C3117" s="15" t="s">
        <v>2589</v>
      </c>
      <c r="D3117" s="69">
        <v>237</v>
      </c>
      <c r="E3117" s="68" t="s">
        <v>2586</v>
      </c>
      <c r="F3117" s="21" t="s">
        <v>847</v>
      </c>
      <c r="G3117" s="15" t="s">
        <v>164</v>
      </c>
      <c r="H3117" s="15" t="s">
        <v>907</v>
      </c>
      <c r="I3117" s="69">
        <v>72</v>
      </c>
      <c r="J3117" s="13" t="s">
        <v>2672</v>
      </c>
      <c r="K3117" s="15" t="s">
        <v>903</v>
      </c>
      <c r="L3117" s="15" t="s">
        <v>2673</v>
      </c>
      <c r="M3117" s="15" t="s">
        <v>2672</v>
      </c>
      <c r="N3117" s="15" t="s">
        <v>2673</v>
      </c>
      <c r="O3117" s="15"/>
    </row>
    <row r="3118" spans="1:15" ht="18" customHeight="1" x14ac:dyDescent="0.3">
      <c r="A3118" s="29">
        <v>3117</v>
      </c>
      <c r="B3118" s="15" t="s">
        <v>139</v>
      </c>
      <c r="C3118" s="15" t="s">
        <v>2589</v>
      </c>
      <c r="D3118" s="69">
        <v>237</v>
      </c>
      <c r="E3118" s="68" t="s">
        <v>2586</v>
      </c>
      <c r="F3118" s="21" t="s">
        <v>847</v>
      </c>
      <c r="G3118" s="15" t="s">
        <v>164</v>
      </c>
      <c r="H3118" s="15" t="s">
        <v>908</v>
      </c>
      <c r="I3118" s="69">
        <v>98</v>
      </c>
      <c r="J3118" s="13" t="s">
        <v>2672</v>
      </c>
      <c r="K3118" s="15" t="s">
        <v>903</v>
      </c>
      <c r="L3118" s="15" t="s">
        <v>2673</v>
      </c>
      <c r="M3118" s="15" t="s">
        <v>2672</v>
      </c>
      <c r="N3118" s="15" t="s">
        <v>2673</v>
      </c>
      <c r="O3118" s="15"/>
    </row>
    <row r="3119" spans="1:15" ht="18" customHeight="1" x14ac:dyDescent="0.3">
      <c r="A3119" s="29">
        <v>3118</v>
      </c>
      <c r="B3119" s="15" t="s">
        <v>139</v>
      </c>
      <c r="C3119" s="15" t="s">
        <v>2589</v>
      </c>
      <c r="D3119" s="69">
        <v>237</v>
      </c>
      <c r="E3119" s="68" t="s">
        <v>2586</v>
      </c>
      <c r="F3119" s="21" t="s">
        <v>847</v>
      </c>
      <c r="G3119" s="15" t="s">
        <v>164</v>
      </c>
      <c r="H3119" s="15" t="s">
        <v>909</v>
      </c>
      <c r="I3119" s="69">
        <v>84</v>
      </c>
      <c r="J3119" s="13" t="s">
        <v>2672</v>
      </c>
      <c r="K3119" s="15" t="s">
        <v>903</v>
      </c>
      <c r="L3119" s="15" t="s">
        <v>2673</v>
      </c>
      <c r="M3119" s="15" t="s">
        <v>2672</v>
      </c>
      <c r="N3119" s="15" t="s">
        <v>2673</v>
      </c>
      <c r="O3119" s="15"/>
    </row>
    <row r="3120" spans="1:15" ht="18" customHeight="1" x14ac:dyDescent="0.3">
      <c r="A3120" s="29">
        <v>3119</v>
      </c>
      <c r="B3120" s="15" t="s">
        <v>2588</v>
      </c>
      <c r="C3120" s="15" t="s">
        <v>2589</v>
      </c>
      <c r="D3120" s="69">
        <v>237</v>
      </c>
      <c r="E3120" s="68" t="s">
        <v>2590</v>
      </c>
      <c r="F3120" s="21" t="s">
        <v>2591</v>
      </c>
      <c r="G3120" s="15" t="s">
        <v>1538</v>
      </c>
      <c r="H3120" s="15" t="s">
        <v>2685</v>
      </c>
      <c r="I3120" s="69">
        <v>87</v>
      </c>
      <c r="J3120" s="15" t="s">
        <v>2672</v>
      </c>
      <c r="K3120" s="15" t="s">
        <v>2674</v>
      </c>
      <c r="L3120" s="15" t="s">
        <v>1703</v>
      </c>
      <c r="M3120" s="15" t="s">
        <v>2672</v>
      </c>
      <c r="N3120" s="15" t="s">
        <v>2673</v>
      </c>
      <c r="O3120" s="15"/>
    </row>
    <row r="3121" spans="1:15" ht="18" customHeight="1" x14ac:dyDescent="0.3">
      <c r="A3121" s="29">
        <v>3120</v>
      </c>
      <c r="B3121" s="15" t="s">
        <v>2588</v>
      </c>
      <c r="C3121" s="15" t="s">
        <v>2589</v>
      </c>
      <c r="D3121" s="69">
        <v>237</v>
      </c>
      <c r="E3121" s="68" t="s">
        <v>2590</v>
      </c>
      <c r="F3121" s="21" t="s">
        <v>2591</v>
      </c>
      <c r="G3121" s="15" t="s">
        <v>1538</v>
      </c>
      <c r="H3121" s="15" t="s">
        <v>2678</v>
      </c>
      <c r="I3121" s="69">
        <v>115</v>
      </c>
      <c r="J3121" s="15" t="s">
        <v>2672</v>
      </c>
      <c r="K3121" s="15" t="s">
        <v>2674</v>
      </c>
      <c r="L3121" s="15" t="s">
        <v>1703</v>
      </c>
      <c r="M3121" s="15" t="s">
        <v>2672</v>
      </c>
      <c r="N3121" s="15" t="s">
        <v>2673</v>
      </c>
      <c r="O3121" s="15"/>
    </row>
    <row r="3122" spans="1:15" ht="18" customHeight="1" x14ac:dyDescent="0.3">
      <c r="A3122" s="29">
        <v>3121</v>
      </c>
      <c r="B3122" s="15" t="s">
        <v>2588</v>
      </c>
      <c r="C3122" s="15" t="s">
        <v>2589</v>
      </c>
      <c r="D3122" s="69">
        <v>237</v>
      </c>
      <c r="E3122" s="68" t="s">
        <v>2590</v>
      </c>
      <c r="F3122" s="21" t="s">
        <v>2591</v>
      </c>
      <c r="G3122" s="15" t="s">
        <v>1538</v>
      </c>
      <c r="H3122" s="15" t="s">
        <v>2679</v>
      </c>
      <c r="I3122" s="69">
        <v>90</v>
      </c>
      <c r="J3122" s="15" t="s">
        <v>2672</v>
      </c>
      <c r="K3122" s="15" t="s">
        <v>2674</v>
      </c>
      <c r="L3122" s="15" t="s">
        <v>1703</v>
      </c>
      <c r="M3122" s="15" t="s">
        <v>2672</v>
      </c>
      <c r="N3122" s="15" t="s">
        <v>2673</v>
      </c>
      <c r="O3122" s="15"/>
    </row>
    <row r="3123" spans="1:15" ht="18" customHeight="1" x14ac:dyDescent="0.3">
      <c r="A3123" s="29">
        <v>3122</v>
      </c>
      <c r="B3123" s="15" t="s">
        <v>2588</v>
      </c>
      <c r="C3123" s="15" t="s">
        <v>2589</v>
      </c>
      <c r="D3123" s="69">
        <v>237</v>
      </c>
      <c r="E3123" s="68" t="s">
        <v>2590</v>
      </c>
      <c r="F3123" s="21" t="s">
        <v>2591</v>
      </c>
      <c r="G3123" s="15" t="s">
        <v>1538</v>
      </c>
      <c r="H3123" s="15" t="s">
        <v>2680</v>
      </c>
      <c r="I3123" s="69">
        <v>90</v>
      </c>
      <c r="J3123" s="15" t="s">
        <v>2672</v>
      </c>
      <c r="K3123" s="15" t="s">
        <v>2674</v>
      </c>
      <c r="L3123" s="15" t="s">
        <v>1703</v>
      </c>
      <c r="M3123" s="15" t="s">
        <v>2672</v>
      </c>
      <c r="N3123" s="15" t="s">
        <v>2673</v>
      </c>
      <c r="O3123" s="15"/>
    </row>
    <row r="3124" spans="1:15" ht="18" customHeight="1" x14ac:dyDescent="0.3">
      <c r="A3124" s="29">
        <v>3123</v>
      </c>
      <c r="B3124" s="15" t="s">
        <v>2588</v>
      </c>
      <c r="C3124" s="15" t="s">
        <v>2589</v>
      </c>
      <c r="D3124" s="69">
        <v>237</v>
      </c>
      <c r="E3124" s="68" t="s">
        <v>2590</v>
      </c>
      <c r="F3124" s="21" t="s">
        <v>2591</v>
      </c>
      <c r="G3124" s="15" t="s">
        <v>1538</v>
      </c>
      <c r="H3124" s="15" t="s">
        <v>2690</v>
      </c>
      <c r="I3124" s="69">
        <v>115</v>
      </c>
      <c r="J3124" s="15" t="s">
        <v>2672</v>
      </c>
      <c r="K3124" s="15" t="s">
        <v>2674</v>
      </c>
      <c r="L3124" s="15" t="s">
        <v>1703</v>
      </c>
      <c r="M3124" s="15" t="s">
        <v>2672</v>
      </c>
      <c r="N3124" s="15" t="s">
        <v>2673</v>
      </c>
      <c r="O3124" s="15"/>
    </row>
    <row r="3125" spans="1:15" ht="18" customHeight="1" x14ac:dyDescent="0.3">
      <c r="A3125" s="29">
        <v>3124</v>
      </c>
      <c r="B3125" s="15" t="s">
        <v>139</v>
      </c>
      <c r="C3125" s="15" t="s">
        <v>2589</v>
      </c>
      <c r="D3125" s="69">
        <v>237</v>
      </c>
      <c r="E3125" s="68" t="s">
        <v>308</v>
      </c>
      <c r="F3125" s="21" t="s">
        <v>853</v>
      </c>
      <c r="G3125" s="15" t="s">
        <v>154</v>
      </c>
      <c r="H3125" s="15" t="s">
        <v>901</v>
      </c>
      <c r="I3125" s="69">
        <v>230</v>
      </c>
      <c r="J3125" s="15" t="s">
        <v>2672</v>
      </c>
      <c r="K3125" s="15" t="s">
        <v>903</v>
      </c>
      <c r="L3125" s="15" t="s">
        <v>2673</v>
      </c>
      <c r="M3125" s="15" t="s">
        <v>2672</v>
      </c>
      <c r="N3125" s="15" t="s">
        <v>2673</v>
      </c>
      <c r="O3125" s="15"/>
    </row>
    <row r="3126" spans="1:15" ht="18" customHeight="1" x14ac:dyDescent="0.3">
      <c r="A3126" s="29">
        <v>3125</v>
      </c>
      <c r="B3126" s="15" t="s">
        <v>139</v>
      </c>
      <c r="C3126" s="15" t="s">
        <v>2589</v>
      </c>
      <c r="D3126" s="69">
        <v>237</v>
      </c>
      <c r="E3126" s="68" t="s">
        <v>308</v>
      </c>
      <c r="F3126" s="21" t="s">
        <v>853</v>
      </c>
      <c r="G3126" s="15" t="s">
        <v>154</v>
      </c>
      <c r="H3126" s="15" t="s">
        <v>904</v>
      </c>
      <c r="I3126" s="69">
        <v>132</v>
      </c>
      <c r="J3126" s="15" t="s">
        <v>2672</v>
      </c>
      <c r="K3126" s="15" t="s">
        <v>903</v>
      </c>
      <c r="L3126" s="15" t="s">
        <v>2673</v>
      </c>
      <c r="M3126" s="15" t="s">
        <v>2672</v>
      </c>
      <c r="N3126" s="15" t="s">
        <v>2673</v>
      </c>
      <c r="O3126" s="15"/>
    </row>
    <row r="3127" spans="1:15" ht="18" customHeight="1" x14ac:dyDescent="0.3">
      <c r="A3127" s="29">
        <v>3126</v>
      </c>
      <c r="B3127" s="15" t="s">
        <v>139</v>
      </c>
      <c r="C3127" s="15" t="s">
        <v>2589</v>
      </c>
      <c r="D3127" s="69">
        <v>237</v>
      </c>
      <c r="E3127" s="68" t="s">
        <v>308</v>
      </c>
      <c r="F3127" s="21" t="s">
        <v>853</v>
      </c>
      <c r="G3127" s="15" t="s">
        <v>154</v>
      </c>
      <c r="H3127" s="15" t="s">
        <v>905</v>
      </c>
      <c r="I3127" s="69">
        <v>139</v>
      </c>
      <c r="J3127" s="15" t="s">
        <v>2672</v>
      </c>
      <c r="K3127" s="15" t="s">
        <v>903</v>
      </c>
      <c r="L3127" s="15" t="s">
        <v>2673</v>
      </c>
      <c r="M3127" s="15" t="s">
        <v>2672</v>
      </c>
      <c r="N3127" s="15" t="s">
        <v>2673</v>
      </c>
      <c r="O3127" s="15"/>
    </row>
    <row r="3128" spans="1:15" ht="18" customHeight="1" x14ac:dyDescent="0.3">
      <c r="A3128" s="29">
        <v>3127</v>
      </c>
      <c r="B3128" s="15" t="s">
        <v>139</v>
      </c>
      <c r="C3128" s="15" t="s">
        <v>2589</v>
      </c>
      <c r="D3128" s="69">
        <v>237</v>
      </c>
      <c r="E3128" s="68" t="s">
        <v>308</v>
      </c>
      <c r="F3128" s="21" t="s">
        <v>853</v>
      </c>
      <c r="G3128" s="15" t="s">
        <v>154</v>
      </c>
      <c r="H3128" s="15" t="s">
        <v>906</v>
      </c>
      <c r="I3128" s="69">
        <v>230</v>
      </c>
      <c r="J3128" s="15" t="s">
        <v>2672</v>
      </c>
      <c r="K3128" s="15" t="s">
        <v>903</v>
      </c>
      <c r="L3128" s="15" t="s">
        <v>2673</v>
      </c>
      <c r="M3128" s="15" t="s">
        <v>2672</v>
      </c>
      <c r="N3128" s="15" t="s">
        <v>2673</v>
      </c>
      <c r="O3128" s="15"/>
    </row>
    <row r="3129" spans="1:15" ht="18" customHeight="1" x14ac:dyDescent="0.3">
      <c r="A3129" s="29">
        <v>3128</v>
      </c>
      <c r="B3129" s="15" t="s">
        <v>139</v>
      </c>
      <c r="C3129" s="15" t="s">
        <v>2589</v>
      </c>
      <c r="D3129" s="69">
        <v>237</v>
      </c>
      <c r="E3129" s="68" t="s">
        <v>308</v>
      </c>
      <c r="F3129" s="21" t="s">
        <v>853</v>
      </c>
      <c r="G3129" s="15" t="s">
        <v>154</v>
      </c>
      <c r="H3129" s="15" t="s">
        <v>907</v>
      </c>
      <c r="I3129" s="69">
        <v>102</v>
      </c>
      <c r="J3129" s="15" t="s">
        <v>2672</v>
      </c>
      <c r="K3129" s="15" t="s">
        <v>903</v>
      </c>
      <c r="L3129" s="15" t="s">
        <v>2673</v>
      </c>
      <c r="M3129" s="15" t="s">
        <v>2672</v>
      </c>
      <c r="N3129" s="15" t="s">
        <v>2673</v>
      </c>
      <c r="O3129" s="15"/>
    </row>
    <row r="3130" spans="1:15" ht="18" customHeight="1" x14ac:dyDescent="0.3">
      <c r="A3130" s="29">
        <v>3129</v>
      </c>
      <c r="B3130" s="15" t="s">
        <v>139</v>
      </c>
      <c r="C3130" s="15" t="s">
        <v>2589</v>
      </c>
      <c r="D3130" s="69">
        <v>237</v>
      </c>
      <c r="E3130" s="68" t="s">
        <v>308</v>
      </c>
      <c r="F3130" s="21" t="s">
        <v>853</v>
      </c>
      <c r="G3130" s="15" t="s">
        <v>154</v>
      </c>
      <c r="H3130" s="15" t="s">
        <v>908</v>
      </c>
      <c r="I3130" s="69">
        <v>132</v>
      </c>
      <c r="J3130" s="15" t="s">
        <v>2672</v>
      </c>
      <c r="K3130" s="15" t="s">
        <v>903</v>
      </c>
      <c r="L3130" s="15" t="s">
        <v>2673</v>
      </c>
      <c r="M3130" s="15" t="s">
        <v>2672</v>
      </c>
      <c r="N3130" s="15" t="s">
        <v>2673</v>
      </c>
      <c r="O3130" s="15"/>
    </row>
    <row r="3131" spans="1:15" ht="18" customHeight="1" x14ac:dyDescent="0.3">
      <c r="A3131" s="29">
        <v>3130</v>
      </c>
      <c r="B3131" s="15" t="s">
        <v>139</v>
      </c>
      <c r="C3131" s="15" t="s">
        <v>2589</v>
      </c>
      <c r="D3131" s="69">
        <v>237</v>
      </c>
      <c r="E3131" s="68" t="s">
        <v>308</v>
      </c>
      <c r="F3131" s="21" t="s">
        <v>853</v>
      </c>
      <c r="G3131" s="15" t="s">
        <v>154</v>
      </c>
      <c r="H3131" s="15" t="s">
        <v>909</v>
      </c>
      <c r="I3131" s="69">
        <v>139</v>
      </c>
      <c r="J3131" s="15" t="s">
        <v>2672</v>
      </c>
      <c r="K3131" s="15" t="s">
        <v>903</v>
      </c>
      <c r="L3131" s="15" t="s">
        <v>2673</v>
      </c>
      <c r="M3131" s="15" t="s">
        <v>2672</v>
      </c>
      <c r="N3131" s="15" t="s">
        <v>2673</v>
      </c>
      <c r="O3131" s="15"/>
    </row>
    <row r="3132" spans="1:15" ht="18" customHeight="1" x14ac:dyDescent="0.3">
      <c r="A3132" s="29">
        <v>3131</v>
      </c>
      <c r="B3132" s="15" t="s">
        <v>2588</v>
      </c>
      <c r="C3132" s="15" t="s">
        <v>2589</v>
      </c>
      <c r="D3132" s="69">
        <v>237</v>
      </c>
      <c r="E3132" s="68" t="s">
        <v>3411</v>
      </c>
      <c r="F3132" s="21" t="s">
        <v>1281</v>
      </c>
      <c r="G3132" s="15" t="s">
        <v>1538</v>
      </c>
      <c r="H3132" s="15" t="s">
        <v>2685</v>
      </c>
      <c r="I3132" s="69">
        <v>135</v>
      </c>
      <c r="J3132" s="15" t="s">
        <v>2672</v>
      </c>
      <c r="K3132" s="15" t="s">
        <v>903</v>
      </c>
      <c r="L3132" s="15" t="s">
        <v>2673</v>
      </c>
      <c r="M3132" s="15" t="s">
        <v>2672</v>
      </c>
      <c r="N3132" s="15" t="s">
        <v>2673</v>
      </c>
      <c r="O3132" s="15"/>
    </row>
    <row r="3133" spans="1:15" ht="18" customHeight="1" x14ac:dyDescent="0.3">
      <c r="A3133" s="29">
        <v>3132</v>
      </c>
      <c r="B3133" s="15" t="s">
        <v>2588</v>
      </c>
      <c r="C3133" s="15" t="s">
        <v>2589</v>
      </c>
      <c r="D3133" s="69">
        <v>237</v>
      </c>
      <c r="E3133" s="68" t="s">
        <v>3411</v>
      </c>
      <c r="F3133" s="21" t="s">
        <v>1281</v>
      </c>
      <c r="G3133" s="15" t="s">
        <v>1538</v>
      </c>
      <c r="H3133" s="15" t="s">
        <v>2678</v>
      </c>
      <c r="I3133" s="69">
        <v>135</v>
      </c>
      <c r="J3133" s="15" t="s">
        <v>2672</v>
      </c>
      <c r="K3133" s="15" t="s">
        <v>903</v>
      </c>
      <c r="L3133" s="15" t="s">
        <v>2673</v>
      </c>
      <c r="M3133" s="15" t="s">
        <v>2672</v>
      </c>
      <c r="N3133" s="15" t="s">
        <v>2673</v>
      </c>
      <c r="O3133" s="15"/>
    </row>
    <row r="3134" spans="1:15" ht="18" customHeight="1" x14ac:dyDescent="0.3">
      <c r="A3134" s="29">
        <v>3133</v>
      </c>
      <c r="B3134" s="15" t="s">
        <v>2588</v>
      </c>
      <c r="C3134" s="15" t="s">
        <v>2589</v>
      </c>
      <c r="D3134" s="69">
        <v>237</v>
      </c>
      <c r="E3134" s="68" t="s">
        <v>3411</v>
      </c>
      <c r="F3134" s="21" t="s">
        <v>1281</v>
      </c>
      <c r="G3134" s="15" t="s">
        <v>1538</v>
      </c>
      <c r="H3134" s="15" t="s">
        <v>2679</v>
      </c>
      <c r="I3134" s="69">
        <v>118</v>
      </c>
      <c r="J3134" s="15" t="s">
        <v>2672</v>
      </c>
      <c r="K3134" s="15" t="s">
        <v>903</v>
      </c>
      <c r="L3134" s="15" t="s">
        <v>2673</v>
      </c>
      <c r="M3134" s="15" t="s">
        <v>2672</v>
      </c>
      <c r="N3134" s="15" t="s">
        <v>2673</v>
      </c>
      <c r="O3134" s="15"/>
    </row>
    <row r="3135" spans="1:15" ht="18" customHeight="1" x14ac:dyDescent="0.3">
      <c r="A3135" s="29">
        <v>3134</v>
      </c>
      <c r="B3135" s="15" t="s">
        <v>2588</v>
      </c>
      <c r="C3135" s="15" t="s">
        <v>2589</v>
      </c>
      <c r="D3135" s="69">
        <v>237</v>
      </c>
      <c r="E3135" s="68" t="s">
        <v>3411</v>
      </c>
      <c r="F3135" s="21" t="s">
        <v>1281</v>
      </c>
      <c r="G3135" s="15" t="s">
        <v>1538</v>
      </c>
      <c r="H3135" s="15" t="s">
        <v>2680</v>
      </c>
      <c r="I3135" s="69">
        <v>96</v>
      </c>
      <c r="J3135" s="15" t="s">
        <v>2672</v>
      </c>
      <c r="K3135" s="15" t="s">
        <v>903</v>
      </c>
      <c r="L3135" s="15" t="s">
        <v>2673</v>
      </c>
      <c r="M3135" s="15" t="s">
        <v>2672</v>
      </c>
      <c r="N3135" s="15" t="s">
        <v>2673</v>
      </c>
      <c r="O3135" s="15"/>
    </row>
    <row r="3136" spans="1:15" ht="18" customHeight="1" x14ac:dyDescent="0.3">
      <c r="A3136" s="29">
        <v>3135</v>
      </c>
      <c r="B3136" s="15" t="s">
        <v>2588</v>
      </c>
      <c r="C3136" s="15" t="s">
        <v>2589</v>
      </c>
      <c r="D3136" s="69">
        <v>237</v>
      </c>
      <c r="E3136" s="68" t="s">
        <v>3411</v>
      </c>
      <c r="F3136" s="21" t="s">
        <v>1281</v>
      </c>
      <c r="G3136" s="15" t="s">
        <v>1538</v>
      </c>
      <c r="H3136" s="15" t="s">
        <v>2690</v>
      </c>
      <c r="I3136" s="69">
        <v>109</v>
      </c>
      <c r="J3136" s="15" t="s">
        <v>2674</v>
      </c>
      <c r="K3136" s="15" t="s">
        <v>903</v>
      </c>
      <c r="L3136" s="15" t="s">
        <v>2673</v>
      </c>
      <c r="M3136" s="15" t="s">
        <v>2672</v>
      </c>
      <c r="N3136" s="15" t="s">
        <v>2673</v>
      </c>
      <c r="O3136" s="15"/>
    </row>
    <row r="3137" spans="1:15" ht="18" customHeight="1" x14ac:dyDescent="0.3">
      <c r="A3137" s="29">
        <v>3136</v>
      </c>
      <c r="B3137" s="15" t="s">
        <v>139</v>
      </c>
      <c r="C3137" s="15" t="s">
        <v>2589</v>
      </c>
      <c r="D3137" s="69">
        <v>237</v>
      </c>
      <c r="E3137" s="68" t="s">
        <v>271</v>
      </c>
      <c r="F3137" s="21" t="s">
        <v>850</v>
      </c>
      <c r="G3137" s="15" t="s">
        <v>154</v>
      </c>
      <c r="H3137" s="15" t="s">
        <v>901</v>
      </c>
      <c r="I3137" s="69">
        <v>147</v>
      </c>
      <c r="J3137" s="13" t="s">
        <v>902</v>
      </c>
      <c r="K3137" s="15" t="s">
        <v>903</v>
      </c>
      <c r="L3137" s="15" t="s">
        <v>2673</v>
      </c>
      <c r="M3137" s="15" t="s">
        <v>2672</v>
      </c>
      <c r="N3137" s="15" t="s">
        <v>2673</v>
      </c>
      <c r="O3137" s="15"/>
    </row>
    <row r="3138" spans="1:15" ht="18" customHeight="1" x14ac:dyDescent="0.3">
      <c r="A3138" s="29">
        <v>3137</v>
      </c>
      <c r="B3138" s="15" t="s">
        <v>139</v>
      </c>
      <c r="C3138" s="15" t="s">
        <v>2589</v>
      </c>
      <c r="D3138" s="69">
        <v>237</v>
      </c>
      <c r="E3138" s="68" t="s">
        <v>271</v>
      </c>
      <c r="F3138" s="21" t="s">
        <v>850</v>
      </c>
      <c r="G3138" s="15" t="s">
        <v>154</v>
      </c>
      <c r="H3138" s="15" t="s">
        <v>904</v>
      </c>
      <c r="I3138" s="69">
        <v>238</v>
      </c>
      <c r="J3138" s="13" t="s">
        <v>902</v>
      </c>
      <c r="K3138" s="15" t="s">
        <v>903</v>
      </c>
      <c r="L3138" s="15" t="s">
        <v>2673</v>
      </c>
      <c r="M3138" s="15" t="s">
        <v>2672</v>
      </c>
      <c r="N3138" s="15" t="s">
        <v>2673</v>
      </c>
      <c r="O3138" s="15"/>
    </row>
    <row r="3139" spans="1:15" ht="18" customHeight="1" x14ac:dyDescent="0.3">
      <c r="A3139" s="29">
        <v>3138</v>
      </c>
      <c r="B3139" s="15" t="s">
        <v>139</v>
      </c>
      <c r="C3139" s="15" t="s">
        <v>2589</v>
      </c>
      <c r="D3139" s="69">
        <v>237</v>
      </c>
      <c r="E3139" s="68" t="s">
        <v>271</v>
      </c>
      <c r="F3139" s="21" t="s">
        <v>850</v>
      </c>
      <c r="G3139" s="15" t="s">
        <v>154</v>
      </c>
      <c r="H3139" s="15" t="s">
        <v>905</v>
      </c>
      <c r="I3139" s="69">
        <v>219</v>
      </c>
      <c r="J3139" s="13" t="s">
        <v>902</v>
      </c>
      <c r="K3139" s="15" t="s">
        <v>903</v>
      </c>
      <c r="L3139" s="15" t="s">
        <v>2673</v>
      </c>
      <c r="M3139" s="15" t="s">
        <v>2672</v>
      </c>
      <c r="N3139" s="15" t="s">
        <v>2673</v>
      </c>
      <c r="O3139" s="15"/>
    </row>
    <row r="3140" spans="1:15" ht="18" customHeight="1" x14ac:dyDescent="0.3">
      <c r="A3140" s="29">
        <v>3139</v>
      </c>
      <c r="B3140" s="15" t="s">
        <v>139</v>
      </c>
      <c r="C3140" s="15" t="s">
        <v>2589</v>
      </c>
      <c r="D3140" s="69">
        <v>237</v>
      </c>
      <c r="E3140" s="68" t="s">
        <v>271</v>
      </c>
      <c r="F3140" s="21" t="s">
        <v>850</v>
      </c>
      <c r="G3140" s="15" t="s">
        <v>154</v>
      </c>
      <c r="H3140" s="15" t="s">
        <v>906</v>
      </c>
      <c r="I3140" s="69">
        <v>104</v>
      </c>
      <c r="J3140" s="13" t="s">
        <v>2672</v>
      </c>
      <c r="K3140" s="15" t="s">
        <v>903</v>
      </c>
      <c r="L3140" s="15" t="s">
        <v>2673</v>
      </c>
      <c r="M3140" s="15" t="s">
        <v>2672</v>
      </c>
      <c r="N3140" s="15" t="s">
        <v>2673</v>
      </c>
      <c r="O3140" s="15"/>
    </row>
    <row r="3141" spans="1:15" ht="18" customHeight="1" x14ac:dyDescent="0.3">
      <c r="A3141" s="29">
        <v>3140</v>
      </c>
      <c r="B3141" s="15" t="s">
        <v>139</v>
      </c>
      <c r="C3141" s="15" t="s">
        <v>2589</v>
      </c>
      <c r="D3141" s="69">
        <v>237</v>
      </c>
      <c r="E3141" s="68" t="s">
        <v>271</v>
      </c>
      <c r="F3141" s="21" t="s">
        <v>850</v>
      </c>
      <c r="G3141" s="15" t="s">
        <v>154</v>
      </c>
      <c r="H3141" s="15" t="s">
        <v>907</v>
      </c>
      <c r="I3141" s="69">
        <v>147</v>
      </c>
      <c r="J3141" s="13" t="s">
        <v>2672</v>
      </c>
      <c r="K3141" s="15" t="s">
        <v>903</v>
      </c>
      <c r="L3141" s="15" t="s">
        <v>2673</v>
      </c>
      <c r="M3141" s="15" t="s">
        <v>2672</v>
      </c>
      <c r="N3141" s="15" t="s">
        <v>2673</v>
      </c>
      <c r="O3141" s="15"/>
    </row>
    <row r="3142" spans="1:15" ht="18" customHeight="1" x14ac:dyDescent="0.3">
      <c r="A3142" s="29">
        <v>3141</v>
      </c>
      <c r="B3142" s="15" t="s">
        <v>139</v>
      </c>
      <c r="C3142" s="15" t="s">
        <v>2589</v>
      </c>
      <c r="D3142" s="69">
        <v>237</v>
      </c>
      <c r="E3142" s="68" t="s">
        <v>271</v>
      </c>
      <c r="F3142" s="21" t="s">
        <v>850</v>
      </c>
      <c r="G3142" s="15" t="s">
        <v>154</v>
      </c>
      <c r="H3142" s="15" t="s">
        <v>908</v>
      </c>
      <c r="I3142" s="69">
        <v>245</v>
      </c>
      <c r="J3142" s="13" t="s">
        <v>902</v>
      </c>
      <c r="K3142" s="15" t="s">
        <v>903</v>
      </c>
      <c r="L3142" s="15" t="s">
        <v>2673</v>
      </c>
      <c r="M3142" s="15" t="s">
        <v>2672</v>
      </c>
      <c r="N3142" s="15" t="s">
        <v>2673</v>
      </c>
      <c r="O3142" s="15"/>
    </row>
    <row r="3143" spans="1:15" ht="18" customHeight="1" x14ac:dyDescent="0.3">
      <c r="A3143" s="29">
        <v>3142</v>
      </c>
      <c r="B3143" s="15" t="s">
        <v>139</v>
      </c>
      <c r="C3143" s="15" t="s">
        <v>2589</v>
      </c>
      <c r="D3143" s="69">
        <v>237</v>
      </c>
      <c r="E3143" s="68" t="s">
        <v>271</v>
      </c>
      <c r="F3143" s="21" t="s">
        <v>850</v>
      </c>
      <c r="G3143" s="15" t="s">
        <v>154</v>
      </c>
      <c r="H3143" s="15" t="s">
        <v>909</v>
      </c>
      <c r="I3143" s="69">
        <v>219</v>
      </c>
      <c r="J3143" s="13" t="s">
        <v>2672</v>
      </c>
      <c r="K3143" s="15" t="s">
        <v>903</v>
      </c>
      <c r="L3143" s="15" t="s">
        <v>2673</v>
      </c>
      <c r="M3143" s="15" t="s">
        <v>2672</v>
      </c>
      <c r="N3143" s="15" t="s">
        <v>2673</v>
      </c>
      <c r="O3143" s="15"/>
    </row>
    <row r="3144" spans="1:15" ht="18" customHeight="1" x14ac:dyDescent="0.3">
      <c r="A3144" s="29">
        <v>3143</v>
      </c>
      <c r="B3144" s="15" t="s">
        <v>139</v>
      </c>
      <c r="C3144" s="15" t="s">
        <v>2589</v>
      </c>
      <c r="D3144" s="69">
        <v>237</v>
      </c>
      <c r="E3144" s="68" t="s">
        <v>3412</v>
      </c>
      <c r="F3144" s="24" t="s">
        <v>1109</v>
      </c>
      <c r="G3144" s="15" t="s">
        <v>154</v>
      </c>
      <c r="H3144" s="15" t="s">
        <v>905</v>
      </c>
      <c r="I3144" s="69">
        <v>201</v>
      </c>
      <c r="J3144" s="15" t="s">
        <v>2672</v>
      </c>
      <c r="K3144" s="15" t="s">
        <v>903</v>
      </c>
      <c r="L3144" s="15" t="s">
        <v>2673</v>
      </c>
      <c r="M3144" s="15" t="s">
        <v>2672</v>
      </c>
      <c r="N3144" s="15" t="s">
        <v>2673</v>
      </c>
      <c r="O3144" s="15"/>
    </row>
    <row r="3145" spans="1:15" ht="18" customHeight="1" x14ac:dyDescent="0.3">
      <c r="A3145" s="29">
        <v>3144</v>
      </c>
      <c r="B3145" s="15" t="s">
        <v>139</v>
      </c>
      <c r="C3145" s="15" t="s">
        <v>2589</v>
      </c>
      <c r="D3145" s="69">
        <v>237</v>
      </c>
      <c r="E3145" s="68" t="s">
        <v>3412</v>
      </c>
      <c r="F3145" s="24" t="s">
        <v>1109</v>
      </c>
      <c r="G3145" s="15" t="s">
        <v>154</v>
      </c>
      <c r="H3145" s="15" t="s">
        <v>907</v>
      </c>
      <c r="I3145" s="69">
        <v>155</v>
      </c>
      <c r="J3145" s="15" t="s">
        <v>2674</v>
      </c>
      <c r="K3145" s="15" t="s">
        <v>903</v>
      </c>
      <c r="L3145" s="15" t="s">
        <v>2673</v>
      </c>
      <c r="M3145" s="15" t="s">
        <v>2672</v>
      </c>
      <c r="N3145" s="15" t="s">
        <v>2673</v>
      </c>
      <c r="O3145" s="15"/>
    </row>
    <row r="3146" spans="1:15" ht="18" customHeight="1" x14ac:dyDescent="0.3">
      <c r="A3146" s="29">
        <v>3145</v>
      </c>
      <c r="B3146" s="15" t="s">
        <v>139</v>
      </c>
      <c r="C3146" s="15" t="s">
        <v>2589</v>
      </c>
      <c r="D3146" s="69">
        <v>237</v>
      </c>
      <c r="E3146" s="68" t="s">
        <v>3412</v>
      </c>
      <c r="F3146" s="24" t="s">
        <v>3032</v>
      </c>
      <c r="G3146" s="15" t="s">
        <v>154</v>
      </c>
      <c r="H3146" s="15" t="s">
        <v>908</v>
      </c>
      <c r="I3146" s="69">
        <v>236</v>
      </c>
      <c r="J3146" s="15" t="s">
        <v>2672</v>
      </c>
      <c r="K3146" s="15" t="s">
        <v>902</v>
      </c>
      <c r="L3146" s="15" t="s">
        <v>1069</v>
      </c>
      <c r="M3146" s="15" t="s">
        <v>2672</v>
      </c>
      <c r="N3146" s="15" t="s">
        <v>2673</v>
      </c>
      <c r="O3146" s="15"/>
    </row>
    <row r="3147" spans="1:15" ht="18" customHeight="1" x14ac:dyDescent="0.3">
      <c r="A3147" s="29">
        <v>3146</v>
      </c>
      <c r="B3147" s="15" t="s">
        <v>139</v>
      </c>
      <c r="C3147" s="15" t="s">
        <v>2589</v>
      </c>
      <c r="D3147" s="69">
        <v>237</v>
      </c>
      <c r="E3147" s="68" t="s">
        <v>3412</v>
      </c>
      <c r="F3147" s="24" t="s">
        <v>3032</v>
      </c>
      <c r="G3147" s="15" t="s">
        <v>154</v>
      </c>
      <c r="H3147" s="15" t="s">
        <v>979</v>
      </c>
      <c r="I3147" s="69">
        <v>304</v>
      </c>
      <c r="J3147" s="15" t="s">
        <v>2674</v>
      </c>
      <c r="K3147" s="15" t="s">
        <v>902</v>
      </c>
      <c r="L3147" s="15" t="s">
        <v>207</v>
      </c>
      <c r="M3147" s="15" t="s">
        <v>2672</v>
      </c>
      <c r="N3147" s="15" t="s">
        <v>2673</v>
      </c>
      <c r="O3147" s="15"/>
    </row>
    <row r="3148" spans="1:15" ht="18" customHeight="1" x14ac:dyDescent="0.3">
      <c r="A3148" s="29">
        <v>3147</v>
      </c>
      <c r="B3148" s="15" t="s">
        <v>139</v>
      </c>
      <c r="C3148" s="15" t="s">
        <v>2589</v>
      </c>
      <c r="D3148" s="69">
        <v>237</v>
      </c>
      <c r="E3148" s="68" t="s">
        <v>3412</v>
      </c>
      <c r="F3148" s="24" t="s">
        <v>3033</v>
      </c>
      <c r="G3148" s="15" t="s">
        <v>154</v>
      </c>
      <c r="H3148" s="15" t="s">
        <v>901</v>
      </c>
      <c r="I3148" s="69">
        <v>162</v>
      </c>
      <c r="J3148" s="15" t="s">
        <v>2672</v>
      </c>
      <c r="K3148" s="15" t="s">
        <v>903</v>
      </c>
      <c r="L3148" s="15" t="s">
        <v>2673</v>
      </c>
      <c r="M3148" s="15" t="s">
        <v>2672</v>
      </c>
      <c r="N3148" s="15" t="s">
        <v>2673</v>
      </c>
      <c r="O3148" s="15"/>
    </row>
    <row r="3149" spans="1:15" ht="18" customHeight="1" x14ac:dyDescent="0.3">
      <c r="A3149" s="29">
        <v>3148</v>
      </c>
      <c r="B3149" s="15" t="s">
        <v>139</v>
      </c>
      <c r="C3149" s="15" t="s">
        <v>2589</v>
      </c>
      <c r="D3149" s="69">
        <v>237</v>
      </c>
      <c r="E3149" s="68" t="s">
        <v>3412</v>
      </c>
      <c r="F3149" s="24" t="s">
        <v>3033</v>
      </c>
      <c r="G3149" s="15" t="s">
        <v>154</v>
      </c>
      <c r="H3149" s="15" t="s">
        <v>904</v>
      </c>
      <c r="I3149" s="69">
        <v>120</v>
      </c>
      <c r="J3149" s="15" t="s">
        <v>2672</v>
      </c>
      <c r="K3149" s="15" t="s">
        <v>903</v>
      </c>
      <c r="L3149" s="15" t="s">
        <v>2673</v>
      </c>
      <c r="M3149" s="15" t="s">
        <v>2672</v>
      </c>
      <c r="N3149" s="15" t="s">
        <v>2673</v>
      </c>
      <c r="O3149" s="15"/>
    </row>
    <row r="3150" spans="1:15" ht="18" customHeight="1" x14ac:dyDescent="0.3">
      <c r="A3150" s="29">
        <v>3149</v>
      </c>
      <c r="B3150" s="15" t="s">
        <v>139</v>
      </c>
      <c r="C3150" s="15" t="s">
        <v>2589</v>
      </c>
      <c r="D3150" s="69">
        <v>237</v>
      </c>
      <c r="E3150" s="68" t="s">
        <v>3413</v>
      </c>
      <c r="F3150" s="24" t="s">
        <v>846</v>
      </c>
      <c r="G3150" s="15" t="s">
        <v>154</v>
      </c>
      <c r="H3150" s="15" t="s">
        <v>901</v>
      </c>
      <c r="I3150" s="69">
        <v>163</v>
      </c>
      <c r="J3150" s="15" t="s">
        <v>2672</v>
      </c>
      <c r="K3150" s="15" t="s">
        <v>903</v>
      </c>
      <c r="L3150" s="15" t="s">
        <v>2673</v>
      </c>
      <c r="M3150" s="15" t="s">
        <v>2672</v>
      </c>
      <c r="N3150" s="15" t="s">
        <v>2673</v>
      </c>
      <c r="O3150" s="15"/>
    </row>
    <row r="3151" spans="1:15" ht="18" customHeight="1" x14ac:dyDescent="0.3">
      <c r="A3151" s="29">
        <v>3150</v>
      </c>
      <c r="B3151" s="15" t="s">
        <v>139</v>
      </c>
      <c r="C3151" s="15" t="s">
        <v>2589</v>
      </c>
      <c r="D3151" s="69">
        <v>237</v>
      </c>
      <c r="E3151" s="68" t="s">
        <v>3413</v>
      </c>
      <c r="F3151" s="24" t="s">
        <v>846</v>
      </c>
      <c r="G3151" s="15" t="s">
        <v>154</v>
      </c>
      <c r="H3151" s="15" t="s">
        <v>904</v>
      </c>
      <c r="I3151" s="69">
        <v>212</v>
      </c>
      <c r="J3151" s="15" t="s">
        <v>2674</v>
      </c>
      <c r="K3151" s="15" t="s">
        <v>903</v>
      </c>
      <c r="L3151" s="15" t="s">
        <v>2673</v>
      </c>
      <c r="M3151" s="15" t="s">
        <v>2672</v>
      </c>
      <c r="N3151" s="15" t="s">
        <v>2673</v>
      </c>
      <c r="O3151" s="15"/>
    </row>
    <row r="3152" spans="1:15" ht="18" customHeight="1" x14ac:dyDescent="0.3">
      <c r="A3152" s="29">
        <v>3151</v>
      </c>
      <c r="B3152" s="15" t="s">
        <v>139</v>
      </c>
      <c r="C3152" s="15" t="s">
        <v>2589</v>
      </c>
      <c r="D3152" s="69">
        <v>237</v>
      </c>
      <c r="E3152" s="68" t="s">
        <v>3413</v>
      </c>
      <c r="F3152" s="24" t="s">
        <v>846</v>
      </c>
      <c r="G3152" s="15" t="s">
        <v>154</v>
      </c>
      <c r="H3152" s="15" t="s">
        <v>905</v>
      </c>
      <c r="I3152" s="69">
        <v>248</v>
      </c>
      <c r="J3152" s="15" t="s">
        <v>2672</v>
      </c>
      <c r="K3152" s="15" t="s">
        <v>903</v>
      </c>
      <c r="L3152" s="15" t="s">
        <v>2673</v>
      </c>
      <c r="M3152" s="15" t="s">
        <v>2672</v>
      </c>
      <c r="N3152" s="15" t="s">
        <v>2673</v>
      </c>
      <c r="O3152" s="15"/>
    </row>
    <row r="3153" spans="1:15" ht="18" customHeight="1" x14ac:dyDescent="0.3">
      <c r="A3153" s="29">
        <v>3152</v>
      </c>
      <c r="B3153" s="15" t="s">
        <v>139</v>
      </c>
      <c r="C3153" s="15" t="s">
        <v>2589</v>
      </c>
      <c r="D3153" s="69">
        <v>237</v>
      </c>
      <c r="E3153" s="68" t="s">
        <v>3413</v>
      </c>
      <c r="F3153" s="24" t="s">
        <v>846</v>
      </c>
      <c r="G3153" s="15" t="s">
        <v>154</v>
      </c>
      <c r="H3153" s="15" t="s">
        <v>906</v>
      </c>
      <c r="I3153" s="69">
        <v>284</v>
      </c>
      <c r="J3153" s="15" t="s">
        <v>2672</v>
      </c>
      <c r="K3153" s="15" t="s">
        <v>903</v>
      </c>
      <c r="L3153" s="15" t="s">
        <v>2673</v>
      </c>
      <c r="M3153" s="15" t="s">
        <v>2672</v>
      </c>
      <c r="N3153" s="15" t="s">
        <v>2673</v>
      </c>
      <c r="O3153" s="15"/>
    </row>
    <row r="3154" spans="1:15" ht="18" customHeight="1" x14ac:dyDescent="0.3">
      <c r="A3154" s="29">
        <v>3153</v>
      </c>
      <c r="B3154" s="15" t="s">
        <v>139</v>
      </c>
      <c r="C3154" s="15" t="s">
        <v>2589</v>
      </c>
      <c r="D3154" s="69">
        <v>237</v>
      </c>
      <c r="E3154" s="68" t="s">
        <v>3413</v>
      </c>
      <c r="F3154" s="24" t="s">
        <v>846</v>
      </c>
      <c r="G3154" s="15" t="s">
        <v>154</v>
      </c>
      <c r="H3154" s="15" t="s">
        <v>908</v>
      </c>
      <c r="I3154" s="69">
        <v>118</v>
      </c>
      <c r="J3154" s="15" t="s">
        <v>2672</v>
      </c>
      <c r="K3154" s="15" t="s">
        <v>903</v>
      </c>
      <c r="L3154" s="15" t="s">
        <v>2673</v>
      </c>
      <c r="M3154" s="15" t="s">
        <v>2672</v>
      </c>
      <c r="N3154" s="15" t="s">
        <v>2673</v>
      </c>
      <c r="O3154" s="15"/>
    </row>
    <row r="3155" spans="1:15" ht="18" customHeight="1" x14ac:dyDescent="0.3">
      <c r="A3155" s="29">
        <v>3154</v>
      </c>
      <c r="B3155" s="15" t="s">
        <v>139</v>
      </c>
      <c r="C3155" s="15" t="s">
        <v>2589</v>
      </c>
      <c r="D3155" s="69">
        <v>237</v>
      </c>
      <c r="E3155" s="68" t="s">
        <v>3413</v>
      </c>
      <c r="F3155" s="24" t="s">
        <v>3034</v>
      </c>
      <c r="G3155" s="15" t="s">
        <v>154</v>
      </c>
      <c r="H3155" s="15" t="s">
        <v>983</v>
      </c>
      <c r="I3155" s="69">
        <v>80</v>
      </c>
      <c r="J3155" s="15" t="s">
        <v>2674</v>
      </c>
      <c r="K3155" s="15" t="s">
        <v>902</v>
      </c>
      <c r="L3155" s="15" t="s">
        <v>1797</v>
      </c>
      <c r="M3155" s="15" t="s">
        <v>2672</v>
      </c>
      <c r="N3155" s="15" t="s">
        <v>2673</v>
      </c>
      <c r="O3155" s="15"/>
    </row>
    <row r="3156" spans="1:15" ht="18" customHeight="1" x14ac:dyDescent="0.3">
      <c r="A3156" s="29">
        <v>3155</v>
      </c>
      <c r="B3156" s="15" t="s">
        <v>139</v>
      </c>
      <c r="C3156" s="15" t="s">
        <v>2589</v>
      </c>
      <c r="D3156" s="69">
        <v>237</v>
      </c>
      <c r="E3156" s="68" t="s">
        <v>957</v>
      </c>
      <c r="F3156" s="21" t="s">
        <v>849</v>
      </c>
      <c r="G3156" s="15" t="s">
        <v>154</v>
      </c>
      <c r="H3156" s="15" t="s">
        <v>901</v>
      </c>
      <c r="I3156" s="69">
        <v>124</v>
      </c>
      <c r="J3156" s="13" t="s">
        <v>2672</v>
      </c>
      <c r="K3156" s="15" t="s">
        <v>903</v>
      </c>
      <c r="L3156" s="15" t="s">
        <v>2673</v>
      </c>
      <c r="M3156" s="15" t="s">
        <v>2672</v>
      </c>
      <c r="N3156" s="15" t="s">
        <v>2673</v>
      </c>
      <c r="O3156" s="15"/>
    </row>
    <row r="3157" spans="1:15" ht="18" customHeight="1" x14ac:dyDescent="0.3">
      <c r="A3157" s="29">
        <v>3156</v>
      </c>
      <c r="B3157" s="15" t="s">
        <v>139</v>
      </c>
      <c r="C3157" s="15" t="s">
        <v>2589</v>
      </c>
      <c r="D3157" s="69">
        <v>237</v>
      </c>
      <c r="E3157" s="68" t="s">
        <v>957</v>
      </c>
      <c r="F3157" s="21" t="s">
        <v>849</v>
      </c>
      <c r="G3157" s="15" t="s">
        <v>154</v>
      </c>
      <c r="H3157" s="15" t="s">
        <v>904</v>
      </c>
      <c r="I3157" s="69">
        <v>121</v>
      </c>
      <c r="J3157" s="13" t="s">
        <v>2672</v>
      </c>
      <c r="K3157" s="15" t="s">
        <v>903</v>
      </c>
      <c r="L3157" s="15" t="s">
        <v>2673</v>
      </c>
      <c r="M3157" s="15" t="s">
        <v>2672</v>
      </c>
      <c r="N3157" s="15" t="s">
        <v>2673</v>
      </c>
      <c r="O3157" s="15"/>
    </row>
    <row r="3158" spans="1:15" ht="18" customHeight="1" x14ac:dyDescent="0.3">
      <c r="A3158" s="29">
        <v>3157</v>
      </c>
      <c r="B3158" s="15" t="s">
        <v>139</v>
      </c>
      <c r="C3158" s="15" t="s">
        <v>2589</v>
      </c>
      <c r="D3158" s="69">
        <v>237</v>
      </c>
      <c r="E3158" s="68" t="s">
        <v>957</v>
      </c>
      <c r="F3158" s="21" t="s">
        <v>849</v>
      </c>
      <c r="G3158" s="15" t="s">
        <v>154</v>
      </c>
      <c r="H3158" s="15" t="s">
        <v>905</v>
      </c>
      <c r="I3158" s="69">
        <v>231</v>
      </c>
      <c r="J3158" s="13" t="s">
        <v>902</v>
      </c>
      <c r="K3158" s="15" t="s">
        <v>903</v>
      </c>
      <c r="L3158" s="15" t="s">
        <v>2673</v>
      </c>
      <c r="M3158" s="15" t="s">
        <v>2672</v>
      </c>
      <c r="N3158" s="15" t="s">
        <v>2673</v>
      </c>
      <c r="O3158" s="15"/>
    </row>
    <row r="3159" spans="1:15" ht="18" customHeight="1" x14ac:dyDescent="0.3">
      <c r="A3159" s="29">
        <v>3158</v>
      </c>
      <c r="B3159" s="15" t="s">
        <v>139</v>
      </c>
      <c r="C3159" s="15" t="s">
        <v>2589</v>
      </c>
      <c r="D3159" s="69">
        <v>237</v>
      </c>
      <c r="E3159" s="68" t="s">
        <v>957</v>
      </c>
      <c r="F3159" s="21" t="s">
        <v>849</v>
      </c>
      <c r="G3159" s="15" t="s">
        <v>154</v>
      </c>
      <c r="H3159" s="15" t="s">
        <v>906</v>
      </c>
      <c r="I3159" s="69">
        <v>124</v>
      </c>
      <c r="J3159" s="13" t="s">
        <v>902</v>
      </c>
      <c r="K3159" s="15" t="s">
        <v>903</v>
      </c>
      <c r="L3159" s="15" t="s">
        <v>2673</v>
      </c>
      <c r="M3159" s="15" t="s">
        <v>2672</v>
      </c>
      <c r="N3159" s="15" t="s">
        <v>2673</v>
      </c>
      <c r="O3159" s="15"/>
    </row>
    <row r="3160" spans="1:15" ht="18" customHeight="1" x14ac:dyDescent="0.3">
      <c r="A3160" s="29">
        <v>3159</v>
      </c>
      <c r="B3160" s="15" t="s">
        <v>139</v>
      </c>
      <c r="C3160" s="15" t="s">
        <v>2589</v>
      </c>
      <c r="D3160" s="69">
        <v>237</v>
      </c>
      <c r="E3160" s="68" t="s">
        <v>957</v>
      </c>
      <c r="F3160" s="21" t="s">
        <v>849</v>
      </c>
      <c r="G3160" s="15" t="s">
        <v>154</v>
      </c>
      <c r="H3160" s="15" t="s">
        <v>907</v>
      </c>
      <c r="I3160" s="69">
        <v>121</v>
      </c>
      <c r="J3160" s="13" t="s">
        <v>2672</v>
      </c>
      <c r="K3160" s="15" t="s">
        <v>903</v>
      </c>
      <c r="L3160" s="15" t="s">
        <v>2673</v>
      </c>
      <c r="M3160" s="15" t="s">
        <v>2672</v>
      </c>
      <c r="N3160" s="15" t="s">
        <v>2673</v>
      </c>
      <c r="O3160" s="15"/>
    </row>
    <row r="3161" spans="1:15" ht="18" customHeight="1" x14ac:dyDescent="0.3">
      <c r="A3161" s="29">
        <v>3160</v>
      </c>
      <c r="B3161" s="15" t="s">
        <v>139</v>
      </c>
      <c r="C3161" s="15" t="s">
        <v>2589</v>
      </c>
      <c r="D3161" s="69">
        <v>237</v>
      </c>
      <c r="E3161" s="68" t="s">
        <v>957</v>
      </c>
      <c r="F3161" s="21" t="s">
        <v>849</v>
      </c>
      <c r="G3161" s="15" t="s">
        <v>154</v>
      </c>
      <c r="H3161" s="15" t="s">
        <v>908</v>
      </c>
      <c r="I3161" s="69">
        <v>231</v>
      </c>
      <c r="J3161" s="13" t="s">
        <v>2672</v>
      </c>
      <c r="K3161" s="15" t="s">
        <v>903</v>
      </c>
      <c r="L3161" s="15" t="s">
        <v>2673</v>
      </c>
      <c r="M3161" s="15" t="s">
        <v>2672</v>
      </c>
      <c r="N3161" s="15" t="s">
        <v>2673</v>
      </c>
      <c r="O3161" s="15"/>
    </row>
    <row r="3162" spans="1:15" ht="18" customHeight="1" x14ac:dyDescent="0.3">
      <c r="A3162" s="29">
        <v>3161</v>
      </c>
      <c r="B3162" s="15" t="s">
        <v>139</v>
      </c>
      <c r="C3162" s="15" t="s">
        <v>141</v>
      </c>
      <c r="D3162" s="69">
        <v>243</v>
      </c>
      <c r="E3162" s="68" t="s">
        <v>3035</v>
      </c>
      <c r="F3162" s="21" t="s">
        <v>1107</v>
      </c>
      <c r="G3162" s="15" t="s">
        <v>164</v>
      </c>
      <c r="H3162" s="15" t="s">
        <v>2679</v>
      </c>
      <c r="I3162" s="69">
        <v>75</v>
      </c>
      <c r="J3162" s="13" t="s">
        <v>2672</v>
      </c>
      <c r="K3162" s="15" t="s">
        <v>903</v>
      </c>
      <c r="L3162" s="15" t="s">
        <v>2673</v>
      </c>
      <c r="M3162" s="15" t="s">
        <v>2672</v>
      </c>
      <c r="N3162" s="15" t="s">
        <v>2673</v>
      </c>
      <c r="O3162" s="15"/>
    </row>
    <row r="3163" spans="1:15" ht="18" customHeight="1" x14ac:dyDescent="0.3">
      <c r="A3163" s="29">
        <v>3162</v>
      </c>
      <c r="B3163" s="15" t="s">
        <v>139</v>
      </c>
      <c r="C3163" s="15" t="s">
        <v>141</v>
      </c>
      <c r="D3163" s="69">
        <v>243</v>
      </c>
      <c r="E3163" s="68" t="s">
        <v>3035</v>
      </c>
      <c r="F3163" s="21" t="s">
        <v>1107</v>
      </c>
      <c r="G3163" s="15" t="s">
        <v>164</v>
      </c>
      <c r="H3163" s="15" t="s">
        <v>2680</v>
      </c>
      <c r="I3163" s="69">
        <v>75</v>
      </c>
      <c r="J3163" s="13" t="s">
        <v>2672</v>
      </c>
      <c r="K3163" s="15" t="s">
        <v>903</v>
      </c>
      <c r="L3163" s="15" t="s">
        <v>2673</v>
      </c>
      <c r="M3163" s="15" t="s">
        <v>2672</v>
      </c>
      <c r="N3163" s="15" t="s">
        <v>2673</v>
      </c>
      <c r="O3163" s="15"/>
    </row>
    <row r="3164" spans="1:15" ht="18" customHeight="1" x14ac:dyDescent="0.3">
      <c r="A3164" s="29">
        <v>3163</v>
      </c>
      <c r="B3164" s="15" t="s">
        <v>139</v>
      </c>
      <c r="C3164" s="15" t="s">
        <v>141</v>
      </c>
      <c r="D3164" s="69">
        <v>243</v>
      </c>
      <c r="E3164" s="68" t="s">
        <v>3035</v>
      </c>
      <c r="F3164" s="21" t="s">
        <v>1107</v>
      </c>
      <c r="G3164" s="15" t="s">
        <v>164</v>
      </c>
      <c r="H3164" s="15" t="s">
        <v>2690</v>
      </c>
      <c r="I3164" s="69">
        <v>62</v>
      </c>
      <c r="J3164" s="13" t="s">
        <v>2672</v>
      </c>
      <c r="K3164" s="15" t="s">
        <v>903</v>
      </c>
      <c r="L3164" s="15" t="s">
        <v>2673</v>
      </c>
      <c r="M3164" s="15" t="s">
        <v>2672</v>
      </c>
      <c r="N3164" s="15" t="s">
        <v>2673</v>
      </c>
      <c r="O3164" s="15"/>
    </row>
    <row r="3165" spans="1:15" ht="18" customHeight="1" x14ac:dyDescent="0.3">
      <c r="A3165" s="29">
        <v>3164</v>
      </c>
      <c r="B3165" s="15" t="s">
        <v>139</v>
      </c>
      <c r="C3165" s="15" t="s">
        <v>141</v>
      </c>
      <c r="D3165" s="69">
        <v>243</v>
      </c>
      <c r="E3165" s="68" t="s">
        <v>3035</v>
      </c>
      <c r="F3165" s="21" t="s">
        <v>1107</v>
      </c>
      <c r="G3165" s="15" t="s">
        <v>164</v>
      </c>
      <c r="H3165" s="15" t="s">
        <v>2682</v>
      </c>
      <c r="I3165" s="69">
        <v>62</v>
      </c>
      <c r="J3165" s="13" t="s">
        <v>2674</v>
      </c>
      <c r="K3165" s="15" t="s">
        <v>903</v>
      </c>
      <c r="L3165" s="15" t="s">
        <v>2673</v>
      </c>
      <c r="M3165" s="15" t="s">
        <v>2672</v>
      </c>
      <c r="N3165" s="15" t="s">
        <v>2673</v>
      </c>
      <c r="O3165" s="15"/>
    </row>
    <row r="3166" spans="1:15" ht="18" customHeight="1" x14ac:dyDescent="0.3">
      <c r="A3166" s="29">
        <v>3165</v>
      </c>
      <c r="B3166" s="15" t="s">
        <v>139</v>
      </c>
      <c r="C3166" s="15" t="s">
        <v>141</v>
      </c>
      <c r="D3166" s="69">
        <v>243</v>
      </c>
      <c r="E3166" s="68" t="s">
        <v>3035</v>
      </c>
      <c r="F3166" s="21" t="s">
        <v>1107</v>
      </c>
      <c r="G3166" s="15" t="s">
        <v>164</v>
      </c>
      <c r="H3166" s="15" t="s">
        <v>2732</v>
      </c>
      <c r="I3166" s="69">
        <v>68</v>
      </c>
      <c r="J3166" s="13" t="s">
        <v>2672</v>
      </c>
      <c r="K3166" s="15" t="s">
        <v>903</v>
      </c>
      <c r="L3166" s="15" t="s">
        <v>2673</v>
      </c>
      <c r="M3166" s="15" t="s">
        <v>2672</v>
      </c>
      <c r="N3166" s="15" t="s">
        <v>2673</v>
      </c>
      <c r="O3166" s="15"/>
    </row>
    <row r="3167" spans="1:15" ht="18" customHeight="1" x14ac:dyDescent="0.3">
      <c r="A3167" s="29">
        <v>3166</v>
      </c>
      <c r="B3167" s="15" t="s">
        <v>139</v>
      </c>
      <c r="C3167" s="15" t="s">
        <v>141</v>
      </c>
      <c r="D3167" s="69">
        <v>243</v>
      </c>
      <c r="E3167" s="68" t="s">
        <v>3035</v>
      </c>
      <c r="F3167" s="21" t="s">
        <v>1107</v>
      </c>
      <c r="G3167" s="15" t="s">
        <v>164</v>
      </c>
      <c r="H3167" s="15" t="s">
        <v>910</v>
      </c>
      <c r="I3167" s="69">
        <v>57</v>
      </c>
      <c r="J3167" s="13" t="s">
        <v>2672</v>
      </c>
      <c r="K3167" s="15" t="s">
        <v>903</v>
      </c>
      <c r="L3167" s="15" t="s">
        <v>2673</v>
      </c>
      <c r="M3167" s="15" t="s">
        <v>2672</v>
      </c>
      <c r="N3167" s="15" t="s">
        <v>2673</v>
      </c>
      <c r="O3167" s="15"/>
    </row>
    <row r="3168" spans="1:15" ht="18" customHeight="1" x14ac:dyDescent="0.3">
      <c r="A3168" s="29">
        <v>3167</v>
      </c>
      <c r="B3168" s="15" t="s">
        <v>139</v>
      </c>
      <c r="C3168" s="15" t="s">
        <v>141</v>
      </c>
      <c r="D3168" s="69">
        <v>243</v>
      </c>
      <c r="E3168" s="68" t="s">
        <v>3035</v>
      </c>
      <c r="F3168" s="21" t="s">
        <v>1107</v>
      </c>
      <c r="G3168" s="15" t="s">
        <v>164</v>
      </c>
      <c r="H3168" s="15" t="s">
        <v>2824</v>
      </c>
      <c r="I3168" s="69">
        <v>268</v>
      </c>
      <c r="J3168" s="13" t="s">
        <v>2672</v>
      </c>
      <c r="K3168" s="15" t="s">
        <v>903</v>
      </c>
      <c r="L3168" s="15" t="s">
        <v>2673</v>
      </c>
      <c r="M3168" s="15" t="s">
        <v>2672</v>
      </c>
      <c r="N3168" s="15" t="s">
        <v>2673</v>
      </c>
      <c r="O3168" s="15"/>
    </row>
    <row r="3169" spans="1:15" ht="18" customHeight="1" x14ac:dyDescent="0.3">
      <c r="A3169" s="29">
        <v>3168</v>
      </c>
      <c r="B3169" s="15" t="s">
        <v>139</v>
      </c>
      <c r="C3169" s="15" t="s">
        <v>141</v>
      </c>
      <c r="D3169" s="69">
        <v>243</v>
      </c>
      <c r="E3169" s="68" t="s">
        <v>3035</v>
      </c>
      <c r="F3169" s="21" t="s">
        <v>842</v>
      </c>
      <c r="G3169" s="15" t="s">
        <v>164</v>
      </c>
      <c r="H3169" s="15" t="s">
        <v>2685</v>
      </c>
      <c r="I3169" s="69">
        <v>166</v>
      </c>
      <c r="J3169" s="13" t="s">
        <v>2674</v>
      </c>
      <c r="K3169" s="15" t="s">
        <v>903</v>
      </c>
      <c r="L3169" s="15" t="s">
        <v>2673</v>
      </c>
      <c r="M3169" s="15" t="s">
        <v>2672</v>
      </c>
      <c r="N3169" s="15" t="s">
        <v>2673</v>
      </c>
      <c r="O3169" s="15"/>
    </row>
    <row r="3170" spans="1:15" ht="18" customHeight="1" x14ac:dyDescent="0.3">
      <c r="A3170" s="29">
        <v>3169</v>
      </c>
      <c r="B3170" s="15" t="s">
        <v>139</v>
      </c>
      <c r="C3170" s="15" t="s">
        <v>141</v>
      </c>
      <c r="D3170" s="69">
        <v>243</v>
      </c>
      <c r="E3170" s="68" t="s">
        <v>3035</v>
      </c>
      <c r="F3170" s="21" t="s">
        <v>842</v>
      </c>
      <c r="G3170" s="15" t="s">
        <v>164</v>
      </c>
      <c r="H3170" s="15" t="s">
        <v>2678</v>
      </c>
      <c r="I3170" s="69">
        <v>110</v>
      </c>
      <c r="J3170" s="13" t="s">
        <v>2674</v>
      </c>
      <c r="K3170" s="15" t="s">
        <v>903</v>
      </c>
      <c r="L3170" s="15" t="s">
        <v>2673</v>
      </c>
      <c r="M3170" s="15" t="s">
        <v>2672</v>
      </c>
      <c r="N3170" s="15" t="s">
        <v>2673</v>
      </c>
      <c r="O3170" s="15"/>
    </row>
    <row r="3171" spans="1:15" ht="18" customHeight="1" x14ac:dyDescent="0.3">
      <c r="A3171" s="29">
        <v>3170</v>
      </c>
      <c r="B3171" s="15" t="s">
        <v>139</v>
      </c>
      <c r="C3171" s="15" t="s">
        <v>141</v>
      </c>
      <c r="D3171" s="69">
        <v>243</v>
      </c>
      <c r="E3171" s="68" t="s">
        <v>956</v>
      </c>
      <c r="F3171" s="21" t="s">
        <v>844</v>
      </c>
      <c r="G3171" s="15" t="s">
        <v>154</v>
      </c>
      <c r="H3171" s="15" t="s">
        <v>901</v>
      </c>
      <c r="I3171" s="69">
        <v>130</v>
      </c>
      <c r="J3171" s="13" t="s">
        <v>2672</v>
      </c>
      <c r="K3171" s="15" t="s">
        <v>903</v>
      </c>
      <c r="L3171" s="15" t="s">
        <v>2673</v>
      </c>
      <c r="M3171" s="15" t="s">
        <v>2672</v>
      </c>
      <c r="N3171" s="15" t="s">
        <v>2673</v>
      </c>
      <c r="O3171" s="15"/>
    </row>
    <row r="3172" spans="1:15" ht="18" customHeight="1" x14ac:dyDescent="0.3">
      <c r="A3172" s="29">
        <v>3171</v>
      </c>
      <c r="B3172" s="15" t="s">
        <v>139</v>
      </c>
      <c r="C3172" s="15" t="s">
        <v>141</v>
      </c>
      <c r="D3172" s="69">
        <v>243</v>
      </c>
      <c r="E3172" s="68" t="s">
        <v>956</v>
      </c>
      <c r="F3172" s="21" t="s">
        <v>844</v>
      </c>
      <c r="G3172" s="15" t="s">
        <v>154</v>
      </c>
      <c r="H3172" s="15" t="s">
        <v>904</v>
      </c>
      <c r="I3172" s="69">
        <v>212</v>
      </c>
      <c r="J3172" s="13" t="s">
        <v>902</v>
      </c>
      <c r="K3172" s="15" t="s">
        <v>903</v>
      </c>
      <c r="L3172" s="15" t="s">
        <v>2673</v>
      </c>
      <c r="M3172" s="15" t="s">
        <v>2672</v>
      </c>
      <c r="N3172" s="15" t="s">
        <v>2673</v>
      </c>
      <c r="O3172" s="15"/>
    </row>
    <row r="3173" spans="1:15" ht="18" customHeight="1" x14ac:dyDescent="0.3">
      <c r="A3173" s="29">
        <v>3172</v>
      </c>
      <c r="B3173" s="15" t="s">
        <v>139</v>
      </c>
      <c r="C3173" s="15" t="s">
        <v>141</v>
      </c>
      <c r="D3173" s="69">
        <v>243</v>
      </c>
      <c r="E3173" s="68" t="s">
        <v>956</v>
      </c>
      <c r="F3173" s="21" t="s">
        <v>844</v>
      </c>
      <c r="G3173" s="15" t="s">
        <v>154</v>
      </c>
      <c r="H3173" s="15" t="s">
        <v>905</v>
      </c>
      <c r="I3173" s="69">
        <v>116</v>
      </c>
      <c r="J3173" s="13" t="s">
        <v>2672</v>
      </c>
      <c r="K3173" s="15" t="s">
        <v>903</v>
      </c>
      <c r="L3173" s="15" t="s">
        <v>2673</v>
      </c>
      <c r="M3173" s="15" t="s">
        <v>2672</v>
      </c>
      <c r="N3173" s="15" t="s">
        <v>2673</v>
      </c>
      <c r="O3173" s="15"/>
    </row>
    <row r="3174" spans="1:15" ht="18" customHeight="1" x14ac:dyDescent="0.3">
      <c r="A3174" s="29">
        <v>3173</v>
      </c>
      <c r="B3174" s="15" t="s">
        <v>139</v>
      </c>
      <c r="C3174" s="15" t="s">
        <v>141</v>
      </c>
      <c r="D3174" s="69">
        <v>243</v>
      </c>
      <c r="E3174" s="68" t="s">
        <v>956</v>
      </c>
      <c r="F3174" s="21" t="s">
        <v>844</v>
      </c>
      <c r="G3174" s="15" t="s">
        <v>154</v>
      </c>
      <c r="H3174" s="15" t="s">
        <v>906</v>
      </c>
      <c r="I3174" s="69">
        <v>206</v>
      </c>
      <c r="J3174" s="13" t="s">
        <v>902</v>
      </c>
      <c r="K3174" s="15" t="s">
        <v>903</v>
      </c>
      <c r="L3174" s="15" t="s">
        <v>2673</v>
      </c>
      <c r="M3174" s="15" t="s">
        <v>2672</v>
      </c>
      <c r="N3174" s="15" t="s">
        <v>2673</v>
      </c>
      <c r="O3174" s="15"/>
    </row>
    <row r="3175" spans="1:15" ht="18" customHeight="1" x14ac:dyDescent="0.3">
      <c r="A3175" s="29">
        <v>3174</v>
      </c>
      <c r="B3175" s="15" t="s">
        <v>139</v>
      </c>
      <c r="C3175" s="15" t="s">
        <v>141</v>
      </c>
      <c r="D3175" s="69">
        <v>243</v>
      </c>
      <c r="E3175" s="68" t="s">
        <v>956</v>
      </c>
      <c r="F3175" s="21" t="s">
        <v>844</v>
      </c>
      <c r="G3175" s="15" t="s">
        <v>154</v>
      </c>
      <c r="H3175" s="15" t="s">
        <v>907</v>
      </c>
      <c r="I3175" s="69">
        <v>246</v>
      </c>
      <c r="J3175" s="13" t="s">
        <v>2672</v>
      </c>
      <c r="K3175" s="15" t="s">
        <v>903</v>
      </c>
      <c r="L3175" s="15" t="s">
        <v>2673</v>
      </c>
      <c r="M3175" s="15" t="s">
        <v>2672</v>
      </c>
      <c r="N3175" s="15" t="s">
        <v>2673</v>
      </c>
      <c r="O3175" s="15"/>
    </row>
    <row r="3176" spans="1:15" ht="18" customHeight="1" x14ac:dyDescent="0.3">
      <c r="A3176" s="29">
        <v>3175</v>
      </c>
      <c r="B3176" s="15" t="s">
        <v>139</v>
      </c>
      <c r="C3176" s="15" t="s">
        <v>141</v>
      </c>
      <c r="D3176" s="69">
        <v>243</v>
      </c>
      <c r="E3176" s="68" t="s">
        <v>956</v>
      </c>
      <c r="F3176" s="21" t="s">
        <v>844</v>
      </c>
      <c r="G3176" s="15" t="s">
        <v>154</v>
      </c>
      <c r="H3176" s="15" t="s">
        <v>908</v>
      </c>
      <c r="I3176" s="69">
        <v>180</v>
      </c>
      <c r="J3176" s="13" t="s">
        <v>2672</v>
      </c>
      <c r="K3176" s="15" t="s">
        <v>903</v>
      </c>
      <c r="L3176" s="15" t="s">
        <v>2673</v>
      </c>
      <c r="M3176" s="15" t="s">
        <v>2672</v>
      </c>
      <c r="N3176" s="15" t="s">
        <v>2673</v>
      </c>
      <c r="O3176" s="15"/>
    </row>
    <row r="3177" spans="1:15" ht="18" customHeight="1" x14ac:dyDescent="0.3">
      <c r="A3177" s="29">
        <v>3176</v>
      </c>
      <c r="B3177" s="15" t="s">
        <v>139</v>
      </c>
      <c r="C3177" s="15" t="s">
        <v>141</v>
      </c>
      <c r="D3177" s="69">
        <v>243</v>
      </c>
      <c r="E3177" s="68" t="s">
        <v>956</v>
      </c>
      <c r="F3177" s="21" t="s">
        <v>844</v>
      </c>
      <c r="G3177" s="15" t="s">
        <v>154</v>
      </c>
      <c r="H3177" s="15" t="s">
        <v>909</v>
      </c>
      <c r="I3177" s="69">
        <v>178</v>
      </c>
      <c r="J3177" s="13" t="s">
        <v>2672</v>
      </c>
      <c r="K3177" s="15" t="s">
        <v>903</v>
      </c>
      <c r="L3177" s="15" t="s">
        <v>2673</v>
      </c>
      <c r="M3177" s="15" t="s">
        <v>2672</v>
      </c>
      <c r="N3177" s="15" t="s">
        <v>2673</v>
      </c>
      <c r="O3177" s="15"/>
    </row>
    <row r="3178" spans="1:15" ht="18" customHeight="1" x14ac:dyDescent="0.3">
      <c r="A3178" s="29">
        <v>3177</v>
      </c>
      <c r="B3178" s="15" t="s">
        <v>2588</v>
      </c>
      <c r="C3178" s="15" t="s">
        <v>2597</v>
      </c>
      <c r="D3178" s="69">
        <v>243</v>
      </c>
      <c r="E3178" s="68" t="s">
        <v>3414</v>
      </c>
      <c r="F3178" s="24" t="s">
        <v>3036</v>
      </c>
      <c r="G3178" s="15" t="s">
        <v>1553</v>
      </c>
      <c r="H3178" s="15" t="s">
        <v>2685</v>
      </c>
      <c r="I3178" s="69">
        <v>101</v>
      </c>
      <c r="J3178" s="15" t="s">
        <v>2674</v>
      </c>
      <c r="K3178" s="15" t="s">
        <v>903</v>
      </c>
      <c r="L3178" s="15" t="s">
        <v>2673</v>
      </c>
      <c r="M3178" s="15" t="s">
        <v>2672</v>
      </c>
      <c r="N3178" s="15" t="s">
        <v>2673</v>
      </c>
      <c r="O3178" s="15"/>
    </row>
    <row r="3179" spans="1:15" ht="18" customHeight="1" x14ac:dyDescent="0.3">
      <c r="A3179" s="29">
        <v>3178</v>
      </c>
      <c r="B3179" s="15" t="s">
        <v>2588</v>
      </c>
      <c r="C3179" s="15" t="s">
        <v>2597</v>
      </c>
      <c r="D3179" s="69">
        <v>243</v>
      </c>
      <c r="E3179" s="68" t="s">
        <v>3414</v>
      </c>
      <c r="F3179" s="24" t="s">
        <v>3036</v>
      </c>
      <c r="G3179" s="15" t="s">
        <v>1553</v>
      </c>
      <c r="H3179" s="15" t="s">
        <v>2678</v>
      </c>
      <c r="I3179" s="69">
        <v>102</v>
      </c>
      <c r="J3179" s="15" t="s">
        <v>2672</v>
      </c>
      <c r="K3179" s="15" t="s">
        <v>903</v>
      </c>
      <c r="L3179" s="15" t="s">
        <v>2673</v>
      </c>
      <c r="M3179" s="15" t="s">
        <v>2672</v>
      </c>
      <c r="N3179" s="15" t="s">
        <v>2673</v>
      </c>
      <c r="O3179" s="15"/>
    </row>
    <row r="3180" spans="1:15" ht="18" customHeight="1" x14ac:dyDescent="0.3">
      <c r="A3180" s="29">
        <v>3179</v>
      </c>
      <c r="B3180" s="15" t="s">
        <v>2588</v>
      </c>
      <c r="C3180" s="15" t="s">
        <v>2597</v>
      </c>
      <c r="D3180" s="69">
        <v>243</v>
      </c>
      <c r="E3180" s="68" t="s">
        <v>3414</v>
      </c>
      <c r="F3180" s="24" t="s">
        <v>3036</v>
      </c>
      <c r="G3180" s="15" t="s">
        <v>1553</v>
      </c>
      <c r="H3180" s="15" t="s">
        <v>2679</v>
      </c>
      <c r="I3180" s="69">
        <v>191</v>
      </c>
      <c r="J3180" s="15" t="s">
        <v>2672</v>
      </c>
      <c r="K3180" s="15" t="s">
        <v>903</v>
      </c>
      <c r="L3180" s="15" t="s">
        <v>2673</v>
      </c>
      <c r="M3180" s="15" t="s">
        <v>2672</v>
      </c>
      <c r="N3180" s="15" t="s">
        <v>2673</v>
      </c>
      <c r="O3180" s="15"/>
    </row>
    <row r="3181" spans="1:15" ht="18" customHeight="1" x14ac:dyDescent="0.3">
      <c r="A3181" s="29">
        <v>3180</v>
      </c>
      <c r="B3181" s="15" t="s">
        <v>2588</v>
      </c>
      <c r="C3181" s="15" t="s">
        <v>2597</v>
      </c>
      <c r="D3181" s="69">
        <v>243</v>
      </c>
      <c r="E3181" s="68" t="s">
        <v>3414</v>
      </c>
      <c r="F3181" s="24" t="s">
        <v>3036</v>
      </c>
      <c r="G3181" s="15" t="s">
        <v>1553</v>
      </c>
      <c r="H3181" s="15" t="s">
        <v>2680</v>
      </c>
      <c r="I3181" s="69">
        <v>48</v>
      </c>
      <c r="J3181" s="15" t="s">
        <v>2672</v>
      </c>
      <c r="K3181" s="15" t="s">
        <v>903</v>
      </c>
      <c r="L3181" s="15" t="s">
        <v>2673</v>
      </c>
      <c r="M3181" s="15" t="s">
        <v>2672</v>
      </c>
      <c r="N3181" s="15" t="s">
        <v>2673</v>
      </c>
      <c r="O3181" s="15"/>
    </row>
    <row r="3182" spans="1:15" ht="18" customHeight="1" x14ac:dyDescent="0.3">
      <c r="A3182" s="29">
        <v>3181</v>
      </c>
      <c r="B3182" s="15" t="s">
        <v>2588</v>
      </c>
      <c r="C3182" s="15" t="s">
        <v>2597</v>
      </c>
      <c r="D3182" s="69">
        <v>243</v>
      </c>
      <c r="E3182" s="68" t="s">
        <v>3414</v>
      </c>
      <c r="F3182" s="24" t="s">
        <v>3036</v>
      </c>
      <c r="G3182" s="15" t="s">
        <v>1553</v>
      </c>
      <c r="H3182" s="15" t="s">
        <v>2690</v>
      </c>
      <c r="I3182" s="69">
        <v>94</v>
      </c>
      <c r="J3182" s="15" t="s">
        <v>2672</v>
      </c>
      <c r="K3182" s="15" t="s">
        <v>903</v>
      </c>
      <c r="L3182" s="15" t="s">
        <v>2673</v>
      </c>
      <c r="M3182" s="15" t="s">
        <v>2672</v>
      </c>
      <c r="N3182" s="15" t="s">
        <v>2673</v>
      </c>
      <c r="O3182" s="15"/>
    </row>
    <row r="3183" spans="1:15" ht="18" customHeight="1" x14ac:dyDescent="0.3">
      <c r="A3183" s="29">
        <v>3182</v>
      </c>
      <c r="B3183" s="15" t="s">
        <v>2588</v>
      </c>
      <c r="C3183" s="15" t="s">
        <v>2597</v>
      </c>
      <c r="D3183" s="69">
        <v>243</v>
      </c>
      <c r="E3183" s="68" t="s">
        <v>3414</v>
      </c>
      <c r="F3183" s="24" t="s">
        <v>3036</v>
      </c>
      <c r="G3183" s="15" t="s">
        <v>1553</v>
      </c>
      <c r="H3183" s="15" t="s">
        <v>2682</v>
      </c>
      <c r="I3183" s="69">
        <v>94</v>
      </c>
      <c r="J3183" s="15" t="s">
        <v>2672</v>
      </c>
      <c r="K3183" s="15" t="s">
        <v>903</v>
      </c>
      <c r="L3183" s="15" t="s">
        <v>2673</v>
      </c>
      <c r="M3183" s="15" t="s">
        <v>2672</v>
      </c>
      <c r="N3183" s="15" t="s">
        <v>2673</v>
      </c>
      <c r="O3183" s="15"/>
    </row>
    <row r="3184" spans="1:15" ht="18" customHeight="1" x14ac:dyDescent="0.3">
      <c r="A3184" s="29">
        <v>3183</v>
      </c>
      <c r="B3184" s="15" t="s">
        <v>2588</v>
      </c>
      <c r="C3184" s="15" t="s">
        <v>2597</v>
      </c>
      <c r="D3184" s="69">
        <v>243</v>
      </c>
      <c r="E3184" s="68" t="s">
        <v>3414</v>
      </c>
      <c r="F3184" s="24" t="s">
        <v>3036</v>
      </c>
      <c r="G3184" s="15" t="s">
        <v>1553</v>
      </c>
      <c r="H3184" s="15" t="s">
        <v>2732</v>
      </c>
      <c r="I3184" s="69">
        <v>94</v>
      </c>
      <c r="J3184" s="15" t="s">
        <v>2672</v>
      </c>
      <c r="K3184" s="15" t="s">
        <v>903</v>
      </c>
      <c r="L3184" s="15" t="s">
        <v>2673</v>
      </c>
      <c r="M3184" s="15" t="s">
        <v>2672</v>
      </c>
      <c r="N3184" s="15" t="s">
        <v>2673</v>
      </c>
      <c r="O3184" s="15"/>
    </row>
    <row r="3185" spans="1:15" ht="18" customHeight="1" x14ac:dyDescent="0.3">
      <c r="A3185" s="29">
        <v>3184</v>
      </c>
      <c r="B3185" s="13" t="s">
        <v>2588</v>
      </c>
      <c r="C3185" s="13" t="s">
        <v>2597</v>
      </c>
      <c r="D3185" s="13">
        <v>243</v>
      </c>
      <c r="E3185" s="24" t="s">
        <v>2600</v>
      </c>
      <c r="F3185" s="24" t="s">
        <v>2601</v>
      </c>
      <c r="G3185" s="13" t="s">
        <v>1553</v>
      </c>
      <c r="H3185" s="15" t="s">
        <v>3182</v>
      </c>
      <c r="I3185" s="69">
        <v>93</v>
      </c>
      <c r="J3185" s="15" t="s">
        <v>2672</v>
      </c>
      <c r="K3185" s="15" t="s">
        <v>2674</v>
      </c>
      <c r="L3185" s="15" t="s">
        <v>1703</v>
      </c>
      <c r="M3185" s="15" t="s">
        <v>2672</v>
      </c>
      <c r="N3185" s="15"/>
      <c r="O3185" s="15"/>
    </row>
    <row r="3186" spans="1:15" ht="18" customHeight="1" x14ac:dyDescent="0.3">
      <c r="A3186" s="29">
        <v>3185</v>
      </c>
      <c r="B3186" s="13" t="s">
        <v>2588</v>
      </c>
      <c r="C3186" s="13" t="s">
        <v>2597</v>
      </c>
      <c r="D3186" s="13">
        <v>243</v>
      </c>
      <c r="E3186" s="24" t="s">
        <v>2600</v>
      </c>
      <c r="F3186" s="24" t="s">
        <v>2601</v>
      </c>
      <c r="G3186" s="13" t="s">
        <v>1553</v>
      </c>
      <c r="H3186" s="15" t="s">
        <v>3183</v>
      </c>
      <c r="I3186" s="69">
        <v>118</v>
      </c>
      <c r="J3186" s="15" t="s">
        <v>2672</v>
      </c>
      <c r="K3186" s="15" t="s">
        <v>2674</v>
      </c>
      <c r="L3186" s="15" t="s">
        <v>1703</v>
      </c>
      <c r="M3186" s="15" t="s">
        <v>2672</v>
      </c>
      <c r="N3186" s="15"/>
      <c r="O3186" s="15"/>
    </row>
    <row r="3187" spans="1:15" ht="18" customHeight="1" x14ac:dyDescent="0.3">
      <c r="A3187" s="29">
        <v>3186</v>
      </c>
      <c r="B3187" s="13" t="s">
        <v>2588</v>
      </c>
      <c r="C3187" s="13" t="s">
        <v>2597</v>
      </c>
      <c r="D3187" s="13">
        <v>243</v>
      </c>
      <c r="E3187" s="24" t="s">
        <v>2600</v>
      </c>
      <c r="F3187" s="24" t="s">
        <v>2601</v>
      </c>
      <c r="G3187" s="13" t="s">
        <v>1553</v>
      </c>
      <c r="H3187" s="15" t="s">
        <v>2938</v>
      </c>
      <c r="I3187" s="69">
        <v>123</v>
      </c>
      <c r="J3187" s="15" t="s">
        <v>2672</v>
      </c>
      <c r="K3187" s="15" t="s">
        <v>2674</v>
      </c>
      <c r="L3187" s="15" t="s">
        <v>1703</v>
      </c>
      <c r="M3187" s="15" t="s">
        <v>2672</v>
      </c>
      <c r="N3187" s="15"/>
      <c r="O3187" s="15"/>
    </row>
    <row r="3188" spans="1:15" ht="18" customHeight="1" x14ac:dyDescent="0.3">
      <c r="A3188" s="29">
        <v>3187</v>
      </c>
      <c r="B3188" s="13" t="s">
        <v>2588</v>
      </c>
      <c r="C3188" s="13" t="s">
        <v>2597</v>
      </c>
      <c r="D3188" s="13">
        <v>243</v>
      </c>
      <c r="E3188" s="24" t="s">
        <v>2600</v>
      </c>
      <c r="F3188" s="24" t="s">
        <v>2601</v>
      </c>
      <c r="G3188" s="13" t="s">
        <v>1553</v>
      </c>
      <c r="H3188" s="15" t="s">
        <v>2939</v>
      </c>
      <c r="I3188" s="69">
        <v>121</v>
      </c>
      <c r="J3188" s="15" t="s">
        <v>2672</v>
      </c>
      <c r="K3188" s="15" t="s">
        <v>2674</v>
      </c>
      <c r="L3188" s="15" t="s">
        <v>1703</v>
      </c>
      <c r="M3188" s="15" t="s">
        <v>2672</v>
      </c>
      <c r="N3188" s="15"/>
      <c r="O3188" s="15"/>
    </row>
    <row r="3189" spans="1:15" ht="18" customHeight="1" x14ac:dyDescent="0.3">
      <c r="A3189" s="29">
        <v>3188</v>
      </c>
      <c r="B3189" s="13" t="s">
        <v>2588</v>
      </c>
      <c r="C3189" s="13" t="s">
        <v>2597</v>
      </c>
      <c r="D3189" s="13">
        <v>243</v>
      </c>
      <c r="E3189" s="24" t="s">
        <v>2600</v>
      </c>
      <c r="F3189" s="24" t="s">
        <v>2601</v>
      </c>
      <c r="G3189" s="13" t="s">
        <v>1553</v>
      </c>
      <c r="H3189" s="15" t="s">
        <v>2940</v>
      </c>
      <c r="I3189" s="69">
        <v>112</v>
      </c>
      <c r="J3189" s="15" t="s">
        <v>2674</v>
      </c>
      <c r="K3189" s="15" t="s">
        <v>2674</v>
      </c>
      <c r="L3189" s="15" t="s">
        <v>1703</v>
      </c>
      <c r="M3189" s="15" t="s">
        <v>2672</v>
      </c>
      <c r="N3189" s="15"/>
      <c r="O3189" s="15"/>
    </row>
    <row r="3190" spans="1:15" ht="18" customHeight="1" x14ac:dyDescent="0.3">
      <c r="A3190" s="29">
        <v>3189</v>
      </c>
      <c r="B3190" s="13" t="s">
        <v>2588</v>
      </c>
      <c r="C3190" s="13" t="s">
        <v>2597</v>
      </c>
      <c r="D3190" s="13">
        <v>243</v>
      </c>
      <c r="E3190" s="24" t="s">
        <v>2600</v>
      </c>
      <c r="F3190" s="24" t="s">
        <v>2601</v>
      </c>
      <c r="G3190" s="13" t="s">
        <v>1553</v>
      </c>
      <c r="H3190" s="15" t="s">
        <v>2941</v>
      </c>
      <c r="I3190" s="69">
        <v>113</v>
      </c>
      <c r="J3190" s="15" t="s">
        <v>2672</v>
      </c>
      <c r="K3190" s="15" t="s">
        <v>2674</v>
      </c>
      <c r="L3190" s="15" t="s">
        <v>1703</v>
      </c>
      <c r="M3190" s="15" t="s">
        <v>2672</v>
      </c>
      <c r="N3190" s="15"/>
      <c r="O3190" s="15"/>
    </row>
    <row r="3191" spans="1:15" ht="18" customHeight="1" x14ac:dyDescent="0.3">
      <c r="A3191" s="29">
        <v>3190</v>
      </c>
      <c r="B3191" s="13" t="s">
        <v>2588</v>
      </c>
      <c r="C3191" s="13" t="s">
        <v>2597</v>
      </c>
      <c r="D3191" s="13">
        <v>243</v>
      </c>
      <c r="E3191" s="24" t="s">
        <v>2600</v>
      </c>
      <c r="F3191" s="24" t="s">
        <v>2601</v>
      </c>
      <c r="G3191" s="13" t="s">
        <v>1553</v>
      </c>
      <c r="H3191" s="15" t="s">
        <v>2942</v>
      </c>
      <c r="I3191" s="69">
        <v>88</v>
      </c>
      <c r="J3191" s="15" t="s">
        <v>2672</v>
      </c>
      <c r="K3191" s="15" t="s">
        <v>2674</v>
      </c>
      <c r="L3191" s="15" t="s">
        <v>1703</v>
      </c>
      <c r="M3191" s="15" t="s">
        <v>2672</v>
      </c>
      <c r="N3191" s="15"/>
      <c r="O3191" s="15"/>
    </row>
    <row r="3192" spans="1:15" ht="18" customHeight="1" x14ac:dyDescent="0.3">
      <c r="A3192" s="29">
        <v>3191</v>
      </c>
      <c r="B3192" s="13" t="s">
        <v>2588</v>
      </c>
      <c r="C3192" s="13" t="s">
        <v>2597</v>
      </c>
      <c r="D3192" s="13">
        <v>243</v>
      </c>
      <c r="E3192" s="24" t="s">
        <v>2600</v>
      </c>
      <c r="F3192" s="24" t="s">
        <v>2601</v>
      </c>
      <c r="G3192" s="13" t="s">
        <v>1553</v>
      </c>
      <c r="H3192" s="15" t="s">
        <v>3184</v>
      </c>
      <c r="I3192" s="69">
        <v>71</v>
      </c>
      <c r="J3192" s="15" t="s">
        <v>2672</v>
      </c>
      <c r="K3192" s="15" t="s">
        <v>2674</v>
      </c>
      <c r="L3192" s="15" t="s">
        <v>1703</v>
      </c>
      <c r="M3192" s="15" t="s">
        <v>2672</v>
      </c>
      <c r="N3192" s="15"/>
      <c r="O3192" s="15"/>
    </row>
    <row r="3193" spans="1:15" ht="18" customHeight="1" x14ac:dyDescent="0.3">
      <c r="A3193" s="29">
        <v>3192</v>
      </c>
      <c r="B3193" s="13" t="s">
        <v>2588</v>
      </c>
      <c r="C3193" s="13" t="s">
        <v>2597</v>
      </c>
      <c r="D3193" s="13">
        <v>243</v>
      </c>
      <c r="E3193" s="24" t="s">
        <v>2600</v>
      </c>
      <c r="F3193" s="24" t="s">
        <v>2601</v>
      </c>
      <c r="G3193" s="13" t="s">
        <v>1553</v>
      </c>
      <c r="H3193" s="15" t="s">
        <v>3185</v>
      </c>
      <c r="I3193" s="69">
        <v>68</v>
      </c>
      <c r="J3193" s="15" t="s">
        <v>2672</v>
      </c>
      <c r="K3193" s="15" t="s">
        <v>2674</v>
      </c>
      <c r="L3193" s="15" t="s">
        <v>1703</v>
      </c>
      <c r="M3193" s="15" t="s">
        <v>2672</v>
      </c>
      <c r="N3193" s="15" t="s">
        <v>2673</v>
      </c>
      <c r="O3193" s="15"/>
    </row>
    <row r="3194" spans="1:15" ht="18" customHeight="1" x14ac:dyDescent="0.3">
      <c r="A3194" s="29">
        <v>3193</v>
      </c>
      <c r="B3194" s="15" t="s">
        <v>139</v>
      </c>
      <c r="C3194" s="15" t="s">
        <v>142</v>
      </c>
      <c r="D3194" s="69">
        <v>244</v>
      </c>
      <c r="E3194" s="68" t="s">
        <v>3037</v>
      </c>
      <c r="F3194" s="21" t="s">
        <v>856</v>
      </c>
      <c r="G3194" s="15" t="s">
        <v>164</v>
      </c>
      <c r="H3194" s="15" t="s">
        <v>901</v>
      </c>
      <c r="I3194" s="69">
        <v>287</v>
      </c>
      <c r="J3194" s="13" t="s">
        <v>2674</v>
      </c>
      <c r="K3194" s="15" t="s">
        <v>903</v>
      </c>
      <c r="L3194" s="15" t="s">
        <v>2673</v>
      </c>
      <c r="M3194" s="15" t="s">
        <v>2672</v>
      </c>
      <c r="N3194" s="15" t="s">
        <v>2673</v>
      </c>
      <c r="O3194" s="15"/>
    </row>
    <row r="3195" spans="1:15" ht="18" customHeight="1" x14ac:dyDescent="0.3">
      <c r="A3195" s="29">
        <v>3194</v>
      </c>
      <c r="B3195" s="15" t="s">
        <v>139</v>
      </c>
      <c r="C3195" s="15" t="s">
        <v>142</v>
      </c>
      <c r="D3195" s="69">
        <v>244</v>
      </c>
      <c r="E3195" s="68" t="s">
        <v>855</v>
      </c>
      <c r="F3195" s="21" t="s">
        <v>856</v>
      </c>
      <c r="G3195" s="15" t="s">
        <v>164</v>
      </c>
      <c r="H3195" s="15" t="s">
        <v>904</v>
      </c>
      <c r="I3195" s="69">
        <v>71</v>
      </c>
      <c r="J3195" s="13" t="s">
        <v>2672</v>
      </c>
      <c r="K3195" s="15" t="s">
        <v>2674</v>
      </c>
      <c r="L3195" s="15" t="s">
        <v>2525</v>
      </c>
      <c r="M3195" s="15" t="s">
        <v>2672</v>
      </c>
      <c r="N3195" s="15" t="s">
        <v>2673</v>
      </c>
      <c r="O3195" s="15" t="s">
        <v>3038</v>
      </c>
    </row>
    <row r="3196" spans="1:15" ht="18" customHeight="1" x14ac:dyDescent="0.3">
      <c r="A3196" s="29">
        <v>3195</v>
      </c>
      <c r="B3196" s="15" t="s">
        <v>139</v>
      </c>
      <c r="C3196" s="15" t="s">
        <v>142</v>
      </c>
      <c r="D3196" s="69">
        <v>244</v>
      </c>
      <c r="E3196" s="68" t="s">
        <v>855</v>
      </c>
      <c r="F3196" s="21" t="s">
        <v>856</v>
      </c>
      <c r="G3196" s="15" t="s">
        <v>164</v>
      </c>
      <c r="H3196" s="15" t="s">
        <v>905</v>
      </c>
      <c r="I3196" s="69">
        <v>71</v>
      </c>
      <c r="J3196" s="13" t="s">
        <v>2672</v>
      </c>
      <c r="K3196" s="15" t="s">
        <v>2674</v>
      </c>
      <c r="L3196" s="15" t="s">
        <v>2525</v>
      </c>
      <c r="M3196" s="15" t="s">
        <v>2672</v>
      </c>
      <c r="N3196" s="15" t="s">
        <v>2673</v>
      </c>
      <c r="O3196" s="15" t="s">
        <v>3038</v>
      </c>
    </row>
    <row r="3197" spans="1:15" ht="18" customHeight="1" x14ac:dyDescent="0.3">
      <c r="A3197" s="29">
        <v>3196</v>
      </c>
      <c r="B3197" s="15" t="s">
        <v>139</v>
      </c>
      <c r="C3197" s="15" t="s">
        <v>142</v>
      </c>
      <c r="D3197" s="69">
        <v>244</v>
      </c>
      <c r="E3197" s="68" t="s">
        <v>855</v>
      </c>
      <c r="F3197" s="21" t="s">
        <v>856</v>
      </c>
      <c r="G3197" s="15" t="s">
        <v>164</v>
      </c>
      <c r="H3197" s="15" t="s">
        <v>906</v>
      </c>
      <c r="I3197" s="69">
        <v>72</v>
      </c>
      <c r="J3197" s="13" t="s">
        <v>2674</v>
      </c>
      <c r="K3197" s="15" t="s">
        <v>2674</v>
      </c>
      <c r="L3197" s="15" t="s">
        <v>2525</v>
      </c>
      <c r="M3197" s="15" t="s">
        <v>2672</v>
      </c>
      <c r="N3197" s="15" t="s">
        <v>2673</v>
      </c>
      <c r="O3197" s="15" t="s">
        <v>3038</v>
      </c>
    </row>
    <row r="3198" spans="1:15" ht="18" customHeight="1" x14ac:dyDescent="0.3">
      <c r="A3198" s="29">
        <v>3197</v>
      </c>
      <c r="B3198" s="15" t="s">
        <v>139</v>
      </c>
      <c r="C3198" s="15" t="s">
        <v>142</v>
      </c>
      <c r="D3198" s="69">
        <v>244</v>
      </c>
      <c r="E3198" s="68" t="s">
        <v>855</v>
      </c>
      <c r="F3198" s="21" t="s">
        <v>856</v>
      </c>
      <c r="G3198" s="15" t="s">
        <v>164</v>
      </c>
      <c r="H3198" s="15" t="s">
        <v>907</v>
      </c>
      <c r="I3198" s="69">
        <v>69</v>
      </c>
      <c r="J3198" s="13" t="s">
        <v>2672</v>
      </c>
      <c r="K3198" s="15" t="s">
        <v>2674</v>
      </c>
      <c r="L3198" s="15" t="s">
        <v>2525</v>
      </c>
      <c r="M3198" s="15" t="s">
        <v>2672</v>
      </c>
      <c r="N3198" s="15" t="s">
        <v>2673</v>
      </c>
      <c r="O3198" s="15" t="s">
        <v>3038</v>
      </c>
    </row>
    <row r="3199" spans="1:15" ht="18" customHeight="1" x14ac:dyDescent="0.3">
      <c r="A3199" s="29">
        <v>3198</v>
      </c>
      <c r="B3199" s="15" t="s">
        <v>139</v>
      </c>
      <c r="C3199" s="15" t="s">
        <v>142</v>
      </c>
      <c r="D3199" s="69">
        <v>244</v>
      </c>
      <c r="E3199" s="68" t="s">
        <v>855</v>
      </c>
      <c r="F3199" s="21" t="s">
        <v>856</v>
      </c>
      <c r="G3199" s="15" t="s">
        <v>164</v>
      </c>
      <c r="H3199" s="15" t="s">
        <v>908</v>
      </c>
      <c r="I3199" s="69">
        <v>93</v>
      </c>
      <c r="J3199" s="13" t="s">
        <v>2672</v>
      </c>
      <c r="K3199" s="15" t="s">
        <v>903</v>
      </c>
      <c r="L3199" s="15" t="s">
        <v>2673</v>
      </c>
      <c r="M3199" s="15" t="s">
        <v>2672</v>
      </c>
      <c r="N3199" s="15" t="s">
        <v>2673</v>
      </c>
      <c r="O3199" s="15"/>
    </row>
    <row r="3200" spans="1:15" ht="18" customHeight="1" x14ac:dyDescent="0.3">
      <c r="A3200" s="29">
        <v>3199</v>
      </c>
      <c r="B3200" s="15" t="s">
        <v>139</v>
      </c>
      <c r="C3200" s="15" t="s">
        <v>142</v>
      </c>
      <c r="D3200" s="69">
        <v>244</v>
      </c>
      <c r="E3200" s="68" t="s">
        <v>855</v>
      </c>
      <c r="F3200" s="21" t="s">
        <v>856</v>
      </c>
      <c r="G3200" s="15" t="s">
        <v>164</v>
      </c>
      <c r="H3200" s="15" t="s">
        <v>909</v>
      </c>
      <c r="I3200" s="69">
        <v>195</v>
      </c>
      <c r="J3200" s="13" t="s">
        <v>2672</v>
      </c>
      <c r="K3200" s="15" t="s">
        <v>903</v>
      </c>
      <c r="L3200" s="15" t="s">
        <v>2673</v>
      </c>
      <c r="M3200" s="15" t="s">
        <v>2672</v>
      </c>
      <c r="N3200" s="15" t="s">
        <v>2673</v>
      </c>
      <c r="O3200" s="15"/>
    </row>
    <row r="3201" spans="1:15" ht="18" customHeight="1" x14ac:dyDescent="0.3">
      <c r="A3201" s="29">
        <v>3200</v>
      </c>
      <c r="B3201" s="15" t="s">
        <v>139</v>
      </c>
      <c r="C3201" s="15" t="s">
        <v>143</v>
      </c>
      <c r="D3201" s="69">
        <v>245</v>
      </c>
      <c r="E3201" s="68" t="s">
        <v>3039</v>
      </c>
      <c r="F3201" s="16" t="s">
        <v>835</v>
      </c>
      <c r="G3201" s="15" t="s">
        <v>164</v>
      </c>
      <c r="H3201" s="15" t="s">
        <v>901</v>
      </c>
      <c r="I3201" s="69">
        <v>140</v>
      </c>
      <c r="J3201" s="13" t="s">
        <v>2674</v>
      </c>
      <c r="K3201" s="15" t="s">
        <v>903</v>
      </c>
      <c r="L3201" s="15" t="s">
        <v>2673</v>
      </c>
      <c r="M3201" s="15" t="s">
        <v>2672</v>
      </c>
      <c r="N3201" s="15" t="s">
        <v>2673</v>
      </c>
      <c r="O3201" s="15"/>
    </row>
    <row r="3202" spans="1:15" ht="18" customHeight="1" x14ac:dyDescent="0.3">
      <c r="A3202" s="29">
        <v>3201</v>
      </c>
      <c r="B3202" s="15" t="s">
        <v>139</v>
      </c>
      <c r="C3202" s="15" t="s">
        <v>143</v>
      </c>
      <c r="D3202" s="69">
        <v>245</v>
      </c>
      <c r="E3202" s="68" t="s">
        <v>3039</v>
      </c>
      <c r="F3202" s="16" t="s">
        <v>835</v>
      </c>
      <c r="G3202" s="15" t="s">
        <v>164</v>
      </c>
      <c r="H3202" s="15" t="s">
        <v>904</v>
      </c>
      <c r="I3202" s="69">
        <v>139</v>
      </c>
      <c r="J3202" s="13" t="s">
        <v>2672</v>
      </c>
      <c r="K3202" s="15" t="s">
        <v>903</v>
      </c>
      <c r="L3202" s="15" t="s">
        <v>2673</v>
      </c>
      <c r="M3202" s="15" t="s">
        <v>2672</v>
      </c>
      <c r="N3202" s="15" t="s">
        <v>2673</v>
      </c>
      <c r="O3202" s="15"/>
    </row>
    <row r="3203" spans="1:15" ht="18" customHeight="1" x14ac:dyDescent="0.3">
      <c r="A3203" s="29">
        <v>3202</v>
      </c>
      <c r="B3203" s="15" t="s">
        <v>139</v>
      </c>
      <c r="C3203" s="15" t="s">
        <v>143</v>
      </c>
      <c r="D3203" s="69">
        <v>245</v>
      </c>
      <c r="E3203" s="68" t="s">
        <v>3039</v>
      </c>
      <c r="F3203" s="16" t="s">
        <v>835</v>
      </c>
      <c r="G3203" s="15" t="s">
        <v>164</v>
      </c>
      <c r="H3203" s="15" t="s">
        <v>905</v>
      </c>
      <c r="I3203" s="69">
        <v>140</v>
      </c>
      <c r="J3203" s="13" t="s">
        <v>2672</v>
      </c>
      <c r="K3203" s="15" t="s">
        <v>903</v>
      </c>
      <c r="L3203" s="15" t="s">
        <v>2673</v>
      </c>
      <c r="M3203" s="15" t="s">
        <v>2672</v>
      </c>
      <c r="N3203" s="15" t="s">
        <v>2673</v>
      </c>
      <c r="O3203" s="15"/>
    </row>
    <row r="3204" spans="1:15" ht="18" customHeight="1" x14ac:dyDescent="0.3">
      <c r="A3204" s="29">
        <v>3203</v>
      </c>
      <c r="B3204" s="15" t="s">
        <v>139</v>
      </c>
      <c r="C3204" s="15" t="s">
        <v>143</v>
      </c>
      <c r="D3204" s="69">
        <v>245</v>
      </c>
      <c r="E3204" s="68" t="s">
        <v>3039</v>
      </c>
      <c r="F3204" s="16" t="s">
        <v>835</v>
      </c>
      <c r="G3204" s="15" t="s">
        <v>164</v>
      </c>
      <c r="H3204" s="15" t="s">
        <v>907</v>
      </c>
      <c r="I3204" s="69">
        <v>140</v>
      </c>
      <c r="J3204" s="13" t="s">
        <v>2672</v>
      </c>
      <c r="K3204" s="15" t="s">
        <v>903</v>
      </c>
      <c r="L3204" s="15" t="s">
        <v>2673</v>
      </c>
      <c r="M3204" s="15" t="s">
        <v>2672</v>
      </c>
      <c r="N3204" s="15" t="s">
        <v>2673</v>
      </c>
      <c r="O3204" s="15"/>
    </row>
    <row r="3205" spans="1:15" ht="18" customHeight="1" x14ac:dyDescent="0.3">
      <c r="A3205" s="29">
        <v>3204</v>
      </c>
      <c r="B3205" s="15" t="s">
        <v>139</v>
      </c>
      <c r="C3205" s="15" t="s">
        <v>143</v>
      </c>
      <c r="D3205" s="69">
        <v>245</v>
      </c>
      <c r="E3205" s="68" t="s">
        <v>3039</v>
      </c>
      <c r="F3205" s="16" t="s">
        <v>835</v>
      </c>
      <c r="G3205" s="15" t="s">
        <v>164</v>
      </c>
      <c r="H3205" s="15" t="s">
        <v>908</v>
      </c>
      <c r="I3205" s="69">
        <v>32</v>
      </c>
      <c r="J3205" s="13" t="s">
        <v>2672</v>
      </c>
      <c r="K3205" s="15" t="s">
        <v>2674</v>
      </c>
      <c r="L3205" s="15" t="s">
        <v>2525</v>
      </c>
      <c r="M3205" s="15" t="s">
        <v>2672</v>
      </c>
      <c r="N3205" s="15" t="s">
        <v>2673</v>
      </c>
      <c r="O3205" s="15"/>
    </row>
    <row r="3206" spans="1:15" ht="18" customHeight="1" x14ac:dyDescent="0.3">
      <c r="A3206" s="29">
        <v>3205</v>
      </c>
      <c r="B3206" s="15" t="s">
        <v>139</v>
      </c>
      <c r="C3206" s="15" t="s">
        <v>143</v>
      </c>
      <c r="D3206" s="69">
        <v>245</v>
      </c>
      <c r="E3206" s="68" t="s">
        <v>3039</v>
      </c>
      <c r="F3206" s="16" t="s">
        <v>835</v>
      </c>
      <c r="G3206" s="15" t="s">
        <v>164</v>
      </c>
      <c r="H3206" s="15" t="s">
        <v>909</v>
      </c>
      <c r="I3206" s="69">
        <v>38</v>
      </c>
      <c r="J3206" s="13" t="s">
        <v>2672</v>
      </c>
      <c r="K3206" s="15" t="s">
        <v>2674</v>
      </c>
      <c r="L3206" s="15" t="s">
        <v>2525</v>
      </c>
      <c r="M3206" s="15" t="s">
        <v>2672</v>
      </c>
      <c r="N3206" s="15" t="s">
        <v>2673</v>
      </c>
      <c r="O3206" s="15"/>
    </row>
    <row r="3207" spans="1:15" ht="18" customHeight="1" x14ac:dyDescent="0.3">
      <c r="A3207" s="29">
        <v>3206</v>
      </c>
      <c r="B3207" s="15" t="s">
        <v>139</v>
      </c>
      <c r="C3207" s="15" t="s">
        <v>143</v>
      </c>
      <c r="D3207" s="69">
        <v>245</v>
      </c>
      <c r="E3207" s="68" t="s">
        <v>292</v>
      </c>
      <c r="F3207" s="16" t="s">
        <v>836</v>
      </c>
      <c r="G3207" s="15" t="s">
        <v>164</v>
      </c>
      <c r="H3207" s="15" t="s">
        <v>901</v>
      </c>
      <c r="I3207" s="69">
        <v>30</v>
      </c>
      <c r="J3207" s="15" t="s">
        <v>2674</v>
      </c>
      <c r="K3207" s="15" t="s">
        <v>903</v>
      </c>
      <c r="L3207" s="15" t="s">
        <v>2673</v>
      </c>
      <c r="M3207" s="15" t="s">
        <v>2672</v>
      </c>
      <c r="N3207" s="15" t="s">
        <v>2673</v>
      </c>
      <c r="O3207" s="15"/>
    </row>
    <row r="3208" spans="1:15" ht="18" customHeight="1" x14ac:dyDescent="0.3">
      <c r="A3208" s="29">
        <v>3207</v>
      </c>
      <c r="B3208" s="15" t="s">
        <v>139</v>
      </c>
      <c r="C3208" s="15" t="s">
        <v>143</v>
      </c>
      <c r="D3208" s="69">
        <v>245</v>
      </c>
      <c r="E3208" s="68" t="s">
        <v>292</v>
      </c>
      <c r="F3208" s="16" t="s">
        <v>836</v>
      </c>
      <c r="G3208" s="15" t="s">
        <v>164</v>
      </c>
      <c r="H3208" s="15" t="s">
        <v>904</v>
      </c>
      <c r="I3208" s="69">
        <v>30</v>
      </c>
      <c r="J3208" s="15" t="s">
        <v>2674</v>
      </c>
      <c r="K3208" s="15" t="s">
        <v>903</v>
      </c>
      <c r="L3208" s="15" t="s">
        <v>2673</v>
      </c>
      <c r="M3208" s="15" t="s">
        <v>2672</v>
      </c>
      <c r="N3208" s="15" t="s">
        <v>2673</v>
      </c>
      <c r="O3208" s="15"/>
    </row>
    <row r="3209" spans="1:15" ht="18" customHeight="1" x14ac:dyDescent="0.3">
      <c r="A3209" s="29">
        <v>3208</v>
      </c>
      <c r="B3209" s="15" t="s">
        <v>139</v>
      </c>
      <c r="C3209" s="15" t="s">
        <v>143</v>
      </c>
      <c r="D3209" s="69">
        <v>245</v>
      </c>
      <c r="E3209" s="68" t="s">
        <v>292</v>
      </c>
      <c r="F3209" s="16" t="s">
        <v>836</v>
      </c>
      <c r="G3209" s="15" t="s">
        <v>164</v>
      </c>
      <c r="H3209" s="15" t="s">
        <v>905</v>
      </c>
      <c r="I3209" s="69">
        <v>30</v>
      </c>
      <c r="J3209" s="15" t="s">
        <v>2674</v>
      </c>
      <c r="K3209" s="15" t="s">
        <v>903</v>
      </c>
      <c r="L3209" s="15" t="s">
        <v>2673</v>
      </c>
      <c r="M3209" s="15" t="s">
        <v>2672</v>
      </c>
      <c r="N3209" s="15" t="s">
        <v>2673</v>
      </c>
      <c r="O3209" s="15"/>
    </row>
    <row r="3210" spans="1:15" ht="18" customHeight="1" x14ac:dyDescent="0.3">
      <c r="A3210" s="29">
        <v>3209</v>
      </c>
      <c r="B3210" s="15" t="s">
        <v>139</v>
      </c>
      <c r="C3210" s="15" t="s">
        <v>144</v>
      </c>
      <c r="D3210" s="69">
        <v>246</v>
      </c>
      <c r="E3210" s="68" t="s">
        <v>235</v>
      </c>
      <c r="F3210" s="21" t="s">
        <v>1104</v>
      </c>
      <c r="G3210" s="15" t="s">
        <v>154</v>
      </c>
      <c r="H3210" s="15" t="s">
        <v>905</v>
      </c>
      <c r="I3210" s="69">
        <v>104</v>
      </c>
      <c r="J3210" s="13" t="s">
        <v>2672</v>
      </c>
      <c r="K3210" s="15" t="s">
        <v>903</v>
      </c>
      <c r="L3210" s="15" t="s">
        <v>2673</v>
      </c>
      <c r="M3210" s="15" t="s">
        <v>2672</v>
      </c>
      <c r="N3210" s="15" t="s">
        <v>2673</v>
      </c>
      <c r="O3210" s="15"/>
    </row>
    <row r="3211" spans="1:15" ht="18" customHeight="1" x14ac:dyDescent="0.3">
      <c r="A3211" s="29">
        <v>3210</v>
      </c>
      <c r="B3211" s="15" t="s">
        <v>139</v>
      </c>
      <c r="C3211" s="15" t="s">
        <v>144</v>
      </c>
      <c r="D3211" s="69">
        <v>246</v>
      </c>
      <c r="E3211" s="68" t="s">
        <v>235</v>
      </c>
      <c r="F3211" s="21" t="s">
        <v>1104</v>
      </c>
      <c r="G3211" s="15" t="s">
        <v>154</v>
      </c>
      <c r="H3211" s="15" t="s">
        <v>906</v>
      </c>
      <c r="I3211" s="69">
        <v>184</v>
      </c>
      <c r="J3211" s="13" t="s">
        <v>2672</v>
      </c>
      <c r="K3211" s="15" t="s">
        <v>903</v>
      </c>
      <c r="L3211" s="15" t="s">
        <v>2673</v>
      </c>
      <c r="M3211" s="15" t="s">
        <v>2672</v>
      </c>
      <c r="N3211" s="15" t="s">
        <v>2673</v>
      </c>
      <c r="O3211" s="15"/>
    </row>
    <row r="3212" spans="1:15" ht="18" customHeight="1" x14ac:dyDescent="0.3">
      <c r="A3212" s="29">
        <v>3211</v>
      </c>
      <c r="B3212" s="15" t="s">
        <v>139</v>
      </c>
      <c r="C3212" s="15" t="s">
        <v>144</v>
      </c>
      <c r="D3212" s="69">
        <v>246</v>
      </c>
      <c r="E3212" s="68" t="s">
        <v>235</v>
      </c>
      <c r="F3212" s="21" t="s">
        <v>1104</v>
      </c>
      <c r="G3212" s="15" t="s">
        <v>154</v>
      </c>
      <c r="H3212" s="15" t="s">
        <v>907</v>
      </c>
      <c r="I3212" s="69">
        <v>122</v>
      </c>
      <c r="J3212" s="13" t="s">
        <v>2672</v>
      </c>
      <c r="K3212" s="15" t="s">
        <v>903</v>
      </c>
      <c r="L3212" s="15" t="s">
        <v>2673</v>
      </c>
      <c r="M3212" s="15" t="s">
        <v>2672</v>
      </c>
      <c r="N3212" s="15" t="s">
        <v>2673</v>
      </c>
      <c r="O3212" s="15"/>
    </row>
    <row r="3213" spans="1:15" ht="18" customHeight="1" x14ac:dyDescent="0.3">
      <c r="A3213" s="29">
        <v>3212</v>
      </c>
      <c r="B3213" s="15" t="s">
        <v>139</v>
      </c>
      <c r="C3213" s="15" t="s">
        <v>144</v>
      </c>
      <c r="D3213" s="69">
        <v>246</v>
      </c>
      <c r="E3213" s="68" t="s">
        <v>235</v>
      </c>
      <c r="F3213" s="21" t="s">
        <v>1104</v>
      </c>
      <c r="G3213" s="15" t="s">
        <v>154</v>
      </c>
      <c r="H3213" s="15" t="s">
        <v>908</v>
      </c>
      <c r="I3213" s="69">
        <v>132</v>
      </c>
      <c r="J3213" s="13" t="s">
        <v>902</v>
      </c>
      <c r="K3213" s="15" t="s">
        <v>903</v>
      </c>
      <c r="L3213" s="15" t="s">
        <v>2673</v>
      </c>
      <c r="M3213" s="15" t="s">
        <v>2672</v>
      </c>
      <c r="N3213" s="15" t="s">
        <v>2673</v>
      </c>
      <c r="O3213" s="15"/>
    </row>
    <row r="3214" spans="1:15" ht="18" customHeight="1" x14ac:dyDescent="0.3">
      <c r="A3214" s="29">
        <v>3213</v>
      </c>
      <c r="B3214" s="15" t="s">
        <v>139</v>
      </c>
      <c r="C3214" s="15" t="s">
        <v>144</v>
      </c>
      <c r="D3214" s="69">
        <v>246</v>
      </c>
      <c r="E3214" s="68" t="s">
        <v>235</v>
      </c>
      <c r="F3214" s="21" t="s">
        <v>1104</v>
      </c>
      <c r="G3214" s="15" t="s">
        <v>154</v>
      </c>
      <c r="H3214" s="15" t="s">
        <v>909</v>
      </c>
      <c r="I3214" s="69">
        <v>87</v>
      </c>
      <c r="J3214" s="13" t="s">
        <v>2672</v>
      </c>
      <c r="K3214" s="15" t="s">
        <v>903</v>
      </c>
      <c r="L3214" s="15" t="s">
        <v>2673</v>
      </c>
      <c r="M3214" s="15" t="s">
        <v>2672</v>
      </c>
      <c r="N3214" s="15" t="s">
        <v>2673</v>
      </c>
      <c r="O3214" s="15"/>
    </row>
    <row r="3215" spans="1:15" ht="18" customHeight="1" x14ac:dyDescent="0.3">
      <c r="A3215" s="29">
        <v>3214</v>
      </c>
      <c r="B3215" s="15" t="s">
        <v>139</v>
      </c>
      <c r="C3215" s="15" t="s">
        <v>144</v>
      </c>
      <c r="D3215" s="69">
        <v>246</v>
      </c>
      <c r="E3215" s="68" t="s">
        <v>235</v>
      </c>
      <c r="F3215" s="21" t="s">
        <v>830</v>
      </c>
      <c r="G3215" s="15" t="s">
        <v>154</v>
      </c>
      <c r="H3215" s="15" t="s">
        <v>901</v>
      </c>
      <c r="I3215" s="69">
        <v>250</v>
      </c>
      <c r="J3215" s="13" t="s">
        <v>902</v>
      </c>
      <c r="K3215" s="15" t="s">
        <v>903</v>
      </c>
      <c r="L3215" s="15" t="s">
        <v>2673</v>
      </c>
      <c r="M3215" s="15" t="s">
        <v>2672</v>
      </c>
      <c r="N3215" s="15" t="s">
        <v>2673</v>
      </c>
      <c r="O3215" s="15"/>
    </row>
    <row r="3216" spans="1:15" ht="18" customHeight="1" x14ac:dyDescent="0.3">
      <c r="A3216" s="29">
        <v>3215</v>
      </c>
      <c r="B3216" s="15" t="s">
        <v>139</v>
      </c>
      <c r="C3216" s="15" t="s">
        <v>144</v>
      </c>
      <c r="D3216" s="69">
        <v>246</v>
      </c>
      <c r="E3216" s="68" t="s">
        <v>235</v>
      </c>
      <c r="F3216" s="21" t="s">
        <v>830</v>
      </c>
      <c r="G3216" s="15" t="s">
        <v>154</v>
      </c>
      <c r="H3216" s="15" t="s">
        <v>904</v>
      </c>
      <c r="I3216" s="69">
        <v>242</v>
      </c>
      <c r="J3216" s="13" t="s">
        <v>2672</v>
      </c>
      <c r="K3216" s="15" t="s">
        <v>903</v>
      </c>
      <c r="L3216" s="15" t="s">
        <v>2673</v>
      </c>
      <c r="M3216" s="15" t="s">
        <v>2672</v>
      </c>
      <c r="N3216" s="15" t="s">
        <v>2673</v>
      </c>
      <c r="O3216" s="15"/>
    </row>
    <row r="3217" spans="1:15" ht="18" customHeight="1" x14ac:dyDescent="0.3">
      <c r="A3217" s="29">
        <v>3216</v>
      </c>
      <c r="B3217" s="15" t="s">
        <v>139</v>
      </c>
      <c r="C3217" s="15" t="s">
        <v>144</v>
      </c>
      <c r="D3217" s="69">
        <v>246</v>
      </c>
      <c r="E3217" s="68" t="s">
        <v>3415</v>
      </c>
      <c r="F3217" s="24" t="s">
        <v>827</v>
      </c>
      <c r="G3217" s="15" t="s">
        <v>154</v>
      </c>
      <c r="H3217" s="15" t="s">
        <v>901</v>
      </c>
      <c r="I3217" s="69">
        <v>172</v>
      </c>
      <c r="J3217" s="15" t="s">
        <v>2674</v>
      </c>
      <c r="K3217" s="15" t="s">
        <v>903</v>
      </c>
      <c r="L3217" s="15" t="s">
        <v>2673</v>
      </c>
      <c r="M3217" s="15" t="s">
        <v>2672</v>
      </c>
      <c r="N3217" s="15" t="s">
        <v>2673</v>
      </c>
      <c r="O3217" s="15"/>
    </row>
    <row r="3218" spans="1:15" ht="18" customHeight="1" x14ac:dyDescent="0.3">
      <c r="A3218" s="29">
        <v>3217</v>
      </c>
      <c r="B3218" s="15" t="s">
        <v>139</v>
      </c>
      <c r="C3218" s="15" t="s">
        <v>144</v>
      </c>
      <c r="D3218" s="69">
        <v>246</v>
      </c>
      <c r="E3218" s="68" t="s">
        <v>3415</v>
      </c>
      <c r="F3218" s="24" t="s">
        <v>827</v>
      </c>
      <c r="G3218" s="15" t="s">
        <v>154</v>
      </c>
      <c r="H3218" s="15" t="s">
        <v>904</v>
      </c>
      <c r="I3218" s="69">
        <v>158</v>
      </c>
      <c r="J3218" s="15" t="s">
        <v>2672</v>
      </c>
      <c r="K3218" s="15" t="s">
        <v>903</v>
      </c>
      <c r="L3218" s="15" t="s">
        <v>2673</v>
      </c>
      <c r="M3218" s="15" t="s">
        <v>2672</v>
      </c>
      <c r="N3218" s="15" t="s">
        <v>2673</v>
      </c>
      <c r="O3218" s="15"/>
    </row>
    <row r="3219" spans="1:15" ht="18" customHeight="1" x14ac:dyDescent="0.3">
      <c r="A3219" s="29">
        <v>3218</v>
      </c>
      <c r="B3219" s="15" t="s">
        <v>139</v>
      </c>
      <c r="C3219" s="15" t="s">
        <v>144</v>
      </c>
      <c r="D3219" s="69">
        <v>246</v>
      </c>
      <c r="E3219" s="68" t="s">
        <v>3415</v>
      </c>
      <c r="F3219" s="24" t="s">
        <v>827</v>
      </c>
      <c r="G3219" s="15" t="s">
        <v>154</v>
      </c>
      <c r="H3219" s="15" t="s">
        <v>905</v>
      </c>
      <c r="I3219" s="69">
        <v>208</v>
      </c>
      <c r="J3219" s="15" t="s">
        <v>2672</v>
      </c>
      <c r="K3219" s="15" t="s">
        <v>903</v>
      </c>
      <c r="L3219" s="15" t="s">
        <v>2673</v>
      </c>
      <c r="M3219" s="15" t="s">
        <v>2672</v>
      </c>
      <c r="N3219" s="15" t="s">
        <v>2673</v>
      </c>
      <c r="O3219" s="15"/>
    </row>
    <row r="3220" spans="1:15" ht="18" customHeight="1" x14ac:dyDescent="0.3">
      <c r="A3220" s="29">
        <v>3219</v>
      </c>
      <c r="B3220" s="15" t="s">
        <v>139</v>
      </c>
      <c r="C3220" s="15" t="s">
        <v>144</v>
      </c>
      <c r="D3220" s="69">
        <v>246</v>
      </c>
      <c r="E3220" s="68" t="s">
        <v>3415</v>
      </c>
      <c r="F3220" s="24" t="s">
        <v>827</v>
      </c>
      <c r="G3220" s="15" t="s">
        <v>154</v>
      </c>
      <c r="H3220" s="15" t="s">
        <v>906</v>
      </c>
      <c r="I3220" s="69">
        <v>208</v>
      </c>
      <c r="J3220" s="15" t="s">
        <v>2674</v>
      </c>
      <c r="K3220" s="15" t="s">
        <v>903</v>
      </c>
      <c r="L3220" s="15" t="s">
        <v>2673</v>
      </c>
      <c r="M3220" s="15" t="s">
        <v>2672</v>
      </c>
      <c r="N3220" s="15" t="s">
        <v>2673</v>
      </c>
      <c r="O3220" s="15"/>
    </row>
    <row r="3221" spans="1:15" ht="18" customHeight="1" x14ac:dyDescent="0.3">
      <c r="A3221" s="29">
        <v>3220</v>
      </c>
      <c r="B3221" s="15" t="s">
        <v>139</v>
      </c>
      <c r="C3221" s="15" t="s">
        <v>144</v>
      </c>
      <c r="D3221" s="69">
        <v>246</v>
      </c>
      <c r="E3221" s="68" t="s">
        <v>3415</v>
      </c>
      <c r="F3221" s="24" t="s">
        <v>827</v>
      </c>
      <c r="G3221" s="15" t="s">
        <v>154</v>
      </c>
      <c r="H3221" s="15" t="s">
        <v>907</v>
      </c>
      <c r="I3221" s="69">
        <v>166</v>
      </c>
      <c r="J3221" s="15" t="s">
        <v>2672</v>
      </c>
      <c r="K3221" s="15" t="s">
        <v>903</v>
      </c>
      <c r="L3221" s="15" t="s">
        <v>2673</v>
      </c>
      <c r="M3221" s="15" t="s">
        <v>2672</v>
      </c>
      <c r="N3221" s="15" t="s">
        <v>2673</v>
      </c>
      <c r="O3221" s="15"/>
    </row>
    <row r="3222" spans="1:15" ht="18" customHeight="1" x14ac:dyDescent="0.3">
      <c r="A3222" s="29">
        <v>3221</v>
      </c>
      <c r="B3222" s="15" t="s">
        <v>139</v>
      </c>
      <c r="C3222" s="15" t="s">
        <v>144</v>
      </c>
      <c r="D3222" s="69">
        <v>246</v>
      </c>
      <c r="E3222" s="68" t="s">
        <v>3415</v>
      </c>
      <c r="F3222" s="24" t="s">
        <v>827</v>
      </c>
      <c r="G3222" s="15" t="s">
        <v>154</v>
      </c>
      <c r="H3222" s="15" t="s">
        <v>908</v>
      </c>
      <c r="I3222" s="69">
        <v>115</v>
      </c>
      <c r="J3222" s="15" t="s">
        <v>2672</v>
      </c>
      <c r="K3222" s="15" t="s">
        <v>903</v>
      </c>
      <c r="L3222" s="15" t="s">
        <v>2673</v>
      </c>
      <c r="M3222" s="15" t="s">
        <v>2672</v>
      </c>
      <c r="N3222" s="15" t="s">
        <v>2673</v>
      </c>
      <c r="O3222" s="15"/>
    </row>
    <row r="3223" spans="1:15" ht="18" customHeight="1" x14ac:dyDescent="0.3">
      <c r="A3223" s="29">
        <v>3222</v>
      </c>
      <c r="B3223" s="15" t="s">
        <v>139</v>
      </c>
      <c r="C3223" s="15" t="s">
        <v>144</v>
      </c>
      <c r="D3223" s="69">
        <v>246</v>
      </c>
      <c r="E3223" s="68" t="s">
        <v>3415</v>
      </c>
      <c r="F3223" s="24" t="s">
        <v>827</v>
      </c>
      <c r="G3223" s="15" t="s">
        <v>154</v>
      </c>
      <c r="H3223" s="15" t="s">
        <v>910</v>
      </c>
      <c r="I3223" s="69">
        <v>204</v>
      </c>
      <c r="J3223" s="15" t="s">
        <v>2674</v>
      </c>
      <c r="K3223" s="15" t="s">
        <v>903</v>
      </c>
      <c r="L3223" s="15" t="s">
        <v>2673</v>
      </c>
      <c r="M3223" s="15" t="s">
        <v>2672</v>
      </c>
      <c r="N3223" s="15" t="s">
        <v>2673</v>
      </c>
      <c r="O3223" s="15"/>
    </row>
    <row r="3224" spans="1:15" ht="18" customHeight="1" x14ac:dyDescent="0.3">
      <c r="A3224" s="29">
        <v>3223</v>
      </c>
      <c r="B3224" s="15" t="s">
        <v>139</v>
      </c>
      <c r="C3224" s="15" t="s">
        <v>144</v>
      </c>
      <c r="D3224" s="69">
        <v>246</v>
      </c>
      <c r="E3224" s="68" t="s">
        <v>3415</v>
      </c>
      <c r="F3224" s="24" t="s">
        <v>3040</v>
      </c>
      <c r="G3224" s="15" t="s">
        <v>154</v>
      </c>
      <c r="H3224" s="15" t="s">
        <v>909</v>
      </c>
      <c r="I3224" s="69">
        <v>96</v>
      </c>
      <c r="J3224" s="15" t="s">
        <v>2674</v>
      </c>
      <c r="K3224" s="15" t="s">
        <v>902</v>
      </c>
      <c r="L3224" s="15" t="s">
        <v>208</v>
      </c>
      <c r="M3224" s="15" t="s">
        <v>2672</v>
      </c>
      <c r="N3224" s="15" t="s">
        <v>2673</v>
      </c>
      <c r="O3224" s="15"/>
    </row>
    <row r="3225" spans="1:15" ht="18" customHeight="1" x14ac:dyDescent="0.3">
      <c r="A3225" s="29">
        <v>3224</v>
      </c>
      <c r="B3225" s="15" t="s">
        <v>139</v>
      </c>
      <c r="C3225" s="15" t="s">
        <v>144</v>
      </c>
      <c r="D3225" s="69">
        <v>246</v>
      </c>
      <c r="E3225" s="68" t="s">
        <v>3415</v>
      </c>
      <c r="F3225" s="24" t="s">
        <v>3040</v>
      </c>
      <c r="G3225" s="15" t="s">
        <v>154</v>
      </c>
      <c r="H3225" s="15" t="s">
        <v>911</v>
      </c>
      <c r="I3225" s="69">
        <v>204</v>
      </c>
      <c r="J3225" s="15" t="s">
        <v>2672</v>
      </c>
      <c r="K3225" s="15" t="s">
        <v>903</v>
      </c>
      <c r="L3225" s="15" t="s">
        <v>2673</v>
      </c>
      <c r="M3225" s="15" t="s">
        <v>2672</v>
      </c>
      <c r="N3225" s="15" t="s">
        <v>2673</v>
      </c>
      <c r="O3225" s="15"/>
    </row>
    <row r="3226" spans="1:15" ht="18" customHeight="1" x14ac:dyDescent="0.3">
      <c r="A3226" s="29">
        <v>3225</v>
      </c>
      <c r="B3226" s="15" t="s">
        <v>139</v>
      </c>
      <c r="C3226" s="15" t="s">
        <v>144</v>
      </c>
      <c r="D3226" s="69">
        <v>246</v>
      </c>
      <c r="E3226" s="68" t="s">
        <v>3416</v>
      </c>
      <c r="F3226" s="24" t="s">
        <v>1103</v>
      </c>
      <c r="G3226" s="15" t="s">
        <v>164</v>
      </c>
      <c r="H3226" s="15" t="s">
        <v>905</v>
      </c>
      <c r="I3226" s="69">
        <v>145</v>
      </c>
      <c r="J3226" s="15" t="s">
        <v>2674</v>
      </c>
      <c r="K3226" s="15" t="s">
        <v>903</v>
      </c>
      <c r="L3226" s="15" t="s">
        <v>2673</v>
      </c>
      <c r="M3226" s="15" t="s">
        <v>2672</v>
      </c>
      <c r="N3226" s="15" t="s">
        <v>2673</v>
      </c>
      <c r="O3226" s="15"/>
    </row>
    <row r="3227" spans="1:15" ht="18" customHeight="1" x14ac:dyDescent="0.3">
      <c r="A3227" s="29">
        <v>3226</v>
      </c>
      <c r="B3227" s="15" t="s">
        <v>139</v>
      </c>
      <c r="C3227" s="15" t="s">
        <v>144</v>
      </c>
      <c r="D3227" s="69">
        <v>246</v>
      </c>
      <c r="E3227" s="68" t="s">
        <v>3416</v>
      </c>
      <c r="F3227" s="24" t="s">
        <v>1103</v>
      </c>
      <c r="G3227" s="15" t="s">
        <v>164</v>
      </c>
      <c r="H3227" s="15" t="s">
        <v>906</v>
      </c>
      <c r="I3227" s="69">
        <v>145</v>
      </c>
      <c r="J3227" s="15" t="s">
        <v>2672</v>
      </c>
      <c r="K3227" s="15" t="s">
        <v>903</v>
      </c>
      <c r="L3227" s="15" t="s">
        <v>2673</v>
      </c>
      <c r="M3227" s="15" t="s">
        <v>2672</v>
      </c>
      <c r="N3227" s="15" t="s">
        <v>2673</v>
      </c>
      <c r="O3227" s="15"/>
    </row>
    <row r="3228" spans="1:15" ht="18" customHeight="1" x14ac:dyDescent="0.3">
      <c r="A3228" s="29">
        <v>3227</v>
      </c>
      <c r="B3228" s="15" t="s">
        <v>139</v>
      </c>
      <c r="C3228" s="15" t="s">
        <v>144</v>
      </c>
      <c r="D3228" s="69">
        <v>246</v>
      </c>
      <c r="E3228" s="68" t="s">
        <v>3416</v>
      </c>
      <c r="F3228" s="24" t="s">
        <v>1103</v>
      </c>
      <c r="G3228" s="15" t="s">
        <v>164</v>
      </c>
      <c r="H3228" s="15" t="s">
        <v>907</v>
      </c>
      <c r="I3228" s="69">
        <v>194</v>
      </c>
      <c r="J3228" s="15" t="s">
        <v>2672</v>
      </c>
      <c r="K3228" s="15" t="s">
        <v>903</v>
      </c>
      <c r="L3228" s="15" t="s">
        <v>2673</v>
      </c>
      <c r="M3228" s="15" t="s">
        <v>2672</v>
      </c>
      <c r="N3228" s="15" t="s">
        <v>2673</v>
      </c>
      <c r="O3228" s="15"/>
    </row>
    <row r="3229" spans="1:15" ht="18" customHeight="1" x14ac:dyDescent="0.3">
      <c r="A3229" s="29">
        <v>3228</v>
      </c>
      <c r="B3229" s="15" t="s">
        <v>139</v>
      </c>
      <c r="C3229" s="15" t="s">
        <v>144</v>
      </c>
      <c r="D3229" s="69">
        <v>246</v>
      </c>
      <c r="E3229" s="68" t="s">
        <v>3416</v>
      </c>
      <c r="F3229" s="24" t="s">
        <v>1103</v>
      </c>
      <c r="G3229" s="15" t="s">
        <v>164</v>
      </c>
      <c r="H3229" s="15" t="s">
        <v>908</v>
      </c>
      <c r="I3229" s="69">
        <v>145</v>
      </c>
      <c r="J3229" s="15" t="s">
        <v>2672</v>
      </c>
      <c r="K3229" s="15" t="s">
        <v>903</v>
      </c>
      <c r="L3229" s="15" t="s">
        <v>2673</v>
      </c>
      <c r="M3229" s="15" t="s">
        <v>2672</v>
      </c>
      <c r="N3229" s="15" t="s">
        <v>2673</v>
      </c>
      <c r="O3229" s="15"/>
    </row>
    <row r="3230" spans="1:15" ht="18" customHeight="1" x14ac:dyDescent="0.3">
      <c r="A3230" s="29">
        <v>3229</v>
      </c>
      <c r="B3230" s="15" t="s">
        <v>139</v>
      </c>
      <c r="C3230" s="15" t="s">
        <v>144</v>
      </c>
      <c r="D3230" s="69">
        <v>246</v>
      </c>
      <c r="E3230" s="68" t="s">
        <v>3416</v>
      </c>
      <c r="F3230" s="24" t="s">
        <v>828</v>
      </c>
      <c r="G3230" s="15" t="s">
        <v>164</v>
      </c>
      <c r="H3230" s="15" t="s">
        <v>901</v>
      </c>
      <c r="I3230" s="69">
        <v>145</v>
      </c>
      <c r="J3230" s="15" t="s">
        <v>2672</v>
      </c>
      <c r="K3230" s="15" t="s">
        <v>903</v>
      </c>
      <c r="L3230" s="15" t="s">
        <v>2673</v>
      </c>
      <c r="M3230" s="15" t="s">
        <v>2672</v>
      </c>
      <c r="N3230" s="15" t="s">
        <v>2673</v>
      </c>
      <c r="O3230" s="15"/>
    </row>
    <row r="3231" spans="1:15" ht="18" customHeight="1" x14ac:dyDescent="0.3">
      <c r="A3231" s="29">
        <v>3230</v>
      </c>
      <c r="B3231" s="15" t="s">
        <v>139</v>
      </c>
      <c r="C3231" s="15" t="s">
        <v>144</v>
      </c>
      <c r="D3231" s="69">
        <v>246</v>
      </c>
      <c r="E3231" s="68" t="s">
        <v>3416</v>
      </c>
      <c r="F3231" s="24" t="s">
        <v>828</v>
      </c>
      <c r="G3231" s="15" t="s">
        <v>164</v>
      </c>
      <c r="H3231" s="15" t="s">
        <v>904</v>
      </c>
      <c r="I3231" s="69">
        <v>194</v>
      </c>
      <c r="J3231" s="15" t="s">
        <v>2672</v>
      </c>
      <c r="K3231" s="15" t="s">
        <v>903</v>
      </c>
      <c r="L3231" s="15" t="s">
        <v>2673</v>
      </c>
      <c r="M3231" s="15" t="s">
        <v>2672</v>
      </c>
      <c r="N3231" s="15" t="s">
        <v>2673</v>
      </c>
      <c r="O3231" s="15"/>
    </row>
    <row r="3232" spans="1:15" ht="18" customHeight="1" x14ac:dyDescent="0.3">
      <c r="A3232" s="29">
        <v>3231</v>
      </c>
      <c r="B3232" s="15" t="s">
        <v>139</v>
      </c>
      <c r="C3232" s="15" t="s">
        <v>144</v>
      </c>
      <c r="D3232" s="69">
        <v>246</v>
      </c>
      <c r="E3232" s="68" t="s">
        <v>3417</v>
      </c>
      <c r="F3232" s="24" t="s">
        <v>2611</v>
      </c>
      <c r="G3232" s="15" t="s">
        <v>1553</v>
      </c>
      <c r="H3232" s="15" t="s">
        <v>2685</v>
      </c>
      <c r="I3232" s="69">
        <v>68</v>
      </c>
      <c r="J3232" s="15" t="s">
        <v>2672</v>
      </c>
      <c r="K3232" s="15" t="s">
        <v>2672</v>
      </c>
      <c r="L3232" s="15" t="s">
        <v>2673</v>
      </c>
      <c r="M3232" s="15" t="s">
        <v>2672</v>
      </c>
      <c r="N3232" s="15" t="s">
        <v>2673</v>
      </c>
      <c r="O3232" s="15"/>
    </row>
    <row r="3233" spans="1:15" ht="18" customHeight="1" x14ac:dyDescent="0.3">
      <c r="A3233" s="29">
        <v>3232</v>
      </c>
      <c r="B3233" s="15" t="s">
        <v>139</v>
      </c>
      <c r="C3233" s="15" t="s">
        <v>144</v>
      </c>
      <c r="D3233" s="69">
        <v>246</v>
      </c>
      <c r="E3233" s="68" t="s">
        <v>3417</v>
      </c>
      <c r="F3233" s="24" t="s">
        <v>2611</v>
      </c>
      <c r="G3233" s="15" t="s">
        <v>1553</v>
      </c>
      <c r="H3233" s="15" t="s">
        <v>2678</v>
      </c>
      <c r="I3233" s="69">
        <v>63</v>
      </c>
      <c r="J3233" s="15" t="s">
        <v>2672</v>
      </c>
      <c r="K3233" s="15" t="s">
        <v>2672</v>
      </c>
      <c r="L3233" s="15" t="s">
        <v>2673</v>
      </c>
      <c r="M3233" s="15" t="s">
        <v>2672</v>
      </c>
      <c r="N3233" s="15" t="s">
        <v>2673</v>
      </c>
      <c r="O3233" s="15"/>
    </row>
    <row r="3234" spans="1:15" ht="18" customHeight="1" x14ac:dyDescent="0.3">
      <c r="A3234" s="29">
        <v>3233</v>
      </c>
      <c r="B3234" s="15" t="s">
        <v>139</v>
      </c>
      <c r="C3234" s="15" t="s">
        <v>144</v>
      </c>
      <c r="D3234" s="69">
        <v>246</v>
      </c>
      <c r="E3234" s="68" t="s">
        <v>3417</v>
      </c>
      <c r="F3234" s="24" t="s">
        <v>2611</v>
      </c>
      <c r="G3234" s="15" t="s">
        <v>1553</v>
      </c>
      <c r="H3234" s="15" t="s">
        <v>2679</v>
      </c>
      <c r="I3234" s="69">
        <v>68</v>
      </c>
      <c r="J3234" s="15" t="s">
        <v>2672</v>
      </c>
      <c r="K3234" s="15" t="s">
        <v>2672</v>
      </c>
      <c r="L3234" s="15" t="s">
        <v>2673</v>
      </c>
      <c r="M3234" s="15" t="s">
        <v>2672</v>
      </c>
      <c r="N3234" s="15" t="s">
        <v>2673</v>
      </c>
      <c r="O3234" s="15"/>
    </row>
    <row r="3235" spans="1:15" ht="18" customHeight="1" x14ac:dyDescent="0.3">
      <c r="A3235" s="29">
        <v>3234</v>
      </c>
      <c r="B3235" s="15" t="s">
        <v>139</v>
      </c>
      <c r="C3235" s="15" t="s">
        <v>144</v>
      </c>
      <c r="D3235" s="69">
        <v>246</v>
      </c>
      <c r="E3235" s="68" t="s">
        <v>3417</v>
      </c>
      <c r="F3235" s="24" t="s">
        <v>2611</v>
      </c>
      <c r="G3235" s="15" t="s">
        <v>1553</v>
      </c>
      <c r="H3235" s="15" t="s">
        <v>2680</v>
      </c>
      <c r="I3235" s="69">
        <v>63</v>
      </c>
      <c r="J3235" s="15" t="s">
        <v>2672</v>
      </c>
      <c r="K3235" s="15" t="s">
        <v>2672</v>
      </c>
      <c r="L3235" s="15" t="s">
        <v>2673</v>
      </c>
      <c r="M3235" s="15" t="s">
        <v>2672</v>
      </c>
      <c r="N3235" s="15" t="s">
        <v>2673</v>
      </c>
      <c r="O3235" s="15"/>
    </row>
    <row r="3236" spans="1:15" ht="18" customHeight="1" x14ac:dyDescent="0.3">
      <c r="A3236" s="29">
        <v>3235</v>
      </c>
      <c r="B3236" s="15" t="s">
        <v>139</v>
      </c>
      <c r="C3236" s="15" t="s">
        <v>144</v>
      </c>
      <c r="D3236" s="69">
        <v>246</v>
      </c>
      <c r="E3236" s="68" t="s">
        <v>955</v>
      </c>
      <c r="F3236" s="21" t="s">
        <v>1105</v>
      </c>
      <c r="G3236" s="15" t="s">
        <v>154</v>
      </c>
      <c r="H3236" s="15" t="s">
        <v>905</v>
      </c>
      <c r="I3236" s="69">
        <v>249</v>
      </c>
      <c r="J3236" s="13" t="s">
        <v>902</v>
      </c>
      <c r="K3236" s="15" t="s">
        <v>903</v>
      </c>
      <c r="L3236" s="15" t="s">
        <v>2673</v>
      </c>
      <c r="M3236" s="15" t="s">
        <v>2672</v>
      </c>
      <c r="N3236" s="15" t="s">
        <v>2673</v>
      </c>
      <c r="O3236" s="15"/>
    </row>
    <row r="3237" spans="1:15" ht="18" customHeight="1" x14ac:dyDescent="0.3">
      <c r="A3237" s="29">
        <v>3236</v>
      </c>
      <c r="B3237" s="15" t="s">
        <v>139</v>
      </c>
      <c r="C3237" s="15" t="s">
        <v>144</v>
      </c>
      <c r="D3237" s="69">
        <v>246</v>
      </c>
      <c r="E3237" s="68" t="s">
        <v>955</v>
      </c>
      <c r="F3237" s="21" t="s">
        <v>1105</v>
      </c>
      <c r="G3237" s="15" t="s">
        <v>154</v>
      </c>
      <c r="H3237" s="15" t="s">
        <v>906</v>
      </c>
      <c r="I3237" s="69">
        <v>151</v>
      </c>
      <c r="J3237" s="13" t="s">
        <v>2672</v>
      </c>
      <c r="K3237" s="15" t="s">
        <v>903</v>
      </c>
      <c r="L3237" s="15" t="s">
        <v>2673</v>
      </c>
      <c r="M3237" s="15" t="s">
        <v>2672</v>
      </c>
      <c r="N3237" s="15" t="s">
        <v>2673</v>
      </c>
      <c r="O3237" s="15"/>
    </row>
    <row r="3238" spans="1:15" ht="18" customHeight="1" x14ac:dyDescent="0.3">
      <c r="A3238" s="29">
        <v>3237</v>
      </c>
      <c r="B3238" s="15" t="s">
        <v>139</v>
      </c>
      <c r="C3238" s="15" t="s">
        <v>144</v>
      </c>
      <c r="D3238" s="69">
        <v>246</v>
      </c>
      <c r="E3238" s="68" t="s">
        <v>955</v>
      </c>
      <c r="F3238" s="21" t="s">
        <v>1105</v>
      </c>
      <c r="G3238" s="15" t="s">
        <v>154</v>
      </c>
      <c r="H3238" s="15" t="s">
        <v>907</v>
      </c>
      <c r="I3238" s="69">
        <v>145</v>
      </c>
      <c r="J3238" s="13" t="s">
        <v>2672</v>
      </c>
      <c r="K3238" s="15" t="s">
        <v>903</v>
      </c>
      <c r="L3238" s="15" t="s">
        <v>2673</v>
      </c>
      <c r="M3238" s="15" t="s">
        <v>2672</v>
      </c>
      <c r="N3238" s="15" t="s">
        <v>2673</v>
      </c>
      <c r="O3238" s="15"/>
    </row>
    <row r="3239" spans="1:15" ht="18" customHeight="1" x14ac:dyDescent="0.3">
      <c r="A3239" s="29">
        <v>3238</v>
      </c>
      <c r="B3239" s="15" t="s">
        <v>139</v>
      </c>
      <c r="C3239" s="15" t="s">
        <v>144</v>
      </c>
      <c r="D3239" s="69">
        <v>246</v>
      </c>
      <c r="E3239" s="68" t="s">
        <v>955</v>
      </c>
      <c r="F3239" s="21" t="s">
        <v>1105</v>
      </c>
      <c r="G3239" s="15" t="s">
        <v>154</v>
      </c>
      <c r="H3239" s="15" t="s">
        <v>908</v>
      </c>
      <c r="I3239" s="69">
        <v>175</v>
      </c>
      <c r="J3239" s="13" t="s">
        <v>2672</v>
      </c>
      <c r="K3239" s="15" t="s">
        <v>903</v>
      </c>
      <c r="L3239" s="15" t="s">
        <v>2673</v>
      </c>
      <c r="M3239" s="15" t="s">
        <v>2672</v>
      </c>
      <c r="N3239" s="15" t="s">
        <v>2673</v>
      </c>
      <c r="O3239" s="15"/>
    </row>
    <row r="3240" spans="1:15" ht="18" customHeight="1" x14ac:dyDescent="0.3">
      <c r="A3240" s="29">
        <v>3239</v>
      </c>
      <c r="B3240" s="15" t="s">
        <v>139</v>
      </c>
      <c r="C3240" s="15" t="s">
        <v>144</v>
      </c>
      <c r="D3240" s="69">
        <v>246</v>
      </c>
      <c r="E3240" s="68" t="s">
        <v>955</v>
      </c>
      <c r="F3240" s="21" t="s">
        <v>833</v>
      </c>
      <c r="G3240" s="15" t="s">
        <v>154</v>
      </c>
      <c r="H3240" s="15" t="s">
        <v>901</v>
      </c>
      <c r="I3240" s="69">
        <v>128</v>
      </c>
      <c r="J3240" s="13" t="s">
        <v>902</v>
      </c>
      <c r="K3240" s="15" t="s">
        <v>903</v>
      </c>
      <c r="L3240" s="15" t="s">
        <v>2673</v>
      </c>
      <c r="M3240" s="15" t="s">
        <v>2672</v>
      </c>
      <c r="N3240" s="15" t="s">
        <v>2673</v>
      </c>
      <c r="O3240" s="15"/>
    </row>
    <row r="3241" spans="1:15" ht="18" customHeight="1" x14ac:dyDescent="0.3">
      <c r="A3241" s="29">
        <v>3240</v>
      </c>
      <c r="B3241" s="15" t="s">
        <v>139</v>
      </c>
      <c r="C3241" s="15" t="s">
        <v>144</v>
      </c>
      <c r="D3241" s="69">
        <v>246</v>
      </c>
      <c r="E3241" s="68" t="s">
        <v>955</v>
      </c>
      <c r="F3241" s="21" t="s">
        <v>833</v>
      </c>
      <c r="G3241" s="15" t="s">
        <v>154</v>
      </c>
      <c r="H3241" s="15" t="s">
        <v>904</v>
      </c>
      <c r="I3241" s="69">
        <v>175</v>
      </c>
      <c r="J3241" s="13" t="s">
        <v>2672</v>
      </c>
      <c r="K3241" s="15" t="s">
        <v>903</v>
      </c>
      <c r="L3241" s="15" t="s">
        <v>2673</v>
      </c>
      <c r="M3241" s="15" t="s">
        <v>2672</v>
      </c>
      <c r="N3241" s="15" t="s">
        <v>2673</v>
      </c>
      <c r="O3241" s="15"/>
    </row>
    <row r="3242" spans="1:15" ht="18" customHeight="1" x14ac:dyDescent="0.3">
      <c r="A3242" s="29">
        <v>3241</v>
      </c>
      <c r="B3242" s="15" t="s">
        <v>139</v>
      </c>
      <c r="C3242" s="15" t="s">
        <v>145</v>
      </c>
      <c r="D3242" s="69">
        <v>247</v>
      </c>
      <c r="E3242" s="68" t="s">
        <v>317</v>
      </c>
      <c r="F3242" s="16" t="s">
        <v>2612</v>
      </c>
      <c r="G3242" s="15" t="s">
        <v>2673</v>
      </c>
      <c r="H3242" s="15" t="s">
        <v>901</v>
      </c>
      <c r="I3242" s="69">
        <v>146</v>
      </c>
      <c r="J3242" s="15" t="s">
        <v>2672</v>
      </c>
      <c r="K3242" s="15" t="s">
        <v>903</v>
      </c>
      <c r="L3242" s="15" t="s">
        <v>2673</v>
      </c>
      <c r="M3242" s="15" t="s">
        <v>2672</v>
      </c>
      <c r="N3242" s="15" t="s">
        <v>2673</v>
      </c>
      <c r="O3242" s="15"/>
    </row>
    <row r="3243" spans="1:15" ht="18" customHeight="1" x14ac:dyDescent="0.3">
      <c r="A3243" s="29">
        <v>3242</v>
      </c>
      <c r="B3243" s="15" t="s">
        <v>139</v>
      </c>
      <c r="C3243" s="15" t="s">
        <v>145</v>
      </c>
      <c r="D3243" s="69">
        <v>247</v>
      </c>
      <c r="E3243" s="68" t="s">
        <v>317</v>
      </c>
      <c r="F3243" s="16" t="s">
        <v>2612</v>
      </c>
      <c r="G3243" s="15" t="s">
        <v>2673</v>
      </c>
      <c r="H3243" s="15" t="s">
        <v>904</v>
      </c>
      <c r="I3243" s="69">
        <v>146</v>
      </c>
      <c r="J3243" s="15" t="s">
        <v>2672</v>
      </c>
      <c r="K3243" s="15" t="s">
        <v>903</v>
      </c>
      <c r="L3243" s="15" t="s">
        <v>2673</v>
      </c>
      <c r="M3243" s="15" t="s">
        <v>2672</v>
      </c>
      <c r="N3243" s="15" t="s">
        <v>2673</v>
      </c>
      <c r="O3243" s="15"/>
    </row>
    <row r="3244" spans="1:15" ht="18" customHeight="1" x14ac:dyDescent="0.3">
      <c r="A3244" s="29">
        <v>3243</v>
      </c>
      <c r="B3244" s="15" t="s">
        <v>139</v>
      </c>
      <c r="C3244" s="15" t="s">
        <v>146</v>
      </c>
      <c r="D3244" s="69">
        <v>248</v>
      </c>
      <c r="E3244" s="68" t="s">
        <v>3418</v>
      </c>
      <c r="F3244" s="16" t="s">
        <v>824</v>
      </c>
      <c r="G3244" s="15" t="s">
        <v>154</v>
      </c>
      <c r="H3244" s="15" t="s">
        <v>901</v>
      </c>
      <c r="I3244" s="69">
        <v>138</v>
      </c>
      <c r="J3244" s="15" t="s">
        <v>2674</v>
      </c>
      <c r="K3244" s="15" t="s">
        <v>903</v>
      </c>
      <c r="L3244" s="15" t="s">
        <v>2673</v>
      </c>
      <c r="M3244" s="15" t="s">
        <v>2672</v>
      </c>
      <c r="N3244" s="15" t="s">
        <v>2673</v>
      </c>
      <c r="O3244" s="15"/>
    </row>
    <row r="3245" spans="1:15" ht="18" customHeight="1" x14ac:dyDescent="0.3">
      <c r="A3245" s="29">
        <v>3244</v>
      </c>
      <c r="B3245" s="15" t="s">
        <v>139</v>
      </c>
      <c r="C3245" s="15" t="s">
        <v>146</v>
      </c>
      <c r="D3245" s="69">
        <v>248</v>
      </c>
      <c r="E3245" s="68" t="s">
        <v>3418</v>
      </c>
      <c r="F3245" s="16" t="s">
        <v>824</v>
      </c>
      <c r="G3245" s="15" t="s">
        <v>154</v>
      </c>
      <c r="H3245" s="15" t="s">
        <v>904</v>
      </c>
      <c r="I3245" s="69">
        <v>128</v>
      </c>
      <c r="J3245" s="15" t="s">
        <v>2672</v>
      </c>
      <c r="K3245" s="15" t="s">
        <v>903</v>
      </c>
      <c r="L3245" s="15" t="s">
        <v>2673</v>
      </c>
      <c r="M3245" s="15" t="s">
        <v>2672</v>
      </c>
      <c r="N3245" s="15" t="s">
        <v>2673</v>
      </c>
      <c r="O3245" s="15"/>
    </row>
    <row r="3246" spans="1:15" ht="18" customHeight="1" x14ac:dyDescent="0.3">
      <c r="A3246" s="29">
        <v>3245</v>
      </c>
      <c r="B3246" s="15" t="s">
        <v>139</v>
      </c>
      <c r="C3246" s="15" t="s">
        <v>146</v>
      </c>
      <c r="D3246" s="69">
        <v>248</v>
      </c>
      <c r="E3246" s="68" t="s">
        <v>3418</v>
      </c>
      <c r="F3246" s="16" t="s">
        <v>824</v>
      </c>
      <c r="G3246" s="15" t="s">
        <v>154</v>
      </c>
      <c r="H3246" s="15" t="s">
        <v>905</v>
      </c>
      <c r="I3246" s="69">
        <v>118</v>
      </c>
      <c r="J3246" s="15" t="s">
        <v>2672</v>
      </c>
      <c r="K3246" s="15" t="s">
        <v>903</v>
      </c>
      <c r="L3246" s="15" t="s">
        <v>2673</v>
      </c>
      <c r="M3246" s="15" t="s">
        <v>2672</v>
      </c>
      <c r="N3246" s="15" t="s">
        <v>2673</v>
      </c>
      <c r="O3246" s="15"/>
    </row>
    <row r="3247" spans="1:15" ht="18" customHeight="1" x14ac:dyDescent="0.3">
      <c r="A3247" s="29">
        <v>3246</v>
      </c>
      <c r="B3247" s="15" t="s">
        <v>139</v>
      </c>
      <c r="C3247" s="15" t="s">
        <v>146</v>
      </c>
      <c r="D3247" s="69">
        <v>248</v>
      </c>
      <c r="E3247" s="68" t="s">
        <v>3418</v>
      </c>
      <c r="F3247" s="16" t="s">
        <v>824</v>
      </c>
      <c r="G3247" s="15" t="s">
        <v>154</v>
      </c>
      <c r="H3247" s="15" t="s">
        <v>906</v>
      </c>
      <c r="I3247" s="69">
        <v>177</v>
      </c>
      <c r="J3247" s="15" t="s">
        <v>2672</v>
      </c>
      <c r="K3247" s="15" t="s">
        <v>903</v>
      </c>
      <c r="L3247" s="15" t="s">
        <v>2673</v>
      </c>
      <c r="M3247" s="15" t="s">
        <v>2672</v>
      </c>
      <c r="N3247" s="15" t="s">
        <v>2673</v>
      </c>
      <c r="O3247" s="15"/>
    </row>
    <row r="3248" spans="1:15" ht="18" customHeight="1" x14ac:dyDescent="0.3">
      <c r="A3248" s="29">
        <v>3247</v>
      </c>
      <c r="B3248" s="15" t="s">
        <v>139</v>
      </c>
      <c r="C3248" s="15" t="s">
        <v>146</v>
      </c>
      <c r="D3248" s="69">
        <v>248</v>
      </c>
      <c r="E3248" s="68" t="s">
        <v>3418</v>
      </c>
      <c r="F3248" s="16" t="s">
        <v>824</v>
      </c>
      <c r="G3248" s="15" t="s">
        <v>154</v>
      </c>
      <c r="H3248" s="15" t="s">
        <v>907</v>
      </c>
      <c r="I3248" s="69">
        <v>260</v>
      </c>
      <c r="J3248" s="15" t="s">
        <v>2672</v>
      </c>
      <c r="K3248" s="15" t="s">
        <v>903</v>
      </c>
      <c r="L3248" s="15" t="s">
        <v>2673</v>
      </c>
      <c r="M3248" s="15" t="s">
        <v>2672</v>
      </c>
      <c r="N3248" s="15" t="s">
        <v>2673</v>
      </c>
      <c r="O3248" s="15"/>
    </row>
    <row r="3249" spans="1:15" ht="18" customHeight="1" x14ac:dyDescent="0.3">
      <c r="A3249" s="29">
        <v>3248</v>
      </c>
      <c r="B3249" s="15" t="s">
        <v>139</v>
      </c>
      <c r="C3249" s="15" t="s">
        <v>146</v>
      </c>
      <c r="D3249" s="69">
        <v>248</v>
      </c>
      <c r="E3249" s="68" t="s">
        <v>3418</v>
      </c>
      <c r="F3249" s="16" t="s">
        <v>824</v>
      </c>
      <c r="G3249" s="15" t="s">
        <v>154</v>
      </c>
      <c r="H3249" s="15" t="s">
        <v>908</v>
      </c>
      <c r="I3249" s="69">
        <v>260</v>
      </c>
      <c r="J3249" s="15" t="s">
        <v>2672</v>
      </c>
      <c r="K3249" s="15" t="s">
        <v>903</v>
      </c>
      <c r="L3249" s="15" t="s">
        <v>2673</v>
      </c>
      <c r="M3249" s="15" t="s">
        <v>2672</v>
      </c>
      <c r="N3249" s="15" t="s">
        <v>2673</v>
      </c>
      <c r="O3249" s="15"/>
    </row>
    <row r="3250" spans="1:15" ht="18" customHeight="1" x14ac:dyDescent="0.3">
      <c r="A3250" s="29">
        <v>3249</v>
      </c>
      <c r="B3250" s="15" t="s">
        <v>139</v>
      </c>
      <c r="C3250" s="15" t="s">
        <v>146</v>
      </c>
      <c r="D3250" s="69">
        <v>248</v>
      </c>
      <c r="E3250" s="68" t="s">
        <v>3418</v>
      </c>
      <c r="F3250" s="16" t="s">
        <v>824</v>
      </c>
      <c r="G3250" s="15" t="s">
        <v>154</v>
      </c>
      <c r="H3250" s="15" t="s">
        <v>909</v>
      </c>
      <c r="I3250" s="69">
        <v>142</v>
      </c>
      <c r="J3250" s="15" t="s">
        <v>2672</v>
      </c>
      <c r="K3250" s="15" t="s">
        <v>903</v>
      </c>
      <c r="L3250" s="15" t="s">
        <v>2673</v>
      </c>
      <c r="M3250" s="15" t="s">
        <v>2672</v>
      </c>
      <c r="N3250" s="15" t="s">
        <v>2673</v>
      </c>
      <c r="O3250" s="15"/>
    </row>
    <row r="3251" spans="1:15" ht="18" customHeight="1" x14ac:dyDescent="0.3">
      <c r="A3251" s="29">
        <v>3250</v>
      </c>
      <c r="B3251" s="15" t="s">
        <v>139</v>
      </c>
      <c r="C3251" s="15" t="s">
        <v>147</v>
      </c>
      <c r="D3251" s="69">
        <v>249</v>
      </c>
      <c r="E3251" s="68" t="s">
        <v>3041</v>
      </c>
      <c r="F3251" s="16" t="s">
        <v>839</v>
      </c>
      <c r="G3251" s="15" t="s">
        <v>164</v>
      </c>
      <c r="H3251" s="15" t="s">
        <v>901</v>
      </c>
      <c r="I3251" s="69">
        <v>90</v>
      </c>
      <c r="J3251" s="15" t="s">
        <v>2672</v>
      </c>
      <c r="K3251" s="15" t="s">
        <v>2674</v>
      </c>
      <c r="L3251" s="15" t="s">
        <v>1703</v>
      </c>
      <c r="M3251" s="15" t="s">
        <v>2672</v>
      </c>
      <c r="N3251" s="15" t="s">
        <v>2673</v>
      </c>
      <c r="O3251" s="15"/>
    </row>
    <row r="3252" spans="1:15" ht="18" customHeight="1" x14ac:dyDescent="0.3">
      <c r="A3252" s="29">
        <v>3251</v>
      </c>
      <c r="B3252" s="15" t="s">
        <v>139</v>
      </c>
      <c r="C3252" s="15" t="s">
        <v>147</v>
      </c>
      <c r="D3252" s="69">
        <v>249</v>
      </c>
      <c r="E3252" s="68" t="s">
        <v>3041</v>
      </c>
      <c r="F3252" s="16" t="s">
        <v>839</v>
      </c>
      <c r="G3252" s="15" t="s">
        <v>164</v>
      </c>
      <c r="H3252" s="15" t="s">
        <v>904</v>
      </c>
      <c r="I3252" s="69">
        <v>90</v>
      </c>
      <c r="J3252" s="15" t="s">
        <v>2672</v>
      </c>
      <c r="K3252" s="15" t="s">
        <v>2674</v>
      </c>
      <c r="L3252" s="15" t="s">
        <v>1703</v>
      </c>
      <c r="M3252" s="15" t="s">
        <v>2672</v>
      </c>
      <c r="N3252" s="15" t="s">
        <v>2673</v>
      </c>
      <c r="O3252" s="15"/>
    </row>
    <row r="3253" spans="1:15" ht="18" customHeight="1" x14ac:dyDescent="0.3">
      <c r="A3253" s="29">
        <v>3252</v>
      </c>
      <c r="B3253" s="15" t="s">
        <v>139</v>
      </c>
      <c r="C3253" s="15" t="s">
        <v>147</v>
      </c>
      <c r="D3253" s="69">
        <v>249</v>
      </c>
      <c r="E3253" s="68" t="s">
        <v>3041</v>
      </c>
      <c r="F3253" s="16" t="s">
        <v>839</v>
      </c>
      <c r="G3253" s="15" t="s">
        <v>164</v>
      </c>
      <c r="H3253" s="15" t="s">
        <v>905</v>
      </c>
      <c r="I3253" s="69">
        <v>50</v>
      </c>
      <c r="J3253" s="15" t="s">
        <v>2672</v>
      </c>
      <c r="K3253" s="15" t="s">
        <v>903</v>
      </c>
      <c r="L3253" s="15" t="s">
        <v>2673</v>
      </c>
      <c r="M3253" s="15" t="s">
        <v>2672</v>
      </c>
      <c r="N3253" s="15" t="s">
        <v>2673</v>
      </c>
      <c r="O3253" s="15"/>
    </row>
    <row r="3254" spans="1:15" ht="18" customHeight="1" x14ac:dyDescent="0.3">
      <c r="A3254" s="29">
        <v>3253</v>
      </c>
      <c r="B3254" s="15" t="s">
        <v>139</v>
      </c>
      <c r="C3254" s="15" t="s">
        <v>147</v>
      </c>
      <c r="D3254" s="69">
        <v>249</v>
      </c>
      <c r="E3254" s="68" t="s">
        <v>3041</v>
      </c>
      <c r="F3254" s="16" t="s">
        <v>839</v>
      </c>
      <c r="G3254" s="15" t="s">
        <v>164</v>
      </c>
      <c r="H3254" s="15" t="s">
        <v>906</v>
      </c>
      <c r="I3254" s="69">
        <v>67</v>
      </c>
      <c r="J3254" s="15" t="s">
        <v>2674</v>
      </c>
      <c r="K3254" s="15" t="s">
        <v>903</v>
      </c>
      <c r="L3254" s="15" t="s">
        <v>2673</v>
      </c>
      <c r="M3254" s="15" t="s">
        <v>2672</v>
      </c>
      <c r="N3254" s="15" t="s">
        <v>2673</v>
      </c>
      <c r="O3254" s="15"/>
    </row>
    <row r="3255" spans="1:15" ht="18" customHeight="1" x14ac:dyDescent="0.3">
      <c r="A3255" s="29">
        <v>3254</v>
      </c>
      <c r="B3255" s="15" t="s">
        <v>139</v>
      </c>
      <c r="C3255" s="15" t="s">
        <v>147</v>
      </c>
      <c r="D3255" s="69">
        <v>249</v>
      </c>
      <c r="E3255" s="68" t="s">
        <v>3041</v>
      </c>
      <c r="F3255" s="16" t="s">
        <v>839</v>
      </c>
      <c r="G3255" s="15" t="s">
        <v>164</v>
      </c>
      <c r="H3255" s="15" t="s">
        <v>907</v>
      </c>
      <c r="I3255" s="69">
        <v>108</v>
      </c>
      <c r="J3255" s="15" t="s">
        <v>2672</v>
      </c>
      <c r="K3255" s="15" t="s">
        <v>903</v>
      </c>
      <c r="L3255" s="15" t="s">
        <v>2673</v>
      </c>
      <c r="M3255" s="15" t="s">
        <v>2672</v>
      </c>
      <c r="N3255" s="15" t="s">
        <v>2673</v>
      </c>
      <c r="O3255" s="15"/>
    </row>
    <row r="3256" spans="1:15" ht="18" customHeight="1" x14ac:dyDescent="0.3">
      <c r="A3256" s="29">
        <v>3255</v>
      </c>
      <c r="B3256" s="15" t="s">
        <v>139</v>
      </c>
      <c r="C3256" s="15" t="s">
        <v>147</v>
      </c>
      <c r="D3256" s="69">
        <v>249</v>
      </c>
      <c r="E3256" s="68" t="s">
        <v>3041</v>
      </c>
      <c r="F3256" s="16" t="s">
        <v>839</v>
      </c>
      <c r="G3256" s="15" t="s">
        <v>164</v>
      </c>
      <c r="H3256" s="15" t="s">
        <v>908</v>
      </c>
      <c r="I3256" s="69">
        <v>123</v>
      </c>
      <c r="J3256" s="15" t="s">
        <v>2674</v>
      </c>
      <c r="K3256" s="15" t="s">
        <v>903</v>
      </c>
      <c r="L3256" s="15" t="s">
        <v>2673</v>
      </c>
      <c r="M3256" s="15" t="s">
        <v>2672</v>
      </c>
      <c r="N3256" s="15" t="s">
        <v>2673</v>
      </c>
      <c r="O3256" s="15"/>
    </row>
    <row r="3257" spans="1:15" ht="18" customHeight="1" x14ac:dyDescent="0.3">
      <c r="A3257" s="29">
        <v>3256</v>
      </c>
      <c r="B3257" s="13" t="s">
        <v>2588</v>
      </c>
      <c r="C3257" s="13" t="s">
        <v>2615</v>
      </c>
      <c r="D3257" s="13">
        <v>249</v>
      </c>
      <c r="E3257" s="21" t="s">
        <v>2616</v>
      </c>
      <c r="F3257" s="16" t="s">
        <v>2617</v>
      </c>
      <c r="G3257" s="13" t="s">
        <v>2673</v>
      </c>
      <c r="H3257" s="18" t="s">
        <v>2685</v>
      </c>
      <c r="I3257" s="127">
        <v>108</v>
      </c>
      <c r="J3257" s="15" t="s">
        <v>2672</v>
      </c>
      <c r="K3257" s="15" t="s">
        <v>903</v>
      </c>
      <c r="L3257" s="15" t="s">
        <v>2673</v>
      </c>
      <c r="M3257" s="15" t="s">
        <v>2672</v>
      </c>
      <c r="N3257" s="15" t="s">
        <v>2673</v>
      </c>
      <c r="O3257" s="15"/>
    </row>
    <row r="3258" spans="1:15" ht="18" customHeight="1" x14ac:dyDescent="0.3">
      <c r="A3258" s="29">
        <v>3257</v>
      </c>
      <c r="B3258" s="15" t="s">
        <v>139</v>
      </c>
      <c r="C3258" s="15" t="s">
        <v>147</v>
      </c>
      <c r="D3258" s="69">
        <v>249</v>
      </c>
      <c r="E3258" s="68" t="s">
        <v>2620</v>
      </c>
      <c r="F3258" s="24" t="s">
        <v>837</v>
      </c>
      <c r="G3258" s="15" t="s">
        <v>164</v>
      </c>
      <c r="H3258" s="15" t="s">
        <v>901</v>
      </c>
      <c r="I3258" s="69">
        <v>103</v>
      </c>
      <c r="J3258" s="13" t="s">
        <v>2672</v>
      </c>
      <c r="K3258" s="15" t="s">
        <v>2674</v>
      </c>
      <c r="L3258" s="15" t="s">
        <v>2525</v>
      </c>
      <c r="M3258" s="15" t="s">
        <v>2672</v>
      </c>
      <c r="N3258" s="15" t="s">
        <v>2673</v>
      </c>
      <c r="O3258" s="15"/>
    </row>
    <row r="3259" spans="1:15" ht="18" customHeight="1" x14ac:dyDescent="0.3">
      <c r="A3259" s="29">
        <v>3258</v>
      </c>
      <c r="B3259" s="15" t="s">
        <v>139</v>
      </c>
      <c r="C3259" s="15" t="s">
        <v>147</v>
      </c>
      <c r="D3259" s="69">
        <v>249</v>
      </c>
      <c r="E3259" s="68" t="s">
        <v>2620</v>
      </c>
      <c r="F3259" s="24" t="s">
        <v>837</v>
      </c>
      <c r="G3259" s="15" t="s">
        <v>164</v>
      </c>
      <c r="H3259" s="15" t="s">
        <v>904</v>
      </c>
      <c r="I3259" s="69">
        <v>103</v>
      </c>
      <c r="J3259" s="13" t="s">
        <v>2674</v>
      </c>
      <c r="K3259" s="15" t="s">
        <v>2674</v>
      </c>
      <c r="L3259" s="15" t="s">
        <v>2525</v>
      </c>
      <c r="M3259" s="15" t="s">
        <v>2672</v>
      </c>
      <c r="N3259" s="15" t="s">
        <v>2673</v>
      </c>
      <c r="O3259" s="15"/>
    </row>
    <row r="3260" spans="1:15" ht="18" customHeight="1" x14ac:dyDescent="0.3">
      <c r="A3260" s="29">
        <v>3259</v>
      </c>
      <c r="B3260" s="15" t="s">
        <v>139</v>
      </c>
      <c r="C3260" s="15" t="s">
        <v>147</v>
      </c>
      <c r="D3260" s="69">
        <v>249</v>
      </c>
      <c r="E3260" s="68" t="s">
        <v>2620</v>
      </c>
      <c r="F3260" s="24" t="s">
        <v>837</v>
      </c>
      <c r="G3260" s="15" t="s">
        <v>164</v>
      </c>
      <c r="H3260" s="15" t="s">
        <v>905</v>
      </c>
      <c r="I3260" s="69">
        <v>99</v>
      </c>
      <c r="J3260" s="13" t="s">
        <v>2672</v>
      </c>
      <c r="K3260" s="15" t="s">
        <v>2674</v>
      </c>
      <c r="L3260" s="15" t="s">
        <v>2525</v>
      </c>
      <c r="M3260" s="15" t="s">
        <v>2672</v>
      </c>
      <c r="N3260" s="15" t="s">
        <v>2673</v>
      </c>
      <c r="O3260" s="15"/>
    </row>
    <row r="3261" spans="1:15" ht="18" customHeight="1" x14ac:dyDescent="0.3">
      <c r="A3261" s="29">
        <v>3260</v>
      </c>
      <c r="B3261" s="15" t="s">
        <v>139</v>
      </c>
      <c r="C3261" s="15" t="s">
        <v>147</v>
      </c>
      <c r="D3261" s="69">
        <v>249</v>
      </c>
      <c r="E3261" s="68" t="s">
        <v>2620</v>
      </c>
      <c r="F3261" s="24" t="s">
        <v>837</v>
      </c>
      <c r="G3261" s="15" t="s">
        <v>164</v>
      </c>
      <c r="H3261" s="15" t="s">
        <v>906</v>
      </c>
      <c r="I3261" s="69">
        <v>50</v>
      </c>
      <c r="J3261" s="13" t="s">
        <v>2672</v>
      </c>
      <c r="K3261" s="15" t="s">
        <v>2674</v>
      </c>
      <c r="L3261" s="15" t="s">
        <v>2525</v>
      </c>
      <c r="M3261" s="15" t="s">
        <v>2672</v>
      </c>
      <c r="N3261" s="15" t="s">
        <v>2673</v>
      </c>
      <c r="O3261" s="15"/>
    </row>
    <row r="3262" spans="1:15" ht="18" customHeight="1" x14ac:dyDescent="0.3">
      <c r="A3262" s="29">
        <v>3261</v>
      </c>
      <c r="B3262" s="15" t="s">
        <v>139</v>
      </c>
      <c r="C3262" s="15" t="s">
        <v>147</v>
      </c>
      <c r="D3262" s="69">
        <v>249</v>
      </c>
      <c r="E3262" s="68" t="s">
        <v>2620</v>
      </c>
      <c r="F3262" s="24" t="s">
        <v>837</v>
      </c>
      <c r="G3262" s="15" t="s">
        <v>164</v>
      </c>
      <c r="H3262" s="15" t="s">
        <v>907</v>
      </c>
      <c r="I3262" s="69">
        <v>99</v>
      </c>
      <c r="J3262" s="13" t="s">
        <v>2672</v>
      </c>
      <c r="K3262" s="15" t="s">
        <v>2674</v>
      </c>
      <c r="L3262" s="15" t="s">
        <v>2525</v>
      </c>
      <c r="M3262" s="15" t="s">
        <v>2672</v>
      </c>
      <c r="N3262" s="15" t="s">
        <v>2673</v>
      </c>
      <c r="O3262" s="15"/>
    </row>
    <row r="3263" spans="1:15" ht="18" customHeight="1" x14ac:dyDescent="0.3">
      <c r="A3263" s="29">
        <v>3262</v>
      </c>
      <c r="B3263" s="15" t="s">
        <v>139</v>
      </c>
      <c r="C3263" s="15" t="s">
        <v>147</v>
      </c>
      <c r="D3263" s="69">
        <v>249</v>
      </c>
      <c r="E3263" s="68" t="s">
        <v>922</v>
      </c>
      <c r="F3263" s="24" t="s">
        <v>1106</v>
      </c>
      <c r="G3263" s="15" t="s">
        <v>154</v>
      </c>
      <c r="H3263" s="15" t="s">
        <v>3186</v>
      </c>
      <c r="I3263" s="13">
        <v>94</v>
      </c>
      <c r="J3263" s="15" t="s">
        <v>2672</v>
      </c>
      <c r="K3263" s="15" t="s">
        <v>2674</v>
      </c>
      <c r="L3263" s="15" t="s">
        <v>1703</v>
      </c>
      <c r="M3263" s="15" t="s">
        <v>2672</v>
      </c>
      <c r="N3263" s="15" t="s">
        <v>2673</v>
      </c>
      <c r="O3263" s="15"/>
    </row>
    <row r="3264" spans="1:15" ht="18" customHeight="1" x14ac:dyDescent="0.3">
      <c r="A3264" s="29">
        <v>3263</v>
      </c>
      <c r="B3264" s="15" t="s">
        <v>139</v>
      </c>
      <c r="C3264" s="15" t="s">
        <v>147</v>
      </c>
      <c r="D3264" s="69">
        <v>249</v>
      </c>
      <c r="E3264" s="68" t="s">
        <v>922</v>
      </c>
      <c r="F3264" s="24" t="s">
        <v>1106</v>
      </c>
      <c r="G3264" s="15" t="s">
        <v>154</v>
      </c>
      <c r="H3264" s="15" t="s">
        <v>3187</v>
      </c>
      <c r="I3264" s="13">
        <v>82</v>
      </c>
      <c r="J3264" s="15" t="s">
        <v>2672</v>
      </c>
      <c r="K3264" s="15" t="s">
        <v>2674</v>
      </c>
      <c r="L3264" s="15" t="s">
        <v>1703</v>
      </c>
      <c r="M3264" s="15" t="s">
        <v>2672</v>
      </c>
      <c r="N3264" s="15" t="s">
        <v>2673</v>
      </c>
      <c r="O3264" s="15"/>
    </row>
    <row r="3265" spans="1:15" ht="18" customHeight="1" x14ac:dyDescent="0.3">
      <c r="A3265" s="29">
        <v>3264</v>
      </c>
      <c r="B3265" s="15" t="s">
        <v>139</v>
      </c>
      <c r="C3265" s="15" t="s">
        <v>147</v>
      </c>
      <c r="D3265" s="69">
        <v>249</v>
      </c>
      <c r="E3265" s="68" t="s">
        <v>922</v>
      </c>
      <c r="F3265" s="24" t="s">
        <v>1106</v>
      </c>
      <c r="G3265" s="15" t="s">
        <v>154</v>
      </c>
      <c r="H3265" s="15" t="s">
        <v>3009</v>
      </c>
      <c r="I3265" s="13">
        <v>266</v>
      </c>
      <c r="J3265" s="15" t="s">
        <v>2672</v>
      </c>
      <c r="K3265" s="15" t="s">
        <v>903</v>
      </c>
      <c r="L3265" s="15" t="s">
        <v>2673</v>
      </c>
      <c r="M3265" s="15" t="s">
        <v>2672</v>
      </c>
      <c r="N3265" s="15" t="s">
        <v>2673</v>
      </c>
      <c r="O3265" s="15"/>
    </row>
    <row r="3266" spans="1:15" ht="18" customHeight="1" x14ac:dyDescent="0.3">
      <c r="A3266" s="29">
        <v>3265</v>
      </c>
      <c r="B3266" s="15" t="s">
        <v>139</v>
      </c>
      <c r="C3266" s="15" t="s">
        <v>147</v>
      </c>
      <c r="D3266" s="69">
        <v>249</v>
      </c>
      <c r="E3266" s="68" t="s">
        <v>922</v>
      </c>
      <c r="F3266" s="24" t="s">
        <v>1106</v>
      </c>
      <c r="G3266" s="15" t="s">
        <v>154</v>
      </c>
      <c r="H3266" s="15" t="s">
        <v>3010</v>
      </c>
      <c r="I3266" s="13">
        <v>169</v>
      </c>
      <c r="J3266" s="15" t="s">
        <v>2672</v>
      </c>
      <c r="K3266" s="15" t="s">
        <v>903</v>
      </c>
      <c r="L3266" s="15" t="s">
        <v>2673</v>
      </c>
      <c r="M3266" s="15" t="s">
        <v>2672</v>
      </c>
      <c r="N3266" s="15" t="s">
        <v>2673</v>
      </c>
      <c r="O3266" s="15"/>
    </row>
    <row r="3267" spans="1:15" ht="18" customHeight="1" x14ac:dyDescent="0.3">
      <c r="A3267" s="29">
        <v>3266</v>
      </c>
      <c r="B3267" s="15" t="s">
        <v>139</v>
      </c>
      <c r="C3267" s="15" t="s">
        <v>147</v>
      </c>
      <c r="D3267" s="69">
        <v>249</v>
      </c>
      <c r="E3267" s="68" t="s">
        <v>922</v>
      </c>
      <c r="F3267" s="24" t="s">
        <v>1106</v>
      </c>
      <c r="G3267" s="15" t="s">
        <v>154</v>
      </c>
      <c r="H3267" s="15" t="s">
        <v>3188</v>
      </c>
      <c r="I3267" s="13">
        <v>24</v>
      </c>
      <c r="J3267" s="15" t="s">
        <v>2672</v>
      </c>
      <c r="K3267" s="15" t="s">
        <v>2674</v>
      </c>
      <c r="L3267" s="15" t="s">
        <v>1703</v>
      </c>
      <c r="M3267" s="15" t="s">
        <v>2672</v>
      </c>
      <c r="N3267" s="15" t="s">
        <v>2673</v>
      </c>
      <c r="O3267" s="15"/>
    </row>
    <row r="3268" spans="1:15" ht="18" customHeight="1" x14ac:dyDescent="0.3">
      <c r="A3268" s="29">
        <v>3267</v>
      </c>
      <c r="B3268" s="15" t="s">
        <v>139</v>
      </c>
      <c r="C3268" s="15" t="s">
        <v>147</v>
      </c>
      <c r="D3268" s="69">
        <v>249</v>
      </c>
      <c r="E3268" s="68" t="s">
        <v>922</v>
      </c>
      <c r="F3268" s="24" t="s">
        <v>2623</v>
      </c>
      <c r="G3268" s="15" t="s">
        <v>154</v>
      </c>
      <c r="H3268" s="15" t="s">
        <v>3189</v>
      </c>
      <c r="I3268" s="13">
        <v>77</v>
      </c>
      <c r="J3268" s="15" t="s">
        <v>2672</v>
      </c>
      <c r="K3268" s="15" t="s">
        <v>2674</v>
      </c>
      <c r="L3268" s="15" t="s">
        <v>1703</v>
      </c>
      <c r="M3268" s="15" t="s">
        <v>2672</v>
      </c>
      <c r="N3268" s="15" t="s">
        <v>2673</v>
      </c>
      <c r="O3268" s="15"/>
    </row>
    <row r="3269" spans="1:15" ht="18" customHeight="1" x14ac:dyDescent="0.3">
      <c r="A3269" s="29">
        <v>3268</v>
      </c>
      <c r="B3269" s="15" t="s">
        <v>139</v>
      </c>
      <c r="C3269" s="15" t="s">
        <v>147</v>
      </c>
      <c r="D3269" s="69">
        <v>249</v>
      </c>
      <c r="E3269" s="68" t="s">
        <v>922</v>
      </c>
      <c r="F3269" s="24" t="s">
        <v>2623</v>
      </c>
      <c r="G3269" s="15" t="s">
        <v>154</v>
      </c>
      <c r="H3269" s="15" t="s">
        <v>3190</v>
      </c>
      <c r="I3269" s="13">
        <v>65</v>
      </c>
      <c r="J3269" s="15" t="s">
        <v>2672</v>
      </c>
      <c r="K3269" s="15" t="s">
        <v>2674</v>
      </c>
      <c r="L3269" s="15" t="s">
        <v>1703</v>
      </c>
      <c r="M3269" s="15" t="s">
        <v>2672</v>
      </c>
      <c r="N3269" s="15" t="s">
        <v>2673</v>
      </c>
      <c r="O3269" s="15"/>
    </row>
    <row r="3270" spans="1:15" ht="18" customHeight="1" x14ac:dyDescent="0.3">
      <c r="A3270" s="29">
        <v>3269</v>
      </c>
      <c r="B3270" s="62" t="s">
        <v>139</v>
      </c>
      <c r="C3270" s="62" t="s">
        <v>147</v>
      </c>
      <c r="D3270" s="69">
        <v>249</v>
      </c>
      <c r="E3270" s="72" t="s">
        <v>3419</v>
      </c>
      <c r="F3270" s="24" t="s">
        <v>2625</v>
      </c>
      <c r="G3270" s="62" t="s">
        <v>164</v>
      </c>
      <c r="H3270" s="62" t="s">
        <v>901</v>
      </c>
      <c r="I3270" s="90">
        <v>151</v>
      </c>
      <c r="J3270" s="15" t="s">
        <v>2672</v>
      </c>
      <c r="K3270" s="62" t="s">
        <v>2672</v>
      </c>
      <c r="L3270" s="15" t="s">
        <v>2673</v>
      </c>
      <c r="M3270" s="15" t="s">
        <v>2672</v>
      </c>
      <c r="N3270" s="15" t="s">
        <v>2673</v>
      </c>
      <c r="O3270" s="62"/>
    </row>
    <row r="3271" spans="1:15" ht="18" customHeight="1" x14ac:dyDescent="0.3">
      <c r="A3271" s="29">
        <v>3270</v>
      </c>
      <c r="B3271" s="62" t="s">
        <v>139</v>
      </c>
      <c r="C3271" s="62" t="s">
        <v>147</v>
      </c>
      <c r="D3271" s="69">
        <v>249</v>
      </c>
      <c r="E3271" s="72" t="s">
        <v>3419</v>
      </c>
      <c r="F3271" s="24" t="s">
        <v>2625</v>
      </c>
      <c r="G3271" s="62" t="s">
        <v>164</v>
      </c>
      <c r="H3271" s="62" t="s">
        <v>904</v>
      </c>
      <c r="I3271" s="90">
        <v>130</v>
      </c>
      <c r="J3271" s="15" t="s">
        <v>2672</v>
      </c>
      <c r="K3271" s="62" t="s">
        <v>2672</v>
      </c>
      <c r="L3271" s="15" t="s">
        <v>2673</v>
      </c>
      <c r="M3271" s="15" t="s">
        <v>2672</v>
      </c>
      <c r="N3271" s="15" t="s">
        <v>2673</v>
      </c>
      <c r="O3271" s="62"/>
    </row>
    <row r="3272" spans="1:15" ht="18" customHeight="1" x14ac:dyDescent="0.3">
      <c r="A3272" s="29">
        <v>3271</v>
      </c>
      <c r="B3272" s="62" t="s">
        <v>139</v>
      </c>
      <c r="C3272" s="62" t="s">
        <v>147</v>
      </c>
      <c r="D3272" s="69">
        <v>249</v>
      </c>
      <c r="E3272" s="72" t="s">
        <v>3419</v>
      </c>
      <c r="F3272" s="24" t="s">
        <v>2625</v>
      </c>
      <c r="G3272" s="62" t="s">
        <v>164</v>
      </c>
      <c r="H3272" s="62" t="s">
        <v>905</v>
      </c>
      <c r="I3272" s="90">
        <v>130</v>
      </c>
      <c r="J3272" s="15" t="s">
        <v>2672</v>
      </c>
      <c r="K3272" s="62" t="s">
        <v>903</v>
      </c>
      <c r="L3272" s="15" t="s">
        <v>2673</v>
      </c>
      <c r="M3272" s="15" t="s">
        <v>2672</v>
      </c>
      <c r="N3272" s="15" t="s">
        <v>2673</v>
      </c>
      <c r="O3272" s="62"/>
    </row>
    <row r="3273" spans="1:15" ht="18" customHeight="1" x14ac:dyDescent="0.3">
      <c r="A3273" s="29">
        <v>3272</v>
      </c>
      <c r="B3273" s="15" t="s">
        <v>2588</v>
      </c>
      <c r="C3273" s="15" t="s">
        <v>3042</v>
      </c>
      <c r="D3273" s="69">
        <v>251</v>
      </c>
      <c r="E3273" s="63" t="s">
        <v>2627</v>
      </c>
      <c r="F3273" s="21" t="s">
        <v>2628</v>
      </c>
      <c r="G3273" s="15" t="s">
        <v>2673</v>
      </c>
      <c r="H3273" s="15" t="s">
        <v>2685</v>
      </c>
      <c r="I3273" s="69">
        <v>59</v>
      </c>
      <c r="J3273" s="15" t="s">
        <v>2674</v>
      </c>
      <c r="K3273" s="15" t="s">
        <v>903</v>
      </c>
      <c r="L3273" s="15" t="s">
        <v>2673</v>
      </c>
      <c r="M3273" s="15" t="s">
        <v>2672</v>
      </c>
      <c r="N3273" s="15" t="s">
        <v>2673</v>
      </c>
      <c r="O3273" s="15"/>
    </row>
    <row r="3274" spans="1:15" ht="18" customHeight="1" x14ac:dyDescent="0.3">
      <c r="A3274" s="29">
        <v>3273</v>
      </c>
      <c r="B3274" s="15" t="s">
        <v>2588</v>
      </c>
      <c r="C3274" s="15" t="s">
        <v>3042</v>
      </c>
      <c r="D3274" s="69">
        <v>251</v>
      </c>
      <c r="E3274" s="63" t="s">
        <v>2627</v>
      </c>
      <c r="F3274" s="21" t="s">
        <v>2628</v>
      </c>
      <c r="G3274" s="15" t="s">
        <v>2673</v>
      </c>
      <c r="H3274" s="15" t="s">
        <v>2678</v>
      </c>
      <c r="I3274" s="69">
        <v>39</v>
      </c>
      <c r="J3274" s="15" t="s">
        <v>2672</v>
      </c>
      <c r="K3274" s="15" t="s">
        <v>903</v>
      </c>
      <c r="L3274" s="15" t="s">
        <v>2673</v>
      </c>
      <c r="M3274" s="15" t="s">
        <v>2672</v>
      </c>
      <c r="N3274" s="15" t="s">
        <v>2673</v>
      </c>
      <c r="O3274" s="15"/>
    </row>
    <row r="3275" spans="1:15" ht="18" customHeight="1" x14ac:dyDescent="0.3">
      <c r="A3275" s="29">
        <v>3274</v>
      </c>
      <c r="B3275" s="15" t="s">
        <v>2588</v>
      </c>
      <c r="C3275" s="15" t="s">
        <v>2204</v>
      </c>
      <c r="D3275" s="69">
        <v>253</v>
      </c>
      <c r="E3275" s="68" t="s">
        <v>3420</v>
      </c>
      <c r="F3275" s="16" t="s">
        <v>2632</v>
      </c>
      <c r="G3275" s="15" t="s">
        <v>1553</v>
      </c>
      <c r="H3275" s="15" t="s">
        <v>2685</v>
      </c>
      <c r="I3275" s="69">
        <v>68</v>
      </c>
      <c r="J3275" s="15" t="s">
        <v>2674</v>
      </c>
      <c r="K3275" s="15" t="s">
        <v>2672</v>
      </c>
      <c r="L3275" s="15" t="s">
        <v>2673</v>
      </c>
      <c r="M3275" s="15" t="s">
        <v>2672</v>
      </c>
      <c r="N3275" s="15" t="s">
        <v>2673</v>
      </c>
      <c r="O3275" s="15"/>
    </row>
    <row r="3276" spans="1:15" ht="18" customHeight="1" x14ac:dyDescent="0.3">
      <c r="A3276" s="29">
        <v>3275</v>
      </c>
      <c r="B3276" s="15" t="s">
        <v>2588</v>
      </c>
      <c r="C3276" s="15" t="s">
        <v>2204</v>
      </c>
      <c r="D3276" s="69">
        <v>253</v>
      </c>
      <c r="E3276" s="68" t="s">
        <v>3420</v>
      </c>
      <c r="F3276" s="16" t="s">
        <v>2632</v>
      </c>
      <c r="G3276" s="15" t="s">
        <v>1553</v>
      </c>
      <c r="H3276" s="15" t="s">
        <v>2678</v>
      </c>
      <c r="I3276" s="69">
        <v>48</v>
      </c>
      <c r="J3276" s="15" t="s">
        <v>2672</v>
      </c>
      <c r="K3276" s="15" t="s">
        <v>2672</v>
      </c>
      <c r="L3276" s="15" t="s">
        <v>2673</v>
      </c>
      <c r="M3276" s="15" t="s">
        <v>2672</v>
      </c>
      <c r="N3276" s="15" t="s">
        <v>2673</v>
      </c>
      <c r="O3276" s="15"/>
    </row>
    <row r="3277" spans="1:15" ht="18" customHeight="1" x14ac:dyDescent="0.3">
      <c r="A3277" s="29">
        <v>3276</v>
      </c>
      <c r="B3277" s="15" t="s">
        <v>139</v>
      </c>
      <c r="C3277" s="15" t="s">
        <v>148</v>
      </c>
      <c r="D3277" s="69">
        <v>254</v>
      </c>
      <c r="E3277" s="68" t="s">
        <v>1009</v>
      </c>
      <c r="F3277" s="21" t="s">
        <v>2637</v>
      </c>
      <c r="G3277" s="15" t="s">
        <v>2673</v>
      </c>
      <c r="H3277" s="15" t="s">
        <v>901</v>
      </c>
      <c r="I3277" s="69">
        <v>212</v>
      </c>
      <c r="J3277" s="15" t="s">
        <v>2674</v>
      </c>
      <c r="K3277" s="15" t="s">
        <v>903</v>
      </c>
      <c r="L3277" s="15" t="s">
        <v>2673</v>
      </c>
      <c r="M3277" s="15" t="s">
        <v>2672</v>
      </c>
      <c r="N3277" s="15" t="s">
        <v>2673</v>
      </c>
      <c r="O3277" s="15"/>
    </row>
    <row r="3278" spans="1:15" ht="18" customHeight="1" x14ac:dyDescent="0.3">
      <c r="A3278" s="29">
        <v>3277</v>
      </c>
      <c r="B3278" s="15" t="s">
        <v>2588</v>
      </c>
      <c r="C3278" s="15" t="s">
        <v>2640</v>
      </c>
      <c r="D3278" s="69">
        <v>255</v>
      </c>
      <c r="E3278" s="51" t="s">
        <v>2641</v>
      </c>
      <c r="F3278" s="51" t="s">
        <v>2642</v>
      </c>
      <c r="G3278" s="29" t="s">
        <v>1538</v>
      </c>
      <c r="H3278" s="15" t="s">
        <v>2685</v>
      </c>
      <c r="I3278" s="69">
        <v>152</v>
      </c>
      <c r="J3278" s="15" t="s">
        <v>2674</v>
      </c>
      <c r="K3278" s="15" t="s">
        <v>2672</v>
      </c>
      <c r="L3278" s="15" t="s">
        <v>2673</v>
      </c>
      <c r="M3278" s="15" t="s">
        <v>2672</v>
      </c>
      <c r="N3278" s="15" t="s">
        <v>2673</v>
      </c>
      <c r="O3278" s="15"/>
    </row>
    <row r="3279" spans="1:15" ht="18" customHeight="1" x14ac:dyDescent="0.3">
      <c r="A3279" s="29">
        <v>3278</v>
      </c>
      <c r="B3279" s="15" t="s">
        <v>2588</v>
      </c>
      <c r="C3279" s="15" t="s">
        <v>2644</v>
      </c>
      <c r="D3279" s="69">
        <v>256</v>
      </c>
      <c r="E3279" s="68" t="s">
        <v>2645</v>
      </c>
      <c r="F3279" s="21" t="s">
        <v>2646</v>
      </c>
      <c r="G3279" s="15" t="s">
        <v>2673</v>
      </c>
      <c r="H3279" s="15" t="s">
        <v>2685</v>
      </c>
      <c r="I3279" s="69">
        <v>59</v>
      </c>
      <c r="J3279" s="15" t="s">
        <v>2674</v>
      </c>
      <c r="K3279" s="15" t="s">
        <v>903</v>
      </c>
      <c r="L3279" s="15" t="s">
        <v>2673</v>
      </c>
      <c r="M3279" s="15" t="s">
        <v>2672</v>
      </c>
      <c r="N3279" s="15" t="s">
        <v>2673</v>
      </c>
      <c r="O3279" s="15"/>
    </row>
    <row r="3280" spans="1:15" ht="18" customHeight="1" x14ac:dyDescent="0.3">
      <c r="A3280" s="29">
        <v>3279</v>
      </c>
      <c r="B3280" s="15" t="s">
        <v>2588</v>
      </c>
      <c r="C3280" s="15" t="s">
        <v>2644</v>
      </c>
      <c r="D3280" s="69">
        <v>256</v>
      </c>
      <c r="E3280" s="68" t="s">
        <v>2645</v>
      </c>
      <c r="F3280" s="21" t="s">
        <v>2646</v>
      </c>
      <c r="G3280" s="15" t="s">
        <v>2673</v>
      </c>
      <c r="H3280" s="15" t="s">
        <v>2678</v>
      </c>
      <c r="I3280" s="69">
        <v>39</v>
      </c>
      <c r="J3280" s="15" t="s">
        <v>2672</v>
      </c>
      <c r="K3280" s="15" t="s">
        <v>903</v>
      </c>
      <c r="L3280" s="15" t="s">
        <v>2673</v>
      </c>
      <c r="M3280" s="15" t="s">
        <v>2672</v>
      </c>
      <c r="N3280" s="15" t="s">
        <v>2673</v>
      </c>
      <c r="O3280" s="15"/>
    </row>
    <row r="3281" spans="1:15" ht="18" customHeight="1" x14ac:dyDescent="0.3">
      <c r="A3281" s="29">
        <v>3280</v>
      </c>
      <c r="B3281" s="15" t="s">
        <v>139</v>
      </c>
      <c r="C3281" s="15" t="s">
        <v>149</v>
      </c>
      <c r="D3281" s="69">
        <v>258</v>
      </c>
      <c r="E3281" s="68" t="s">
        <v>3043</v>
      </c>
      <c r="F3281" s="21" t="s">
        <v>826</v>
      </c>
      <c r="G3281" s="15" t="s">
        <v>164</v>
      </c>
      <c r="H3281" s="15" t="s">
        <v>901</v>
      </c>
      <c r="I3281" s="69">
        <v>165</v>
      </c>
      <c r="J3281" s="13" t="s">
        <v>2672</v>
      </c>
      <c r="K3281" s="15" t="s">
        <v>903</v>
      </c>
      <c r="L3281" s="15" t="s">
        <v>2673</v>
      </c>
      <c r="M3281" s="15" t="s">
        <v>2672</v>
      </c>
      <c r="N3281" s="15" t="s">
        <v>2673</v>
      </c>
      <c r="O3281" s="15"/>
    </row>
    <row r="3282" spans="1:15" ht="18" customHeight="1" x14ac:dyDescent="0.3">
      <c r="A3282" s="29">
        <v>3281</v>
      </c>
      <c r="B3282" s="15" t="s">
        <v>139</v>
      </c>
      <c r="C3282" s="15" t="s">
        <v>149</v>
      </c>
      <c r="D3282" s="69">
        <v>258</v>
      </c>
      <c r="E3282" s="68" t="s">
        <v>3043</v>
      </c>
      <c r="F3282" s="21" t="s">
        <v>826</v>
      </c>
      <c r="G3282" s="15" t="s">
        <v>164</v>
      </c>
      <c r="H3282" s="15" t="s">
        <v>904</v>
      </c>
      <c r="I3282" s="69">
        <v>245</v>
      </c>
      <c r="J3282" s="13" t="s">
        <v>2672</v>
      </c>
      <c r="K3282" s="15" t="s">
        <v>903</v>
      </c>
      <c r="L3282" s="15" t="s">
        <v>2673</v>
      </c>
      <c r="M3282" s="15" t="s">
        <v>2672</v>
      </c>
      <c r="N3282" s="15" t="s">
        <v>2673</v>
      </c>
      <c r="O3282" s="15"/>
    </row>
    <row r="3283" spans="1:15" ht="18" customHeight="1" x14ac:dyDescent="0.3">
      <c r="A3283" s="29">
        <v>3282</v>
      </c>
      <c r="B3283" s="15" t="s">
        <v>139</v>
      </c>
      <c r="C3283" s="15" t="s">
        <v>150</v>
      </c>
      <c r="D3283" s="69">
        <v>259</v>
      </c>
      <c r="E3283" s="68" t="s">
        <v>1011</v>
      </c>
      <c r="F3283" s="21" t="s">
        <v>2652</v>
      </c>
      <c r="G3283" s="15" t="s">
        <v>2673</v>
      </c>
      <c r="H3283" s="15" t="s">
        <v>901</v>
      </c>
      <c r="I3283" s="69">
        <v>57</v>
      </c>
      <c r="J3283" s="15" t="s">
        <v>2674</v>
      </c>
      <c r="K3283" s="15" t="s">
        <v>903</v>
      </c>
      <c r="L3283" s="15" t="s">
        <v>2673</v>
      </c>
      <c r="M3283" s="15" t="s">
        <v>2672</v>
      </c>
      <c r="N3283" s="15" t="s">
        <v>2673</v>
      </c>
      <c r="O3283" s="15"/>
    </row>
    <row r="3284" spans="1:15" ht="18" customHeight="1" x14ac:dyDescent="0.3">
      <c r="A3284" s="29">
        <v>3283</v>
      </c>
      <c r="B3284" s="15" t="s">
        <v>139</v>
      </c>
      <c r="C3284" s="15" t="s">
        <v>150</v>
      </c>
      <c r="D3284" s="69">
        <v>259</v>
      </c>
      <c r="E3284" s="68" t="s">
        <v>1011</v>
      </c>
      <c r="F3284" s="21" t="s">
        <v>2652</v>
      </c>
      <c r="G3284" s="15" t="s">
        <v>2673</v>
      </c>
      <c r="H3284" s="15" t="s">
        <v>904</v>
      </c>
      <c r="I3284" s="69">
        <v>42</v>
      </c>
      <c r="J3284" s="15" t="s">
        <v>2672</v>
      </c>
      <c r="K3284" s="15" t="s">
        <v>903</v>
      </c>
      <c r="L3284" s="15" t="s">
        <v>2673</v>
      </c>
      <c r="M3284" s="15" t="s">
        <v>2672</v>
      </c>
      <c r="N3284" s="15" t="s">
        <v>2673</v>
      </c>
      <c r="O3284" s="15"/>
    </row>
    <row r="3285" spans="1:15" ht="18" customHeight="1" x14ac:dyDescent="0.3">
      <c r="A3285" s="29">
        <v>3284</v>
      </c>
      <c r="B3285" s="13" t="s">
        <v>221</v>
      </c>
      <c r="C3285" s="13" t="s">
        <v>2654</v>
      </c>
      <c r="D3285" s="13">
        <v>260</v>
      </c>
      <c r="E3285" s="21" t="s">
        <v>2655</v>
      </c>
      <c r="F3285" s="21" t="s">
        <v>2656</v>
      </c>
      <c r="G3285" s="13" t="s">
        <v>1538</v>
      </c>
      <c r="H3285" s="15" t="s">
        <v>2685</v>
      </c>
      <c r="I3285" s="69">
        <v>93</v>
      </c>
      <c r="J3285" s="13" t="s">
        <v>2672</v>
      </c>
      <c r="K3285" s="15" t="s">
        <v>903</v>
      </c>
      <c r="L3285" s="15" t="s">
        <v>2673</v>
      </c>
      <c r="M3285" s="15" t="s">
        <v>2672</v>
      </c>
      <c r="N3285" s="15" t="s">
        <v>2673</v>
      </c>
      <c r="O3285" s="15"/>
    </row>
    <row r="3286" spans="1:15" ht="18" customHeight="1" x14ac:dyDescent="0.3">
      <c r="A3286" s="29">
        <v>3285</v>
      </c>
      <c r="B3286" s="13" t="s">
        <v>221</v>
      </c>
      <c r="C3286" s="13" t="s">
        <v>2654</v>
      </c>
      <c r="D3286" s="13">
        <v>260</v>
      </c>
      <c r="E3286" s="21" t="s">
        <v>2655</v>
      </c>
      <c r="F3286" s="21" t="s">
        <v>2656</v>
      </c>
      <c r="G3286" s="13" t="s">
        <v>1538</v>
      </c>
      <c r="H3286" s="15" t="s">
        <v>2678</v>
      </c>
      <c r="I3286" s="69">
        <v>55</v>
      </c>
      <c r="J3286" s="13" t="s">
        <v>2672</v>
      </c>
      <c r="K3286" s="15" t="s">
        <v>2674</v>
      </c>
      <c r="L3286" s="15" t="s">
        <v>2525</v>
      </c>
      <c r="M3286" s="15" t="s">
        <v>2672</v>
      </c>
      <c r="N3286" s="15" t="s">
        <v>2673</v>
      </c>
      <c r="O3286" s="15"/>
    </row>
    <row r="3287" spans="1:15" ht="18" customHeight="1" x14ac:dyDescent="0.3">
      <c r="A3287" s="29">
        <v>3286</v>
      </c>
      <c r="B3287" s="13" t="s">
        <v>221</v>
      </c>
      <c r="C3287" s="13" t="s">
        <v>2654</v>
      </c>
      <c r="D3287" s="13">
        <v>260</v>
      </c>
      <c r="E3287" s="21" t="s">
        <v>2655</v>
      </c>
      <c r="F3287" s="21" t="s">
        <v>2656</v>
      </c>
      <c r="G3287" s="13" t="s">
        <v>1538</v>
      </c>
      <c r="H3287" s="15" t="s">
        <v>2679</v>
      </c>
      <c r="I3287" s="69">
        <v>157</v>
      </c>
      <c r="J3287" s="13" t="s">
        <v>2672</v>
      </c>
      <c r="K3287" s="15" t="s">
        <v>903</v>
      </c>
      <c r="L3287" s="15" t="s">
        <v>2673</v>
      </c>
      <c r="M3287" s="15" t="s">
        <v>2672</v>
      </c>
      <c r="N3287" s="15" t="s">
        <v>2673</v>
      </c>
      <c r="O3287" s="15"/>
    </row>
    <row r="3288" spans="1:15" ht="18" customHeight="1" x14ac:dyDescent="0.3">
      <c r="A3288" s="29">
        <v>3287</v>
      </c>
      <c r="B3288" s="13" t="s">
        <v>221</v>
      </c>
      <c r="C3288" s="13" t="s">
        <v>2654</v>
      </c>
      <c r="D3288" s="13">
        <v>260</v>
      </c>
      <c r="E3288" s="21" t="s">
        <v>2655</v>
      </c>
      <c r="F3288" s="21" t="s">
        <v>2656</v>
      </c>
      <c r="G3288" s="13" t="s">
        <v>1538</v>
      </c>
      <c r="H3288" s="15" t="s">
        <v>2680</v>
      </c>
      <c r="I3288" s="69">
        <v>75</v>
      </c>
      <c r="J3288" s="13" t="s">
        <v>2672</v>
      </c>
      <c r="K3288" s="15" t="s">
        <v>2674</v>
      </c>
      <c r="L3288" s="15" t="s">
        <v>2525</v>
      </c>
      <c r="M3288" s="15" t="s">
        <v>2672</v>
      </c>
      <c r="N3288" s="15" t="s">
        <v>2673</v>
      </c>
      <c r="O3288" s="15"/>
    </row>
    <row r="3289" spans="1:15" ht="18" customHeight="1" x14ac:dyDescent="0.3">
      <c r="A3289" s="29">
        <v>3288</v>
      </c>
      <c r="B3289" s="13" t="s">
        <v>221</v>
      </c>
      <c r="C3289" s="13" t="s">
        <v>2654</v>
      </c>
      <c r="D3289" s="13">
        <v>260</v>
      </c>
      <c r="E3289" s="21" t="s">
        <v>2655</v>
      </c>
      <c r="F3289" s="21" t="s">
        <v>2656</v>
      </c>
      <c r="G3289" s="13" t="s">
        <v>1538</v>
      </c>
      <c r="H3289" s="15" t="s">
        <v>2690</v>
      </c>
      <c r="I3289" s="69">
        <v>215</v>
      </c>
      <c r="J3289" s="13" t="s">
        <v>902</v>
      </c>
      <c r="K3289" s="15" t="s">
        <v>903</v>
      </c>
      <c r="L3289" s="15" t="s">
        <v>2673</v>
      </c>
      <c r="M3289" s="15" t="s">
        <v>2672</v>
      </c>
      <c r="N3289" s="15" t="s">
        <v>2673</v>
      </c>
      <c r="O3289" s="15"/>
    </row>
    <row r="3290" spans="1:15" ht="18" customHeight="1" x14ac:dyDescent="0.3">
      <c r="A3290" s="29">
        <v>3289</v>
      </c>
      <c r="B3290" s="13" t="s">
        <v>221</v>
      </c>
      <c r="C3290" s="13" t="s">
        <v>2654</v>
      </c>
      <c r="D3290" s="13">
        <v>260</v>
      </c>
      <c r="E3290" s="21" t="s">
        <v>2655</v>
      </c>
      <c r="F3290" s="21" t="s">
        <v>2656</v>
      </c>
      <c r="G3290" s="13" t="s">
        <v>1538</v>
      </c>
      <c r="H3290" s="15" t="s">
        <v>2682</v>
      </c>
      <c r="I3290" s="69">
        <v>160</v>
      </c>
      <c r="J3290" s="13" t="s">
        <v>902</v>
      </c>
      <c r="K3290" s="15" t="s">
        <v>903</v>
      </c>
      <c r="L3290" s="15" t="s">
        <v>2673</v>
      </c>
      <c r="M3290" s="15" t="s">
        <v>2672</v>
      </c>
      <c r="N3290" s="15" t="s">
        <v>2673</v>
      </c>
      <c r="O3290" s="15"/>
    </row>
    <row r="3291" spans="1:15" ht="18" customHeight="1" x14ac:dyDescent="0.3">
      <c r="A3291" s="29">
        <v>3290</v>
      </c>
      <c r="B3291" s="15" t="s">
        <v>221</v>
      </c>
      <c r="C3291" s="15" t="s">
        <v>151</v>
      </c>
      <c r="D3291" s="69">
        <v>260</v>
      </c>
      <c r="E3291" s="68" t="s">
        <v>976</v>
      </c>
      <c r="F3291" s="21" t="s">
        <v>864</v>
      </c>
      <c r="G3291" s="15" t="s">
        <v>164</v>
      </c>
      <c r="H3291" s="15" t="s">
        <v>901</v>
      </c>
      <c r="I3291" s="69">
        <v>56</v>
      </c>
      <c r="J3291" s="13" t="s">
        <v>2672</v>
      </c>
      <c r="K3291" s="15" t="s">
        <v>2674</v>
      </c>
      <c r="L3291" s="15" t="s">
        <v>2525</v>
      </c>
      <c r="M3291" s="15" t="s">
        <v>2672</v>
      </c>
      <c r="N3291" s="15" t="s">
        <v>2673</v>
      </c>
      <c r="O3291" s="15"/>
    </row>
    <row r="3292" spans="1:15" ht="18" customHeight="1" x14ac:dyDescent="0.3">
      <c r="A3292" s="29">
        <v>3291</v>
      </c>
      <c r="B3292" s="15" t="s">
        <v>221</v>
      </c>
      <c r="C3292" s="15" t="s">
        <v>151</v>
      </c>
      <c r="D3292" s="69">
        <v>260</v>
      </c>
      <c r="E3292" s="68" t="s">
        <v>976</v>
      </c>
      <c r="F3292" s="21" t="s">
        <v>864</v>
      </c>
      <c r="G3292" s="15" t="s">
        <v>164</v>
      </c>
      <c r="H3292" s="15" t="s">
        <v>904</v>
      </c>
      <c r="I3292" s="69">
        <v>130</v>
      </c>
      <c r="J3292" s="13" t="s">
        <v>2672</v>
      </c>
      <c r="K3292" s="15" t="s">
        <v>903</v>
      </c>
      <c r="L3292" s="15" t="s">
        <v>2673</v>
      </c>
      <c r="M3292" s="15" t="s">
        <v>2672</v>
      </c>
      <c r="N3292" s="15" t="s">
        <v>2673</v>
      </c>
      <c r="O3292" s="15"/>
    </row>
    <row r="3293" spans="1:15" ht="18" customHeight="1" x14ac:dyDescent="0.3">
      <c r="A3293" s="29">
        <v>3292</v>
      </c>
      <c r="B3293" s="15" t="s">
        <v>221</v>
      </c>
      <c r="C3293" s="15" t="s">
        <v>151</v>
      </c>
      <c r="D3293" s="69">
        <v>260</v>
      </c>
      <c r="E3293" s="68" t="s">
        <v>976</v>
      </c>
      <c r="F3293" s="21" t="s">
        <v>864</v>
      </c>
      <c r="G3293" s="15" t="s">
        <v>164</v>
      </c>
      <c r="H3293" s="15" t="s">
        <v>905</v>
      </c>
      <c r="I3293" s="69">
        <v>72</v>
      </c>
      <c r="J3293" s="13" t="s">
        <v>2674</v>
      </c>
      <c r="K3293" s="15" t="s">
        <v>2674</v>
      </c>
      <c r="L3293" s="15" t="s">
        <v>2525</v>
      </c>
      <c r="M3293" s="15" t="s">
        <v>2672</v>
      </c>
      <c r="N3293" s="15" t="s">
        <v>2673</v>
      </c>
      <c r="O3293" s="15"/>
    </row>
    <row r="3294" spans="1:15" ht="18" customHeight="1" x14ac:dyDescent="0.3">
      <c r="A3294" s="29">
        <v>3293</v>
      </c>
      <c r="B3294" s="15" t="s">
        <v>221</v>
      </c>
      <c r="C3294" s="15" t="s">
        <v>151</v>
      </c>
      <c r="D3294" s="69">
        <v>260</v>
      </c>
      <c r="E3294" s="68" t="s">
        <v>976</v>
      </c>
      <c r="F3294" s="21" t="s">
        <v>864</v>
      </c>
      <c r="G3294" s="15" t="s">
        <v>164</v>
      </c>
      <c r="H3294" s="15" t="s">
        <v>906</v>
      </c>
      <c r="I3294" s="69">
        <v>202</v>
      </c>
      <c r="J3294" s="13" t="s">
        <v>2672</v>
      </c>
      <c r="K3294" s="15" t="s">
        <v>903</v>
      </c>
      <c r="L3294" s="15" t="s">
        <v>2673</v>
      </c>
      <c r="M3294" s="15" t="s">
        <v>2672</v>
      </c>
      <c r="N3294" s="15" t="s">
        <v>2673</v>
      </c>
      <c r="O3294" s="15"/>
    </row>
    <row r="3295" spans="1:15" ht="18" customHeight="1" x14ac:dyDescent="0.3">
      <c r="A3295" s="29">
        <v>3294</v>
      </c>
      <c r="B3295" s="15" t="s">
        <v>221</v>
      </c>
      <c r="C3295" s="15" t="s">
        <v>151</v>
      </c>
      <c r="D3295" s="69">
        <v>260</v>
      </c>
      <c r="E3295" s="68" t="s">
        <v>976</v>
      </c>
      <c r="F3295" s="21" t="s">
        <v>864</v>
      </c>
      <c r="G3295" s="15" t="s">
        <v>164</v>
      </c>
      <c r="H3295" s="15" t="s">
        <v>907</v>
      </c>
      <c r="I3295" s="69">
        <v>40</v>
      </c>
      <c r="J3295" s="13" t="s">
        <v>2674</v>
      </c>
      <c r="K3295" s="15" t="s">
        <v>2674</v>
      </c>
      <c r="L3295" s="15" t="s">
        <v>2525</v>
      </c>
      <c r="M3295" s="15" t="s">
        <v>2672</v>
      </c>
      <c r="N3295" s="15" t="s">
        <v>2673</v>
      </c>
      <c r="O3295" s="15"/>
    </row>
    <row r="3296" spans="1:15" ht="18" customHeight="1" x14ac:dyDescent="0.3">
      <c r="A3296" s="29">
        <v>3295</v>
      </c>
      <c r="B3296" s="15" t="s">
        <v>221</v>
      </c>
      <c r="C3296" s="15" t="s">
        <v>151</v>
      </c>
      <c r="D3296" s="69">
        <v>260</v>
      </c>
      <c r="E3296" s="68" t="s">
        <v>976</v>
      </c>
      <c r="F3296" s="21" t="s">
        <v>864</v>
      </c>
      <c r="G3296" s="15" t="s">
        <v>164</v>
      </c>
      <c r="H3296" s="15" t="s">
        <v>908</v>
      </c>
      <c r="I3296" s="69">
        <v>92</v>
      </c>
      <c r="J3296" s="13" t="s">
        <v>2672</v>
      </c>
      <c r="K3296" s="15" t="s">
        <v>2674</v>
      </c>
      <c r="L3296" s="15" t="s">
        <v>2525</v>
      </c>
      <c r="M3296" s="15" t="s">
        <v>2672</v>
      </c>
      <c r="N3296" s="15" t="s">
        <v>2673</v>
      </c>
      <c r="O3296" s="15"/>
    </row>
    <row r="3297" spans="1:15" ht="18" customHeight="1" x14ac:dyDescent="0.3">
      <c r="A3297" s="29">
        <v>3296</v>
      </c>
      <c r="B3297" s="15" t="s">
        <v>221</v>
      </c>
      <c r="C3297" s="15" t="s">
        <v>151</v>
      </c>
      <c r="D3297" s="69">
        <v>260</v>
      </c>
      <c r="E3297" s="68" t="s">
        <v>3421</v>
      </c>
      <c r="F3297" s="16" t="s">
        <v>859</v>
      </c>
      <c r="G3297" s="15" t="s">
        <v>154</v>
      </c>
      <c r="H3297" s="15" t="s">
        <v>901</v>
      </c>
      <c r="I3297" s="69">
        <v>178</v>
      </c>
      <c r="J3297" s="15" t="s">
        <v>2674</v>
      </c>
      <c r="K3297" s="15" t="s">
        <v>903</v>
      </c>
      <c r="L3297" s="15" t="s">
        <v>2673</v>
      </c>
      <c r="M3297" s="15" t="s">
        <v>2672</v>
      </c>
      <c r="N3297" s="15" t="s">
        <v>2673</v>
      </c>
      <c r="O3297" s="15"/>
    </row>
    <row r="3298" spans="1:15" ht="18" customHeight="1" x14ac:dyDescent="0.3">
      <c r="A3298" s="29">
        <v>3297</v>
      </c>
      <c r="B3298" s="15" t="s">
        <v>221</v>
      </c>
      <c r="C3298" s="15" t="s">
        <v>151</v>
      </c>
      <c r="D3298" s="69">
        <v>260</v>
      </c>
      <c r="E3298" s="68" t="s">
        <v>3421</v>
      </c>
      <c r="F3298" s="16" t="s">
        <v>859</v>
      </c>
      <c r="G3298" s="15" t="s">
        <v>154</v>
      </c>
      <c r="H3298" s="15" t="s">
        <v>904</v>
      </c>
      <c r="I3298" s="69">
        <v>125</v>
      </c>
      <c r="J3298" s="15" t="s">
        <v>2674</v>
      </c>
      <c r="K3298" s="15" t="s">
        <v>903</v>
      </c>
      <c r="L3298" s="15" t="s">
        <v>2673</v>
      </c>
      <c r="M3298" s="15" t="s">
        <v>2672</v>
      </c>
      <c r="N3298" s="15" t="s">
        <v>2673</v>
      </c>
      <c r="O3298" s="15"/>
    </row>
    <row r="3299" spans="1:15" ht="18" customHeight="1" x14ac:dyDescent="0.3">
      <c r="A3299" s="29">
        <v>3298</v>
      </c>
      <c r="B3299" s="15" t="s">
        <v>221</v>
      </c>
      <c r="C3299" s="15" t="s">
        <v>151</v>
      </c>
      <c r="D3299" s="69">
        <v>260</v>
      </c>
      <c r="E3299" s="68" t="s">
        <v>3421</v>
      </c>
      <c r="F3299" s="16" t="s">
        <v>859</v>
      </c>
      <c r="G3299" s="15" t="s">
        <v>154</v>
      </c>
      <c r="H3299" s="15" t="s">
        <v>905</v>
      </c>
      <c r="I3299" s="69">
        <v>150</v>
      </c>
      <c r="J3299" s="15" t="s">
        <v>2672</v>
      </c>
      <c r="K3299" s="15" t="s">
        <v>903</v>
      </c>
      <c r="L3299" s="15" t="s">
        <v>2673</v>
      </c>
      <c r="M3299" s="15" t="s">
        <v>2672</v>
      </c>
      <c r="N3299" s="15" t="s">
        <v>2673</v>
      </c>
      <c r="O3299" s="15"/>
    </row>
    <row r="3300" spans="1:15" ht="18" customHeight="1" x14ac:dyDescent="0.3">
      <c r="A3300" s="29">
        <v>3299</v>
      </c>
      <c r="B3300" s="15" t="s">
        <v>221</v>
      </c>
      <c r="C3300" s="15" t="s">
        <v>151</v>
      </c>
      <c r="D3300" s="69">
        <v>260</v>
      </c>
      <c r="E3300" s="68" t="s">
        <v>3421</v>
      </c>
      <c r="F3300" s="16" t="s">
        <v>859</v>
      </c>
      <c r="G3300" s="15" t="s">
        <v>154</v>
      </c>
      <c r="H3300" s="15" t="s">
        <v>906</v>
      </c>
      <c r="I3300" s="69">
        <v>146</v>
      </c>
      <c r="J3300" s="15" t="s">
        <v>2672</v>
      </c>
      <c r="K3300" s="15" t="s">
        <v>903</v>
      </c>
      <c r="L3300" s="15" t="s">
        <v>2673</v>
      </c>
      <c r="M3300" s="15" t="s">
        <v>2672</v>
      </c>
      <c r="N3300" s="15" t="s">
        <v>2673</v>
      </c>
      <c r="O3300" s="15"/>
    </row>
    <row r="3301" spans="1:15" ht="18" customHeight="1" x14ac:dyDescent="0.3">
      <c r="A3301" s="29">
        <v>3300</v>
      </c>
      <c r="B3301" s="15" t="s">
        <v>221</v>
      </c>
      <c r="C3301" s="15" t="s">
        <v>151</v>
      </c>
      <c r="D3301" s="69">
        <v>260</v>
      </c>
      <c r="E3301" s="68" t="s">
        <v>3421</v>
      </c>
      <c r="F3301" s="16" t="s">
        <v>859</v>
      </c>
      <c r="G3301" s="15" t="s">
        <v>154</v>
      </c>
      <c r="H3301" s="15" t="s">
        <v>907</v>
      </c>
      <c r="I3301" s="69">
        <v>152</v>
      </c>
      <c r="J3301" s="15" t="s">
        <v>2672</v>
      </c>
      <c r="K3301" s="15" t="s">
        <v>903</v>
      </c>
      <c r="L3301" s="15" t="s">
        <v>2673</v>
      </c>
      <c r="M3301" s="15" t="s">
        <v>2672</v>
      </c>
      <c r="N3301" s="15" t="s">
        <v>2673</v>
      </c>
      <c r="O3301" s="15"/>
    </row>
    <row r="3302" spans="1:15" ht="18" customHeight="1" x14ac:dyDescent="0.3">
      <c r="A3302" s="29">
        <v>3301</v>
      </c>
      <c r="B3302" s="15" t="s">
        <v>221</v>
      </c>
      <c r="C3302" s="15" t="s">
        <v>151</v>
      </c>
      <c r="D3302" s="69">
        <v>260</v>
      </c>
      <c r="E3302" s="68" t="s">
        <v>3421</v>
      </c>
      <c r="F3302" s="16" t="s">
        <v>859</v>
      </c>
      <c r="G3302" s="15" t="s">
        <v>154</v>
      </c>
      <c r="H3302" s="15" t="s">
        <v>908</v>
      </c>
      <c r="I3302" s="69">
        <v>106</v>
      </c>
      <c r="J3302" s="15" t="s">
        <v>2672</v>
      </c>
      <c r="K3302" s="15" t="s">
        <v>903</v>
      </c>
      <c r="L3302" s="15" t="s">
        <v>2673</v>
      </c>
      <c r="M3302" s="15" t="s">
        <v>2672</v>
      </c>
      <c r="N3302" s="15" t="s">
        <v>2673</v>
      </c>
      <c r="O3302" s="15"/>
    </row>
    <row r="3303" spans="1:15" ht="18" customHeight="1" x14ac:dyDescent="0.3">
      <c r="A3303" s="29">
        <v>3302</v>
      </c>
      <c r="B3303" s="15" t="s">
        <v>221</v>
      </c>
      <c r="C3303" s="15" t="s">
        <v>151</v>
      </c>
      <c r="D3303" s="69">
        <v>260</v>
      </c>
      <c r="E3303" s="68" t="s">
        <v>3044</v>
      </c>
      <c r="F3303" s="21" t="s">
        <v>862</v>
      </c>
      <c r="G3303" s="15" t="s">
        <v>164</v>
      </c>
      <c r="H3303" s="15" t="s">
        <v>901</v>
      </c>
      <c r="I3303" s="69">
        <v>114</v>
      </c>
      <c r="J3303" s="13" t="s">
        <v>2674</v>
      </c>
      <c r="K3303" s="15" t="s">
        <v>903</v>
      </c>
      <c r="L3303" s="15" t="s">
        <v>2673</v>
      </c>
      <c r="M3303" s="15" t="s">
        <v>2672</v>
      </c>
      <c r="N3303" s="15" t="s">
        <v>2673</v>
      </c>
      <c r="O3303" s="15"/>
    </row>
    <row r="3304" spans="1:15" ht="18" customHeight="1" x14ac:dyDescent="0.3">
      <c r="A3304" s="29">
        <v>3303</v>
      </c>
      <c r="B3304" s="15" t="s">
        <v>221</v>
      </c>
      <c r="C3304" s="15" t="s">
        <v>151</v>
      </c>
      <c r="D3304" s="69">
        <v>260</v>
      </c>
      <c r="E3304" s="68" t="s">
        <v>3044</v>
      </c>
      <c r="F3304" s="21" t="s">
        <v>862</v>
      </c>
      <c r="G3304" s="15" t="s">
        <v>164</v>
      </c>
      <c r="H3304" s="15" t="s">
        <v>904</v>
      </c>
      <c r="I3304" s="69">
        <v>116</v>
      </c>
      <c r="J3304" s="13" t="s">
        <v>2672</v>
      </c>
      <c r="K3304" s="15" t="s">
        <v>903</v>
      </c>
      <c r="L3304" s="15" t="s">
        <v>2673</v>
      </c>
      <c r="M3304" s="15" t="s">
        <v>2672</v>
      </c>
      <c r="N3304" s="15" t="s">
        <v>2673</v>
      </c>
      <c r="O3304" s="15"/>
    </row>
    <row r="3305" spans="1:15" ht="18" customHeight="1" x14ac:dyDescent="0.3">
      <c r="A3305" s="29">
        <v>3304</v>
      </c>
      <c r="B3305" s="15" t="s">
        <v>221</v>
      </c>
      <c r="C3305" s="15" t="s">
        <v>151</v>
      </c>
      <c r="D3305" s="69">
        <v>260</v>
      </c>
      <c r="E3305" s="68" t="s">
        <v>3044</v>
      </c>
      <c r="F3305" s="21" t="s">
        <v>862</v>
      </c>
      <c r="G3305" s="15" t="s">
        <v>164</v>
      </c>
      <c r="H3305" s="15" t="s">
        <v>905</v>
      </c>
      <c r="I3305" s="69">
        <v>56</v>
      </c>
      <c r="J3305" s="13" t="s">
        <v>2672</v>
      </c>
      <c r="K3305" s="15" t="s">
        <v>2674</v>
      </c>
      <c r="L3305" s="15" t="s">
        <v>2525</v>
      </c>
      <c r="M3305" s="15" t="s">
        <v>2672</v>
      </c>
      <c r="N3305" s="15" t="s">
        <v>2673</v>
      </c>
      <c r="O3305" s="15"/>
    </row>
    <row r="3306" spans="1:15" ht="18" customHeight="1" x14ac:dyDescent="0.3">
      <c r="A3306" s="29">
        <v>3305</v>
      </c>
      <c r="B3306" s="15" t="s">
        <v>221</v>
      </c>
      <c r="C3306" s="15" t="s">
        <v>151</v>
      </c>
      <c r="D3306" s="69">
        <v>260</v>
      </c>
      <c r="E3306" s="68" t="s">
        <v>3044</v>
      </c>
      <c r="F3306" s="21" t="s">
        <v>862</v>
      </c>
      <c r="G3306" s="15" t="s">
        <v>164</v>
      </c>
      <c r="H3306" s="15" t="s">
        <v>906</v>
      </c>
      <c r="I3306" s="69">
        <v>56</v>
      </c>
      <c r="J3306" s="13" t="s">
        <v>2672</v>
      </c>
      <c r="K3306" s="15" t="s">
        <v>2674</v>
      </c>
      <c r="L3306" s="15" t="s">
        <v>2525</v>
      </c>
      <c r="M3306" s="15" t="s">
        <v>2672</v>
      </c>
      <c r="N3306" s="15" t="s">
        <v>2673</v>
      </c>
      <c r="O3306" s="15"/>
    </row>
    <row r="3307" spans="1:15" ht="18" customHeight="1" x14ac:dyDescent="0.3">
      <c r="A3307" s="29">
        <v>3306</v>
      </c>
      <c r="B3307" s="15" t="s">
        <v>221</v>
      </c>
      <c r="C3307" s="15" t="s">
        <v>151</v>
      </c>
      <c r="D3307" s="69">
        <v>260</v>
      </c>
      <c r="E3307" s="68" t="s">
        <v>3044</v>
      </c>
      <c r="F3307" s="21" t="s">
        <v>862</v>
      </c>
      <c r="G3307" s="15" t="s">
        <v>164</v>
      </c>
      <c r="H3307" s="15" t="s">
        <v>907</v>
      </c>
      <c r="I3307" s="69">
        <v>30</v>
      </c>
      <c r="J3307" s="13" t="s">
        <v>2672</v>
      </c>
      <c r="K3307" s="15" t="s">
        <v>2674</v>
      </c>
      <c r="L3307" s="15" t="s">
        <v>2525</v>
      </c>
      <c r="M3307" s="15" t="s">
        <v>2672</v>
      </c>
      <c r="N3307" s="15" t="s">
        <v>2673</v>
      </c>
      <c r="O3307" s="15"/>
    </row>
    <row r="3308" spans="1:15" ht="18" customHeight="1" x14ac:dyDescent="0.3">
      <c r="A3308" s="29">
        <v>3307</v>
      </c>
      <c r="B3308" s="15" t="s">
        <v>221</v>
      </c>
      <c r="C3308" s="15" t="s">
        <v>151</v>
      </c>
      <c r="D3308" s="69">
        <v>260</v>
      </c>
      <c r="E3308" s="68" t="s">
        <v>3422</v>
      </c>
      <c r="F3308" s="16" t="s">
        <v>858</v>
      </c>
      <c r="G3308" s="15" t="s">
        <v>1538</v>
      </c>
      <c r="H3308" s="15" t="s">
        <v>901</v>
      </c>
      <c r="I3308" s="69">
        <v>92</v>
      </c>
      <c r="J3308" s="15" t="s">
        <v>2672</v>
      </c>
      <c r="K3308" s="15" t="s">
        <v>903</v>
      </c>
      <c r="L3308" s="15" t="s">
        <v>2673</v>
      </c>
      <c r="M3308" s="15" t="s">
        <v>2672</v>
      </c>
      <c r="N3308" s="15" t="s">
        <v>2673</v>
      </c>
      <c r="O3308" s="15"/>
    </row>
    <row r="3309" spans="1:15" ht="18" customHeight="1" x14ac:dyDescent="0.3">
      <c r="A3309" s="29">
        <v>3308</v>
      </c>
      <c r="B3309" s="15" t="s">
        <v>221</v>
      </c>
      <c r="C3309" s="15" t="s">
        <v>151</v>
      </c>
      <c r="D3309" s="69">
        <v>260</v>
      </c>
      <c r="E3309" s="68" t="s">
        <v>3422</v>
      </c>
      <c r="F3309" s="16" t="s">
        <v>858</v>
      </c>
      <c r="G3309" s="15" t="s">
        <v>154</v>
      </c>
      <c r="H3309" s="15" t="s">
        <v>904</v>
      </c>
      <c r="I3309" s="69">
        <v>114</v>
      </c>
      <c r="J3309" s="15" t="s">
        <v>2672</v>
      </c>
      <c r="K3309" s="15" t="s">
        <v>903</v>
      </c>
      <c r="L3309" s="15" t="s">
        <v>2673</v>
      </c>
      <c r="M3309" s="15" t="s">
        <v>2672</v>
      </c>
      <c r="N3309" s="15" t="s">
        <v>2673</v>
      </c>
      <c r="O3309" s="15"/>
    </row>
    <row r="3310" spans="1:15" ht="18" customHeight="1" x14ac:dyDescent="0.3">
      <c r="A3310" s="29">
        <v>3309</v>
      </c>
      <c r="B3310" s="15" t="s">
        <v>221</v>
      </c>
      <c r="C3310" s="15" t="s">
        <v>151</v>
      </c>
      <c r="D3310" s="69">
        <v>260</v>
      </c>
      <c r="E3310" s="68" t="s">
        <v>3422</v>
      </c>
      <c r="F3310" s="16" t="s">
        <v>858</v>
      </c>
      <c r="G3310" s="15" t="s">
        <v>154</v>
      </c>
      <c r="H3310" s="15" t="s">
        <v>2711</v>
      </c>
      <c r="I3310" s="69">
        <v>96</v>
      </c>
      <c r="J3310" s="15" t="s">
        <v>2674</v>
      </c>
      <c r="K3310" s="15" t="s">
        <v>2674</v>
      </c>
      <c r="L3310" s="15" t="s">
        <v>1797</v>
      </c>
      <c r="M3310" s="15" t="s">
        <v>2672</v>
      </c>
      <c r="N3310" s="15" t="s">
        <v>2673</v>
      </c>
      <c r="O3310" s="15"/>
    </row>
    <row r="3311" spans="1:15" ht="18" customHeight="1" x14ac:dyDescent="0.3">
      <c r="A3311" s="29">
        <v>3310</v>
      </c>
      <c r="B3311" s="15" t="s">
        <v>221</v>
      </c>
      <c r="C3311" s="15" t="s">
        <v>151</v>
      </c>
      <c r="D3311" s="69">
        <v>260</v>
      </c>
      <c r="E3311" s="68" t="s">
        <v>3422</v>
      </c>
      <c r="F3311" s="16" t="s">
        <v>858</v>
      </c>
      <c r="G3311" s="15" t="s">
        <v>154</v>
      </c>
      <c r="H3311" s="15" t="s">
        <v>906</v>
      </c>
      <c r="I3311" s="69">
        <v>76</v>
      </c>
      <c r="J3311" s="15" t="s">
        <v>2672</v>
      </c>
      <c r="K3311" s="15" t="s">
        <v>903</v>
      </c>
      <c r="L3311" s="15" t="s">
        <v>2673</v>
      </c>
      <c r="M3311" s="15" t="s">
        <v>2672</v>
      </c>
      <c r="N3311" s="15" t="s">
        <v>2673</v>
      </c>
      <c r="O3311" s="15"/>
    </row>
    <row r="3312" spans="1:15" ht="18" customHeight="1" x14ac:dyDescent="0.3">
      <c r="A3312" s="29">
        <v>3311</v>
      </c>
      <c r="B3312" s="15" t="s">
        <v>221</v>
      </c>
      <c r="C3312" s="15" t="s">
        <v>151</v>
      </c>
      <c r="D3312" s="69">
        <v>260</v>
      </c>
      <c r="E3312" s="68" t="s">
        <v>3422</v>
      </c>
      <c r="F3312" s="16" t="s">
        <v>858</v>
      </c>
      <c r="G3312" s="15" t="s">
        <v>154</v>
      </c>
      <c r="H3312" s="15" t="s">
        <v>907</v>
      </c>
      <c r="I3312" s="69">
        <v>261</v>
      </c>
      <c r="J3312" s="15" t="s">
        <v>2674</v>
      </c>
      <c r="K3312" s="15" t="s">
        <v>903</v>
      </c>
      <c r="L3312" s="15" t="s">
        <v>2673</v>
      </c>
      <c r="M3312" s="15" t="s">
        <v>2672</v>
      </c>
      <c r="N3312" s="15" t="s">
        <v>2673</v>
      </c>
      <c r="O3312" s="15"/>
    </row>
    <row r="3313" spans="1:15" ht="18" customHeight="1" x14ac:dyDescent="0.3">
      <c r="A3313" s="29">
        <v>3312</v>
      </c>
      <c r="B3313" s="15" t="s">
        <v>221</v>
      </c>
      <c r="C3313" s="15" t="s">
        <v>151</v>
      </c>
      <c r="D3313" s="69">
        <v>260</v>
      </c>
      <c r="E3313" s="68" t="s">
        <v>3422</v>
      </c>
      <c r="F3313" s="16" t="s">
        <v>858</v>
      </c>
      <c r="G3313" s="15" t="s">
        <v>154</v>
      </c>
      <c r="H3313" s="15" t="s">
        <v>908</v>
      </c>
      <c r="I3313" s="69">
        <v>92</v>
      </c>
      <c r="J3313" s="15" t="s">
        <v>2674</v>
      </c>
      <c r="K3313" s="15" t="s">
        <v>903</v>
      </c>
      <c r="L3313" s="15" t="s">
        <v>2673</v>
      </c>
      <c r="M3313" s="15" t="s">
        <v>2672</v>
      </c>
      <c r="N3313" s="15" t="s">
        <v>2673</v>
      </c>
      <c r="O3313" s="15"/>
    </row>
    <row r="3314" spans="1:15" ht="18" customHeight="1" x14ac:dyDescent="0.3">
      <c r="A3314" s="29">
        <v>3313</v>
      </c>
      <c r="B3314" s="15" t="s">
        <v>221</v>
      </c>
      <c r="C3314" s="15" t="s">
        <v>151</v>
      </c>
      <c r="D3314" s="69">
        <v>260</v>
      </c>
      <c r="E3314" s="68" t="s">
        <v>3422</v>
      </c>
      <c r="F3314" s="16" t="s">
        <v>858</v>
      </c>
      <c r="G3314" s="15" t="s">
        <v>154</v>
      </c>
      <c r="H3314" s="15" t="s">
        <v>909</v>
      </c>
      <c r="I3314" s="69">
        <v>76</v>
      </c>
      <c r="J3314" s="15" t="s">
        <v>2672</v>
      </c>
      <c r="K3314" s="15" t="s">
        <v>903</v>
      </c>
      <c r="L3314" s="15" t="s">
        <v>2673</v>
      </c>
      <c r="M3314" s="15" t="s">
        <v>2672</v>
      </c>
      <c r="N3314" s="15" t="s">
        <v>2673</v>
      </c>
      <c r="O3314" s="15"/>
    </row>
    <row r="3315" spans="1:15" ht="18" customHeight="1" x14ac:dyDescent="0.3">
      <c r="A3315" s="29">
        <v>3314</v>
      </c>
      <c r="B3315" s="15" t="s">
        <v>221</v>
      </c>
      <c r="C3315" s="15" t="s">
        <v>151</v>
      </c>
      <c r="D3315" s="69">
        <v>260</v>
      </c>
      <c r="E3315" s="68" t="s">
        <v>3422</v>
      </c>
      <c r="F3315" s="16" t="s">
        <v>858</v>
      </c>
      <c r="G3315" s="15" t="s">
        <v>1538</v>
      </c>
      <c r="H3315" s="15" t="s">
        <v>2683</v>
      </c>
      <c r="I3315" s="69">
        <v>35</v>
      </c>
      <c r="J3315" s="15" t="s">
        <v>2672</v>
      </c>
      <c r="K3315" s="15" t="s">
        <v>903</v>
      </c>
      <c r="L3315" s="15" t="s">
        <v>2673</v>
      </c>
      <c r="M3315" s="15" t="s">
        <v>2672</v>
      </c>
      <c r="N3315" s="15" t="s">
        <v>2673</v>
      </c>
      <c r="O3315" s="15"/>
    </row>
    <row r="3316" spans="1:15" ht="18.600000000000001" customHeight="1" x14ac:dyDescent="0.3">
      <c r="A3316" s="29">
        <v>3315</v>
      </c>
      <c r="B3316" s="13" t="s">
        <v>2662</v>
      </c>
      <c r="C3316" s="13" t="s">
        <v>2654</v>
      </c>
      <c r="D3316" s="13">
        <v>260</v>
      </c>
      <c r="E3316" s="36" t="s">
        <v>2663</v>
      </c>
      <c r="F3316" s="24" t="s">
        <v>2664</v>
      </c>
      <c r="G3316" s="13" t="s">
        <v>2867</v>
      </c>
      <c r="H3316" s="15" t="s">
        <v>2685</v>
      </c>
      <c r="I3316" s="69">
        <v>59</v>
      </c>
      <c r="J3316" s="15" t="s">
        <v>2672</v>
      </c>
      <c r="K3316" s="15" t="s">
        <v>903</v>
      </c>
      <c r="L3316" s="15" t="s">
        <v>2673</v>
      </c>
      <c r="M3316" s="15" t="s">
        <v>2672</v>
      </c>
      <c r="N3316" s="15" t="s">
        <v>2673</v>
      </c>
      <c r="O3316" s="15"/>
    </row>
    <row r="3317" spans="1:15" ht="18" customHeight="1" x14ac:dyDescent="0.3">
      <c r="A3317" s="29">
        <v>3316</v>
      </c>
      <c r="B3317" s="13" t="s">
        <v>2662</v>
      </c>
      <c r="C3317" s="13" t="s">
        <v>2654</v>
      </c>
      <c r="D3317" s="13">
        <v>260</v>
      </c>
      <c r="E3317" s="36" t="s">
        <v>2663</v>
      </c>
      <c r="F3317" s="24" t="s">
        <v>2664</v>
      </c>
      <c r="G3317" s="13" t="s">
        <v>2867</v>
      </c>
      <c r="H3317" s="15" t="s">
        <v>2678</v>
      </c>
      <c r="I3317" s="69">
        <v>39</v>
      </c>
      <c r="J3317" s="15" t="s">
        <v>2672</v>
      </c>
      <c r="K3317" s="15" t="s">
        <v>903</v>
      </c>
      <c r="L3317" s="15" t="s">
        <v>2673</v>
      </c>
      <c r="M3317" s="15" t="s">
        <v>2672</v>
      </c>
      <c r="N3317" s="15" t="s">
        <v>2673</v>
      </c>
      <c r="O3317" s="15"/>
    </row>
    <row r="3318" spans="1:15" ht="18" customHeight="1" x14ac:dyDescent="0.3">
      <c r="A3318" s="29">
        <v>3317</v>
      </c>
      <c r="B3318" s="15" t="s">
        <v>221</v>
      </c>
      <c r="C3318" s="15" t="s">
        <v>152</v>
      </c>
      <c r="D3318" s="69">
        <v>261</v>
      </c>
      <c r="E3318" s="68" t="s">
        <v>249</v>
      </c>
      <c r="F3318" s="21" t="s">
        <v>857</v>
      </c>
      <c r="G3318" s="15" t="s">
        <v>164</v>
      </c>
      <c r="H3318" s="15" t="s">
        <v>901</v>
      </c>
      <c r="I3318" s="69">
        <v>168</v>
      </c>
      <c r="J3318" s="13" t="s">
        <v>2674</v>
      </c>
      <c r="K3318" s="15" t="s">
        <v>903</v>
      </c>
      <c r="L3318" s="15" t="s">
        <v>2673</v>
      </c>
      <c r="M3318" s="15" t="s">
        <v>2672</v>
      </c>
      <c r="N3318" s="15" t="s">
        <v>2673</v>
      </c>
      <c r="O3318" s="15"/>
    </row>
    <row r="3319" spans="1:15" ht="18" customHeight="1" x14ac:dyDescent="0.3">
      <c r="A3319" s="29">
        <v>3318</v>
      </c>
      <c r="B3319" s="15" t="s">
        <v>221</v>
      </c>
      <c r="C3319" s="15" t="s">
        <v>152</v>
      </c>
      <c r="D3319" s="69">
        <v>261</v>
      </c>
      <c r="E3319" s="68" t="s">
        <v>249</v>
      </c>
      <c r="F3319" s="21" t="s">
        <v>857</v>
      </c>
      <c r="G3319" s="15" t="s">
        <v>164</v>
      </c>
      <c r="H3319" s="15" t="s">
        <v>904</v>
      </c>
      <c r="I3319" s="69">
        <v>99</v>
      </c>
      <c r="J3319" s="13" t="s">
        <v>2674</v>
      </c>
      <c r="K3319" s="15" t="s">
        <v>903</v>
      </c>
      <c r="L3319" s="15" t="s">
        <v>2673</v>
      </c>
      <c r="M3319" s="15" t="s">
        <v>2672</v>
      </c>
      <c r="N3319" s="15" t="s">
        <v>2673</v>
      </c>
      <c r="O3319" s="15"/>
    </row>
    <row r="3320" spans="1:15" ht="18" customHeight="1" x14ac:dyDescent="0.3">
      <c r="A3320" s="29">
        <v>3319</v>
      </c>
      <c r="B3320" s="15" t="s">
        <v>221</v>
      </c>
      <c r="C3320" s="15" t="s">
        <v>152</v>
      </c>
      <c r="D3320" s="69">
        <v>261</v>
      </c>
      <c r="E3320" s="68" t="s">
        <v>249</v>
      </c>
      <c r="F3320" s="21" t="s">
        <v>857</v>
      </c>
      <c r="G3320" s="15" t="s">
        <v>164</v>
      </c>
      <c r="H3320" s="15" t="s">
        <v>905</v>
      </c>
      <c r="I3320" s="69">
        <v>149</v>
      </c>
      <c r="J3320" s="13" t="s">
        <v>2672</v>
      </c>
      <c r="K3320" s="15" t="s">
        <v>903</v>
      </c>
      <c r="L3320" s="15" t="s">
        <v>2673</v>
      </c>
      <c r="M3320" s="15" t="s">
        <v>2672</v>
      </c>
      <c r="N3320" s="15" t="s">
        <v>2673</v>
      </c>
      <c r="O3320" s="15"/>
    </row>
    <row r="3321" spans="1:15" ht="18" customHeight="1" x14ac:dyDescent="0.3">
      <c r="A3321" s="29">
        <v>3320</v>
      </c>
      <c r="B3321" s="15" t="s">
        <v>221</v>
      </c>
      <c r="C3321" s="15" t="s">
        <v>152</v>
      </c>
      <c r="D3321" s="69">
        <v>261</v>
      </c>
      <c r="E3321" s="68" t="s">
        <v>249</v>
      </c>
      <c r="F3321" s="21" t="s">
        <v>857</v>
      </c>
      <c r="G3321" s="15" t="s">
        <v>164</v>
      </c>
      <c r="H3321" s="15" t="s">
        <v>907</v>
      </c>
      <c r="I3321" s="69">
        <v>92</v>
      </c>
      <c r="J3321" s="13" t="s">
        <v>2672</v>
      </c>
      <c r="K3321" s="15" t="s">
        <v>903</v>
      </c>
      <c r="L3321" s="15" t="s">
        <v>2673</v>
      </c>
      <c r="M3321" s="15" t="s">
        <v>2672</v>
      </c>
      <c r="N3321" s="15" t="s">
        <v>2673</v>
      </c>
      <c r="O3321" s="15"/>
    </row>
    <row r="3322" spans="1:15" ht="18" customHeight="1" x14ac:dyDescent="0.3">
      <c r="A3322" s="29">
        <v>3321</v>
      </c>
      <c r="B3322" s="15" t="s">
        <v>221</v>
      </c>
      <c r="C3322" s="15" t="s">
        <v>152</v>
      </c>
      <c r="D3322" s="69">
        <v>261</v>
      </c>
      <c r="E3322" s="68" t="s">
        <v>249</v>
      </c>
      <c r="F3322" s="21" t="s">
        <v>857</v>
      </c>
      <c r="G3322" s="15" t="s">
        <v>164</v>
      </c>
      <c r="H3322" s="15" t="s">
        <v>908</v>
      </c>
      <c r="I3322" s="69">
        <v>62</v>
      </c>
      <c r="J3322" s="13" t="s">
        <v>2672</v>
      </c>
      <c r="K3322" s="15" t="s">
        <v>903</v>
      </c>
      <c r="L3322" s="15" t="s">
        <v>2673</v>
      </c>
      <c r="M3322" s="15" t="s">
        <v>2672</v>
      </c>
      <c r="N3322" s="15" t="s">
        <v>2673</v>
      </c>
      <c r="O3322" s="15"/>
    </row>
    <row r="3323" spans="1:15" ht="18" customHeight="1" x14ac:dyDescent="0.3">
      <c r="A3323" s="335">
        <v>3322</v>
      </c>
      <c r="B3323" s="15" t="s">
        <v>221</v>
      </c>
      <c r="C3323" s="15" t="s">
        <v>152</v>
      </c>
      <c r="D3323" s="69">
        <v>261</v>
      </c>
      <c r="E3323" s="68" t="s">
        <v>249</v>
      </c>
      <c r="F3323" s="21" t="s">
        <v>857</v>
      </c>
      <c r="G3323" s="15" t="s">
        <v>164</v>
      </c>
      <c r="H3323" s="15" t="s">
        <v>909</v>
      </c>
      <c r="I3323" s="69">
        <v>79</v>
      </c>
      <c r="J3323" s="13" t="s">
        <v>2672</v>
      </c>
      <c r="K3323" s="15" t="s">
        <v>903</v>
      </c>
      <c r="L3323" s="15" t="s">
        <v>2673</v>
      </c>
      <c r="M3323" s="15" t="s">
        <v>2672</v>
      </c>
      <c r="N3323" s="15" t="s">
        <v>2673</v>
      </c>
      <c r="O3323" s="15"/>
    </row>
    <row r="3324" spans="1:15" ht="18" customHeight="1" x14ac:dyDescent="0.3">
      <c r="A3324" s="29"/>
      <c r="B3324" s="3"/>
      <c r="C3324" s="3"/>
      <c r="D3324" s="88"/>
      <c r="E3324" s="55" t="s">
        <v>3045</v>
      </c>
      <c r="F3324" s="55"/>
      <c r="G3324" s="87"/>
      <c r="H3324" s="142"/>
      <c r="I3324" s="330">
        <f>SUM(I2:I3323)</f>
        <v>466680</v>
      </c>
      <c r="J3324" s="334">
        <f>+COUNTIF(J2:J3323,"Y")</f>
        <v>976</v>
      </c>
      <c r="K3324" s="334">
        <f>+COUNTIF(K2:K3323,"Y")</f>
        <v>547</v>
      </c>
      <c r="L3324" s="331"/>
      <c r="M3324" s="334">
        <f>+COUNTIF(M2:M3323,"Y")</f>
        <v>68</v>
      </c>
      <c r="N3324" s="3"/>
      <c r="O3324" s="87"/>
    </row>
    <row r="5162" spans="6:6" ht="18" customHeight="1" x14ac:dyDescent="0.3">
      <c r="F5162" s="129" t="s">
        <v>3046</v>
      </c>
    </row>
  </sheetData>
  <autoFilter ref="A1:O3324">
    <sortState ref="A2:O3324">
      <sortCondition ref="D2:D3324"/>
      <sortCondition ref="F2:F3324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</sheetPr>
  <dimension ref="A1:XFC33"/>
  <sheetViews>
    <sheetView zoomScale="85" zoomScaleNormal="85" workbookViewId="0">
      <pane xSplit="5" ySplit="1" topLeftCell="F5" activePane="bottomRight" state="frozen"/>
      <selection pane="topRight" activeCell="F1" sqref="F1"/>
      <selection pane="bottomLeft" activeCell="A2" sqref="A2"/>
      <selection pane="bottomRight" activeCell="J34" sqref="J34"/>
    </sheetView>
  </sheetViews>
  <sheetFormatPr defaultColWidth="8.75" defaultRowHeight="20.45" customHeight="1" x14ac:dyDescent="0.3"/>
  <cols>
    <col min="1" max="1" width="6.25" style="529" customWidth="1"/>
    <col min="2" max="2" width="8.75" style="529"/>
    <col min="3" max="3" width="8.25" style="529" bestFit="1" customWidth="1"/>
    <col min="4" max="4" width="9.125" style="529" hidden="1" customWidth="1"/>
    <col min="5" max="5" width="24" style="173" bestFit="1" customWidth="1"/>
    <col min="6" max="6" width="35.875" style="173" bestFit="1" customWidth="1"/>
    <col min="7" max="7" width="8.75" style="529"/>
    <col min="8" max="9" width="8.75" style="582"/>
    <col min="10" max="10" width="11.25" style="529" customWidth="1"/>
    <col min="11" max="11" width="22.75" style="529" customWidth="1"/>
    <col min="12" max="12" width="15.25" style="529" customWidth="1"/>
    <col min="13" max="13" width="19.625" style="529" customWidth="1"/>
    <col min="14" max="14" width="9.5" style="529" customWidth="1"/>
    <col min="15" max="15" width="14.5" style="529" customWidth="1"/>
    <col min="16" max="16" width="19.25" style="529" customWidth="1"/>
    <col min="17" max="17" width="13.875" style="583" customWidth="1"/>
    <col min="18" max="18" width="24.625" style="529" customWidth="1"/>
    <col min="19" max="16384" width="8.75" style="529"/>
  </cols>
  <sheetData>
    <row r="1" spans="1:16383" ht="30" customHeight="1" thickBot="1" x14ac:dyDescent="0.35">
      <c r="A1" s="561" t="s">
        <v>327</v>
      </c>
      <c r="B1" s="561" t="s">
        <v>210</v>
      </c>
      <c r="C1" s="561" t="s">
        <v>211</v>
      </c>
      <c r="D1" s="561" t="s">
        <v>3047</v>
      </c>
      <c r="E1" s="561" t="s">
        <v>1</v>
      </c>
      <c r="F1" s="561" t="s">
        <v>0</v>
      </c>
      <c r="G1" s="498" t="s">
        <v>3048</v>
      </c>
      <c r="H1" s="499" t="s">
        <v>3445</v>
      </c>
      <c r="I1" s="562" t="s">
        <v>328</v>
      </c>
      <c r="J1" s="497" t="s">
        <v>3464</v>
      </c>
      <c r="K1" s="563" t="s">
        <v>3074</v>
      </c>
      <c r="L1" s="499" t="s">
        <v>3049</v>
      </c>
      <c r="M1" s="499" t="s">
        <v>3050</v>
      </c>
      <c r="N1" s="499" t="s">
        <v>1044</v>
      </c>
      <c r="O1" s="561" t="s">
        <v>3051</v>
      </c>
      <c r="P1" s="561" t="s">
        <v>2</v>
      </c>
      <c r="Q1" s="564" t="s">
        <v>212</v>
      </c>
      <c r="R1" s="561" t="s">
        <v>213</v>
      </c>
      <c r="S1" s="520"/>
      <c r="T1" s="520"/>
      <c r="U1" s="520"/>
      <c r="V1" s="520"/>
      <c r="W1" s="520"/>
      <c r="X1" s="520"/>
      <c r="Y1" s="520"/>
      <c r="Z1" s="520"/>
      <c r="AA1" s="520"/>
      <c r="AB1" s="520"/>
      <c r="AC1" s="520"/>
      <c r="AD1" s="520"/>
      <c r="AE1" s="520"/>
      <c r="AF1" s="520"/>
      <c r="AG1" s="520"/>
      <c r="AH1" s="520"/>
      <c r="AI1" s="520"/>
      <c r="AJ1" s="520"/>
      <c r="AK1" s="520"/>
      <c r="AL1" s="520"/>
      <c r="AM1" s="520"/>
      <c r="AN1" s="520"/>
      <c r="AO1" s="520"/>
      <c r="AP1" s="520"/>
      <c r="AQ1" s="520"/>
      <c r="AR1" s="520"/>
      <c r="AS1" s="520"/>
      <c r="AT1" s="520"/>
      <c r="AU1" s="520"/>
      <c r="AV1" s="520"/>
      <c r="AW1" s="520"/>
      <c r="AX1" s="520"/>
      <c r="AY1" s="520"/>
      <c r="AZ1" s="520"/>
      <c r="BA1" s="520"/>
      <c r="BB1" s="520"/>
      <c r="BC1" s="520"/>
      <c r="BD1" s="520"/>
      <c r="BE1" s="520"/>
      <c r="BF1" s="520"/>
      <c r="BG1" s="520"/>
      <c r="BH1" s="520"/>
      <c r="BI1" s="520"/>
      <c r="BJ1" s="520"/>
      <c r="BK1" s="520"/>
      <c r="BL1" s="520"/>
      <c r="BM1" s="520"/>
      <c r="BN1" s="520"/>
      <c r="BO1" s="520"/>
      <c r="BP1" s="520"/>
      <c r="BQ1" s="520"/>
      <c r="BR1" s="520"/>
      <c r="BS1" s="520"/>
      <c r="BT1" s="520"/>
      <c r="BU1" s="520"/>
      <c r="BV1" s="520"/>
      <c r="BW1" s="520"/>
      <c r="BX1" s="520"/>
      <c r="BY1" s="520"/>
      <c r="BZ1" s="520"/>
      <c r="CA1" s="520"/>
      <c r="CB1" s="520"/>
      <c r="CC1" s="520"/>
      <c r="CD1" s="520"/>
      <c r="CE1" s="520"/>
      <c r="CF1" s="520"/>
      <c r="CG1" s="520"/>
      <c r="CH1" s="520"/>
      <c r="CI1" s="520"/>
      <c r="CJ1" s="520"/>
      <c r="CK1" s="520"/>
      <c r="CL1" s="520"/>
      <c r="CM1" s="520"/>
      <c r="CN1" s="520"/>
      <c r="CO1" s="520"/>
      <c r="CP1" s="520"/>
      <c r="CQ1" s="520"/>
      <c r="CR1" s="520"/>
      <c r="CS1" s="520"/>
      <c r="CT1" s="520"/>
      <c r="CU1" s="520"/>
      <c r="CV1" s="520"/>
      <c r="CW1" s="520"/>
      <c r="CX1" s="520"/>
      <c r="CY1" s="520"/>
      <c r="CZ1" s="520"/>
      <c r="DA1" s="520"/>
      <c r="DB1" s="520"/>
      <c r="DC1" s="520"/>
      <c r="DD1" s="520"/>
      <c r="DE1" s="520"/>
      <c r="DF1" s="520"/>
      <c r="DG1" s="520"/>
      <c r="DH1" s="520"/>
      <c r="DI1" s="520"/>
      <c r="DJ1" s="520"/>
      <c r="DK1" s="520"/>
      <c r="DL1" s="520"/>
      <c r="DM1" s="520"/>
      <c r="DN1" s="520"/>
      <c r="DO1" s="520"/>
      <c r="DP1" s="520"/>
      <c r="DQ1" s="520"/>
      <c r="DR1" s="520"/>
      <c r="DS1" s="520"/>
      <c r="DT1" s="520"/>
      <c r="DU1" s="520"/>
      <c r="DV1" s="520"/>
      <c r="DW1" s="520"/>
      <c r="DX1" s="520"/>
      <c r="DY1" s="520"/>
      <c r="DZ1" s="520"/>
      <c r="EA1" s="520"/>
      <c r="EB1" s="520"/>
      <c r="EC1" s="520"/>
      <c r="ED1" s="520"/>
      <c r="EE1" s="520"/>
      <c r="EF1" s="520"/>
      <c r="EG1" s="520"/>
      <c r="EH1" s="520"/>
      <c r="EI1" s="520"/>
      <c r="EJ1" s="520"/>
      <c r="EK1" s="520"/>
      <c r="EL1" s="520"/>
      <c r="EM1" s="520"/>
      <c r="EN1" s="520"/>
      <c r="EO1" s="520"/>
      <c r="EP1" s="520"/>
      <c r="EQ1" s="520"/>
      <c r="ER1" s="520"/>
      <c r="ES1" s="520"/>
      <c r="ET1" s="520"/>
      <c r="EU1" s="520"/>
      <c r="EV1" s="520"/>
      <c r="EW1" s="520"/>
      <c r="EX1" s="520"/>
      <c r="EY1" s="520"/>
      <c r="EZ1" s="520"/>
      <c r="FA1" s="520"/>
      <c r="FB1" s="520"/>
      <c r="FC1" s="520"/>
      <c r="FD1" s="520"/>
      <c r="FE1" s="520"/>
      <c r="FF1" s="520"/>
      <c r="FG1" s="520"/>
      <c r="FH1" s="520"/>
      <c r="FI1" s="520"/>
      <c r="FJ1" s="520"/>
      <c r="FK1" s="520"/>
      <c r="FL1" s="520"/>
      <c r="FM1" s="520"/>
      <c r="FN1" s="520"/>
      <c r="FO1" s="520"/>
      <c r="FP1" s="520"/>
      <c r="FQ1" s="520"/>
      <c r="FR1" s="520"/>
      <c r="FS1" s="520"/>
      <c r="FT1" s="520"/>
      <c r="FU1" s="520"/>
      <c r="FV1" s="520"/>
      <c r="FW1" s="520"/>
      <c r="FX1" s="520"/>
      <c r="FY1" s="520"/>
      <c r="FZ1" s="520"/>
      <c r="GA1" s="520"/>
      <c r="GB1" s="520"/>
      <c r="GC1" s="520"/>
      <c r="GD1" s="520"/>
      <c r="GE1" s="520"/>
      <c r="GF1" s="520"/>
      <c r="GG1" s="520"/>
      <c r="GH1" s="520"/>
      <c r="GI1" s="520"/>
      <c r="GJ1" s="520"/>
      <c r="GK1" s="520"/>
      <c r="GL1" s="520"/>
      <c r="GM1" s="520"/>
      <c r="GN1" s="520"/>
      <c r="GO1" s="520"/>
      <c r="GP1" s="520"/>
      <c r="GQ1" s="520"/>
      <c r="GR1" s="520"/>
      <c r="GS1" s="520"/>
      <c r="GT1" s="520"/>
      <c r="GU1" s="520"/>
      <c r="GV1" s="520"/>
      <c r="GW1" s="520"/>
      <c r="GX1" s="520"/>
      <c r="GY1" s="520"/>
      <c r="GZ1" s="520"/>
      <c r="HA1" s="520"/>
      <c r="HB1" s="520"/>
      <c r="HC1" s="520"/>
      <c r="HD1" s="520"/>
      <c r="HE1" s="520"/>
      <c r="HF1" s="520"/>
      <c r="HG1" s="520"/>
      <c r="HH1" s="520"/>
      <c r="HI1" s="520"/>
      <c r="HJ1" s="520"/>
      <c r="HK1" s="520"/>
      <c r="HL1" s="520"/>
      <c r="HM1" s="520"/>
      <c r="HN1" s="520"/>
      <c r="HO1" s="520"/>
      <c r="HP1" s="520"/>
      <c r="HQ1" s="520"/>
      <c r="HR1" s="520"/>
      <c r="HS1" s="520"/>
      <c r="HT1" s="520"/>
      <c r="HU1" s="520"/>
      <c r="HV1" s="520"/>
      <c r="HW1" s="520"/>
      <c r="HX1" s="520"/>
      <c r="HY1" s="520"/>
      <c r="HZ1" s="520"/>
      <c r="IA1" s="520"/>
      <c r="IB1" s="520"/>
      <c r="IC1" s="520"/>
      <c r="ID1" s="520"/>
      <c r="IE1" s="520"/>
      <c r="IF1" s="520"/>
      <c r="IG1" s="520"/>
      <c r="IH1" s="520"/>
      <c r="II1" s="520"/>
      <c r="IJ1" s="520"/>
      <c r="IK1" s="520"/>
      <c r="IL1" s="520"/>
      <c r="IM1" s="520"/>
      <c r="IN1" s="520"/>
      <c r="IO1" s="520"/>
      <c r="IP1" s="520"/>
      <c r="IQ1" s="520"/>
      <c r="IR1" s="520"/>
      <c r="IS1" s="520"/>
      <c r="IT1" s="520"/>
      <c r="IU1" s="520"/>
      <c r="IV1" s="520"/>
      <c r="IW1" s="520"/>
      <c r="IX1" s="520"/>
      <c r="IY1" s="520"/>
      <c r="IZ1" s="520"/>
      <c r="JA1" s="520"/>
      <c r="JB1" s="520"/>
      <c r="JC1" s="520"/>
      <c r="JD1" s="520"/>
      <c r="JE1" s="520"/>
      <c r="JF1" s="520"/>
      <c r="JG1" s="520"/>
      <c r="JH1" s="520"/>
      <c r="JI1" s="520"/>
      <c r="JJ1" s="520"/>
      <c r="JK1" s="520"/>
      <c r="JL1" s="520"/>
      <c r="JM1" s="520"/>
      <c r="JN1" s="520"/>
      <c r="JO1" s="520"/>
      <c r="JP1" s="520"/>
      <c r="JQ1" s="520"/>
      <c r="JR1" s="520"/>
      <c r="JS1" s="520"/>
      <c r="JT1" s="520"/>
      <c r="JU1" s="520"/>
      <c r="JV1" s="520"/>
      <c r="JW1" s="520"/>
      <c r="JX1" s="520"/>
      <c r="JY1" s="520"/>
      <c r="JZ1" s="520"/>
      <c r="KA1" s="520"/>
      <c r="KB1" s="520"/>
      <c r="KC1" s="520"/>
      <c r="KD1" s="520"/>
      <c r="KE1" s="520"/>
      <c r="KF1" s="520"/>
      <c r="KG1" s="520"/>
      <c r="KH1" s="520"/>
      <c r="KI1" s="520"/>
      <c r="KJ1" s="520"/>
      <c r="KK1" s="520"/>
      <c r="KL1" s="520"/>
      <c r="KM1" s="520"/>
      <c r="KN1" s="520"/>
      <c r="KO1" s="520"/>
      <c r="KP1" s="520"/>
      <c r="KQ1" s="520"/>
      <c r="KR1" s="520"/>
      <c r="KS1" s="520"/>
      <c r="KT1" s="520"/>
      <c r="KU1" s="520"/>
      <c r="KV1" s="520"/>
      <c r="KW1" s="520"/>
      <c r="KX1" s="520"/>
      <c r="KY1" s="520"/>
      <c r="KZ1" s="520"/>
      <c r="LA1" s="520"/>
      <c r="LB1" s="520"/>
      <c r="LC1" s="520"/>
      <c r="LD1" s="520"/>
      <c r="LE1" s="520"/>
      <c r="LF1" s="520"/>
      <c r="LG1" s="520"/>
      <c r="LH1" s="520"/>
      <c r="LI1" s="520"/>
      <c r="LJ1" s="520"/>
      <c r="LK1" s="520"/>
      <c r="LL1" s="520"/>
      <c r="LM1" s="520"/>
      <c r="LN1" s="520"/>
      <c r="LO1" s="520"/>
      <c r="LP1" s="520"/>
      <c r="LQ1" s="520"/>
      <c r="LR1" s="520"/>
      <c r="LS1" s="520"/>
      <c r="LT1" s="520"/>
      <c r="LU1" s="520"/>
      <c r="LV1" s="520"/>
      <c r="LW1" s="520"/>
      <c r="LX1" s="520"/>
      <c r="LY1" s="520"/>
      <c r="LZ1" s="520"/>
      <c r="MA1" s="520"/>
      <c r="MB1" s="520"/>
      <c r="MC1" s="520"/>
      <c r="MD1" s="520"/>
      <c r="ME1" s="520"/>
      <c r="MF1" s="520"/>
      <c r="MG1" s="520"/>
      <c r="MH1" s="520"/>
      <c r="MI1" s="520"/>
      <c r="MJ1" s="520"/>
      <c r="MK1" s="520"/>
      <c r="ML1" s="520"/>
      <c r="MM1" s="520"/>
      <c r="MN1" s="520"/>
      <c r="MO1" s="520"/>
      <c r="MP1" s="520"/>
      <c r="MQ1" s="520"/>
      <c r="MR1" s="520"/>
      <c r="MS1" s="520"/>
      <c r="MT1" s="520"/>
      <c r="MU1" s="520"/>
      <c r="MV1" s="520"/>
      <c r="MW1" s="520"/>
      <c r="MX1" s="520"/>
      <c r="MY1" s="520"/>
      <c r="MZ1" s="520"/>
      <c r="NA1" s="520"/>
      <c r="NB1" s="520"/>
      <c r="NC1" s="520"/>
      <c r="ND1" s="520"/>
      <c r="NE1" s="520"/>
      <c r="NF1" s="520"/>
      <c r="NG1" s="520"/>
      <c r="NH1" s="520"/>
      <c r="NI1" s="520"/>
      <c r="NJ1" s="520"/>
      <c r="NK1" s="520"/>
      <c r="NL1" s="520"/>
      <c r="NM1" s="520"/>
      <c r="NN1" s="520"/>
      <c r="NO1" s="520"/>
      <c r="NP1" s="520"/>
      <c r="NQ1" s="520"/>
      <c r="NR1" s="520"/>
      <c r="NS1" s="520"/>
      <c r="NT1" s="520"/>
      <c r="NU1" s="520"/>
      <c r="NV1" s="520"/>
      <c r="NW1" s="520"/>
      <c r="NX1" s="520"/>
      <c r="NY1" s="520"/>
      <c r="NZ1" s="520"/>
      <c r="OA1" s="520"/>
      <c r="OB1" s="520"/>
      <c r="OC1" s="520"/>
      <c r="OD1" s="520"/>
      <c r="OE1" s="520"/>
      <c r="OF1" s="520"/>
      <c r="OG1" s="520"/>
      <c r="OH1" s="520"/>
      <c r="OI1" s="520"/>
      <c r="OJ1" s="520"/>
      <c r="OK1" s="520"/>
      <c r="OL1" s="520"/>
      <c r="OM1" s="520"/>
      <c r="ON1" s="520"/>
      <c r="OO1" s="520"/>
      <c r="OP1" s="520"/>
      <c r="OQ1" s="520"/>
      <c r="OR1" s="520"/>
      <c r="OS1" s="520"/>
      <c r="OT1" s="520"/>
      <c r="OU1" s="520"/>
      <c r="OV1" s="520"/>
      <c r="OW1" s="520"/>
      <c r="OX1" s="520"/>
      <c r="OY1" s="520"/>
      <c r="OZ1" s="520"/>
      <c r="PA1" s="520"/>
      <c r="PB1" s="520"/>
      <c r="PC1" s="520"/>
      <c r="PD1" s="520"/>
      <c r="PE1" s="520"/>
      <c r="PF1" s="520"/>
      <c r="PG1" s="520"/>
      <c r="PH1" s="520"/>
      <c r="PI1" s="520"/>
      <c r="PJ1" s="520"/>
      <c r="PK1" s="520"/>
      <c r="PL1" s="520"/>
      <c r="PM1" s="520"/>
      <c r="PN1" s="520"/>
      <c r="PO1" s="520"/>
      <c r="PP1" s="520"/>
      <c r="PQ1" s="520"/>
      <c r="PR1" s="520"/>
      <c r="PS1" s="520"/>
      <c r="PT1" s="520"/>
      <c r="PU1" s="520"/>
      <c r="PV1" s="520"/>
      <c r="PW1" s="520"/>
      <c r="PX1" s="520"/>
      <c r="PY1" s="520"/>
      <c r="PZ1" s="520"/>
      <c r="QA1" s="520"/>
      <c r="QB1" s="520"/>
      <c r="QC1" s="520"/>
      <c r="QD1" s="520"/>
      <c r="QE1" s="520"/>
      <c r="QF1" s="520"/>
      <c r="QG1" s="520"/>
      <c r="QH1" s="520"/>
      <c r="QI1" s="520"/>
      <c r="QJ1" s="520"/>
      <c r="QK1" s="520"/>
      <c r="QL1" s="520"/>
      <c r="QM1" s="520"/>
      <c r="QN1" s="520"/>
      <c r="QO1" s="520"/>
      <c r="QP1" s="520"/>
      <c r="QQ1" s="520"/>
      <c r="QR1" s="520"/>
      <c r="QS1" s="520"/>
      <c r="QT1" s="520"/>
      <c r="QU1" s="520"/>
      <c r="QV1" s="520"/>
      <c r="QW1" s="520"/>
      <c r="QX1" s="520"/>
      <c r="QY1" s="520"/>
      <c r="QZ1" s="520"/>
      <c r="RA1" s="520"/>
      <c r="RB1" s="520"/>
      <c r="RC1" s="520"/>
      <c r="RD1" s="520"/>
      <c r="RE1" s="520"/>
      <c r="RF1" s="520"/>
      <c r="RG1" s="520"/>
      <c r="RH1" s="520"/>
      <c r="RI1" s="520"/>
      <c r="RJ1" s="520"/>
      <c r="RK1" s="520"/>
      <c r="RL1" s="520"/>
      <c r="RM1" s="520"/>
      <c r="RN1" s="520"/>
      <c r="RO1" s="520"/>
      <c r="RP1" s="520"/>
      <c r="RQ1" s="520"/>
      <c r="RR1" s="520"/>
      <c r="RS1" s="520"/>
      <c r="RT1" s="520"/>
      <c r="RU1" s="520"/>
      <c r="RV1" s="520"/>
      <c r="RW1" s="520"/>
      <c r="RX1" s="520"/>
      <c r="RY1" s="520"/>
      <c r="RZ1" s="520"/>
      <c r="SA1" s="520"/>
      <c r="SB1" s="520"/>
      <c r="SC1" s="520"/>
      <c r="SD1" s="520"/>
      <c r="SE1" s="520"/>
      <c r="SF1" s="520"/>
      <c r="SG1" s="520"/>
      <c r="SH1" s="520"/>
      <c r="SI1" s="520"/>
      <c r="SJ1" s="520"/>
      <c r="SK1" s="520"/>
      <c r="SL1" s="520"/>
      <c r="SM1" s="520"/>
      <c r="SN1" s="520"/>
      <c r="SO1" s="520"/>
      <c r="SP1" s="520"/>
      <c r="SQ1" s="520"/>
      <c r="SR1" s="520"/>
      <c r="SS1" s="520"/>
      <c r="ST1" s="520"/>
      <c r="SU1" s="520"/>
      <c r="SV1" s="520"/>
      <c r="SW1" s="520"/>
      <c r="SX1" s="520"/>
      <c r="SY1" s="520"/>
      <c r="SZ1" s="520"/>
      <c r="TA1" s="520"/>
      <c r="TB1" s="520"/>
      <c r="TC1" s="520"/>
      <c r="TD1" s="520"/>
      <c r="TE1" s="520"/>
      <c r="TF1" s="520"/>
      <c r="TG1" s="520"/>
      <c r="TH1" s="520"/>
      <c r="TI1" s="520"/>
      <c r="TJ1" s="520"/>
      <c r="TK1" s="520"/>
      <c r="TL1" s="520"/>
      <c r="TM1" s="520"/>
      <c r="TN1" s="520"/>
      <c r="TO1" s="520"/>
      <c r="TP1" s="520"/>
      <c r="TQ1" s="520"/>
      <c r="TR1" s="520"/>
      <c r="TS1" s="520"/>
      <c r="TT1" s="520"/>
      <c r="TU1" s="520"/>
      <c r="TV1" s="520"/>
      <c r="TW1" s="520"/>
      <c r="TX1" s="520"/>
      <c r="TY1" s="520"/>
      <c r="TZ1" s="520"/>
      <c r="UA1" s="520"/>
      <c r="UB1" s="520"/>
      <c r="UC1" s="520"/>
      <c r="UD1" s="520"/>
      <c r="UE1" s="520"/>
      <c r="UF1" s="520"/>
      <c r="UG1" s="520"/>
      <c r="UH1" s="520"/>
      <c r="UI1" s="520"/>
      <c r="UJ1" s="520"/>
      <c r="UK1" s="520"/>
      <c r="UL1" s="520"/>
      <c r="UM1" s="520"/>
      <c r="UN1" s="520"/>
      <c r="UO1" s="520"/>
      <c r="UP1" s="520"/>
      <c r="UQ1" s="520"/>
      <c r="UR1" s="520"/>
      <c r="US1" s="520"/>
      <c r="UT1" s="520"/>
      <c r="UU1" s="520"/>
      <c r="UV1" s="520"/>
      <c r="UW1" s="520"/>
      <c r="UX1" s="520"/>
      <c r="UY1" s="520"/>
      <c r="UZ1" s="520"/>
      <c r="VA1" s="520"/>
      <c r="VB1" s="520"/>
      <c r="VC1" s="520"/>
      <c r="VD1" s="520"/>
      <c r="VE1" s="520"/>
      <c r="VF1" s="520"/>
      <c r="VG1" s="520"/>
      <c r="VH1" s="520"/>
      <c r="VI1" s="520"/>
      <c r="VJ1" s="520"/>
      <c r="VK1" s="520"/>
      <c r="VL1" s="520"/>
      <c r="VM1" s="520"/>
      <c r="VN1" s="520"/>
      <c r="VO1" s="520"/>
      <c r="VP1" s="520"/>
      <c r="VQ1" s="520"/>
      <c r="VR1" s="520"/>
      <c r="VS1" s="520"/>
      <c r="VT1" s="520"/>
      <c r="VU1" s="520"/>
      <c r="VV1" s="520"/>
      <c r="VW1" s="520"/>
      <c r="VX1" s="520"/>
      <c r="VY1" s="520"/>
      <c r="VZ1" s="520"/>
      <c r="WA1" s="520"/>
      <c r="WB1" s="520"/>
      <c r="WC1" s="520"/>
      <c r="WD1" s="520"/>
      <c r="WE1" s="520"/>
      <c r="WF1" s="520"/>
      <c r="WG1" s="520"/>
      <c r="WH1" s="520"/>
      <c r="WI1" s="520"/>
      <c r="WJ1" s="520"/>
      <c r="WK1" s="520"/>
      <c r="WL1" s="520"/>
      <c r="WM1" s="520"/>
      <c r="WN1" s="520"/>
      <c r="WO1" s="520"/>
      <c r="WP1" s="520"/>
      <c r="WQ1" s="520"/>
      <c r="WR1" s="520"/>
      <c r="WS1" s="520"/>
      <c r="WT1" s="520"/>
      <c r="WU1" s="520"/>
      <c r="WV1" s="520"/>
      <c r="WW1" s="520"/>
      <c r="WX1" s="520"/>
      <c r="WY1" s="520"/>
      <c r="WZ1" s="520"/>
      <c r="XA1" s="520"/>
      <c r="XB1" s="520"/>
      <c r="XC1" s="520"/>
      <c r="XD1" s="520"/>
      <c r="XE1" s="520"/>
      <c r="XF1" s="520"/>
      <c r="XG1" s="520"/>
      <c r="XH1" s="520"/>
      <c r="XI1" s="520"/>
      <c r="XJ1" s="520"/>
      <c r="XK1" s="520"/>
      <c r="XL1" s="520"/>
      <c r="XM1" s="520"/>
      <c r="XN1" s="520"/>
      <c r="XO1" s="520"/>
      <c r="XP1" s="520"/>
      <c r="XQ1" s="520"/>
      <c r="XR1" s="520"/>
      <c r="XS1" s="520"/>
      <c r="XT1" s="520"/>
      <c r="XU1" s="520"/>
      <c r="XV1" s="520"/>
      <c r="XW1" s="520"/>
      <c r="XX1" s="520"/>
      <c r="XY1" s="520"/>
      <c r="XZ1" s="520"/>
      <c r="YA1" s="520"/>
      <c r="YB1" s="520"/>
      <c r="YC1" s="520"/>
      <c r="YD1" s="520"/>
      <c r="YE1" s="520"/>
      <c r="YF1" s="520"/>
      <c r="YG1" s="520"/>
      <c r="YH1" s="520"/>
      <c r="YI1" s="520"/>
      <c r="YJ1" s="520"/>
      <c r="YK1" s="520"/>
      <c r="YL1" s="520"/>
      <c r="YM1" s="520"/>
      <c r="YN1" s="520"/>
      <c r="YO1" s="520"/>
      <c r="YP1" s="520"/>
      <c r="YQ1" s="520"/>
      <c r="YR1" s="520"/>
      <c r="YS1" s="520"/>
      <c r="YT1" s="520"/>
      <c r="YU1" s="520"/>
      <c r="YV1" s="520"/>
      <c r="YW1" s="520"/>
      <c r="YX1" s="520"/>
      <c r="YY1" s="520"/>
      <c r="YZ1" s="520"/>
      <c r="ZA1" s="520"/>
      <c r="ZB1" s="520"/>
      <c r="ZC1" s="520"/>
      <c r="ZD1" s="520"/>
      <c r="ZE1" s="520"/>
      <c r="ZF1" s="520"/>
      <c r="ZG1" s="520"/>
      <c r="ZH1" s="520"/>
      <c r="ZI1" s="520"/>
      <c r="ZJ1" s="520"/>
      <c r="ZK1" s="520"/>
      <c r="ZL1" s="520"/>
      <c r="ZM1" s="520"/>
      <c r="ZN1" s="520"/>
      <c r="ZO1" s="520"/>
      <c r="ZP1" s="520"/>
      <c r="ZQ1" s="520"/>
      <c r="ZR1" s="520"/>
      <c r="ZS1" s="520"/>
      <c r="ZT1" s="520"/>
      <c r="ZU1" s="520"/>
      <c r="ZV1" s="520"/>
      <c r="ZW1" s="520"/>
      <c r="ZX1" s="520"/>
      <c r="ZY1" s="520"/>
      <c r="ZZ1" s="520"/>
      <c r="AAA1" s="520"/>
      <c r="AAB1" s="520"/>
      <c r="AAC1" s="520"/>
      <c r="AAD1" s="520"/>
      <c r="AAE1" s="520"/>
      <c r="AAF1" s="520"/>
      <c r="AAG1" s="520"/>
      <c r="AAH1" s="520"/>
      <c r="AAI1" s="520"/>
      <c r="AAJ1" s="520"/>
      <c r="AAK1" s="520"/>
      <c r="AAL1" s="520"/>
      <c r="AAM1" s="520"/>
      <c r="AAN1" s="520"/>
      <c r="AAO1" s="520"/>
      <c r="AAP1" s="520"/>
      <c r="AAQ1" s="520"/>
      <c r="AAR1" s="520"/>
      <c r="AAS1" s="520"/>
      <c r="AAT1" s="520"/>
      <c r="AAU1" s="520"/>
      <c r="AAV1" s="520"/>
      <c r="AAW1" s="520"/>
      <c r="AAX1" s="520"/>
      <c r="AAY1" s="520"/>
      <c r="AAZ1" s="520"/>
      <c r="ABA1" s="520"/>
      <c r="ABB1" s="520"/>
      <c r="ABC1" s="520"/>
      <c r="ABD1" s="520"/>
      <c r="ABE1" s="520"/>
      <c r="ABF1" s="520"/>
      <c r="ABG1" s="520"/>
      <c r="ABH1" s="520"/>
      <c r="ABI1" s="520"/>
      <c r="ABJ1" s="520"/>
      <c r="ABK1" s="520"/>
      <c r="ABL1" s="520"/>
      <c r="ABM1" s="520"/>
      <c r="ABN1" s="520"/>
      <c r="ABO1" s="520"/>
      <c r="ABP1" s="520"/>
      <c r="ABQ1" s="520"/>
      <c r="ABR1" s="520"/>
      <c r="ABS1" s="520"/>
      <c r="ABT1" s="520"/>
      <c r="ABU1" s="520"/>
      <c r="ABV1" s="520"/>
      <c r="ABW1" s="520"/>
      <c r="ABX1" s="520"/>
      <c r="ABY1" s="520"/>
      <c r="ABZ1" s="520"/>
      <c r="ACA1" s="520"/>
      <c r="ACB1" s="520"/>
      <c r="ACC1" s="520"/>
      <c r="ACD1" s="520"/>
      <c r="ACE1" s="520"/>
      <c r="ACF1" s="520"/>
      <c r="ACG1" s="520"/>
      <c r="ACH1" s="520"/>
      <c r="ACI1" s="520"/>
      <c r="ACJ1" s="520"/>
      <c r="ACK1" s="520"/>
      <c r="ACL1" s="520"/>
      <c r="ACM1" s="520"/>
      <c r="ACN1" s="520"/>
      <c r="ACO1" s="520"/>
      <c r="ACP1" s="520"/>
      <c r="ACQ1" s="520"/>
      <c r="ACR1" s="520"/>
      <c r="ACS1" s="520"/>
      <c r="ACT1" s="520"/>
      <c r="ACU1" s="520"/>
      <c r="ACV1" s="520"/>
      <c r="ACW1" s="520"/>
      <c r="ACX1" s="520"/>
      <c r="ACY1" s="520"/>
      <c r="ACZ1" s="520"/>
      <c r="ADA1" s="520"/>
      <c r="ADB1" s="520"/>
      <c r="ADC1" s="520"/>
      <c r="ADD1" s="520"/>
      <c r="ADE1" s="520"/>
      <c r="ADF1" s="520"/>
      <c r="ADG1" s="520"/>
      <c r="ADH1" s="520"/>
      <c r="ADI1" s="520"/>
      <c r="ADJ1" s="520"/>
      <c r="ADK1" s="520"/>
      <c r="ADL1" s="520"/>
      <c r="ADM1" s="520"/>
      <c r="ADN1" s="520"/>
      <c r="ADO1" s="520"/>
      <c r="ADP1" s="520"/>
      <c r="ADQ1" s="520"/>
      <c r="ADR1" s="520"/>
      <c r="ADS1" s="520"/>
      <c r="ADT1" s="520"/>
      <c r="ADU1" s="520"/>
      <c r="ADV1" s="520"/>
      <c r="ADW1" s="520"/>
      <c r="ADX1" s="520"/>
      <c r="ADY1" s="520"/>
      <c r="ADZ1" s="520"/>
      <c r="AEA1" s="520"/>
      <c r="AEB1" s="520"/>
      <c r="AEC1" s="520"/>
      <c r="AED1" s="520"/>
      <c r="AEE1" s="520"/>
      <c r="AEF1" s="520"/>
      <c r="AEG1" s="520"/>
      <c r="AEH1" s="520"/>
      <c r="AEI1" s="520"/>
      <c r="AEJ1" s="520"/>
      <c r="AEK1" s="520"/>
      <c r="AEL1" s="520"/>
      <c r="AEM1" s="520"/>
      <c r="AEN1" s="520"/>
      <c r="AEO1" s="520"/>
      <c r="AEP1" s="520"/>
      <c r="AEQ1" s="520"/>
      <c r="AER1" s="520"/>
      <c r="AES1" s="520"/>
      <c r="AET1" s="520"/>
      <c r="AEU1" s="520"/>
      <c r="AEV1" s="520"/>
      <c r="AEW1" s="520"/>
      <c r="AEX1" s="520"/>
      <c r="AEY1" s="520"/>
      <c r="AEZ1" s="520"/>
      <c r="AFA1" s="520"/>
      <c r="AFB1" s="520"/>
      <c r="AFC1" s="520"/>
      <c r="AFD1" s="520"/>
      <c r="AFE1" s="520"/>
      <c r="AFF1" s="520"/>
      <c r="AFG1" s="520"/>
      <c r="AFH1" s="520"/>
      <c r="AFI1" s="520"/>
      <c r="AFJ1" s="520"/>
      <c r="AFK1" s="520"/>
      <c r="AFL1" s="520"/>
      <c r="AFM1" s="520"/>
      <c r="AFN1" s="520"/>
      <c r="AFO1" s="520"/>
      <c r="AFP1" s="520"/>
      <c r="AFQ1" s="520"/>
      <c r="AFR1" s="520"/>
      <c r="AFS1" s="520"/>
      <c r="AFT1" s="520"/>
      <c r="AFU1" s="520"/>
      <c r="AFV1" s="520"/>
      <c r="AFW1" s="520"/>
      <c r="AFX1" s="520"/>
      <c r="AFY1" s="520"/>
      <c r="AFZ1" s="520"/>
      <c r="AGA1" s="520"/>
      <c r="AGB1" s="520"/>
      <c r="AGC1" s="520"/>
      <c r="AGD1" s="520"/>
      <c r="AGE1" s="520"/>
      <c r="AGF1" s="520"/>
      <c r="AGG1" s="520"/>
      <c r="AGH1" s="520"/>
      <c r="AGI1" s="520"/>
      <c r="AGJ1" s="520"/>
      <c r="AGK1" s="520"/>
      <c r="AGL1" s="520"/>
      <c r="AGM1" s="520"/>
      <c r="AGN1" s="520"/>
      <c r="AGO1" s="520"/>
      <c r="AGP1" s="520"/>
      <c r="AGQ1" s="520"/>
      <c r="AGR1" s="520"/>
      <c r="AGS1" s="520"/>
      <c r="AGT1" s="520"/>
      <c r="AGU1" s="520"/>
      <c r="AGV1" s="520"/>
      <c r="AGW1" s="520"/>
      <c r="AGX1" s="520"/>
      <c r="AGY1" s="520"/>
      <c r="AGZ1" s="520"/>
      <c r="AHA1" s="520"/>
      <c r="AHB1" s="520"/>
      <c r="AHC1" s="520"/>
      <c r="AHD1" s="520"/>
      <c r="AHE1" s="520"/>
      <c r="AHF1" s="520"/>
      <c r="AHG1" s="520"/>
      <c r="AHH1" s="520"/>
      <c r="AHI1" s="520"/>
      <c r="AHJ1" s="520"/>
      <c r="AHK1" s="520"/>
      <c r="AHL1" s="520"/>
      <c r="AHM1" s="520"/>
      <c r="AHN1" s="520"/>
      <c r="AHO1" s="520"/>
      <c r="AHP1" s="520"/>
      <c r="AHQ1" s="520"/>
      <c r="AHR1" s="520"/>
      <c r="AHS1" s="520"/>
      <c r="AHT1" s="520"/>
      <c r="AHU1" s="520"/>
      <c r="AHV1" s="520"/>
      <c r="AHW1" s="520"/>
      <c r="AHX1" s="520"/>
      <c r="AHY1" s="520"/>
      <c r="AHZ1" s="520"/>
      <c r="AIA1" s="520"/>
      <c r="AIB1" s="520"/>
      <c r="AIC1" s="520"/>
      <c r="AID1" s="520"/>
      <c r="AIE1" s="520"/>
      <c r="AIF1" s="520"/>
      <c r="AIG1" s="520"/>
      <c r="AIH1" s="520"/>
      <c r="AII1" s="520"/>
      <c r="AIJ1" s="520"/>
      <c r="AIK1" s="520"/>
      <c r="AIL1" s="520"/>
      <c r="AIM1" s="520"/>
      <c r="AIN1" s="520"/>
      <c r="AIO1" s="520"/>
      <c r="AIP1" s="520"/>
      <c r="AIQ1" s="520"/>
      <c r="AIR1" s="520"/>
      <c r="AIS1" s="520"/>
      <c r="AIT1" s="520"/>
      <c r="AIU1" s="520"/>
      <c r="AIV1" s="520"/>
      <c r="AIW1" s="520"/>
      <c r="AIX1" s="520"/>
      <c r="AIY1" s="520"/>
      <c r="AIZ1" s="520"/>
      <c r="AJA1" s="520"/>
      <c r="AJB1" s="520"/>
      <c r="AJC1" s="520"/>
      <c r="AJD1" s="520"/>
      <c r="AJE1" s="520"/>
      <c r="AJF1" s="520"/>
      <c r="AJG1" s="520"/>
      <c r="AJH1" s="520"/>
      <c r="AJI1" s="520"/>
      <c r="AJJ1" s="520"/>
      <c r="AJK1" s="520"/>
      <c r="AJL1" s="520"/>
      <c r="AJM1" s="520"/>
      <c r="AJN1" s="520"/>
      <c r="AJO1" s="520"/>
      <c r="AJP1" s="520"/>
      <c r="AJQ1" s="520"/>
      <c r="AJR1" s="520"/>
      <c r="AJS1" s="520"/>
      <c r="AJT1" s="520"/>
      <c r="AJU1" s="520"/>
      <c r="AJV1" s="520"/>
      <c r="AJW1" s="520"/>
      <c r="AJX1" s="520"/>
      <c r="AJY1" s="520"/>
      <c r="AJZ1" s="520"/>
      <c r="AKA1" s="520"/>
      <c r="AKB1" s="520"/>
      <c r="AKC1" s="520"/>
      <c r="AKD1" s="520"/>
      <c r="AKE1" s="520"/>
      <c r="AKF1" s="520"/>
      <c r="AKG1" s="520"/>
      <c r="AKH1" s="520"/>
      <c r="AKI1" s="520"/>
      <c r="AKJ1" s="520"/>
      <c r="AKK1" s="520"/>
      <c r="AKL1" s="520"/>
      <c r="AKM1" s="520"/>
      <c r="AKN1" s="520"/>
      <c r="AKO1" s="520"/>
      <c r="AKP1" s="520"/>
      <c r="AKQ1" s="520"/>
      <c r="AKR1" s="520"/>
      <c r="AKS1" s="520"/>
      <c r="AKT1" s="520"/>
      <c r="AKU1" s="520"/>
      <c r="AKV1" s="520"/>
      <c r="AKW1" s="520"/>
      <c r="AKX1" s="520"/>
      <c r="AKY1" s="520"/>
      <c r="AKZ1" s="520"/>
      <c r="ALA1" s="520"/>
      <c r="ALB1" s="520"/>
      <c r="ALC1" s="520"/>
      <c r="ALD1" s="520"/>
      <c r="ALE1" s="520"/>
      <c r="ALF1" s="520"/>
      <c r="ALG1" s="520"/>
      <c r="ALH1" s="520"/>
      <c r="ALI1" s="520"/>
      <c r="ALJ1" s="520"/>
      <c r="ALK1" s="520"/>
      <c r="ALL1" s="520"/>
      <c r="ALM1" s="520"/>
      <c r="ALN1" s="520"/>
      <c r="ALO1" s="520"/>
      <c r="ALP1" s="520"/>
      <c r="ALQ1" s="520"/>
      <c r="ALR1" s="520"/>
      <c r="ALS1" s="520"/>
      <c r="ALT1" s="520"/>
      <c r="ALU1" s="520"/>
      <c r="ALV1" s="520"/>
      <c r="ALW1" s="520"/>
      <c r="ALX1" s="520"/>
      <c r="ALY1" s="520"/>
      <c r="ALZ1" s="520"/>
      <c r="AMA1" s="520"/>
      <c r="AMB1" s="520"/>
      <c r="AMC1" s="520"/>
      <c r="AMD1" s="520"/>
      <c r="AME1" s="520"/>
      <c r="AMF1" s="520"/>
      <c r="AMG1" s="520"/>
      <c r="AMH1" s="520"/>
      <c r="AMI1" s="520"/>
      <c r="AMJ1" s="520"/>
      <c r="AMK1" s="520"/>
      <c r="AML1" s="520"/>
      <c r="AMM1" s="520"/>
      <c r="AMN1" s="520"/>
      <c r="AMO1" s="520"/>
      <c r="AMP1" s="520"/>
      <c r="AMQ1" s="520"/>
      <c r="AMR1" s="520"/>
      <c r="AMS1" s="520"/>
      <c r="AMT1" s="520"/>
      <c r="AMU1" s="520"/>
      <c r="AMV1" s="520"/>
      <c r="AMW1" s="520"/>
      <c r="AMX1" s="520"/>
      <c r="AMY1" s="520"/>
      <c r="AMZ1" s="520"/>
      <c r="ANA1" s="520"/>
      <c r="ANB1" s="520"/>
      <c r="ANC1" s="520"/>
      <c r="AND1" s="520"/>
      <c r="ANE1" s="520"/>
      <c r="ANF1" s="520"/>
      <c r="ANG1" s="520"/>
      <c r="ANH1" s="520"/>
      <c r="ANI1" s="520"/>
      <c r="ANJ1" s="520"/>
      <c r="ANK1" s="520"/>
      <c r="ANL1" s="520"/>
      <c r="ANM1" s="520"/>
      <c r="ANN1" s="520"/>
      <c r="ANO1" s="520"/>
      <c r="ANP1" s="520"/>
      <c r="ANQ1" s="520"/>
      <c r="ANR1" s="520"/>
      <c r="ANS1" s="520"/>
      <c r="ANT1" s="520"/>
      <c r="ANU1" s="520"/>
      <c r="ANV1" s="520"/>
      <c r="ANW1" s="520"/>
      <c r="ANX1" s="520"/>
      <c r="ANY1" s="520"/>
      <c r="ANZ1" s="520"/>
      <c r="AOA1" s="520"/>
      <c r="AOB1" s="520"/>
      <c r="AOC1" s="520"/>
      <c r="AOD1" s="520"/>
      <c r="AOE1" s="520"/>
      <c r="AOF1" s="520"/>
      <c r="AOG1" s="520"/>
      <c r="AOH1" s="520"/>
      <c r="AOI1" s="520"/>
      <c r="AOJ1" s="520"/>
      <c r="AOK1" s="520"/>
      <c r="AOL1" s="520"/>
      <c r="AOM1" s="520"/>
      <c r="AON1" s="520"/>
      <c r="AOO1" s="520"/>
      <c r="AOP1" s="520"/>
      <c r="AOQ1" s="520"/>
      <c r="AOR1" s="520"/>
      <c r="AOS1" s="520"/>
      <c r="AOT1" s="520"/>
      <c r="AOU1" s="520"/>
      <c r="AOV1" s="520"/>
      <c r="AOW1" s="520"/>
      <c r="AOX1" s="520"/>
      <c r="AOY1" s="520"/>
      <c r="AOZ1" s="520"/>
      <c r="APA1" s="520"/>
      <c r="APB1" s="520"/>
      <c r="APC1" s="520"/>
      <c r="APD1" s="520"/>
      <c r="APE1" s="520"/>
      <c r="APF1" s="520"/>
      <c r="APG1" s="520"/>
      <c r="APH1" s="520"/>
      <c r="API1" s="520"/>
      <c r="APJ1" s="520"/>
      <c r="APK1" s="520"/>
      <c r="APL1" s="520"/>
      <c r="APM1" s="520"/>
      <c r="APN1" s="520"/>
      <c r="APO1" s="520"/>
      <c r="APP1" s="520"/>
      <c r="APQ1" s="520"/>
      <c r="APR1" s="520"/>
      <c r="APS1" s="520"/>
      <c r="APT1" s="520"/>
      <c r="APU1" s="520"/>
      <c r="APV1" s="520"/>
      <c r="APW1" s="520"/>
      <c r="APX1" s="520"/>
      <c r="APY1" s="520"/>
      <c r="APZ1" s="520"/>
      <c r="AQA1" s="520"/>
      <c r="AQB1" s="520"/>
      <c r="AQC1" s="520"/>
      <c r="AQD1" s="520"/>
      <c r="AQE1" s="520"/>
      <c r="AQF1" s="520"/>
      <c r="AQG1" s="520"/>
      <c r="AQH1" s="520"/>
      <c r="AQI1" s="520"/>
      <c r="AQJ1" s="520"/>
      <c r="AQK1" s="520"/>
      <c r="AQL1" s="520"/>
      <c r="AQM1" s="520"/>
      <c r="AQN1" s="520"/>
      <c r="AQO1" s="520"/>
      <c r="AQP1" s="520"/>
      <c r="AQQ1" s="520"/>
      <c r="AQR1" s="520"/>
      <c r="AQS1" s="520"/>
      <c r="AQT1" s="520"/>
      <c r="AQU1" s="520"/>
      <c r="AQV1" s="520"/>
      <c r="AQW1" s="520"/>
      <c r="AQX1" s="520"/>
      <c r="AQY1" s="520"/>
      <c r="AQZ1" s="520"/>
      <c r="ARA1" s="520"/>
      <c r="ARB1" s="520"/>
      <c r="ARC1" s="520"/>
      <c r="ARD1" s="520"/>
      <c r="ARE1" s="520"/>
      <c r="ARF1" s="520"/>
      <c r="ARG1" s="520"/>
      <c r="ARH1" s="520"/>
      <c r="ARI1" s="520"/>
      <c r="ARJ1" s="520"/>
      <c r="ARK1" s="520"/>
      <c r="ARL1" s="520"/>
      <c r="ARM1" s="520"/>
      <c r="ARN1" s="520"/>
      <c r="ARO1" s="520"/>
      <c r="ARP1" s="520"/>
      <c r="ARQ1" s="520"/>
      <c r="ARR1" s="520"/>
      <c r="ARS1" s="520"/>
      <c r="ART1" s="520"/>
      <c r="ARU1" s="520"/>
      <c r="ARV1" s="520"/>
      <c r="ARW1" s="520"/>
      <c r="ARX1" s="520"/>
      <c r="ARY1" s="520"/>
      <c r="ARZ1" s="520"/>
      <c r="ASA1" s="520"/>
      <c r="ASB1" s="520"/>
      <c r="ASC1" s="520"/>
      <c r="ASD1" s="520"/>
      <c r="ASE1" s="520"/>
      <c r="ASF1" s="520"/>
      <c r="ASG1" s="520"/>
      <c r="ASH1" s="520"/>
      <c r="ASI1" s="520"/>
      <c r="ASJ1" s="520"/>
      <c r="ASK1" s="520"/>
      <c r="ASL1" s="520"/>
      <c r="ASM1" s="520"/>
      <c r="ASN1" s="520"/>
      <c r="ASO1" s="520"/>
      <c r="ASP1" s="520"/>
      <c r="ASQ1" s="520"/>
      <c r="ASR1" s="520"/>
      <c r="ASS1" s="520"/>
      <c r="AST1" s="520"/>
      <c r="ASU1" s="520"/>
      <c r="ASV1" s="520"/>
      <c r="ASW1" s="520"/>
      <c r="ASX1" s="520"/>
      <c r="ASY1" s="520"/>
      <c r="ASZ1" s="520"/>
      <c r="ATA1" s="520"/>
      <c r="ATB1" s="520"/>
      <c r="ATC1" s="520"/>
      <c r="ATD1" s="520"/>
      <c r="ATE1" s="520"/>
      <c r="ATF1" s="520"/>
      <c r="ATG1" s="520"/>
      <c r="ATH1" s="520"/>
      <c r="ATI1" s="520"/>
      <c r="ATJ1" s="520"/>
      <c r="ATK1" s="520"/>
      <c r="ATL1" s="520"/>
      <c r="ATM1" s="520"/>
      <c r="ATN1" s="520"/>
      <c r="ATO1" s="520"/>
      <c r="ATP1" s="520"/>
      <c r="ATQ1" s="520"/>
      <c r="ATR1" s="520"/>
      <c r="ATS1" s="520"/>
      <c r="ATT1" s="520"/>
      <c r="ATU1" s="520"/>
      <c r="ATV1" s="520"/>
      <c r="ATW1" s="520"/>
      <c r="ATX1" s="520"/>
      <c r="ATY1" s="520"/>
      <c r="ATZ1" s="520"/>
      <c r="AUA1" s="520"/>
      <c r="AUB1" s="520"/>
      <c r="AUC1" s="520"/>
      <c r="AUD1" s="520"/>
      <c r="AUE1" s="520"/>
      <c r="AUF1" s="520"/>
      <c r="AUG1" s="520"/>
      <c r="AUH1" s="520"/>
      <c r="AUI1" s="520"/>
      <c r="AUJ1" s="520"/>
      <c r="AUK1" s="520"/>
      <c r="AUL1" s="520"/>
      <c r="AUM1" s="520"/>
      <c r="AUN1" s="520"/>
      <c r="AUO1" s="520"/>
      <c r="AUP1" s="520"/>
      <c r="AUQ1" s="520"/>
      <c r="AUR1" s="520"/>
      <c r="AUS1" s="520"/>
      <c r="AUT1" s="520"/>
      <c r="AUU1" s="520"/>
      <c r="AUV1" s="520"/>
      <c r="AUW1" s="520"/>
      <c r="AUX1" s="520"/>
      <c r="AUY1" s="520"/>
      <c r="AUZ1" s="520"/>
      <c r="AVA1" s="520"/>
      <c r="AVB1" s="520"/>
      <c r="AVC1" s="520"/>
      <c r="AVD1" s="520"/>
      <c r="AVE1" s="520"/>
      <c r="AVF1" s="520"/>
      <c r="AVG1" s="520"/>
      <c r="AVH1" s="520"/>
      <c r="AVI1" s="520"/>
      <c r="AVJ1" s="520"/>
      <c r="AVK1" s="520"/>
      <c r="AVL1" s="520"/>
      <c r="AVM1" s="520"/>
      <c r="AVN1" s="520"/>
      <c r="AVO1" s="520"/>
      <c r="AVP1" s="520"/>
      <c r="AVQ1" s="520"/>
      <c r="AVR1" s="520"/>
      <c r="AVS1" s="520"/>
      <c r="AVT1" s="520"/>
      <c r="AVU1" s="520"/>
      <c r="AVV1" s="520"/>
      <c r="AVW1" s="520"/>
      <c r="AVX1" s="520"/>
      <c r="AVY1" s="520"/>
      <c r="AVZ1" s="520"/>
      <c r="AWA1" s="520"/>
      <c r="AWB1" s="520"/>
      <c r="AWC1" s="520"/>
      <c r="AWD1" s="520"/>
      <c r="AWE1" s="520"/>
      <c r="AWF1" s="520"/>
      <c r="AWG1" s="520"/>
      <c r="AWH1" s="520"/>
      <c r="AWI1" s="520"/>
      <c r="AWJ1" s="520"/>
      <c r="AWK1" s="520"/>
      <c r="AWL1" s="520"/>
      <c r="AWM1" s="520"/>
      <c r="AWN1" s="520"/>
      <c r="AWO1" s="520"/>
      <c r="AWP1" s="520"/>
      <c r="AWQ1" s="520"/>
      <c r="AWR1" s="520"/>
      <c r="AWS1" s="520"/>
      <c r="AWT1" s="520"/>
      <c r="AWU1" s="520"/>
      <c r="AWV1" s="520"/>
      <c r="AWW1" s="520"/>
      <c r="AWX1" s="520"/>
      <c r="AWY1" s="520"/>
      <c r="AWZ1" s="520"/>
      <c r="AXA1" s="520"/>
      <c r="AXB1" s="520"/>
      <c r="AXC1" s="520"/>
      <c r="AXD1" s="520"/>
      <c r="AXE1" s="520"/>
      <c r="AXF1" s="520"/>
      <c r="AXG1" s="520"/>
      <c r="AXH1" s="520"/>
      <c r="AXI1" s="520"/>
      <c r="AXJ1" s="520"/>
      <c r="AXK1" s="520"/>
      <c r="AXL1" s="520"/>
      <c r="AXM1" s="520"/>
      <c r="AXN1" s="520"/>
      <c r="AXO1" s="520"/>
      <c r="AXP1" s="520"/>
      <c r="AXQ1" s="520"/>
      <c r="AXR1" s="520"/>
      <c r="AXS1" s="520"/>
      <c r="AXT1" s="520"/>
      <c r="AXU1" s="520"/>
      <c r="AXV1" s="520"/>
      <c r="AXW1" s="520"/>
      <c r="AXX1" s="520"/>
      <c r="AXY1" s="520"/>
      <c r="AXZ1" s="520"/>
      <c r="AYA1" s="520"/>
      <c r="AYB1" s="520"/>
      <c r="AYC1" s="520"/>
      <c r="AYD1" s="520"/>
      <c r="AYE1" s="520"/>
      <c r="AYF1" s="520"/>
      <c r="AYG1" s="520"/>
      <c r="AYH1" s="520"/>
      <c r="AYI1" s="520"/>
      <c r="AYJ1" s="520"/>
      <c r="AYK1" s="520"/>
      <c r="AYL1" s="520"/>
      <c r="AYM1" s="520"/>
      <c r="AYN1" s="520"/>
      <c r="AYO1" s="520"/>
      <c r="AYP1" s="520"/>
      <c r="AYQ1" s="520"/>
      <c r="AYR1" s="520"/>
      <c r="AYS1" s="520"/>
      <c r="AYT1" s="520"/>
      <c r="AYU1" s="520"/>
      <c r="AYV1" s="520"/>
      <c r="AYW1" s="520"/>
      <c r="AYX1" s="520"/>
      <c r="AYY1" s="520"/>
      <c r="AYZ1" s="520"/>
      <c r="AZA1" s="520"/>
      <c r="AZB1" s="520"/>
      <c r="AZC1" s="520"/>
      <c r="AZD1" s="520"/>
      <c r="AZE1" s="520"/>
      <c r="AZF1" s="520"/>
      <c r="AZG1" s="520"/>
      <c r="AZH1" s="520"/>
      <c r="AZI1" s="520"/>
      <c r="AZJ1" s="520"/>
      <c r="AZK1" s="520"/>
      <c r="AZL1" s="520"/>
      <c r="AZM1" s="520"/>
      <c r="AZN1" s="520"/>
      <c r="AZO1" s="520"/>
      <c r="AZP1" s="520"/>
      <c r="AZQ1" s="520"/>
      <c r="AZR1" s="520"/>
      <c r="AZS1" s="520"/>
      <c r="AZT1" s="520"/>
      <c r="AZU1" s="520"/>
      <c r="AZV1" s="520"/>
      <c r="AZW1" s="520"/>
      <c r="AZX1" s="520"/>
      <c r="AZY1" s="520"/>
      <c r="AZZ1" s="520"/>
      <c r="BAA1" s="520"/>
      <c r="BAB1" s="520"/>
      <c r="BAC1" s="520"/>
      <c r="BAD1" s="520"/>
      <c r="BAE1" s="520"/>
      <c r="BAF1" s="520"/>
      <c r="BAG1" s="520"/>
      <c r="BAH1" s="520"/>
      <c r="BAI1" s="520"/>
      <c r="BAJ1" s="520"/>
      <c r="BAK1" s="520"/>
      <c r="BAL1" s="520"/>
      <c r="BAM1" s="520"/>
      <c r="BAN1" s="520"/>
      <c r="BAO1" s="520"/>
      <c r="BAP1" s="520"/>
      <c r="BAQ1" s="520"/>
      <c r="BAR1" s="520"/>
      <c r="BAS1" s="520"/>
      <c r="BAT1" s="520"/>
      <c r="BAU1" s="520"/>
      <c r="BAV1" s="520"/>
      <c r="BAW1" s="520"/>
      <c r="BAX1" s="520"/>
      <c r="BAY1" s="520"/>
      <c r="BAZ1" s="520"/>
      <c r="BBA1" s="520"/>
      <c r="BBB1" s="520"/>
      <c r="BBC1" s="520"/>
      <c r="BBD1" s="520"/>
      <c r="BBE1" s="520"/>
      <c r="BBF1" s="520"/>
      <c r="BBG1" s="520"/>
      <c r="BBH1" s="520"/>
      <c r="BBI1" s="520"/>
      <c r="BBJ1" s="520"/>
      <c r="BBK1" s="520"/>
      <c r="BBL1" s="520"/>
      <c r="BBM1" s="520"/>
      <c r="BBN1" s="520"/>
      <c r="BBO1" s="520"/>
      <c r="BBP1" s="520"/>
      <c r="BBQ1" s="520"/>
      <c r="BBR1" s="520"/>
      <c r="BBS1" s="520"/>
      <c r="BBT1" s="520"/>
      <c r="BBU1" s="520"/>
      <c r="BBV1" s="520"/>
      <c r="BBW1" s="520"/>
      <c r="BBX1" s="520"/>
      <c r="BBY1" s="520"/>
      <c r="BBZ1" s="520"/>
      <c r="BCA1" s="520"/>
      <c r="BCB1" s="520"/>
      <c r="BCC1" s="520"/>
      <c r="BCD1" s="520"/>
      <c r="BCE1" s="520"/>
      <c r="BCF1" s="520"/>
      <c r="BCG1" s="520"/>
      <c r="BCH1" s="520"/>
      <c r="BCI1" s="520"/>
      <c r="BCJ1" s="520"/>
      <c r="BCK1" s="520"/>
      <c r="BCL1" s="520"/>
      <c r="BCM1" s="520"/>
      <c r="BCN1" s="520"/>
      <c r="BCO1" s="520"/>
      <c r="BCP1" s="520"/>
      <c r="BCQ1" s="520"/>
      <c r="BCR1" s="520"/>
      <c r="BCS1" s="520"/>
      <c r="BCT1" s="520"/>
      <c r="BCU1" s="520"/>
      <c r="BCV1" s="520"/>
      <c r="BCW1" s="520"/>
      <c r="BCX1" s="520"/>
      <c r="BCY1" s="520"/>
      <c r="BCZ1" s="520"/>
      <c r="BDA1" s="520"/>
      <c r="BDB1" s="520"/>
      <c r="BDC1" s="520"/>
      <c r="BDD1" s="520"/>
      <c r="BDE1" s="520"/>
      <c r="BDF1" s="520"/>
      <c r="BDG1" s="520"/>
      <c r="BDH1" s="520"/>
      <c r="BDI1" s="520"/>
      <c r="BDJ1" s="520"/>
      <c r="BDK1" s="520"/>
      <c r="BDL1" s="520"/>
      <c r="BDM1" s="520"/>
      <c r="BDN1" s="520"/>
      <c r="BDO1" s="520"/>
      <c r="BDP1" s="520"/>
      <c r="BDQ1" s="520"/>
      <c r="BDR1" s="520"/>
      <c r="BDS1" s="520"/>
      <c r="BDT1" s="520"/>
      <c r="BDU1" s="520"/>
      <c r="BDV1" s="520"/>
      <c r="BDW1" s="520"/>
      <c r="BDX1" s="520"/>
      <c r="BDY1" s="520"/>
      <c r="BDZ1" s="520"/>
      <c r="BEA1" s="520"/>
      <c r="BEB1" s="520"/>
      <c r="BEC1" s="520"/>
      <c r="BED1" s="520"/>
      <c r="BEE1" s="520"/>
      <c r="BEF1" s="520"/>
      <c r="BEG1" s="520"/>
      <c r="BEH1" s="520"/>
      <c r="BEI1" s="520"/>
      <c r="BEJ1" s="520"/>
      <c r="BEK1" s="520"/>
      <c r="BEL1" s="520"/>
      <c r="BEM1" s="520"/>
      <c r="BEN1" s="520"/>
      <c r="BEO1" s="520"/>
      <c r="BEP1" s="520"/>
      <c r="BEQ1" s="520"/>
      <c r="BER1" s="520"/>
      <c r="BES1" s="520"/>
      <c r="BET1" s="520"/>
      <c r="BEU1" s="520"/>
      <c r="BEV1" s="520"/>
      <c r="BEW1" s="520"/>
      <c r="BEX1" s="520"/>
      <c r="BEY1" s="520"/>
      <c r="BEZ1" s="520"/>
      <c r="BFA1" s="520"/>
      <c r="BFB1" s="520"/>
      <c r="BFC1" s="520"/>
      <c r="BFD1" s="520"/>
      <c r="BFE1" s="520"/>
      <c r="BFF1" s="520"/>
      <c r="BFG1" s="520"/>
      <c r="BFH1" s="520"/>
      <c r="BFI1" s="520"/>
      <c r="BFJ1" s="520"/>
      <c r="BFK1" s="520"/>
      <c r="BFL1" s="520"/>
      <c r="BFM1" s="520"/>
      <c r="BFN1" s="520"/>
      <c r="BFO1" s="520"/>
      <c r="BFP1" s="520"/>
      <c r="BFQ1" s="520"/>
      <c r="BFR1" s="520"/>
      <c r="BFS1" s="520"/>
      <c r="BFT1" s="520"/>
      <c r="BFU1" s="520"/>
      <c r="BFV1" s="520"/>
      <c r="BFW1" s="520"/>
      <c r="BFX1" s="520"/>
      <c r="BFY1" s="520"/>
      <c r="BFZ1" s="520"/>
      <c r="BGA1" s="520"/>
      <c r="BGB1" s="520"/>
      <c r="BGC1" s="520"/>
      <c r="BGD1" s="520"/>
      <c r="BGE1" s="520"/>
      <c r="BGF1" s="520"/>
      <c r="BGG1" s="520"/>
      <c r="BGH1" s="520"/>
      <c r="BGI1" s="520"/>
      <c r="BGJ1" s="520"/>
      <c r="BGK1" s="520"/>
      <c r="BGL1" s="520"/>
      <c r="BGM1" s="520"/>
      <c r="BGN1" s="520"/>
      <c r="BGO1" s="520"/>
      <c r="BGP1" s="520"/>
      <c r="BGQ1" s="520"/>
      <c r="BGR1" s="520"/>
      <c r="BGS1" s="520"/>
      <c r="BGT1" s="520"/>
      <c r="BGU1" s="520"/>
      <c r="BGV1" s="520"/>
      <c r="BGW1" s="520"/>
      <c r="BGX1" s="520"/>
      <c r="BGY1" s="520"/>
      <c r="BGZ1" s="520"/>
      <c r="BHA1" s="520"/>
      <c r="BHB1" s="520"/>
      <c r="BHC1" s="520"/>
      <c r="BHD1" s="520"/>
      <c r="BHE1" s="520"/>
      <c r="BHF1" s="520"/>
      <c r="BHG1" s="520"/>
      <c r="BHH1" s="520"/>
      <c r="BHI1" s="520"/>
      <c r="BHJ1" s="520"/>
      <c r="BHK1" s="520"/>
      <c r="BHL1" s="520"/>
      <c r="BHM1" s="520"/>
      <c r="BHN1" s="520"/>
      <c r="BHO1" s="520"/>
      <c r="BHP1" s="520"/>
      <c r="BHQ1" s="520"/>
      <c r="BHR1" s="520"/>
      <c r="BHS1" s="520"/>
      <c r="BHT1" s="520"/>
      <c r="BHU1" s="520"/>
      <c r="BHV1" s="520"/>
      <c r="BHW1" s="520"/>
      <c r="BHX1" s="520"/>
      <c r="BHY1" s="520"/>
      <c r="BHZ1" s="520"/>
      <c r="BIA1" s="520"/>
      <c r="BIB1" s="520"/>
      <c r="BIC1" s="520"/>
      <c r="BID1" s="520"/>
      <c r="BIE1" s="520"/>
      <c r="BIF1" s="520"/>
      <c r="BIG1" s="520"/>
      <c r="BIH1" s="520"/>
      <c r="BII1" s="520"/>
      <c r="BIJ1" s="520"/>
      <c r="BIK1" s="520"/>
      <c r="BIL1" s="520"/>
      <c r="BIM1" s="520"/>
      <c r="BIN1" s="520"/>
      <c r="BIO1" s="520"/>
      <c r="BIP1" s="520"/>
      <c r="BIQ1" s="520"/>
      <c r="BIR1" s="520"/>
      <c r="BIS1" s="520"/>
      <c r="BIT1" s="520"/>
      <c r="BIU1" s="520"/>
      <c r="BIV1" s="520"/>
      <c r="BIW1" s="520"/>
      <c r="BIX1" s="520"/>
      <c r="BIY1" s="520"/>
      <c r="BIZ1" s="520"/>
      <c r="BJA1" s="520"/>
      <c r="BJB1" s="520"/>
      <c r="BJC1" s="520"/>
      <c r="BJD1" s="520"/>
      <c r="BJE1" s="520"/>
      <c r="BJF1" s="520"/>
      <c r="BJG1" s="520"/>
      <c r="BJH1" s="520"/>
      <c r="BJI1" s="520"/>
      <c r="BJJ1" s="520"/>
      <c r="BJK1" s="520"/>
      <c r="BJL1" s="520"/>
      <c r="BJM1" s="520"/>
      <c r="BJN1" s="520"/>
      <c r="BJO1" s="520"/>
      <c r="BJP1" s="520"/>
      <c r="BJQ1" s="520"/>
      <c r="BJR1" s="520"/>
      <c r="BJS1" s="520"/>
      <c r="BJT1" s="520"/>
      <c r="BJU1" s="520"/>
      <c r="BJV1" s="520"/>
      <c r="BJW1" s="520"/>
      <c r="BJX1" s="520"/>
      <c r="BJY1" s="520"/>
      <c r="BJZ1" s="520"/>
      <c r="BKA1" s="520"/>
      <c r="BKB1" s="520"/>
      <c r="BKC1" s="520"/>
      <c r="BKD1" s="520"/>
      <c r="BKE1" s="520"/>
      <c r="BKF1" s="520"/>
      <c r="BKG1" s="520"/>
      <c r="BKH1" s="520"/>
      <c r="BKI1" s="520"/>
      <c r="BKJ1" s="520"/>
      <c r="BKK1" s="520"/>
      <c r="BKL1" s="520"/>
      <c r="BKM1" s="520"/>
      <c r="BKN1" s="520"/>
      <c r="BKO1" s="520"/>
      <c r="BKP1" s="520"/>
      <c r="BKQ1" s="520"/>
      <c r="BKR1" s="520"/>
      <c r="BKS1" s="520"/>
      <c r="BKT1" s="520"/>
      <c r="BKU1" s="520"/>
      <c r="BKV1" s="520"/>
      <c r="BKW1" s="520"/>
      <c r="BKX1" s="520"/>
      <c r="BKY1" s="520"/>
      <c r="BKZ1" s="520"/>
      <c r="BLA1" s="520"/>
      <c r="BLB1" s="520"/>
      <c r="BLC1" s="520"/>
      <c r="BLD1" s="520"/>
      <c r="BLE1" s="520"/>
      <c r="BLF1" s="520"/>
      <c r="BLG1" s="520"/>
      <c r="BLH1" s="520"/>
      <c r="BLI1" s="520"/>
      <c r="BLJ1" s="520"/>
      <c r="BLK1" s="520"/>
      <c r="BLL1" s="520"/>
      <c r="BLM1" s="520"/>
      <c r="BLN1" s="520"/>
      <c r="BLO1" s="520"/>
      <c r="BLP1" s="520"/>
      <c r="BLQ1" s="520"/>
      <c r="BLR1" s="520"/>
      <c r="BLS1" s="520"/>
      <c r="BLT1" s="520"/>
      <c r="BLU1" s="520"/>
      <c r="BLV1" s="520"/>
      <c r="BLW1" s="520"/>
      <c r="BLX1" s="520"/>
      <c r="BLY1" s="520"/>
      <c r="BLZ1" s="520"/>
      <c r="BMA1" s="520"/>
      <c r="BMB1" s="520"/>
      <c r="BMC1" s="520"/>
      <c r="BMD1" s="520"/>
      <c r="BME1" s="520"/>
      <c r="BMF1" s="520"/>
      <c r="BMG1" s="520"/>
      <c r="BMH1" s="520"/>
      <c r="BMI1" s="520"/>
      <c r="BMJ1" s="520"/>
      <c r="BMK1" s="520"/>
      <c r="BML1" s="520"/>
      <c r="BMM1" s="520"/>
      <c r="BMN1" s="520"/>
      <c r="BMO1" s="520"/>
      <c r="BMP1" s="520"/>
      <c r="BMQ1" s="520"/>
      <c r="BMR1" s="520"/>
      <c r="BMS1" s="520"/>
      <c r="BMT1" s="520"/>
      <c r="BMU1" s="520"/>
      <c r="BMV1" s="520"/>
      <c r="BMW1" s="520"/>
      <c r="BMX1" s="520"/>
      <c r="BMY1" s="520"/>
      <c r="BMZ1" s="520"/>
      <c r="BNA1" s="520"/>
      <c r="BNB1" s="520"/>
      <c r="BNC1" s="520"/>
      <c r="BND1" s="520"/>
      <c r="BNE1" s="520"/>
      <c r="BNF1" s="520"/>
      <c r="BNG1" s="520"/>
      <c r="BNH1" s="520"/>
      <c r="BNI1" s="520"/>
      <c r="BNJ1" s="520"/>
      <c r="BNK1" s="520"/>
      <c r="BNL1" s="520"/>
      <c r="BNM1" s="520"/>
      <c r="BNN1" s="520"/>
      <c r="BNO1" s="520"/>
      <c r="BNP1" s="520"/>
      <c r="BNQ1" s="520"/>
      <c r="BNR1" s="520"/>
      <c r="BNS1" s="520"/>
      <c r="BNT1" s="520"/>
      <c r="BNU1" s="520"/>
      <c r="BNV1" s="520"/>
      <c r="BNW1" s="520"/>
      <c r="BNX1" s="520"/>
      <c r="BNY1" s="520"/>
      <c r="BNZ1" s="520"/>
      <c r="BOA1" s="520"/>
      <c r="BOB1" s="520"/>
      <c r="BOC1" s="520"/>
      <c r="BOD1" s="520"/>
      <c r="BOE1" s="520"/>
      <c r="BOF1" s="520"/>
      <c r="BOG1" s="520"/>
      <c r="BOH1" s="520"/>
      <c r="BOI1" s="520"/>
      <c r="BOJ1" s="520"/>
      <c r="BOK1" s="520"/>
      <c r="BOL1" s="520"/>
      <c r="BOM1" s="520"/>
      <c r="BON1" s="520"/>
      <c r="BOO1" s="520"/>
      <c r="BOP1" s="520"/>
      <c r="BOQ1" s="520"/>
      <c r="BOR1" s="520"/>
      <c r="BOS1" s="520"/>
      <c r="BOT1" s="520"/>
      <c r="BOU1" s="520"/>
      <c r="BOV1" s="520"/>
      <c r="BOW1" s="520"/>
      <c r="BOX1" s="520"/>
      <c r="BOY1" s="520"/>
      <c r="BOZ1" s="520"/>
      <c r="BPA1" s="520"/>
      <c r="BPB1" s="520"/>
      <c r="BPC1" s="520"/>
      <c r="BPD1" s="520"/>
      <c r="BPE1" s="520"/>
      <c r="BPF1" s="520"/>
      <c r="BPG1" s="520"/>
      <c r="BPH1" s="520"/>
      <c r="BPI1" s="520"/>
      <c r="BPJ1" s="520"/>
      <c r="BPK1" s="520"/>
      <c r="BPL1" s="520"/>
      <c r="BPM1" s="520"/>
      <c r="BPN1" s="520"/>
      <c r="BPO1" s="520"/>
      <c r="BPP1" s="520"/>
      <c r="BPQ1" s="520"/>
      <c r="BPR1" s="520"/>
      <c r="BPS1" s="520"/>
      <c r="BPT1" s="520"/>
      <c r="BPU1" s="520"/>
      <c r="BPV1" s="520"/>
      <c r="BPW1" s="520"/>
      <c r="BPX1" s="520"/>
      <c r="BPY1" s="520"/>
      <c r="BPZ1" s="520"/>
      <c r="BQA1" s="520"/>
      <c r="BQB1" s="520"/>
      <c r="BQC1" s="520"/>
      <c r="BQD1" s="520"/>
      <c r="BQE1" s="520"/>
      <c r="BQF1" s="520"/>
      <c r="BQG1" s="520"/>
      <c r="BQH1" s="520"/>
      <c r="BQI1" s="520"/>
      <c r="BQJ1" s="520"/>
      <c r="BQK1" s="520"/>
      <c r="BQL1" s="520"/>
      <c r="BQM1" s="520"/>
      <c r="BQN1" s="520"/>
      <c r="BQO1" s="520"/>
      <c r="BQP1" s="520"/>
      <c r="BQQ1" s="520"/>
      <c r="BQR1" s="520"/>
      <c r="BQS1" s="520"/>
      <c r="BQT1" s="520"/>
      <c r="BQU1" s="520"/>
      <c r="BQV1" s="520"/>
      <c r="BQW1" s="520"/>
      <c r="BQX1" s="520"/>
      <c r="BQY1" s="520"/>
      <c r="BQZ1" s="520"/>
      <c r="BRA1" s="520"/>
      <c r="BRB1" s="520"/>
      <c r="BRC1" s="520"/>
      <c r="BRD1" s="520"/>
      <c r="BRE1" s="520"/>
      <c r="BRF1" s="520"/>
      <c r="BRG1" s="520"/>
      <c r="BRH1" s="520"/>
      <c r="BRI1" s="520"/>
      <c r="BRJ1" s="520"/>
      <c r="BRK1" s="520"/>
      <c r="BRL1" s="520"/>
      <c r="BRM1" s="520"/>
      <c r="BRN1" s="520"/>
      <c r="BRO1" s="520"/>
      <c r="BRP1" s="520"/>
      <c r="BRQ1" s="520"/>
      <c r="BRR1" s="520"/>
      <c r="BRS1" s="520"/>
      <c r="BRT1" s="520"/>
      <c r="BRU1" s="520"/>
      <c r="BRV1" s="520"/>
      <c r="BRW1" s="520"/>
      <c r="BRX1" s="520"/>
      <c r="BRY1" s="520"/>
      <c r="BRZ1" s="520"/>
      <c r="BSA1" s="520"/>
      <c r="BSB1" s="520"/>
      <c r="BSC1" s="520"/>
      <c r="BSD1" s="520"/>
      <c r="BSE1" s="520"/>
      <c r="BSF1" s="520"/>
      <c r="BSG1" s="520"/>
      <c r="BSH1" s="520"/>
      <c r="BSI1" s="520"/>
      <c r="BSJ1" s="520"/>
      <c r="BSK1" s="520"/>
      <c r="BSL1" s="520"/>
      <c r="BSM1" s="520"/>
      <c r="BSN1" s="520"/>
      <c r="BSO1" s="520"/>
      <c r="BSP1" s="520"/>
      <c r="BSQ1" s="520"/>
      <c r="BSR1" s="520"/>
      <c r="BSS1" s="520"/>
      <c r="BST1" s="520"/>
      <c r="BSU1" s="520"/>
      <c r="BSV1" s="520"/>
      <c r="BSW1" s="520"/>
      <c r="BSX1" s="520"/>
      <c r="BSY1" s="520"/>
      <c r="BSZ1" s="520"/>
      <c r="BTA1" s="520"/>
      <c r="BTB1" s="520"/>
      <c r="BTC1" s="520"/>
      <c r="BTD1" s="520"/>
      <c r="BTE1" s="520"/>
      <c r="BTF1" s="520"/>
      <c r="BTG1" s="520"/>
      <c r="BTH1" s="520"/>
      <c r="BTI1" s="520"/>
      <c r="BTJ1" s="520"/>
      <c r="BTK1" s="520"/>
      <c r="BTL1" s="520"/>
      <c r="BTM1" s="520"/>
      <c r="BTN1" s="520"/>
      <c r="BTO1" s="520"/>
      <c r="BTP1" s="520"/>
      <c r="BTQ1" s="520"/>
      <c r="BTR1" s="520"/>
      <c r="BTS1" s="520"/>
      <c r="BTT1" s="520"/>
      <c r="BTU1" s="520"/>
      <c r="BTV1" s="520"/>
      <c r="BTW1" s="520"/>
      <c r="BTX1" s="520"/>
      <c r="BTY1" s="520"/>
      <c r="BTZ1" s="520"/>
      <c r="BUA1" s="520"/>
      <c r="BUB1" s="520"/>
      <c r="BUC1" s="520"/>
      <c r="BUD1" s="520"/>
      <c r="BUE1" s="520"/>
      <c r="BUF1" s="520"/>
      <c r="BUG1" s="520"/>
      <c r="BUH1" s="520"/>
      <c r="BUI1" s="520"/>
      <c r="BUJ1" s="520"/>
      <c r="BUK1" s="520"/>
      <c r="BUL1" s="520"/>
      <c r="BUM1" s="520"/>
      <c r="BUN1" s="520"/>
      <c r="BUO1" s="520"/>
      <c r="BUP1" s="520"/>
      <c r="BUQ1" s="520"/>
      <c r="BUR1" s="520"/>
      <c r="BUS1" s="520"/>
      <c r="BUT1" s="520"/>
      <c r="BUU1" s="520"/>
      <c r="BUV1" s="520"/>
      <c r="BUW1" s="520"/>
      <c r="BUX1" s="520"/>
      <c r="BUY1" s="520"/>
      <c r="BUZ1" s="520"/>
      <c r="BVA1" s="520"/>
      <c r="BVB1" s="520"/>
      <c r="BVC1" s="520"/>
      <c r="BVD1" s="520"/>
      <c r="BVE1" s="520"/>
      <c r="BVF1" s="520"/>
      <c r="BVG1" s="520"/>
      <c r="BVH1" s="520"/>
      <c r="BVI1" s="520"/>
      <c r="BVJ1" s="520"/>
      <c r="BVK1" s="520"/>
      <c r="BVL1" s="520"/>
      <c r="BVM1" s="520"/>
      <c r="BVN1" s="520"/>
      <c r="BVO1" s="520"/>
      <c r="BVP1" s="520"/>
      <c r="BVQ1" s="520"/>
      <c r="BVR1" s="520"/>
      <c r="BVS1" s="520"/>
      <c r="BVT1" s="520"/>
      <c r="BVU1" s="520"/>
      <c r="BVV1" s="520"/>
      <c r="BVW1" s="520"/>
      <c r="BVX1" s="520"/>
      <c r="BVY1" s="520"/>
      <c r="BVZ1" s="520"/>
      <c r="BWA1" s="520"/>
      <c r="BWB1" s="520"/>
      <c r="BWC1" s="520"/>
      <c r="BWD1" s="520"/>
      <c r="BWE1" s="520"/>
      <c r="BWF1" s="520"/>
      <c r="BWG1" s="520"/>
      <c r="BWH1" s="520"/>
      <c r="BWI1" s="520"/>
      <c r="BWJ1" s="520"/>
      <c r="BWK1" s="520"/>
      <c r="BWL1" s="520"/>
      <c r="BWM1" s="520"/>
      <c r="BWN1" s="520"/>
      <c r="BWO1" s="520"/>
      <c r="BWP1" s="520"/>
      <c r="BWQ1" s="520"/>
      <c r="BWR1" s="520"/>
      <c r="BWS1" s="520"/>
      <c r="BWT1" s="520"/>
      <c r="BWU1" s="520"/>
      <c r="BWV1" s="520"/>
      <c r="BWW1" s="520"/>
      <c r="BWX1" s="520"/>
      <c r="BWY1" s="520"/>
      <c r="BWZ1" s="520"/>
      <c r="BXA1" s="520"/>
      <c r="BXB1" s="520"/>
      <c r="BXC1" s="520"/>
      <c r="BXD1" s="520"/>
      <c r="BXE1" s="520"/>
      <c r="BXF1" s="520"/>
      <c r="BXG1" s="520"/>
      <c r="BXH1" s="520"/>
      <c r="BXI1" s="520"/>
      <c r="BXJ1" s="520"/>
      <c r="BXK1" s="520"/>
      <c r="BXL1" s="520"/>
      <c r="BXM1" s="520"/>
      <c r="BXN1" s="520"/>
      <c r="BXO1" s="520"/>
      <c r="BXP1" s="520"/>
      <c r="BXQ1" s="520"/>
      <c r="BXR1" s="520"/>
      <c r="BXS1" s="520"/>
      <c r="BXT1" s="520"/>
      <c r="BXU1" s="520"/>
      <c r="BXV1" s="520"/>
      <c r="BXW1" s="520"/>
      <c r="BXX1" s="520"/>
      <c r="BXY1" s="520"/>
      <c r="BXZ1" s="520"/>
      <c r="BYA1" s="520"/>
      <c r="BYB1" s="520"/>
      <c r="BYC1" s="520"/>
      <c r="BYD1" s="520"/>
      <c r="BYE1" s="520"/>
      <c r="BYF1" s="520"/>
      <c r="BYG1" s="520"/>
      <c r="BYH1" s="520"/>
      <c r="BYI1" s="520"/>
      <c r="BYJ1" s="520"/>
      <c r="BYK1" s="520"/>
      <c r="BYL1" s="520"/>
      <c r="BYM1" s="520"/>
      <c r="BYN1" s="520"/>
      <c r="BYO1" s="520"/>
      <c r="BYP1" s="520"/>
      <c r="BYQ1" s="520"/>
      <c r="BYR1" s="520"/>
      <c r="BYS1" s="520"/>
      <c r="BYT1" s="520"/>
      <c r="BYU1" s="520"/>
      <c r="BYV1" s="520"/>
      <c r="BYW1" s="520"/>
      <c r="BYX1" s="520"/>
      <c r="BYY1" s="520"/>
      <c r="BYZ1" s="520"/>
      <c r="BZA1" s="520"/>
      <c r="BZB1" s="520"/>
      <c r="BZC1" s="520"/>
      <c r="BZD1" s="520"/>
      <c r="BZE1" s="520"/>
      <c r="BZF1" s="520"/>
      <c r="BZG1" s="520"/>
      <c r="BZH1" s="520"/>
      <c r="BZI1" s="520"/>
      <c r="BZJ1" s="520"/>
      <c r="BZK1" s="520"/>
      <c r="BZL1" s="520"/>
      <c r="BZM1" s="520"/>
      <c r="BZN1" s="520"/>
      <c r="BZO1" s="520"/>
      <c r="BZP1" s="520"/>
      <c r="BZQ1" s="520"/>
      <c r="BZR1" s="520"/>
      <c r="BZS1" s="520"/>
      <c r="BZT1" s="520"/>
      <c r="BZU1" s="520"/>
      <c r="BZV1" s="520"/>
      <c r="BZW1" s="520"/>
      <c r="BZX1" s="520"/>
      <c r="BZY1" s="520"/>
      <c r="BZZ1" s="520"/>
      <c r="CAA1" s="520"/>
      <c r="CAB1" s="520"/>
      <c r="CAC1" s="520"/>
      <c r="CAD1" s="520"/>
      <c r="CAE1" s="520"/>
      <c r="CAF1" s="520"/>
      <c r="CAG1" s="520"/>
      <c r="CAH1" s="520"/>
      <c r="CAI1" s="520"/>
      <c r="CAJ1" s="520"/>
      <c r="CAK1" s="520"/>
      <c r="CAL1" s="520"/>
      <c r="CAM1" s="520"/>
      <c r="CAN1" s="520"/>
      <c r="CAO1" s="520"/>
      <c r="CAP1" s="520"/>
      <c r="CAQ1" s="520"/>
      <c r="CAR1" s="520"/>
      <c r="CAS1" s="520"/>
      <c r="CAT1" s="520"/>
      <c r="CAU1" s="520"/>
      <c r="CAV1" s="520"/>
      <c r="CAW1" s="520"/>
      <c r="CAX1" s="520"/>
      <c r="CAY1" s="520"/>
      <c r="CAZ1" s="520"/>
      <c r="CBA1" s="520"/>
      <c r="CBB1" s="520"/>
      <c r="CBC1" s="520"/>
      <c r="CBD1" s="520"/>
      <c r="CBE1" s="520"/>
      <c r="CBF1" s="520"/>
      <c r="CBG1" s="520"/>
      <c r="CBH1" s="520"/>
      <c r="CBI1" s="520"/>
      <c r="CBJ1" s="520"/>
      <c r="CBK1" s="520"/>
      <c r="CBL1" s="520"/>
      <c r="CBM1" s="520"/>
      <c r="CBN1" s="520"/>
      <c r="CBO1" s="520"/>
      <c r="CBP1" s="520"/>
      <c r="CBQ1" s="520"/>
      <c r="CBR1" s="520"/>
      <c r="CBS1" s="520"/>
      <c r="CBT1" s="520"/>
      <c r="CBU1" s="520"/>
      <c r="CBV1" s="520"/>
      <c r="CBW1" s="520"/>
      <c r="CBX1" s="520"/>
      <c r="CBY1" s="520"/>
      <c r="CBZ1" s="520"/>
      <c r="CCA1" s="520"/>
      <c r="CCB1" s="520"/>
      <c r="CCC1" s="520"/>
      <c r="CCD1" s="520"/>
      <c r="CCE1" s="520"/>
      <c r="CCF1" s="520"/>
      <c r="CCG1" s="520"/>
      <c r="CCH1" s="520"/>
      <c r="CCI1" s="520"/>
      <c r="CCJ1" s="520"/>
      <c r="CCK1" s="520"/>
      <c r="CCL1" s="520"/>
      <c r="CCM1" s="520"/>
      <c r="CCN1" s="520"/>
      <c r="CCO1" s="520"/>
      <c r="CCP1" s="520"/>
      <c r="CCQ1" s="520"/>
      <c r="CCR1" s="520"/>
      <c r="CCS1" s="520"/>
      <c r="CCT1" s="520"/>
      <c r="CCU1" s="520"/>
      <c r="CCV1" s="520"/>
      <c r="CCW1" s="520"/>
      <c r="CCX1" s="520"/>
      <c r="CCY1" s="520"/>
      <c r="CCZ1" s="520"/>
      <c r="CDA1" s="520"/>
      <c r="CDB1" s="520"/>
      <c r="CDC1" s="520"/>
      <c r="CDD1" s="520"/>
      <c r="CDE1" s="520"/>
      <c r="CDF1" s="520"/>
      <c r="CDG1" s="520"/>
      <c r="CDH1" s="520"/>
      <c r="CDI1" s="520"/>
      <c r="CDJ1" s="520"/>
      <c r="CDK1" s="520"/>
      <c r="CDL1" s="520"/>
      <c r="CDM1" s="520"/>
      <c r="CDN1" s="520"/>
      <c r="CDO1" s="520"/>
      <c r="CDP1" s="520"/>
      <c r="CDQ1" s="520"/>
      <c r="CDR1" s="520"/>
      <c r="CDS1" s="520"/>
      <c r="CDT1" s="520"/>
      <c r="CDU1" s="520"/>
      <c r="CDV1" s="520"/>
      <c r="CDW1" s="520"/>
      <c r="CDX1" s="520"/>
      <c r="CDY1" s="520"/>
      <c r="CDZ1" s="520"/>
      <c r="CEA1" s="520"/>
      <c r="CEB1" s="520"/>
      <c r="CEC1" s="520"/>
      <c r="CED1" s="520"/>
      <c r="CEE1" s="520"/>
      <c r="CEF1" s="520"/>
      <c r="CEG1" s="520"/>
      <c r="CEH1" s="520"/>
      <c r="CEI1" s="520"/>
      <c r="CEJ1" s="520"/>
      <c r="CEK1" s="520"/>
      <c r="CEL1" s="520"/>
      <c r="CEM1" s="520"/>
      <c r="CEN1" s="520"/>
      <c r="CEO1" s="520"/>
      <c r="CEP1" s="520"/>
      <c r="CEQ1" s="520"/>
      <c r="CER1" s="520"/>
      <c r="CES1" s="520"/>
      <c r="CET1" s="520"/>
      <c r="CEU1" s="520"/>
      <c r="CEV1" s="520"/>
      <c r="CEW1" s="520"/>
      <c r="CEX1" s="520"/>
      <c r="CEY1" s="520"/>
      <c r="CEZ1" s="520"/>
      <c r="CFA1" s="520"/>
      <c r="CFB1" s="520"/>
      <c r="CFC1" s="520"/>
      <c r="CFD1" s="520"/>
      <c r="CFE1" s="520"/>
      <c r="CFF1" s="520"/>
      <c r="CFG1" s="520"/>
      <c r="CFH1" s="520"/>
      <c r="CFI1" s="520"/>
      <c r="CFJ1" s="520"/>
      <c r="CFK1" s="520"/>
      <c r="CFL1" s="520"/>
      <c r="CFM1" s="520"/>
      <c r="CFN1" s="520"/>
      <c r="CFO1" s="520"/>
      <c r="CFP1" s="520"/>
      <c r="CFQ1" s="520"/>
      <c r="CFR1" s="520"/>
      <c r="CFS1" s="520"/>
      <c r="CFT1" s="520"/>
      <c r="CFU1" s="520"/>
      <c r="CFV1" s="520"/>
      <c r="CFW1" s="520"/>
      <c r="CFX1" s="520"/>
      <c r="CFY1" s="520"/>
      <c r="CFZ1" s="520"/>
      <c r="CGA1" s="520"/>
      <c r="CGB1" s="520"/>
      <c r="CGC1" s="520"/>
      <c r="CGD1" s="520"/>
      <c r="CGE1" s="520"/>
      <c r="CGF1" s="520"/>
      <c r="CGG1" s="520"/>
      <c r="CGH1" s="520"/>
      <c r="CGI1" s="520"/>
      <c r="CGJ1" s="520"/>
      <c r="CGK1" s="520"/>
      <c r="CGL1" s="520"/>
      <c r="CGM1" s="520"/>
      <c r="CGN1" s="520"/>
      <c r="CGO1" s="520"/>
      <c r="CGP1" s="520"/>
      <c r="CGQ1" s="520"/>
      <c r="CGR1" s="520"/>
      <c r="CGS1" s="520"/>
      <c r="CGT1" s="520"/>
      <c r="CGU1" s="520"/>
      <c r="CGV1" s="520"/>
      <c r="CGW1" s="520"/>
      <c r="CGX1" s="520"/>
      <c r="CGY1" s="520"/>
      <c r="CGZ1" s="520"/>
      <c r="CHA1" s="520"/>
      <c r="CHB1" s="520"/>
      <c r="CHC1" s="520"/>
      <c r="CHD1" s="520"/>
      <c r="CHE1" s="520"/>
      <c r="CHF1" s="520"/>
      <c r="CHG1" s="520"/>
      <c r="CHH1" s="520"/>
      <c r="CHI1" s="520"/>
      <c r="CHJ1" s="520"/>
      <c r="CHK1" s="520"/>
      <c r="CHL1" s="520"/>
      <c r="CHM1" s="520"/>
      <c r="CHN1" s="520"/>
      <c r="CHO1" s="520"/>
      <c r="CHP1" s="520"/>
      <c r="CHQ1" s="520"/>
      <c r="CHR1" s="520"/>
      <c r="CHS1" s="520"/>
      <c r="CHT1" s="520"/>
      <c r="CHU1" s="520"/>
      <c r="CHV1" s="520"/>
      <c r="CHW1" s="520"/>
      <c r="CHX1" s="520"/>
      <c r="CHY1" s="520"/>
      <c r="CHZ1" s="520"/>
      <c r="CIA1" s="520"/>
      <c r="CIB1" s="520"/>
      <c r="CIC1" s="520"/>
      <c r="CID1" s="520"/>
      <c r="CIE1" s="520"/>
      <c r="CIF1" s="520"/>
      <c r="CIG1" s="520"/>
      <c r="CIH1" s="520"/>
      <c r="CII1" s="520"/>
      <c r="CIJ1" s="520"/>
      <c r="CIK1" s="520"/>
      <c r="CIL1" s="520"/>
      <c r="CIM1" s="520"/>
      <c r="CIN1" s="520"/>
      <c r="CIO1" s="520"/>
      <c r="CIP1" s="520"/>
      <c r="CIQ1" s="520"/>
      <c r="CIR1" s="520"/>
      <c r="CIS1" s="520"/>
      <c r="CIT1" s="520"/>
      <c r="CIU1" s="520"/>
      <c r="CIV1" s="520"/>
      <c r="CIW1" s="520"/>
      <c r="CIX1" s="520"/>
      <c r="CIY1" s="520"/>
      <c r="CIZ1" s="520"/>
      <c r="CJA1" s="520"/>
      <c r="CJB1" s="520"/>
      <c r="CJC1" s="520"/>
      <c r="CJD1" s="520"/>
      <c r="CJE1" s="520"/>
      <c r="CJF1" s="520"/>
      <c r="CJG1" s="520"/>
      <c r="CJH1" s="520"/>
      <c r="CJI1" s="520"/>
      <c r="CJJ1" s="520"/>
      <c r="CJK1" s="520"/>
      <c r="CJL1" s="520"/>
      <c r="CJM1" s="520"/>
      <c r="CJN1" s="520"/>
      <c r="CJO1" s="520"/>
      <c r="CJP1" s="520"/>
      <c r="CJQ1" s="520"/>
      <c r="CJR1" s="520"/>
      <c r="CJS1" s="520"/>
      <c r="CJT1" s="520"/>
      <c r="CJU1" s="520"/>
      <c r="CJV1" s="520"/>
      <c r="CJW1" s="520"/>
      <c r="CJX1" s="520"/>
      <c r="CJY1" s="520"/>
      <c r="CJZ1" s="520"/>
      <c r="CKA1" s="520"/>
      <c r="CKB1" s="520"/>
      <c r="CKC1" s="520"/>
      <c r="CKD1" s="520"/>
      <c r="CKE1" s="520"/>
      <c r="CKF1" s="520"/>
      <c r="CKG1" s="520"/>
      <c r="CKH1" s="520"/>
      <c r="CKI1" s="520"/>
      <c r="CKJ1" s="520"/>
      <c r="CKK1" s="520"/>
      <c r="CKL1" s="520"/>
      <c r="CKM1" s="520"/>
      <c r="CKN1" s="520"/>
      <c r="CKO1" s="520"/>
      <c r="CKP1" s="520"/>
      <c r="CKQ1" s="520"/>
      <c r="CKR1" s="520"/>
      <c r="CKS1" s="520"/>
      <c r="CKT1" s="520"/>
      <c r="CKU1" s="520"/>
      <c r="CKV1" s="520"/>
      <c r="CKW1" s="520"/>
      <c r="CKX1" s="520"/>
      <c r="CKY1" s="520"/>
      <c r="CKZ1" s="520"/>
      <c r="CLA1" s="520"/>
      <c r="CLB1" s="520"/>
      <c r="CLC1" s="520"/>
      <c r="CLD1" s="520"/>
      <c r="CLE1" s="520"/>
      <c r="CLF1" s="520"/>
      <c r="CLG1" s="520"/>
      <c r="CLH1" s="520"/>
      <c r="CLI1" s="520"/>
      <c r="CLJ1" s="520"/>
      <c r="CLK1" s="520"/>
      <c r="CLL1" s="520"/>
      <c r="CLM1" s="520"/>
      <c r="CLN1" s="520"/>
      <c r="CLO1" s="520"/>
      <c r="CLP1" s="520"/>
      <c r="CLQ1" s="520"/>
      <c r="CLR1" s="520"/>
      <c r="CLS1" s="520"/>
      <c r="CLT1" s="520"/>
      <c r="CLU1" s="520"/>
      <c r="CLV1" s="520"/>
      <c r="CLW1" s="520"/>
      <c r="CLX1" s="520"/>
      <c r="CLY1" s="520"/>
      <c r="CLZ1" s="520"/>
      <c r="CMA1" s="520"/>
      <c r="CMB1" s="520"/>
      <c r="CMC1" s="520"/>
      <c r="CMD1" s="520"/>
      <c r="CME1" s="520"/>
      <c r="CMF1" s="520"/>
      <c r="CMG1" s="520"/>
      <c r="CMH1" s="520"/>
      <c r="CMI1" s="520"/>
      <c r="CMJ1" s="520"/>
      <c r="CMK1" s="520"/>
      <c r="CML1" s="520"/>
      <c r="CMM1" s="520"/>
      <c r="CMN1" s="520"/>
      <c r="CMO1" s="520"/>
      <c r="CMP1" s="520"/>
      <c r="CMQ1" s="520"/>
      <c r="CMR1" s="520"/>
      <c r="CMS1" s="520"/>
      <c r="CMT1" s="520"/>
      <c r="CMU1" s="520"/>
      <c r="CMV1" s="520"/>
      <c r="CMW1" s="520"/>
      <c r="CMX1" s="520"/>
      <c r="CMY1" s="520"/>
      <c r="CMZ1" s="520"/>
      <c r="CNA1" s="520"/>
      <c r="CNB1" s="520"/>
      <c r="CNC1" s="520"/>
      <c r="CND1" s="520"/>
      <c r="CNE1" s="520"/>
      <c r="CNF1" s="520"/>
      <c r="CNG1" s="520"/>
      <c r="CNH1" s="520"/>
      <c r="CNI1" s="520"/>
      <c r="CNJ1" s="520"/>
      <c r="CNK1" s="520"/>
      <c r="CNL1" s="520"/>
      <c r="CNM1" s="520"/>
      <c r="CNN1" s="520"/>
      <c r="CNO1" s="520"/>
      <c r="CNP1" s="520"/>
      <c r="CNQ1" s="520"/>
      <c r="CNR1" s="520"/>
      <c r="CNS1" s="520"/>
      <c r="CNT1" s="520"/>
      <c r="CNU1" s="520"/>
      <c r="CNV1" s="520"/>
      <c r="CNW1" s="520"/>
      <c r="CNX1" s="520"/>
      <c r="CNY1" s="520"/>
      <c r="CNZ1" s="520"/>
      <c r="COA1" s="520"/>
      <c r="COB1" s="520"/>
      <c r="COC1" s="520"/>
      <c r="COD1" s="520"/>
      <c r="COE1" s="520"/>
      <c r="COF1" s="520"/>
      <c r="COG1" s="520"/>
      <c r="COH1" s="520"/>
      <c r="COI1" s="520"/>
      <c r="COJ1" s="520"/>
      <c r="COK1" s="520"/>
      <c r="COL1" s="520"/>
      <c r="COM1" s="520"/>
      <c r="CON1" s="520"/>
      <c r="COO1" s="520"/>
      <c r="COP1" s="520"/>
      <c r="COQ1" s="520"/>
      <c r="COR1" s="520"/>
      <c r="COS1" s="520"/>
      <c r="COT1" s="520"/>
      <c r="COU1" s="520"/>
      <c r="COV1" s="520"/>
      <c r="COW1" s="520"/>
      <c r="COX1" s="520"/>
      <c r="COY1" s="520"/>
      <c r="COZ1" s="520"/>
      <c r="CPA1" s="520"/>
      <c r="CPB1" s="520"/>
      <c r="CPC1" s="520"/>
      <c r="CPD1" s="520"/>
      <c r="CPE1" s="520"/>
      <c r="CPF1" s="520"/>
      <c r="CPG1" s="520"/>
      <c r="CPH1" s="520"/>
      <c r="CPI1" s="520"/>
      <c r="CPJ1" s="520"/>
      <c r="CPK1" s="520"/>
      <c r="CPL1" s="520"/>
      <c r="CPM1" s="520"/>
      <c r="CPN1" s="520"/>
      <c r="CPO1" s="520"/>
      <c r="CPP1" s="520"/>
      <c r="CPQ1" s="520"/>
      <c r="CPR1" s="520"/>
      <c r="CPS1" s="520"/>
      <c r="CPT1" s="520"/>
      <c r="CPU1" s="520"/>
      <c r="CPV1" s="520"/>
      <c r="CPW1" s="520"/>
      <c r="CPX1" s="520"/>
      <c r="CPY1" s="520"/>
      <c r="CPZ1" s="520"/>
      <c r="CQA1" s="520"/>
      <c r="CQB1" s="520"/>
      <c r="CQC1" s="520"/>
      <c r="CQD1" s="520"/>
      <c r="CQE1" s="520"/>
      <c r="CQF1" s="520"/>
      <c r="CQG1" s="520"/>
      <c r="CQH1" s="520"/>
      <c r="CQI1" s="520"/>
      <c r="CQJ1" s="520"/>
      <c r="CQK1" s="520"/>
      <c r="CQL1" s="520"/>
      <c r="CQM1" s="520"/>
      <c r="CQN1" s="520"/>
      <c r="CQO1" s="520"/>
      <c r="CQP1" s="520"/>
      <c r="CQQ1" s="520"/>
      <c r="CQR1" s="520"/>
      <c r="CQS1" s="520"/>
      <c r="CQT1" s="520"/>
      <c r="CQU1" s="520"/>
      <c r="CQV1" s="520"/>
      <c r="CQW1" s="520"/>
      <c r="CQX1" s="520"/>
      <c r="CQY1" s="520"/>
      <c r="CQZ1" s="520"/>
      <c r="CRA1" s="520"/>
      <c r="CRB1" s="520"/>
      <c r="CRC1" s="520"/>
      <c r="CRD1" s="520"/>
      <c r="CRE1" s="520"/>
      <c r="CRF1" s="520"/>
      <c r="CRG1" s="520"/>
      <c r="CRH1" s="520"/>
      <c r="CRI1" s="520"/>
      <c r="CRJ1" s="520"/>
      <c r="CRK1" s="520"/>
      <c r="CRL1" s="520"/>
      <c r="CRM1" s="520"/>
      <c r="CRN1" s="520"/>
      <c r="CRO1" s="520"/>
      <c r="CRP1" s="520"/>
      <c r="CRQ1" s="520"/>
      <c r="CRR1" s="520"/>
      <c r="CRS1" s="520"/>
      <c r="CRT1" s="520"/>
      <c r="CRU1" s="520"/>
      <c r="CRV1" s="520"/>
      <c r="CRW1" s="520"/>
      <c r="CRX1" s="520"/>
      <c r="CRY1" s="520"/>
      <c r="CRZ1" s="520"/>
      <c r="CSA1" s="520"/>
      <c r="CSB1" s="520"/>
      <c r="CSC1" s="520"/>
      <c r="CSD1" s="520"/>
      <c r="CSE1" s="520"/>
      <c r="CSF1" s="520"/>
      <c r="CSG1" s="520"/>
      <c r="CSH1" s="520"/>
      <c r="CSI1" s="520"/>
      <c r="CSJ1" s="520"/>
      <c r="CSK1" s="520"/>
      <c r="CSL1" s="520"/>
      <c r="CSM1" s="520"/>
      <c r="CSN1" s="520"/>
      <c r="CSO1" s="520"/>
      <c r="CSP1" s="520"/>
      <c r="CSQ1" s="520"/>
      <c r="CSR1" s="520"/>
      <c r="CSS1" s="520"/>
      <c r="CST1" s="520"/>
      <c r="CSU1" s="520"/>
      <c r="CSV1" s="520"/>
      <c r="CSW1" s="520"/>
      <c r="CSX1" s="520"/>
      <c r="CSY1" s="520"/>
      <c r="CSZ1" s="520"/>
      <c r="CTA1" s="520"/>
      <c r="CTB1" s="520"/>
      <c r="CTC1" s="520"/>
      <c r="CTD1" s="520"/>
      <c r="CTE1" s="520"/>
      <c r="CTF1" s="520"/>
      <c r="CTG1" s="520"/>
      <c r="CTH1" s="520"/>
      <c r="CTI1" s="520"/>
      <c r="CTJ1" s="520"/>
      <c r="CTK1" s="520"/>
      <c r="CTL1" s="520"/>
      <c r="CTM1" s="520"/>
      <c r="CTN1" s="520"/>
      <c r="CTO1" s="520"/>
      <c r="CTP1" s="520"/>
      <c r="CTQ1" s="520"/>
      <c r="CTR1" s="520"/>
      <c r="CTS1" s="520"/>
      <c r="CTT1" s="520"/>
      <c r="CTU1" s="520"/>
      <c r="CTV1" s="520"/>
      <c r="CTW1" s="520"/>
      <c r="CTX1" s="520"/>
      <c r="CTY1" s="520"/>
      <c r="CTZ1" s="520"/>
      <c r="CUA1" s="520"/>
      <c r="CUB1" s="520"/>
      <c r="CUC1" s="520"/>
      <c r="CUD1" s="520"/>
      <c r="CUE1" s="520"/>
      <c r="CUF1" s="520"/>
      <c r="CUG1" s="520"/>
      <c r="CUH1" s="520"/>
      <c r="CUI1" s="520"/>
      <c r="CUJ1" s="520"/>
      <c r="CUK1" s="520"/>
      <c r="CUL1" s="520"/>
      <c r="CUM1" s="520"/>
      <c r="CUN1" s="520"/>
      <c r="CUO1" s="520"/>
      <c r="CUP1" s="520"/>
      <c r="CUQ1" s="520"/>
      <c r="CUR1" s="520"/>
      <c r="CUS1" s="520"/>
      <c r="CUT1" s="520"/>
      <c r="CUU1" s="520"/>
      <c r="CUV1" s="520"/>
      <c r="CUW1" s="520"/>
      <c r="CUX1" s="520"/>
      <c r="CUY1" s="520"/>
      <c r="CUZ1" s="520"/>
      <c r="CVA1" s="520"/>
      <c r="CVB1" s="520"/>
      <c r="CVC1" s="520"/>
      <c r="CVD1" s="520"/>
      <c r="CVE1" s="520"/>
      <c r="CVF1" s="520"/>
      <c r="CVG1" s="520"/>
      <c r="CVH1" s="520"/>
      <c r="CVI1" s="520"/>
      <c r="CVJ1" s="520"/>
      <c r="CVK1" s="520"/>
      <c r="CVL1" s="520"/>
      <c r="CVM1" s="520"/>
      <c r="CVN1" s="520"/>
      <c r="CVO1" s="520"/>
      <c r="CVP1" s="520"/>
      <c r="CVQ1" s="520"/>
      <c r="CVR1" s="520"/>
      <c r="CVS1" s="520"/>
      <c r="CVT1" s="520"/>
      <c r="CVU1" s="520"/>
      <c r="CVV1" s="520"/>
      <c r="CVW1" s="520"/>
      <c r="CVX1" s="520"/>
      <c r="CVY1" s="520"/>
      <c r="CVZ1" s="520"/>
      <c r="CWA1" s="520"/>
      <c r="CWB1" s="520"/>
      <c r="CWC1" s="520"/>
      <c r="CWD1" s="520"/>
      <c r="CWE1" s="520"/>
      <c r="CWF1" s="520"/>
      <c r="CWG1" s="520"/>
      <c r="CWH1" s="520"/>
      <c r="CWI1" s="520"/>
      <c r="CWJ1" s="520"/>
      <c r="CWK1" s="520"/>
      <c r="CWL1" s="520"/>
      <c r="CWM1" s="520"/>
      <c r="CWN1" s="520"/>
      <c r="CWO1" s="520"/>
      <c r="CWP1" s="520"/>
      <c r="CWQ1" s="520"/>
      <c r="CWR1" s="520"/>
      <c r="CWS1" s="520"/>
      <c r="CWT1" s="520"/>
      <c r="CWU1" s="520"/>
      <c r="CWV1" s="520"/>
      <c r="CWW1" s="520"/>
      <c r="CWX1" s="520"/>
      <c r="CWY1" s="520"/>
      <c r="CWZ1" s="520"/>
      <c r="CXA1" s="520"/>
      <c r="CXB1" s="520"/>
      <c r="CXC1" s="520"/>
      <c r="CXD1" s="520"/>
      <c r="CXE1" s="520"/>
      <c r="CXF1" s="520"/>
      <c r="CXG1" s="520"/>
      <c r="CXH1" s="520"/>
      <c r="CXI1" s="520"/>
      <c r="CXJ1" s="520"/>
      <c r="CXK1" s="520"/>
      <c r="CXL1" s="520"/>
      <c r="CXM1" s="520"/>
      <c r="CXN1" s="520"/>
      <c r="CXO1" s="520"/>
      <c r="CXP1" s="520"/>
      <c r="CXQ1" s="520"/>
      <c r="CXR1" s="520"/>
      <c r="CXS1" s="520"/>
      <c r="CXT1" s="520"/>
      <c r="CXU1" s="520"/>
      <c r="CXV1" s="520"/>
      <c r="CXW1" s="520"/>
      <c r="CXX1" s="520"/>
      <c r="CXY1" s="520"/>
      <c r="CXZ1" s="520"/>
      <c r="CYA1" s="520"/>
      <c r="CYB1" s="520"/>
      <c r="CYC1" s="520"/>
      <c r="CYD1" s="520"/>
      <c r="CYE1" s="520"/>
      <c r="CYF1" s="520"/>
      <c r="CYG1" s="520"/>
      <c r="CYH1" s="520"/>
      <c r="CYI1" s="520"/>
      <c r="CYJ1" s="520"/>
      <c r="CYK1" s="520"/>
      <c r="CYL1" s="520"/>
      <c r="CYM1" s="520"/>
      <c r="CYN1" s="520"/>
      <c r="CYO1" s="520"/>
      <c r="CYP1" s="520"/>
      <c r="CYQ1" s="520"/>
      <c r="CYR1" s="520"/>
      <c r="CYS1" s="520"/>
      <c r="CYT1" s="520"/>
      <c r="CYU1" s="520"/>
      <c r="CYV1" s="520"/>
      <c r="CYW1" s="520"/>
      <c r="CYX1" s="520"/>
      <c r="CYY1" s="520"/>
      <c r="CYZ1" s="520"/>
      <c r="CZA1" s="520"/>
      <c r="CZB1" s="520"/>
      <c r="CZC1" s="520"/>
      <c r="CZD1" s="520"/>
      <c r="CZE1" s="520"/>
      <c r="CZF1" s="520"/>
      <c r="CZG1" s="520"/>
      <c r="CZH1" s="520"/>
      <c r="CZI1" s="520"/>
      <c r="CZJ1" s="520"/>
      <c r="CZK1" s="520"/>
      <c r="CZL1" s="520"/>
      <c r="CZM1" s="520"/>
      <c r="CZN1" s="520"/>
      <c r="CZO1" s="520"/>
      <c r="CZP1" s="520"/>
      <c r="CZQ1" s="520"/>
      <c r="CZR1" s="520"/>
      <c r="CZS1" s="520"/>
      <c r="CZT1" s="520"/>
      <c r="CZU1" s="520"/>
      <c r="CZV1" s="520"/>
      <c r="CZW1" s="520"/>
      <c r="CZX1" s="520"/>
      <c r="CZY1" s="520"/>
      <c r="CZZ1" s="520"/>
      <c r="DAA1" s="520"/>
      <c r="DAB1" s="520"/>
      <c r="DAC1" s="520"/>
      <c r="DAD1" s="520"/>
      <c r="DAE1" s="520"/>
      <c r="DAF1" s="520"/>
      <c r="DAG1" s="520"/>
      <c r="DAH1" s="520"/>
      <c r="DAI1" s="520"/>
      <c r="DAJ1" s="520"/>
      <c r="DAK1" s="520"/>
      <c r="DAL1" s="520"/>
      <c r="DAM1" s="520"/>
      <c r="DAN1" s="520"/>
      <c r="DAO1" s="520"/>
      <c r="DAP1" s="520"/>
      <c r="DAQ1" s="520"/>
      <c r="DAR1" s="520"/>
      <c r="DAS1" s="520"/>
      <c r="DAT1" s="520"/>
      <c r="DAU1" s="520"/>
      <c r="DAV1" s="520"/>
      <c r="DAW1" s="520"/>
      <c r="DAX1" s="520"/>
      <c r="DAY1" s="520"/>
      <c r="DAZ1" s="520"/>
      <c r="DBA1" s="520"/>
      <c r="DBB1" s="520"/>
      <c r="DBC1" s="520"/>
      <c r="DBD1" s="520"/>
      <c r="DBE1" s="520"/>
      <c r="DBF1" s="520"/>
      <c r="DBG1" s="520"/>
      <c r="DBH1" s="520"/>
      <c r="DBI1" s="520"/>
      <c r="DBJ1" s="520"/>
      <c r="DBK1" s="520"/>
      <c r="DBL1" s="520"/>
      <c r="DBM1" s="520"/>
      <c r="DBN1" s="520"/>
      <c r="DBO1" s="520"/>
      <c r="DBP1" s="520"/>
      <c r="DBQ1" s="520"/>
      <c r="DBR1" s="520"/>
      <c r="DBS1" s="520"/>
      <c r="DBT1" s="520"/>
      <c r="DBU1" s="520"/>
      <c r="DBV1" s="520"/>
      <c r="DBW1" s="520"/>
      <c r="DBX1" s="520"/>
      <c r="DBY1" s="520"/>
      <c r="DBZ1" s="520"/>
      <c r="DCA1" s="520"/>
      <c r="DCB1" s="520"/>
      <c r="DCC1" s="520"/>
      <c r="DCD1" s="520"/>
      <c r="DCE1" s="520"/>
      <c r="DCF1" s="520"/>
      <c r="DCG1" s="520"/>
      <c r="DCH1" s="520"/>
      <c r="DCI1" s="520"/>
      <c r="DCJ1" s="520"/>
      <c r="DCK1" s="520"/>
      <c r="DCL1" s="520"/>
      <c r="DCM1" s="520"/>
      <c r="DCN1" s="520"/>
      <c r="DCO1" s="520"/>
      <c r="DCP1" s="520"/>
      <c r="DCQ1" s="520"/>
      <c r="DCR1" s="520"/>
      <c r="DCS1" s="520"/>
      <c r="DCT1" s="520"/>
      <c r="DCU1" s="520"/>
      <c r="DCV1" s="520"/>
      <c r="DCW1" s="520"/>
      <c r="DCX1" s="520"/>
      <c r="DCY1" s="520"/>
      <c r="DCZ1" s="520"/>
      <c r="DDA1" s="520"/>
      <c r="DDB1" s="520"/>
      <c r="DDC1" s="520"/>
      <c r="DDD1" s="520"/>
      <c r="DDE1" s="520"/>
      <c r="DDF1" s="520"/>
      <c r="DDG1" s="520"/>
      <c r="DDH1" s="520"/>
      <c r="DDI1" s="520"/>
      <c r="DDJ1" s="520"/>
      <c r="DDK1" s="520"/>
      <c r="DDL1" s="520"/>
      <c r="DDM1" s="520"/>
      <c r="DDN1" s="520"/>
      <c r="DDO1" s="520"/>
      <c r="DDP1" s="520"/>
      <c r="DDQ1" s="520"/>
      <c r="DDR1" s="520"/>
      <c r="DDS1" s="520"/>
      <c r="DDT1" s="520"/>
      <c r="DDU1" s="520"/>
      <c r="DDV1" s="520"/>
      <c r="DDW1" s="520"/>
      <c r="DDX1" s="520"/>
      <c r="DDY1" s="520"/>
      <c r="DDZ1" s="520"/>
      <c r="DEA1" s="520"/>
      <c r="DEB1" s="520"/>
      <c r="DEC1" s="520"/>
      <c r="DED1" s="520"/>
      <c r="DEE1" s="520"/>
      <c r="DEF1" s="520"/>
      <c r="DEG1" s="520"/>
      <c r="DEH1" s="520"/>
      <c r="DEI1" s="520"/>
      <c r="DEJ1" s="520"/>
      <c r="DEK1" s="520"/>
      <c r="DEL1" s="520"/>
      <c r="DEM1" s="520"/>
      <c r="DEN1" s="520"/>
      <c r="DEO1" s="520"/>
      <c r="DEP1" s="520"/>
      <c r="DEQ1" s="520"/>
      <c r="DER1" s="520"/>
      <c r="DES1" s="520"/>
      <c r="DET1" s="520"/>
      <c r="DEU1" s="520"/>
      <c r="DEV1" s="520"/>
      <c r="DEW1" s="520"/>
      <c r="DEX1" s="520"/>
      <c r="DEY1" s="520"/>
      <c r="DEZ1" s="520"/>
      <c r="DFA1" s="520"/>
      <c r="DFB1" s="520"/>
      <c r="DFC1" s="520"/>
      <c r="DFD1" s="520"/>
      <c r="DFE1" s="520"/>
      <c r="DFF1" s="520"/>
      <c r="DFG1" s="520"/>
      <c r="DFH1" s="520"/>
      <c r="DFI1" s="520"/>
      <c r="DFJ1" s="520"/>
      <c r="DFK1" s="520"/>
      <c r="DFL1" s="520"/>
      <c r="DFM1" s="520"/>
      <c r="DFN1" s="520"/>
      <c r="DFO1" s="520"/>
      <c r="DFP1" s="520"/>
      <c r="DFQ1" s="520"/>
      <c r="DFR1" s="520"/>
      <c r="DFS1" s="520"/>
      <c r="DFT1" s="520"/>
      <c r="DFU1" s="520"/>
      <c r="DFV1" s="520"/>
      <c r="DFW1" s="520"/>
      <c r="DFX1" s="520"/>
      <c r="DFY1" s="520"/>
      <c r="DFZ1" s="520"/>
      <c r="DGA1" s="520"/>
      <c r="DGB1" s="520"/>
      <c r="DGC1" s="520"/>
      <c r="DGD1" s="520"/>
      <c r="DGE1" s="520"/>
      <c r="DGF1" s="520"/>
      <c r="DGG1" s="520"/>
      <c r="DGH1" s="520"/>
      <c r="DGI1" s="520"/>
      <c r="DGJ1" s="520"/>
      <c r="DGK1" s="520"/>
      <c r="DGL1" s="520"/>
      <c r="DGM1" s="520"/>
      <c r="DGN1" s="520"/>
      <c r="DGO1" s="520"/>
      <c r="DGP1" s="520"/>
      <c r="DGQ1" s="520"/>
      <c r="DGR1" s="520"/>
      <c r="DGS1" s="520"/>
      <c r="DGT1" s="520"/>
      <c r="DGU1" s="520"/>
      <c r="DGV1" s="520"/>
      <c r="DGW1" s="520"/>
      <c r="DGX1" s="520"/>
      <c r="DGY1" s="520"/>
      <c r="DGZ1" s="520"/>
      <c r="DHA1" s="520"/>
      <c r="DHB1" s="520"/>
      <c r="DHC1" s="520"/>
      <c r="DHD1" s="520"/>
      <c r="DHE1" s="520"/>
      <c r="DHF1" s="520"/>
      <c r="DHG1" s="520"/>
      <c r="DHH1" s="520"/>
      <c r="DHI1" s="520"/>
      <c r="DHJ1" s="520"/>
      <c r="DHK1" s="520"/>
      <c r="DHL1" s="520"/>
      <c r="DHM1" s="520"/>
      <c r="DHN1" s="520"/>
      <c r="DHO1" s="520"/>
      <c r="DHP1" s="520"/>
      <c r="DHQ1" s="520"/>
      <c r="DHR1" s="520"/>
      <c r="DHS1" s="520"/>
      <c r="DHT1" s="520"/>
      <c r="DHU1" s="520"/>
      <c r="DHV1" s="520"/>
      <c r="DHW1" s="520"/>
      <c r="DHX1" s="520"/>
      <c r="DHY1" s="520"/>
      <c r="DHZ1" s="520"/>
      <c r="DIA1" s="520"/>
      <c r="DIB1" s="520"/>
      <c r="DIC1" s="520"/>
      <c r="DID1" s="520"/>
      <c r="DIE1" s="520"/>
      <c r="DIF1" s="520"/>
      <c r="DIG1" s="520"/>
      <c r="DIH1" s="520"/>
      <c r="DII1" s="520"/>
      <c r="DIJ1" s="520"/>
      <c r="DIK1" s="520"/>
      <c r="DIL1" s="520"/>
      <c r="DIM1" s="520"/>
      <c r="DIN1" s="520"/>
      <c r="DIO1" s="520"/>
      <c r="DIP1" s="520"/>
      <c r="DIQ1" s="520"/>
      <c r="DIR1" s="520"/>
      <c r="DIS1" s="520"/>
      <c r="DIT1" s="520"/>
      <c r="DIU1" s="520"/>
      <c r="DIV1" s="520"/>
      <c r="DIW1" s="520"/>
      <c r="DIX1" s="520"/>
      <c r="DIY1" s="520"/>
      <c r="DIZ1" s="520"/>
      <c r="DJA1" s="520"/>
      <c r="DJB1" s="520"/>
      <c r="DJC1" s="520"/>
      <c r="DJD1" s="520"/>
      <c r="DJE1" s="520"/>
      <c r="DJF1" s="520"/>
      <c r="DJG1" s="520"/>
      <c r="DJH1" s="520"/>
      <c r="DJI1" s="520"/>
      <c r="DJJ1" s="520"/>
      <c r="DJK1" s="520"/>
      <c r="DJL1" s="520"/>
      <c r="DJM1" s="520"/>
      <c r="DJN1" s="520"/>
      <c r="DJO1" s="520"/>
      <c r="DJP1" s="520"/>
      <c r="DJQ1" s="520"/>
      <c r="DJR1" s="520"/>
      <c r="DJS1" s="520"/>
      <c r="DJT1" s="520"/>
      <c r="DJU1" s="520"/>
      <c r="DJV1" s="520"/>
      <c r="DJW1" s="520"/>
      <c r="DJX1" s="520"/>
      <c r="DJY1" s="520"/>
      <c r="DJZ1" s="520"/>
      <c r="DKA1" s="520"/>
      <c r="DKB1" s="520"/>
      <c r="DKC1" s="520"/>
      <c r="DKD1" s="520"/>
      <c r="DKE1" s="520"/>
      <c r="DKF1" s="520"/>
      <c r="DKG1" s="520"/>
      <c r="DKH1" s="520"/>
      <c r="DKI1" s="520"/>
      <c r="DKJ1" s="520"/>
      <c r="DKK1" s="520"/>
      <c r="DKL1" s="520"/>
      <c r="DKM1" s="520"/>
      <c r="DKN1" s="520"/>
      <c r="DKO1" s="520"/>
      <c r="DKP1" s="520"/>
      <c r="DKQ1" s="520"/>
      <c r="DKR1" s="520"/>
      <c r="DKS1" s="520"/>
      <c r="DKT1" s="520"/>
      <c r="DKU1" s="520"/>
      <c r="DKV1" s="520"/>
      <c r="DKW1" s="520"/>
      <c r="DKX1" s="520"/>
      <c r="DKY1" s="520"/>
      <c r="DKZ1" s="520"/>
      <c r="DLA1" s="520"/>
      <c r="DLB1" s="520"/>
      <c r="DLC1" s="520"/>
      <c r="DLD1" s="520"/>
      <c r="DLE1" s="520"/>
      <c r="DLF1" s="520"/>
      <c r="DLG1" s="520"/>
      <c r="DLH1" s="520"/>
      <c r="DLI1" s="520"/>
      <c r="DLJ1" s="520"/>
      <c r="DLK1" s="520"/>
      <c r="DLL1" s="520"/>
      <c r="DLM1" s="520"/>
      <c r="DLN1" s="520"/>
      <c r="DLO1" s="520"/>
      <c r="DLP1" s="520"/>
      <c r="DLQ1" s="520"/>
      <c r="DLR1" s="520"/>
      <c r="DLS1" s="520"/>
      <c r="DLT1" s="520"/>
      <c r="DLU1" s="520"/>
      <c r="DLV1" s="520"/>
      <c r="DLW1" s="520"/>
      <c r="DLX1" s="520"/>
      <c r="DLY1" s="520"/>
      <c r="DLZ1" s="520"/>
      <c r="DMA1" s="520"/>
      <c r="DMB1" s="520"/>
      <c r="DMC1" s="520"/>
      <c r="DMD1" s="520"/>
      <c r="DME1" s="520"/>
      <c r="DMF1" s="520"/>
      <c r="DMG1" s="520"/>
      <c r="DMH1" s="520"/>
      <c r="DMI1" s="520"/>
      <c r="DMJ1" s="520"/>
      <c r="DMK1" s="520"/>
      <c r="DML1" s="520"/>
      <c r="DMM1" s="520"/>
      <c r="DMN1" s="520"/>
      <c r="DMO1" s="520"/>
      <c r="DMP1" s="520"/>
      <c r="DMQ1" s="520"/>
      <c r="DMR1" s="520"/>
      <c r="DMS1" s="520"/>
      <c r="DMT1" s="520"/>
      <c r="DMU1" s="520"/>
      <c r="DMV1" s="520"/>
      <c r="DMW1" s="520"/>
      <c r="DMX1" s="520"/>
      <c r="DMY1" s="520"/>
      <c r="DMZ1" s="520"/>
      <c r="DNA1" s="520"/>
      <c r="DNB1" s="520"/>
      <c r="DNC1" s="520"/>
      <c r="DND1" s="520"/>
      <c r="DNE1" s="520"/>
      <c r="DNF1" s="520"/>
      <c r="DNG1" s="520"/>
      <c r="DNH1" s="520"/>
      <c r="DNI1" s="520"/>
      <c r="DNJ1" s="520"/>
      <c r="DNK1" s="520"/>
      <c r="DNL1" s="520"/>
      <c r="DNM1" s="520"/>
      <c r="DNN1" s="520"/>
      <c r="DNO1" s="520"/>
      <c r="DNP1" s="520"/>
      <c r="DNQ1" s="520"/>
      <c r="DNR1" s="520"/>
      <c r="DNS1" s="520"/>
      <c r="DNT1" s="520"/>
      <c r="DNU1" s="520"/>
      <c r="DNV1" s="520"/>
      <c r="DNW1" s="520"/>
      <c r="DNX1" s="520"/>
      <c r="DNY1" s="520"/>
      <c r="DNZ1" s="520"/>
      <c r="DOA1" s="520"/>
      <c r="DOB1" s="520"/>
      <c r="DOC1" s="520"/>
      <c r="DOD1" s="520"/>
      <c r="DOE1" s="520"/>
      <c r="DOF1" s="520"/>
      <c r="DOG1" s="520"/>
      <c r="DOH1" s="520"/>
      <c r="DOI1" s="520"/>
      <c r="DOJ1" s="520"/>
      <c r="DOK1" s="520"/>
      <c r="DOL1" s="520"/>
      <c r="DOM1" s="520"/>
      <c r="DON1" s="520"/>
      <c r="DOO1" s="520"/>
      <c r="DOP1" s="520"/>
      <c r="DOQ1" s="520"/>
      <c r="DOR1" s="520"/>
      <c r="DOS1" s="520"/>
      <c r="DOT1" s="520"/>
      <c r="DOU1" s="520"/>
      <c r="DOV1" s="520"/>
      <c r="DOW1" s="520"/>
      <c r="DOX1" s="520"/>
      <c r="DOY1" s="520"/>
      <c r="DOZ1" s="520"/>
      <c r="DPA1" s="520"/>
      <c r="DPB1" s="520"/>
      <c r="DPC1" s="520"/>
      <c r="DPD1" s="520"/>
      <c r="DPE1" s="520"/>
      <c r="DPF1" s="520"/>
      <c r="DPG1" s="520"/>
      <c r="DPH1" s="520"/>
      <c r="DPI1" s="520"/>
      <c r="DPJ1" s="520"/>
      <c r="DPK1" s="520"/>
      <c r="DPL1" s="520"/>
      <c r="DPM1" s="520"/>
      <c r="DPN1" s="520"/>
      <c r="DPO1" s="520"/>
      <c r="DPP1" s="520"/>
      <c r="DPQ1" s="520"/>
      <c r="DPR1" s="520"/>
      <c r="DPS1" s="520"/>
      <c r="DPT1" s="520"/>
      <c r="DPU1" s="520"/>
      <c r="DPV1" s="520"/>
      <c r="DPW1" s="520"/>
      <c r="DPX1" s="520"/>
      <c r="DPY1" s="520"/>
      <c r="DPZ1" s="520"/>
      <c r="DQA1" s="520"/>
      <c r="DQB1" s="520"/>
      <c r="DQC1" s="520"/>
      <c r="DQD1" s="520"/>
      <c r="DQE1" s="520"/>
      <c r="DQF1" s="520"/>
      <c r="DQG1" s="520"/>
      <c r="DQH1" s="520"/>
      <c r="DQI1" s="520"/>
      <c r="DQJ1" s="520"/>
      <c r="DQK1" s="520"/>
      <c r="DQL1" s="520"/>
      <c r="DQM1" s="520"/>
      <c r="DQN1" s="520"/>
      <c r="DQO1" s="520"/>
      <c r="DQP1" s="520"/>
      <c r="DQQ1" s="520"/>
      <c r="DQR1" s="520"/>
      <c r="DQS1" s="520"/>
      <c r="DQT1" s="520"/>
      <c r="DQU1" s="520"/>
      <c r="DQV1" s="520"/>
      <c r="DQW1" s="520"/>
      <c r="DQX1" s="520"/>
      <c r="DQY1" s="520"/>
      <c r="DQZ1" s="520"/>
      <c r="DRA1" s="520"/>
      <c r="DRB1" s="520"/>
      <c r="DRC1" s="520"/>
      <c r="DRD1" s="520"/>
      <c r="DRE1" s="520"/>
      <c r="DRF1" s="520"/>
      <c r="DRG1" s="520"/>
      <c r="DRH1" s="520"/>
      <c r="DRI1" s="520"/>
      <c r="DRJ1" s="520"/>
      <c r="DRK1" s="520"/>
      <c r="DRL1" s="520"/>
      <c r="DRM1" s="520"/>
      <c r="DRN1" s="520"/>
      <c r="DRO1" s="520"/>
      <c r="DRP1" s="520"/>
      <c r="DRQ1" s="520"/>
      <c r="DRR1" s="520"/>
      <c r="DRS1" s="520"/>
      <c r="DRT1" s="520"/>
      <c r="DRU1" s="520"/>
      <c r="DRV1" s="520"/>
      <c r="DRW1" s="520"/>
      <c r="DRX1" s="520"/>
      <c r="DRY1" s="520"/>
      <c r="DRZ1" s="520"/>
      <c r="DSA1" s="520"/>
      <c r="DSB1" s="520"/>
      <c r="DSC1" s="520"/>
      <c r="DSD1" s="520"/>
      <c r="DSE1" s="520"/>
      <c r="DSF1" s="520"/>
      <c r="DSG1" s="520"/>
      <c r="DSH1" s="520"/>
      <c r="DSI1" s="520"/>
      <c r="DSJ1" s="520"/>
      <c r="DSK1" s="520"/>
      <c r="DSL1" s="520"/>
      <c r="DSM1" s="520"/>
      <c r="DSN1" s="520"/>
      <c r="DSO1" s="520"/>
      <c r="DSP1" s="520"/>
      <c r="DSQ1" s="520"/>
      <c r="DSR1" s="520"/>
      <c r="DSS1" s="520"/>
      <c r="DST1" s="520"/>
      <c r="DSU1" s="520"/>
      <c r="DSV1" s="520"/>
      <c r="DSW1" s="520"/>
      <c r="DSX1" s="520"/>
      <c r="DSY1" s="520"/>
      <c r="DSZ1" s="520"/>
      <c r="DTA1" s="520"/>
      <c r="DTB1" s="520"/>
      <c r="DTC1" s="520"/>
      <c r="DTD1" s="520"/>
      <c r="DTE1" s="520"/>
      <c r="DTF1" s="520"/>
      <c r="DTG1" s="520"/>
      <c r="DTH1" s="520"/>
      <c r="DTI1" s="520"/>
      <c r="DTJ1" s="520"/>
      <c r="DTK1" s="520"/>
      <c r="DTL1" s="520"/>
      <c r="DTM1" s="520"/>
      <c r="DTN1" s="520"/>
      <c r="DTO1" s="520"/>
      <c r="DTP1" s="520"/>
      <c r="DTQ1" s="520"/>
      <c r="DTR1" s="520"/>
      <c r="DTS1" s="520"/>
      <c r="DTT1" s="520"/>
      <c r="DTU1" s="520"/>
      <c r="DTV1" s="520"/>
      <c r="DTW1" s="520"/>
      <c r="DTX1" s="520"/>
      <c r="DTY1" s="520"/>
      <c r="DTZ1" s="520"/>
      <c r="DUA1" s="520"/>
      <c r="DUB1" s="520"/>
      <c r="DUC1" s="520"/>
      <c r="DUD1" s="520"/>
      <c r="DUE1" s="520"/>
      <c r="DUF1" s="520"/>
      <c r="DUG1" s="520"/>
      <c r="DUH1" s="520"/>
      <c r="DUI1" s="520"/>
      <c r="DUJ1" s="520"/>
      <c r="DUK1" s="520"/>
      <c r="DUL1" s="520"/>
      <c r="DUM1" s="520"/>
      <c r="DUN1" s="520"/>
      <c r="DUO1" s="520"/>
      <c r="DUP1" s="520"/>
      <c r="DUQ1" s="520"/>
      <c r="DUR1" s="520"/>
      <c r="DUS1" s="520"/>
      <c r="DUT1" s="520"/>
      <c r="DUU1" s="520"/>
      <c r="DUV1" s="520"/>
      <c r="DUW1" s="520"/>
      <c r="DUX1" s="520"/>
      <c r="DUY1" s="520"/>
      <c r="DUZ1" s="520"/>
      <c r="DVA1" s="520"/>
      <c r="DVB1" s="520"/>
      <c r="DVC1" s="520"/>
      <c r="DVD1" s="520"/>
      <c r="DVE1" s="520"/>
      <c r="DVF1" s="520"/>
      <c r="DVG1" s="520"/>
      <c r="DVH1" s="520"/>
      <c r="DVI1" s="520"/>
      <c r="DVJ1" s="520"/>
      <c r="DVK1" s="520"/>
      <c r="DVL1" s="520"/>
      <c r="DVM1" s="520"/>
      <c r="DVN1" s="520"/>
      <c r="DVO1" s="520"/>
      <c r="DVP1" s="520"/>
      <c r="DVQ1" s="520"/>
      <c r="DVR1" s="520"/>
      <c r="DVS1" s="520"/>
      <c r="DVT1" s="520"/>
      <c r="DVU1" s="520"/>
      <c r="DVV1" s="520"/>
      <c r="DVW1" s="520"/>
      <c r="DVX1" s="520"/>
      <c r="DVY1" s="520"/>
      <c r="DVZ1" s="520"/>
      <c r="DWA1" s="520"/>
      <c r="DWB1" s="520"/>
      <c r="DWC1" s="520"/>
      <c r="DWD1" s="520"/>
      <c r="DWE1" s="520"/>
      <c r="DWF1" s="520"/>
      <c r="DWG1" s="520"/>
      <c r="DWH1" s="520"/>
      <c r="DWI1" s="520"/>
      <c r="DWJ1" s="520"/>
      <c r="DWK1" s="520"/>
      <c r="DWL1" s="520"/>
      <c r="DWM1" s="520"/>
      <c r="DWN1" s="520"/>
      <c r="DWO1" s="520"/>
      <c r="DWP1" s="520"/>
      <c r="DWQ1" s="520"/>
      <c r="DWR1" s="520"/>
      <c r="DWS1" s="520"/>
      <c r="DWT1" s="520"/>
      <c r="DWU1" s="520"/>
      <c r="DWV1" s="520"/>
      <c r="DWW1" s="520"/>
      <c r="DWX1" s="520"/>
      <c r="DWY1" s="520"/>
      <c r="DWZ1" s="520"/>
      <c r="DXA1" s="520"/>
      <c r="DXB1" s="520"/>
      <c r="DXC1" s="520"/>
      <c r="DXD1" s="520"/>
      <c r="DXE1" s="520"/>
      <c r="DXF1" s="520"/>
      <c r="DXG1" s="520"/>
      <c r="DXH1" s="520"/>
      <c r="DXI1" s="520"/>
      <c r="DXJ1" s="520"/>
      <c r="DXK1" s="520"/>
      <c r="DXL1" s="520"/>
      <c r="DXM1" s="520"/>
      <c r="DXN1" s="520"/>
      <c r="DXO1" s="520"/>
      <c r="DXP1" s="520"/>
      <c r="DXQ1" s="520"/>
      <c r="DXR1" s="520"/>
      <c r="DXS1" s="520"/>
      <c r="DXT1" s="520"/>
      <c r="DXU1" s="520"/>
      <c r="DXV1" s="520"/>
      <c r="DXW1" s="520"/>
      <c r="DXX1" s="520"/>
      <c r="DXY1" s="520"/>
      <c r="DXZ1" s="520"/>
      <c r="DYA1" s="520"/>
      <c r="DYB1" s="520"/>
      <c r="DYC1" s="520"/>
      <c r="DYD1" s="520"/>
      <c r="DYE1" s="520"/>
      <c r="DYF1" s="520"/>
      <c r="DYG1" s="520"/>
      <c r="DYH1" s="520"/>
      <c r="DYI1" s="520"/>
      <c r="DYJ1" s="520"/>
      <c r="DYK1" s="520"/>
      <c r="DYL1" s="520"/>
      <c r="DYM1" s="520"/>
      <c r="DYN1" s="520"/>
      <c r="DYO1" s="520"/>
      <c r="DYP1" s="520"/>
      <c r="DYQ1" s="520"/>
      <c r="DYR1" s="520"/>
      <c r="DYS1" s="520"/>
      <c r="DYT1" s="520"/>
      <c r="DYU1" s="520"/>
      <c r="DYV1" s="520"/>
      <c r="DYW1" s="520"/>
      <c r="DYX1" s="520"/>
      <c r="DYY1" s="520"/>
      <c r="DYZ1" s="520"/>
      <c r="DZA1" s="520"/>
      <c r="DZB1" s="520"/>
      <c r="DZC1" s="520"/>
      <c r="DZD1" s="520"/>
      <c r="DZE1" s="520"/>
      <c r="DZF1" s="520"/>
      <c r="DZG1" s="520"/>
      <c r="DZH1" s="520"/>
      <c r="DZI1" s="520"/>
      <c r="DZJ1" s="520"/>
      <c r="DZK1" s="520"/>
      <c r="DZL1" s="520"/>
      <c r="DZM1" s="520"/>
      <c r="DZN1" s="520"/>
      <c r="DZO1" s="520"/>
      <c r="DZP1" s="520"/>
      <c r="DZQ1" s="520"/>
      <c r="DZR1" s="520"/>
      <c r="DZS1" s="520"/>
      <c r="DZT1" s="520"/>
      <c r="DZU1" s="520"/>
      <c r="DZV1" s="520"/>
      <c r="DZW1" s="520"/>
      <c r="DZX1" s="520"/>
      <c r="DZY1" s="520"/>
      <c r="DZZ1" s="520"/>
      <c r="EAA1" s="520"/>
      <c r="EAB1" s="520"/>
      <c r="EAC1" s="520"/>
      <c r="EAD1" s="520"/>
      <c r="EAE1" s="520"/>
      <c r="EAF1" s="520"/>
      <c r="EAG1" s="520"/>
      <c r="EAH1" s="520"/>
      <c r="EAI1" s="520"/>
      <c r="EAJ1" s="520"/>
      <c r="EAK1" s="520"/>
      <c r="EAL1" s="520"/>
      <c r="EAM1" s="520"/>
      <c r="EAN1" s="520"/>
      <c r="EAO1" s="520"/>
      <c r="EAP1" s="520"/>
      <c r="EAQ1" s="520"/>
      <c r="EAR1" s="520"/>
      <c r="EAS1" s="520"/>
      <c r="EAT1" s="520"/>
      <c r="EAU1" s="520"/>
      <c r="EAV1" s="520"/>
      <c r="EAW1" s="520"/>
      <c r="EAX1" s="520"/>
      <c r="EAY1" s="520"/>
      <c r="EAZ1" s="520"/>
      <c r="EBA1" s="520"/>
      <c r="EBB1" s="520"/>
      <c r="EBC1" s="520"/>
      <c r="EBD1" s="520"/>
      <c r="EBE1" s="520"/>
      <c r="EBF1" s="520"/>
      <c r="EBG1" s="520"/>
      <c r="EBH1" s="520"/>
      <c r="EBI1" s="520"/>
      <c r="EBJ1" s="520"/>
      <c r="EBK1" s="520"/>
      <c r="EBL1" s="520"/>
      <c r="EBM1" s="520"/>
      <c r="EBN1" s="520"/>
      <c r="EBO1" s="520"/>
      <c r="EBP1" s="520"/>
      <c r="EBQ1" s="520"/>
      <c r="EBR1" s="520"/>
      <c r="EBS1" s="520"/>
      <c r="EBT1" s="520"/>
      <c r="EBU1" s="520"/>
      <c r="EBV1" s="520"/>
      <c r="EBW1" s="520"/>
      <c r="EBX1" s="520"/>
      <c r="EBY1" s="520"/>
      <c r="EBZ1" s="520"/>
      <c r="ECA1" s="520"/>
      <c r="ECB1" s="520"/>
      <c r="ECC1" s="520"/>
      <c r="ECD1" s="520"/>
      <c r="ECE1" s="520"/>
      <c r="ECF1" s="520"/>
      <c r="ECG1" s="520"/>
      <c r="ECH1" s="520"/>
      <c r="ECI1" s="520"/>
      <c r="ECJ1" s="520"/>
      <c r="ECK1" s="520"/>
      <c r="ECL1" s="520"/>
      <c r="ECM1" s="520"/>
      <c r="ECN1" s="520"/>
      <c r="ECO1" s="520"/>
      <c r="ECP1" s="520"/>
      <c r="ECQ1" s="520"/>
      <c r="ECR1" s="520"/>
      <c r="ECS1" s="520"/>
      <c r="ECT1" s="520"/>
      <c r="ECU1" s="520"/>
      <c r="ECV1" s="520"/>
      <c r="ECW1" s="520"/>
      <c r="ECX1" s="520"/>
      <c r="ECY1" s="520"/>
      <c r="ECZ1" s="520"/>
      <c r="EDA1" s="520"/>
      <c r="EDB1" s="520"/>
      <c r="EDC1" s="520"/>
      <c r="EDD1" s="520"/>
      <c r="EDE1" s="520"/>
      <c r="EDF1" s="520"/>
      <c r="EDG1" s="520"/>
      <c r="EDH1" s="520"/>
      <c r="EDI1" s="520"/>
      <c r="EDJ1" s="520"/>
      <c r="EDK1" s="520"/>
      <c r="EDL1" s="520"/>
      <c r="EDM1" s="520"/>
      <c r="EDN1" s="520"/>
      <c r="EDO1" s="520"/>
      <c r="EDP1" s="520"/>
      <c r="EDQ1" s="520"/>
      <c r="EDR1" s="520"/>
      <c r="EDS1" s="520"/>
      <c r="EDT1" s="520"/>
      <c r="EDU1" s="520"/>
      <c r="EDV1" s="520"/>
      <c r="EDW1" s="520"/>
      <c r="EDX1" s="520"/>
      <c r="EDY1" s="520"/>
      <c r="EDZ1" s="520"/>
      <c r="EEA1" s="520"/>
      <c r="EEB1" s="520"/>
      <c r="EEC1" s="520"/>
      <c r="EED1" s="520"/>
      <c r="EEE1" s="520"/>
      <c r="EEF1" s="520"/>
      <c r="EEG1" s="520"/>
      <c r="EEH1" s="520"/>
      <c r="EEI1" s="520"/>
      <c r="EEJ1" s="520"/>
      <c r="EEK1" s="520"/>
      <c r="EEL1" s="520"/>
      <c r="EEM1" s="520"/>
      <c r="EEN1" s="520"/>
      <c r="EEO1" s="520"/>
      <c r="EEP1" s="520"/>
      <c r="EEQ1" s="520"/>
      <c r="EER1" s="520"/>
      <c r="EES1" s="520"/>
      <c r="EET1" s="520"/>
      <c r="EEU1" s="520"/>
      <c r="EEV1" s="520"/>
      <c r="EEW1" s="520"/>
      <c r="EEX1" s="520"/>
      <c r="EEY1" s="520"/>
      <c r="EEZ1" s="520"/>
      <c r="EFA1" s="520"/>
      <c r="EFB1" s="520"/>
      <c r="EFC1" s="520"/>
      <c r="EFD1" s="520"/>
      <c r="EFE1" s="520"/>
      <c r="EFF1" s="520"/>
      <c r="EFG1" s="520"/>
      <c r="EFH1" s="520"/>
      <c r="EFI1" s="520"/>
      <c r="EFJ1" s="520"/>
      <c r="EFK1" s="520"/>
      <c r="EFL1" s="520"/>
      <c r="EFM1" s="520"/>
      <c r="EFN1" s="520"/>
      <c r="EFO1" s="520"/>
      <c r="EFP1" s="520"/>
      <c r="EFQ1" s="520"/>
      <c r="EFR1" s="520"/>
      <c r="EFS1" s="520"/>
      <c r="EFT1" s="520"/>
      <c r="EFU1" s="520"/>
      <c r="EFV1" s="520"/>
      <c r="EFW1" s="520"/>
      <c r="EFX1" s="520"/>
      <c r="EFY1" s="520"/>
      <c r="EFZ1" s="520"/>
      <c r="EGA1" s="520"/>
      <c r="EGB1" s="520"/>
      <c r="EGC1" s="520"/>
      <c r="EGD1" s="520"/>
      <c r="EGE1" s="520"/>
      <c r="EGF1" s="520"/>
      <c r="EGG1" s="520"/>
      <c r="EGH1" s="520"/>
      <c r="EGI1" s="520"/>
      <c r="EGJ1" s="520"/>
      <c r="EGK1" s="520"/>
      <c r="EGL1" s="520"/>
      <c r="EGM1" s="520"/>
      <c r="EGN1" s="520"/>
      <c r="EGO1" s="520"/>
      <c r="EGP1" s="520"/>
      <c r="EGQ1" s="520"/>
      <c r="EGR1" s="520"/>
      <c r="EGS1" s="520"/>
      <c r="EGT1" s="520"/>
      <c r="EGU1" s="520"/>
      <c r="EGV1" s="520"/>
      <c r="EGW1" s="520"/>
      <c r="EGX1" s="520"/>
      <c r="EGY1" s="520"/>
      <c r="EGZ1" s="520"/>
      <c r="EHA1" s="520"/>
      <c r="EHB1" s="520"/>
      <c r="EHC1" s="520"/>
      <c r="EHD1" s="520"/>
      <c r="EHE1" s="520"/>
      <c r="EHF1" s="520"/>
      <c r="EHG1" s="520"/>
      <c r="EHH1" s="520"/>
      <c r="EHI1" s="520"/>
      <c r="EHJ1" s="520"/>
      <c r="EHK1" s="520"/>
      <c r="EHL1" s="520"/>
      <c r="EHM1" s="520"/>
      <c r="EHN1" s="520"/>
      <c r="EHO1" s="520"/>
      <c r="EHP1" s="520"/>
      <c r="EHQ1" s="520"/>
      <c r="EHR1" s="520"/>
      <c r="EHS1" s="520"/>
      <c r="EHT1" s="520"/>
      <c r="EHU1" s="520"/>
      <c r="EHV1" s="520"/>
      <c r="EHW1" s="520"/>
      <c r="EHX1" s="520"/>
      <c r="EHY1" s="520"/>
      <c r="EHZ1" s="520"/>
      <c r="EIA1" s="520"/>
      <c r="EIB1" s="520"/>
      <c r="EIC1" s="520"/>
      <c r="EID1" s="520"/>
      <c r="EIE1" s="520"/>
      <c r="EIF1" s="520"/>
      <c r="EIG1" s="520"/>
      <c r="EIH1" s="520"/>
      <c r="EII1" s="520"/>
      <c r="EIJ1" s="520"/>
      <c r="EIK1" s="520"/>
      <c r="EIL1" s="520"/>
      <c r="EIM1" s="520"/>
      <c r="EIN1" s="520"/>
      <c r="EIO1" s="520"/>
      <c r="EIP1" s="520"/>
      <c r="EIQ1" s="520"/>
      <c r="EIR1" s="520"/>
      <c r="EIS1" s="520"/>
      <c r="EIT1" s="520"/>
      <c r="EIU1" s="520"/>
      <c r="EIV1" s="520"/>
      <c r="EIW1" s="520"/>
      <c r="EIX1" s="520"/>
      <c r="EIY1" s="520"/>
      <c r="EIZ1" s="520"/>
      <c r="EJA1" s="520"/>
      <c r="EJB1" s="520"/>
      <c r="EJC1" s="520"/>
      <c r="EJD1" s="520"/>
      <c r="EJE1" s="520"/>
      <c r="EJF1" s="520"/>
      <c r="EJG1" s="520"/>
      <c r="EJH1" s="520"/>
      <c r="EJI1" s="520"/>
      <c r="EJJ1" s="520"/>
      <c r="EJK1" s="520"/>
      <c r="EJL1" s="520"/>
      <c r="EJM1" s="520"/>
      <c r="EJN1" s="520"/>
      <c r="EJO1" s="520"/>
      <c r="EJP1" s="520"/>
      <c r="EJQ1" s="520"/>
      <c r="EJR1" s="520"/>
      <c r="EJS1" s="520"/>
      <c r="EJT1" s="520"/>
      <c r="EJU1" s="520"/>
      <c r="EJV1" s="520"/>
      <c r="EJW1" s="520"/>
      <c r="EJX1" s="520"/>
      <c r="EJY1" s="520"/>
      <c r="EJZ1" s="520"/>
      <c r="EKA1" s="520"/>
      <c r="EKB1" s="520"/>
      <c r="EKC1" s="520"/>
      <c r="EKD1" s="520"/>
      <c r="EKE1" s="520"/>
      <c r="EKF1" s="520"/>
      <c r="EKG1" s="520"/>
      <c r="EKH1" s="520"/>
      <c r="EKI1" s="520"/>
      <c r="EKJ1" s="520"/>
      <c r="EKK1" s="520"/>
      <c r="EKL1" s="520"/>
      <c r="EKM1" s="520"/>
      <c r="EKN1" s="520"/>
      <c r="EKO1" s="520"/>
      <c r="EKP1" s="520"/>
      <c r="EKQ1" s="520"/>
      <c r="EKR1" s="520"/>
      <c r="EKS1" s="520"/>
      <c r="EKT1" s="520"/>
      <c r="EKU1" s="520"/>
      <c r="EKV1" s="520"/>
      <c r="EKW1" s="520"/>
      <c r="EKX1" s="520"/>
      <c r="EKY1" s="520"/>
      <c r="EKZ1" s="520"/>
      <c r="ELA1" s="520"/>
      <c r="ELB1" s="520"/>
      <c r="ELC1" s="520"/>
      <c r="ELD1" s="520"/>
      <c r="ELE1" s="520"/>
      <c r="ELF1" s="520"/>
      <c r="ELG1" s="520"/>
      <c r="ELH1" s="520"/>
      <c r="ELI1" s="520"/>
      <c r="ELJ1" s="520"/>
      <c r="ELK1" s="520"/>
      <c r="ELL1" s="520"/>
      <c r="ELM1" s="520"/>
      <c r="ELN1" s="520"/>
      <c r="ELO1" s="520"/>
      <c r="ELP1" s="520"/>
      <c r="ELQ1" s="520"/>
      <c r="ELR1" s="520"/>
      <c r="ELS1" s="520"/>
      <c r="ELT1" s="520"/>
      <c r="ELU1" s="520"/>
      <c r="ELV1" s="520"/>
      <c r="ELW1" s="520"/>
      <c r="ELX1" s="520"/>
      <c r="ELY1" s="520"/>
      <c r="ELZ1" s="520"/>
      <c r="EMA1" s="520"/>
      <c r="EMB1" s="520"/>
      <c r="EMC1" s="520"/>
      <c r="EMD1" s="520"/>
      <c r="EME1" s="520"/>
      <c r="EMF1" s="520"/>
      <c r="EMG1" s="520"/>
      <c r="EMH1" s="520"/>
      <c r="EMI1" s="520"/>
      <c r="EMJ1" s="520"/>
      <c r="EMK1" s="520"/>
      <c r="EML1" s="520"/>
      <c r="EMM1" s="520"/>
      <c r="EMN1" s="520"/>
      <c r="EMO1" s="520"/>
      <c r="EMP1" s="520"/>
      <c r="EMQ1" s="520"/>
      <c r="EMR1" s="520"/>
      <c r="EMS1" s="520"/>
      <c r="EMT1" s="520"/>
      <c r="EMU1" s="520"/>
      <c r="EMV1" s="520"/>
      <c r="EMW1" s="520"/>
      <c r="EMX1" s="520"/>
      <c r="EMY1" s="520"/>
      <c r="EMZ1" s="520"/>
      <c r="ENA1" s="520"/>
      <c r="ENB1" s="520"/>
      <c r="ENC1" s="520"/>
      <c r="END1" s="520"/>
      <c r="ENE1" s="520"/>
      <c r="ENF1" s="520"/>
      <c r="ENG1" s="520"/>
      <c r="ENH1" s="520"/>
      <c r="ENI1" s="520"/>
      <c r="ENJ1" s="520"/>
      <c r="ENK1" s="520"/>
      <c r="ENL1" s="520"/>
      <c r="ENM1" s="520"/>
      <c r="ENN1" s="520"/>
      <c r="ENO1" s="520"/>
      <c r="ENP1" s="520"/>
      <c r="ENQ1" s="520"/>
      <c r="ENR1" s="520"/>
      <c r="ENS1" s="520"/>
      <c r="ENT1" s="520"/>
      <c r="ENU1" s="520"/>
      <c r="ENV1" s="520"/>
      <c r="ENW1" s="520"/>
      <c r="ENX1" s="520"/>
      <c r="ENY1" s="520"/>
      <c r="ENZ1" s="520"/>
      <c r="EOA1" s="520"/>
      <c r="EOB1" s="520"/>
      <c r="EOC1" s="520"/>
      <c r="EOD1" s="520"/>
      <c r="EOE1" s="520"/>
      <c r="EOF1" s="520"/>
      <c r="EOG1" s="520"/>
      <c r="EOH1" s="520"/>
      <c r="EOI1" s="520"/>
      <c r="EOJ1" s="520"/>
      <c r="EOK1" s="520"/>
      <c r="EOL1" s="520"/>
      <c r="EOM1" s="520"/>
      <c r="EON1" s="520"/>
      <c r="EOO1" s="520"/>
      <c r="EOP1" s="520"/>
      <c r="EOQ1" s="520"/>
      <c r="EOR1" s="520"/>
      <c r="EOS1" s="520"/>
      <c r="EOT1" s="520"/>
      <c r="EOU1" s="520"/>
      <c r="EOV1" s="520"/>
      <c r="EOW1" s="520"/>
      <c r="EOX1" s="520"/>
      <c r="EOY1" s="520"/>
      <c r="EOZ1" s="520"/>
      <c r="EPA1" s="520"/>
      <c r="EPB1" s="520"/>
      <c r="EPC1" s="520"/>
      <c r="EPD1" s="520"/>
      <c r="EPE1" s="520"/>
      <c r="EPF1" s="520"/>
      <c r="EPG1" s="520"/>
      <c r="EPH1" s="520"/>
      <c r="EPI1" s="520"/>
      <c r="EPJ1" s="520"/>
      <c r="EPK1" s="520"/>
      <c r="EPL1" s="520"/>
      <c r="EPM1" s="520"/>
      <c r="EPN1" s="520"/>
      <c r="EPO1" s="520"/>
      <c r="EPP1" s="520"/>
      <c r="EPQ1" s="520"/>
      <c r="EPR1" s="520"/>
      <c r="EPS1" s="520"/>
      <c r="EPT1" s="520"/>
      <c r="EPU1" s="520"/>
      <c r="EPV1" s="520"/>
      <c r="EPW1" s="520"/>
      <c r="EPX1" s="520"/>
      <c r="EPY1" s="520"/>
      <c r="EPZ1" s="520"/>
      <c r="EQA1" s="520"/>
      <c r="EQB1" s="520"/>
      <c r="EQC1" s="520"/>
      <c r="EQD1" s="520"/>
      <c r="EQE1" s="520"/>
      <c r="EQF1" s="520"/>
      <c r="EQG1" s="520"/>
      <c r="EQH1" s="520"/>
      <c r="EQI1" s="520"/>
      <c r="EQJ1" s="520"/>
      <c r="EQK1" s="520"/>
      <c r="EQL1" s="520"/>
      <c r="EQM1" s="520"/>
      <c r="EQN1" s="520"/>
      <c r="EQO1" s="520"/>
      <c r="EQP1" s="520"/>
      <c r="EQQ1" s="520"/>
      <c r="EQR1" s="520"/>
      <c r="EQS1" s="520"/>
      <c r="EQT1" s="520"/>
      <c r="EQU1" s="520"/>
      <c r="EQV1" s="520"/>
      <c r="EQW1" s="520"/>
      <c r="EQX1" s="520"/>
      <c r="EQY1" s="520"/>
      <c r="EQZ1" s="520"/>
      <c r="ERA1" s="520"/>
      <c r="ERB1" s="520"/>
      <c r="ERC1" s="520"/>
      <c r="ERD1" s="520"/>
      <c r="ERE1" s="520"/>
      <c r="ERF1" s="520"/>
      <c r="ERG1" s="520"/>
      <c r="ERH1" s="520"/>
      <c r="ERI1" s="520"/>
      <c r="ERJ1" s="520"/>
      <c r="ERK1" s="520"/>
      <c r="ERL1" s="520"/>
      <c r="ERM1" s="520"/>
      <c r="ERN1" s="520"/>
      <c r="ERO1" s="520"/>
      <c r="ERP1" s="520"/>
      <c r="ERQ1" s="520"/>
      <c r="ERR1" s="520"/>
      <c r="ERS1" s="520"/>
      <c r="ERT1" s="520"/>
      <c r="ERU1" s="520"/>
      <c r="ERV1" s="520"/>
      <c r="ERW1" s="520"/>
      <c r="ERX1" s="520"/>
      <c r="ERY1" s="520"/>
      <c r="ERZ1" s="520"/>
      <c r="ESA1" s="520"/>
      <c r="ESB1" s="520"/>
      <c r="ESC1" s="520"/>
      <c r="ESD1" s="520"/>
      <c r="ESE1" s="520"/>
      <c r="ESF1" s="520"/>
      <c r="ESG1" s="520"/>
      <c r="ESH1" s="520"/>
      <c r="ESI1" s="520"/>
      <c r="ESJ1" s="520"/>
      <c r="ESK1" s="520"/>
      <c r="ESL1" s="520"/>
      <c r="ESM1" s="520"/>
      <c r="ESN1" s="520"/>
      <c r="ESO1" s="520"/>
      <c r="ESP1" s="520"/>
      <c r="ESQ1" s="520"/>
      <c r="ESR1" s="520"/>
      <c r="ESS1" s="520"/>
      <c r="EST1" s="520"/>
      <c r="ESU1" s="520"/>
      <c r="ESV1" s="520"/>
      <c r="ESW1" s="520"/>
      <c r="ESX1" s="520"/>
      <c r="ESY1" s="520"/>
      <c r="ESZ1" s="520"/>
      <c r="ETA1" s="520"/>
      <c r="ETB1" s="520"/>
      <c r="ETC1" s="520"/>
      <c r="ETD1" s="520"/>
      <c r="ETE1" s="520"/>
      <c r="ETF1" s="520"/>
      <c r="ETG1" s="520"/>
      <c r="ETH1" s="520"/>
      <c r="ETI1" s="520"/>
      <c r="ETJ1" s="520"/>
      <c r="ETK1" s="520"/>
      <c r="ETL1" s="520"/>
      <c r="ETM1" s="520"/>
      <c r="ETN1" s="520"/>
      <c r="ETO1" s="520"/>
      <c r="ETP1" s="520"/>
      <c r="ETQ1" s="520"/>
      <c r="ETR1" s="520"/>
      <c r="ETS1" s="520"/>
      <c r="ETT1" s="520"/>
      <c r="ETU1" s="520"/>
      <c r="ETV1" s="520"/>
      <c r="ETW1" s="520"/>
      <c r="ETX1" s="520"/>
      <c r="ETY1" s="520"/>
      <c r="ETZ1" s="520"/>
      <c r="EUA1" s="520"/>
      <c r="EUB1" s="520"/>
      <c r="EUC1" s="520"/>
      <c r="EUD1" s="520"/>
      <c r="EUE1" s="520"/>
      <c r="EUF1" s="520"/>
      <c r="EUG1" s="520"/>
      <c r="EUH1" s="520"/>
      <c r="EUI1" s="520"/>
      <c r="EUJ1" s="520"/>
      <c r="EUK1" s="520"/>
      <c r="EUL1" s="520"/>
      <c r="EUM1" s="520"/>
      <c r="EUN1" s="520"/>
      <c r="EUO1" s="520"/>
      <c r="EUP1" s="520"/>
      <c r="EUQ1" s="520"/>
      <c r="EUR1" s="520"/>
      <c r="EUS1" s="520"/>
      <c r="EUT1" s="520"/>
      <c r="EUU1" s="520"/>
      <c r="EUV1" s="520"/>
      <c r="EUW1" s="520"/>
      <c r="EUX1" s="520"/>
      <c r="EUY1" s="520"/>
      <c r="EUZ1" s="520"/>
      <c r="EVA1" s="520"/>
      <c r="EVB1" s="520"/>
      <c r="EVC1" s="520"/>
      <c r="EVD1" s="520"/>
      <c r="EVE1" s="520"/>
      <c r="EVF1" s="520"/>
      <c r="EVG1" s="520"/>
      <c r="EVH1" s="520"/>
      <c r="EVI1" s="520"/>
      <c r="EVJ1" s="520"/>
      <c r="EVK1" s="520"/>
      <c r="EVL1" s="520"/>
      <c r="EVM1" s="520"/>
      <c r="EVN1" s="520"/>
      <c r="EVO1" s="520"/>
      <c r="EVP1" s="520"/>
      <c r="EVQ1" s="520"/>
      <c r="EVR1" s="520"/>
      <c r="EVS1" s="520"/>
      <c r="EVT1" s="520"/>
      <c r="EVU1" s="520"/>
      <c r="EVV1" s="520"/>
      <c r="EVW1" s="520"/>
      <c r="EVX1" s="520"/>
      <c r="EVY1" s="520"/>
      <c r="EVZ1" s="520"/>
      <c r="EWA1" s="520"/>
      <c r="EWB1" s="520"/>
      <c r="EWC1" s="520"/>
      <c r="EWD1" s="520"/>
      <c r="EWE1" s="520"/>
      <c r="EWF1" s="520"/>
      <c r="EWG1" s="520"/>
      <c r="EWH1" s="520"/>
      <c r="EWI1" s="520"/>
      <c r="EWJ1" s="520"/>
      <c r="EWK1" s="520"/>
      <c r="EWL1" s="520"/>
      <c r="EWM1" s="520"/>
      <c r="EWN1" s="520"/>
      <c r="EWO1" s="520"/>
      <c r="EWP1" s="520"/>
      <c r="EWQ1" s="520"/>
      <c r="EWR1" s="520"/>
      <c r="EWS1" s="520"/>
      <c r="EWT1" s="520"/>
      <c r="EWU1" s="520"/>
      <c r="EWV1" s="520"/>
      <c r="EWW1" s="520"/>
      <c r="EWX1" s="520"/>
      <c r="EWY1" s="520"/>
      <c r="EWZ1" s="520"/>
      <c r="EXA1" s="520"/>
      <c r="EXB1" s="520"/>
      <c r="EXC1" s="520"/>
      <c r="EXD1" s="520"/>
      <c r="EXE1" s="520"/>
      <c r="EXF1" s="520"/>
      <c r="EXG1" s="520"/>
      <c r="EXH1" s="520"/>
      <c r="EXI1" s="520"/>
      <c r="EXJ1" s="520"/>
      <c r="EXK1" s="520"/>
      <c r="EXL1" s="520"/>
      <c r="EXM1" s="520"/>
      <c r="EXN1" s="520"/>
      <c r="EXO1" s="520"/>
      <c r="EXP1" s="520"/>
      <c r="EXQ1" s="520"/>
      <c r="EXR1" s="520"/>
      <c r="EXS1" s="520"/>
      <c r="EXT1" s="520"/>
      <c r="EXU1" s="520"/>
      <c r="EXV1" s="520"/>
      <c r="EXW1" s="520"/>
      <c r="EXX1" s="520"/>
      <c r="EXY1" s="520"/>
      <c r="EXZ1" s="520"/>
      <c r="EYA1" s="520"/>
      <c r="EYB1" s="520"/>
      <c r="EYC1" s="520"/>
      <c r="EYD1" s="520"/>
      <c r="EYE1" s="520"/>
      <c r="EYF1" s="520"/>
      <c r="EYG1" s="520"/>
      <c r="EYH1" s="520"/>
      <c r="EYI1" s="520"/>
      <c r="EYJ1" s="520"/>
      <c r="EYK1" s="520"/>
      <c r="EYL1" s="520"/>
      <c r="EYM1" s="520"/>
      <c r="EYN1" s="520"/>
      <c r="EYO1" s="520"/>
      <c r="EYP1" s="520"/>
      <c r="EYQ1" s="520"/>
      <c r="EYR1" s="520"/>
      <c r="EYS1" s="520"/>
      <c r="EYT1" s="520"/>
      <c r="EYU1" s="520"/>
      <c r="EYV1" s="520"/>
      <c r="EYW1" s="520"/>
      <c r="EYX1" s="520"/>
      <c r="EYY1" s="520"/>
      <c r="EYZ1" s="520"/>
      <c r="EZA1" s="520"/>
      <c r="EZB1" s="520"/>
      <c r="EZC1" s="520"/>
      <c r="EZD1" s="520"/>
      <c r="EZE1" s="520"/>
      <c r="EZF1" s="520"/>
      <c r="EZG1" s="520"/>
      <c r="EZH1" s="520"/>
      <c r="EZI1" s="520"/>
      <c r="EZJ1" s="520"/>
      <c r="EZK1" s="520"/>
      <c r="EZL1" s="520"/>
      <c r="EZM1" s="520"/>
      <c r="EZN1" s="520"/>
      <c r="EZO1" s="520"/>
      <c r="EZP1" s="520"/>
      <c r="EZQ1" s="520"/>
      <c r="EZR1" s="520"/>
      <c r="EZS1" s="520"/>
      <c r="EZT1" s="520"/>
      <c r="EZU1" s="520"/>
      <c r="EZV1" s="520"/>
      <c r="EZW1" s="520"/>
      <c r="EZX1" s="520"/>
      <c r="EZY1" s="520"/>
      <c r="EZZ1" s="520"/>
      <c r="FAA1" s="520"/>
      <c r="FAB1" s="520"/>
      <c r="FAC1" s="520"/>
      <c r="FAD1" s="520"/>
      <c r="FAE1" s="520"/>
      <c r="FAF1" s="520"/>
      <c r="FAG1" s="520"/>
      <c r="FAH1" s="520"/>
      <c r="FAI1" s="520"/>
      <c r="FAJ1" s="520"/>
      <c r="FAK1" s="520"/>
      <c r="FAL1" s="520"/>
      <c r="FAM1" s="520"/>
      <c r="FAN1" s="520"/>
      <c r="FAO1" s="520"/>
      <c r="FAP1" s="520"/>
      <c r="FAQ1" s="520"/>
      <c r="FAR1" s="520"/>
      <c r="FAS1" s="520"/>
      <c r="FAT1" s="520"/>
      <c r="FAU1" s="520"/>
      <c r="FAV1" s="520"/>
      <c r="FAW1" s="520"/>
      <c r="FAX1" s="520"/>
      <c r="FAY1" s="520"/>
      <c r="FAZ1" s="520"/>
      <c r="FBA1" s="520"/>
      <c r="FBB1" s="520"/>
      <c r="FBC1" s="520"/>
      <c r="FBD1" s="520"/>
      <c r="FBE1" s="520"/>
      <c r="FBF1" s="520"/>
      <c r="FBG1" s="520"/>
      <c r="FBH1" s="520"/>
      <c r="FBI1" s="520"/>
      <c r="FBJ1" s="520"/>
      <c r="FBK1" s="520"/>
      <c r="FBL1" s="520"/>
      <c r="FBM1" s="520"/>
      <c r="FBN1" s="520"/>
      <c r="FBO1" s="520"/>
      <c r="FBP1" s="520"/>
      <c r="FBQ1" s="520"/>
      <c r="FBR1" s="520"/>
      <c r="FBS1" s="520"/>
      <c r="FBT1" s="520"/>
      <c r="FBU1" s="520"/>
      <c r="FBV1" s="520"/>
      <c r="FBW1" s="520"/>
      <c r="FBX1" s="520"/>
      <c r="FBY1" s="520"/>
      <c r="FBZ1" s="520"/>
      <c r="FCA1" s="520"/>
      <c r="FCB1" s="520"/>
      <c r="FCC1" s="520"/>
      <c r="FCD1" s="520"/>
      <c r="FCE1" s="520"/>
      <c r="FCF1" s="520"/>
      <c r="FCG1" s="520"/>
      <c r="FCH1" s="520"/>
      <c r="FCI1" s="520"/>
      <c r="FCJ1" s="520"/>
      <c r="FCK1" s="520"/>
      <c r="FCL1" s="520"/>
      <c r="FCM1" s="520"/>
      <c r="FCN1" s="520"/>
      <c r="FCO1" s="520"/>
      <c r="FCP1" s="520"/>
      <c r="FCQ1" s="520"/>
      <c r="FCR1" s="520"/>
      <c r="FCS1" s="520"/>
      <c r="FCT1" s="520"/>
      <c r="FCU1" s="520"/>
      <c r="FCV1" s="520"/>
      <c r="FCW1" s="520"/>
      <c r="FCX1" s="520"/>
      <c r="FCY1" s="520"/>
      <c r="FCZ1" s="520"/>
      <c r="FDA1" s="520"/>
      <c r="FDB1" s="520"/>
      <c r="FDC1" s="520"/>
      <c r="FDD1" s="520"/>
      <c r="FDE1" s="520"/>
      <c r="FDF1" s="520"/>
      <c r="FDG1" s="520"/>
      <c r="FDH1" s="520"/>
      <c r="FDI1" s="520"/>
      <c r="FDJ1" s="520"/>
      <c r="FDK1" s="520"/>
      <c r="FDL1" s="520"/>
      <c r="FDM1" s="520"/>
      <c r="FDN1" s="520"/>
      <c r="FDO1" s="520"/>
      <c r="FDP1" s="520"/>
      <c r="FDQ1" s="520"/>
      <c r="FDR1" s="520"/>
      <c r="FDS1" s="520"/>
      <c r="FDT1" s="520"/>
      <c r="FDU1" s="520"/>
      <c r="FDV1" s="520"/>
      <c r="FDW1" s="520"/>
      <c r="FDX1" s="520"/>
      <c r="FDY1" s="520"/>
      <c r="FDZ1" s="520"/>
      <c r="FEA1" s="520"/>
      <c r="FEB1" s="520"/>
      <c r="FEC1" s="520"/>
      <c r="FED1" s="520"/>
      <c r="FEE1" s="520"/>
      <c r="FEF1" s="520"/>
      <c r="FEG1" s="520"/>
      <c r="FEH1" s="520"/>
      <c r="FEI1" s="520"/>
      <c r="FEJ1" s="520"/>
      <c r="FEK1" s="520"/>
      <c r="FEL1" s="520"/>
      <c r="FEM1" s="520"/>
      <c r="FEN1" s="520"/>
      <c r="FEO1" s="520"/>
      <c r="FEP1" s="520"/>
      <c r="FEQ1" s="520"/>
      <c r="FER1" s="520"/>
      <c r="FES1" s="520"/>
      <c r="FET1" s="520"/>
      <c r="FEU1" s="520"/>
      <c r="FEV1" s="520"/>
      <c r="FEW1" s="520"/>
      <c r="FEX1" s="520"/>
      <c r="FEY1" s="520"/>
      <c r="FEZ1" s="520"/>
      <c r="FFA1" s="520"/>
      <c r="FFB1" s="520"/>
      <c r="FFC1" s="520"/>
      <c r="FFD1" s="520"/>
      <c r="FFE1" s="520"/>
      <c r="FFF1" s="520"/>
      <c r="FFG1" s="520"/>
      <c r="FFH1" s="520"/>
      <c r="FFI1" s="520"/>
      <c r="FFJ1" s="520"/>
      <c r="FFK1" s="520"/>
      <c r="FFL1" s="520"/>
      <c r="FFM1" s="520"/>
      <c r="FFN1" s="520"/>
      <c r="FFO1" s="520"/>
      <c r="FFP1" s="520"/>
      <c r="FFQ1" s="520"/>
      <c r="FFR1" s="520"/>
      <c r="FFS1" s="520"/>
      <c r="FFT1" s="520"/>
      <c r="FFU1" s="520"/>
      <c r="FFV1" s="520"/>
      <c r="FFW1" s="520"/>
      <c r="FFX1" s="520"/>
      <c r="FFY1" s="520"/>
      <c r="FFZ1" s="520"/>
      <c r="FGA1" s="520"/>
      <c r="FGB1" s="520"/>
      <c r="FGC1" s="520"/>
      <c r="FGD1" s="520"/>
      <c r="FGE1" s="520"/>
      <c r="FGF1" s="520"/>
      <c r="FGG1" s="520"/>
      <c r="FGH1" s="520"/>
      <c r="FGI1" s="520"/>
      <c r="FGJ1" s="520"/>
      <c r="FGK1" s="520"/>
      <c r="FGL1" s="520"/>
      <c r="FGM1" s="520"/>
      <c r="FGN1" s="520"/>
      <c r="FGO1" s="520"/>
      <c r="FGP1" s="520"/>
      <c r="FGQ1" s="520"/>
      <c r="FGR1" s="520"/>
      <c r="FGS1" s="520"/>
      <c r="FGT1" s="520"/>
      <c r="FGU1" s="520"/>
      <c r="FGV1" s="520"/>
      <c r="FGW1" s="520"/>
      <c r="FGX1" s="520"/>
      <c r="FGY1" s="520"/>
      <c r="FGZ1" s="520"/>
      <c r="FHA1" s="520"/>
      <c r="FHB1" s="520"/>
      <c r="FHC1" s="520"/>
      <c r="FHD1" s="520"/>
      <c r="FHE1" s="520"/>
      <c r="FHF1" s="520"/>
      <c r="FHG1" s="520"/>
      <c r="FHH1" s="520"/>
      <c r="FHI1" s="520"/>
      <c r="FHJ1" s="520"/>
      <c r="FHK1" s="520"/>
      <c r="FHL1" s="520"/>
      <c r="FHM1" s="520"/>
      <c r="FHN1" s="520"/>
      <c r="FHO1" s="520"/>
      <c r="FHP1" s="520"/>
      <c r="FHQ1" s="520"/>
      <c r="FHR1" s="520"/>
      <c r="FHS1" s="520"/>
      <c r="FHT1" s="520"/>
      <c r="FHU1" s="520"/>
      <c r="FHV1" s="520"/>
      <c r="FHW1" s="520"/>
      <c r="FHX1" s="520"/>
      <c r="FHY1" s="520"/>
      <c r="FHZ1" s="520"/>
      <c r="FIA1" s="520"/>
      <c r="FIB1" s="520"/>
      <c r="FIC1" s="520"/>
      <c r="FID1" s="520"/>
      <c r="FIE1" s="520"/>
      <c r="FIF1" s="520"/>
      <c r="FIG1" s="520"/>
      <c r="FIH1" s="520"/>
      <c r="FII1" s="520"/>
      <c r="FIJ1" s="520"/>
      <c r="FIK1" s="520"/>
      <c r="FIL1" s="520"/>
      <c r="FIM1" s="520"/>
      <c r="FIN1" s="520"/>
      <c r="FIO1" s="520"/>
      <c r="FIP1" s="520"/>
      <c r="FIQ1" s="520"/>
      <c r="FIR1" s="520"/>
      <c r="FIS1" s="520"/>
      <c r="FIT1" s="520"/>
      <c r="FIU1" s="520"/>
      <c r="FIV1" s="520"/>
      <c r="FIW1" s="520"/>
      <c r="FIX1" s="520"/>
      <c r="FIY1" s="520"/>
      <c r="FIZ1" s="520"/>
      <c r="FJA1" s="520"/>
      <c r="FJB1" s="520"/>
      <c r="FJC1" s="520"/>
      <c r="FJD1" s="520"/>
      <c r="FJE1" s="520"/>
      <c r="FJF1" s="520"/>
      <c r="FJG1" s="520"/>
      <c r="FJH1" s="520"/>
      <c r="FJI1" s="520"/>
      <c r="FJJ1" s="520"/>
      <c r="FJK1" s="520"/>
      <c r="FJL1" s="520"/>
      <c r="FJM1" s="520"/>
      <c r="FJN1" s="520"/>
      <c r="FJO1" s="520"/>
      <c r="FJP1" s="520"/>
      <c r="FJQ1" s="520"/>
      <c r="FJR1" s="520"/>
      <c r="FJS1" s="520"/>
      <c r="FJT1" s="520"/>
      <c r="FJU1" s="520"/>
      <c r="FJV1" s="520"/>
      <c r="FJW1" s="520"/>
      <c r="FJX1" s="520"/>
      <c r="FJY1" s="520"/>
      <c r="FJZ1" s="520"/>
      <c r="FKA1" s="520"/>
      <c r="FKB1" s="520"/>
      <c r="FKC1" s="520"/>
      <c r="FKD1" s="520"/>
      <c r="FKE1" s="520"/>
      <c r="FKF1" s="520"/>
      <c r="FKG1" s="520"/>
      <c r="FKH1" s="520"/>
      <c r="FKI1" s="520"/>
      <c r="FKJ1" s="520"/>
      <c r="FKK1" s="520"/>
      <c r="FKL1" s="520"/>
      <c r="FKM1" s="520"/>
      <c r="FKN1" s="520"/>
      <c r="FKO1" s="520"/>
      <c r="FKP1" s="520"/>
      <c r="FKQ1" s="520"/>
      <c r="FKR1" s="520"/>
      <c r="FKS1" s="520"/>
      <c r="FKT1" s="520"/>
      <c r="FKU1" s="520"/>
      <c r="FKV1" s="520"/>
      <c r="FKW1" s="520"/>
      <c r="FKX1" s="520"/>
      <c r="FKY1" s="520"/>
      <c r="FKZ1" s="520"/>
      <c r="FLA1" s="520"/>
      <c r="FLB1" s="520"/>
      <c r="FLC1" s="520"/>
      <c r="FLD1" s="520"/>
      <c r="FLE1" s="520"/>
      <c r="FLF1" s="520"/>
      <c r="FLG1" s="520"/>
      <c r="FLH1" s="520"/>
      <c r="FLI1" s="520"/>
      <c r="FLJ1" s="520"/>
      <c r="FLK1" s="520"/>
      <c r="FLL1" s="520"/>
      <c r="FLM1" s="520"/>
      <c r="FLN1" s="520"/>
      <c r="FLO1" s="520"/>
      <c r="FLP1" s="520"/>
      <c r="FLQ1" s="520"/>
      <c r="FLR1" s="520"/>
      <c r="FLS1" s="520"/>
      <c r="FLT1" s="520"/>
      <c r="FLU1" s="520"/>
      <c r="FLV1" s="520"/>
      <c r="FLW1" s="520"/>
      <c r="FLX1" s="520"/>
      <c r="FLY1" s="520"/>
      <c r="FLZ1" s="520"/>
      <c r="FMA1" s="520"/>
      <c r="FMB1" s="520"/>
      <c r="FMC1" s="520"/>
      <c r="FMD1" s="520"/>
      <c r="FME1" s="520"/>
      <c r="FMF1" s="520"/>
      <c r="FMG1" s="520"/>
      <c r="FMH1" s="520"/>
      <c r="FMI1" s="520"/>
      <c r="FMJ1" s="520"/>
      <c r="FMK1" s="520"/>
      <c r="FML1" s="520"/>
      <c r="FMM1" s="520"/>
      <c r="FMN1" s="520"/>
      <c r="FMO1" s="520"/>
      <c r="FMP1" s="520"/>
      <c r="FMQ1" s="520"/>
      <c r="FMR1" s="520"/>
      <c r="FMS1" s="520"/>
      <c r="FMT1" s="520"/>
      <c r="FMU1" s="520"/>
      <c r="FMV1" s="520"/>
      <c r="FMW1" s="520"/>
      <c r="FMX1" s="520"/>
      <c r="FMY1" s="520"/>
      <c r="FMZ1" s="520"/>
      <c r="FNA1" s="520"/>
      <c r="FNB1" s="520"/>
      <c r="FNC1" s="520"/>
      <c r="FND1" s="520"/>
      <c r="FNE1" s="520"/>
      <c r="FNF1" s="520"/>
      <c r="FNG1" s="520"/>
      <c r="FNH1" s="520"/>
      <c r="FNI1" s="520"/>
      <c r="FNJ1" s="520"/>
      <c r="FNK1" s="520"/>
      <c r="FNL1" s="520"/>
      <c r="FNM1" s="520"/>
      <c r="FNN1" s="520"/>
      <c r="FNO1" s="520"/>
      <c r="FNP1" s="520"/>
      <c r="FNQ1" s="520"/>
      <c r="FNR1" s="520"/>
      <c r="FNS1" s="520"/>
      <c r="FNT1" s="520"/>
      <c r="FNU1" s="520"/>
      <c r="FNV1" s="520"/>
      <c r="FNW1" s="520"/>
      <c r="FNX1" s="520"/>
      <c r="FNY1" s="520"/>
      <c r="FNZ1" s="520"/>
      <c r="FOA1" s="520"/>
      <c r="FOB1" s="520"/>
      <c r="FOC1" s="520"/>
      <c r="FOD1" s="520"/>
      <c r="FOE1" s="520"/>
      <c r="FOF1" s="520"/>
      <c r="FOG1" s="520"/>
      <c r="FOH1" s="520"/>
      <c r="FOI1" s="520"/>
      <c r="FOJ1" s="520"/>
      <c r="FOK1" s="520"/>
      <c r="FOL1" s="520"/>
      <c r="FOM1" s="520"/>
      <c r="FON1" s="520"/>
      <c r="FOO1" s="520"/>
      <c r="FOP1" s="520"/>
      <c r="FOQ1" s="520"/>
      <c r="FOR1" s="520"/>
      <c r="FOS1" s="520"/>
      <c r="FOT1" s="520"/>
      <c r="FOU1" s="520"/>
      <c r="FOV1" s="520"/>
      <c r="FOW1" s="520"/>
      <c r="FOX1" s="520"/>
      <c r="FOY1" s="520"/>
      <c r="FOZ1" s="520"/>
      <c r="FPA1" s="520"/>
      <c r="FPB1" s="520"/>
      <c r="FPC1" s="520"/>
      <c r="FPD1" s="520"/>
      <c r="FPE1" s="520"/>
      <c r="FPF1" s="520"/>
      <c r="FPG1" s="520"/>
      <c r="FPH1" s="520"/>
      <c r="FPI1" s="520"/>
      <c r="FPJ1" s="520"/>
      <c r="FPK1" s="520"/>
      <c r="FPL1" s="520"/>
      <c r="FPM1" s="520"/>
      <c r="FPN1" s="520"/>
      <c r="FPO1" s="520"/>
      <c r="FPP1" s="520"/>
      <c r="FPQ1" s="520"/>
      <c r="FPR1" s="520"/>
      <c r="FPS1" s="520"/>
      <c r="FPT1" s="520"/>
      <c r="FPU1" s="520"/>
      <c r="FPV1" s="520"/>
      <c r="FPW1" s="520"/>
      <c r="FPX1" s="520"/>
      <c r="FPY1" s="520"/>
      <c r="FPZ1" s="520"/>
      <c r="FQA1" s="520"/>
      <c r="FQB1" s="520"/>
      <c r="FQC1" s="520"/>
      <c r="FQD1" s="520"/>
      <c r="FQE1" s="520"/>
      <c r="FQF1" s="520"/>
      <c r="FQG1" s="520"/>
      <c r="FQH1" s="520"/>
      <c r="FQI1" s="520"/>
      <c r="FQJ1" s="520"/>
      <c r="FQK1" s="520"/>
      <c r="FQL1" s="520"/>
      <c r="FQM1" s="520"/>
      <c r="FQN1" s="520"/>
      <c r="FQO1" s="520"/>
      <c r="FQP1" s="520"/>
      <c r="FQQ1" s="520"/>
      <c r="FQR1" s="520"/>
      <c r="FQS1" s="520"/>
      <c r="FQT1" s="520"/>
      <c r="FQU1" s="520"/>
      <c r="FQV1" s="520"/>
      <c r="FQW1" s="520"/>
      <c r="FQX1" s="520"/>
      <c r="FQY1" s="520"/>
      <c r="FQZ1" s="520"/>
      <c r="FRA1" s="520"/>
      <c r="FRB1" s="520"/>
      <c r="FRC1" s="520"/>
      <c r="FRD1" s="520"/>
      <c r="FRE1" s="520"/>
      <c r="FRF1" s="520"/>
      <c r="FRG1" s="520"/>
      <c r="FRH1" s="520"/>
      <c r="FRI1" s="520"/>
      <c r="FRJ1" s="520"/>
      <c r="FRK1" s="520"/>
      <c r="FRL1" s="520"/>
      <c r="FRM1" s="520"/>
      <c r="FRN1" s="520"/>
      <c r="FRO1" s="520"/>
      <c r="FRP1" s="520"/>
      <c r="FRQ1" s="520"/>
      <c r="FRR1" s="520"/>
      <c r="FRS1" s="520"/>
      <c r="FRT1" s="520"/>
      <c r="FRU1" s="520"/>
      <c r="FRV1" s="520"/>
      <c r="FRW1" s="520"/>
      <c r="FRX1" s="520"/>
      <c r="FRY1" s="520"/>
      <c r="FRZ1" s="520"/>
      <c r="FSA1" s="520"/>
      <c r="FSB1" s="520"/>
      <c r="FSC1" s="520"/>
      <c r="FSD1" s="520"/>
      <c r="FSE1" s="520"/>
      <c r="FSF1" s="520"/>
      <c r="FSG1" s="520"/>
      <c r="FSH1" s="520"/>
      <c r="FSI1" s="520"/>
      <c r="FSJ1" s="520"/>
      <c r="FSK1" s="520"/>
      <c r="FSL1" s="520"/>
      <c r="FSM1" s="520"/>
      <c r="FSN1" s="520"/>
      <c r="FSO1" s="520"/>
      <c r="FSP1" s="520"/>
      <c r="FSQ1" s="520"/>
      <c r="FSR1" s="520"/>
      <c r="FSS1" s="520"/>
      <c r="FST1" s="520"/>
      <c r="FSU1" s="520"/>
      <c r="FSV1" s="520"/>
      <c r="FSW1" s="520"/>
      <c r="FSX1" s="520"/>
      <c r="FSY1" s="520"/>
      <c r="FSZ1" s="520"/>
      <c r="FTA1" s="520"/>
      <c r="FTB1" s="520"/>
      <c r="FTC1" s="520"/>
      <c r="FTD1" s="520"/>
      <c r="FTE1" s="520"/>
      <c r="FTF1" s="520"/>
      <c r="FTG1" s="520"/>
      <c r="FTH1" s="520"/>
      <c r="FTI1" s="520"/>
      <c r="FTJ1" s="520"/>
      <c r="FTK1" s="520"/>
      <c r="FTL1" s="520"/>
      <c r="FTM1" s="520"/>
      <c r="FTN1" s="520"/>
      <c r="FTO1" s="520"/>
      <c r="FTP1" s="520"/>
      <c r="FTQ1" s="520"/>
      <c r="FTR1" s="520"/>
      <c r="FTS1" s="520"/>
      <c r="FTT1" s="520"/>
      <c r="FTU1" s="520"/>
      <c r="FTV1" s="520"/>
      <c r="FTW1" s="520"/>
      <c r="FTX1" s="520"/>
      <c r="FTY1" s="520"/>
      <c r="FTZ1" s="520"/>
      <c r="FUA1" s="520"/>
      <c r="FUB1" s="520"/>
      <c r="FUC1" s="520"/>
      <c r="FUD1" s="520"/>
      <c r="FUE1" s="520"/>
      <c r="FUF1" s="520"/>
      <c r="FUG1" s="520"/>
      <c r="FUH1" s="520"/>
      <c r="FUI1" s="520"/>
      <c r="FUJ1" s="520"/>
      <c r="FUK1" s="520"/>
      <c r="FUL1" s="520"/>
      <c r="FUM1" s="520"/>
      <c r="FUN1" s="520"/>
      <c r="FUO1" s="520"/>
      <c r="FUP1" s="520"/>
      <c r="FUQ1" s="520"/>
      <c r="FUR1" s="520"/>
      <c r="FUS1" s="520"/>
      <c r="FUT1" s="520"/>
      <c r="FUU1" s="520"/>
      <c r="FUV1" s="520"/>
      <c r="FUW1" s="520"/>
      <c r="FUX1" s="520"/>
      <c r="FUY1" s="520"/>
      <c r="FUZ1" s="520"/>
      <c r="FVA1" s="520"/>
      <c r="FVB1" s="520"/>
      <c r="FVC1" s="520"/>
      <c r="FVD1" s="520"/>
      <c r="FVE1" s="520"/>
      <c r="FVF1" s="520"/>
      <c r="FVG1" s="520"/>
      <c r="FVH1" s="520"/>
      <c r="FVI1" s="520"/>
      <c r="FVJ1" s="520"/>
      <c r="FVK1" s="520"/>
      <c r="FVL1" s="520"/>
      <c r="FVM1" s="520"/>
      <c r="FVN1" s="520"/>
      <c r="FVO1" s="520"/>
      <c r="FVP1" s="520"/>
      <c r="FVQ1" s="520"/>
      <c r="FVR1" s="520"/>
      <c r="FVS1" s="520"/>
      <c r="FVT1" s="520"/>
      <c r="FVU1" s="520"/>
      <c r="FVV1" s="520"/>
      <c r="FVW1" s="520"/>
      <c r="FVX1" s="520"/>
      <c r="FVY1" s="520"/>
      <c r="FVZ1" s="520"/>
      <c r="FWA1" s="520"/>
      <c r="FWB1" s="520"/>
      <c r="FWC1" s="520"/>
      <c r="FWD1" s="520"/>
      <c r="FWE1" s="520"/>
      <c r="FWF1" s="520"/>
      <c r="FWG1" s="520"/>
      <c r="FWH1" s="520"/>
      <c r="FWI1" s="520"/>
      <c r="FWJ1" s="520"/>
      <c r="FWK1" s="520"/>
      <c r="FWL1" s="520"/>
      <c r="FWM1" s="520"/>
      <c r="FWN1" s="520"/>
      <c r="FWO1" s="520"/>
      <c r="FWP1" s="520"/>
      <c r="FWQ1" s="520"/>
      <c r="FWR1" s="520"/>
      <c r="FWS1" s="520"/>
      <c r="FWT1" s="520"/>
      <c r="FWU1" s="520"/>
      <c r="FWV1" s="520"/>
      <c r="FWW1" s="520"/>
      <c r="FWX1" s="520"/>
      <c r="FWY1" s="520"/>
      <c r="FWZ1" s="520"/>
      <c r="FXA1" s="520"/>
      <c r="FXB1" s="520"/>
      <c r="FXC1" s="520"/>
      <c r="FXD1" s="520"/>
      <c r="FXE1" s="520"/>
      <c r="FXF1" s="520"/>
      <c r="FXG1" s="520"/>
      <c r="FXH1" s="520"/>
      <c r="FXI1" s="520"/>
      <c r="FXJ1" s="520"/>
      <c r="FXK1" s="520"/>
      <c r="FXL1" s="520"/>
      <c r="FXM1" s="520"/>
      <c r="FXN1" s="520"/>
      <c r="FXO1" s="520"/>
      <c r="FXP1" s="520"/>
      <c r="FXQ1" s="520"/>
      <c r="FXR1" s="520"/>
      <c r="FXS1" s="520"/>
      <c r="FXT1" s="520"/>
      <c r="FXU1" s="520"/>
      <c r="FXV1" s="520"/>
      <c r="FXW1" s="520"/>
      <c r="FXX1" s="520"/>
      <c r="FXY1" s="520"/>
      <c r="FXZ1" s="520"/>
      <c r="FYA1" s="520"/>
      <c r="FYB1" s="520"/>
      <c r="FYC1" s="520"/>
      <c r="FYD1" s="520"/>
      <c r="FYE1" s="520"/>
      <c r="FYF1" s="520"/>
      <c r="FYG1" s="520"/>
      <c r="FYH1" s="520"/>
      <c r="FYI1" s="520"/>
      <c r="FYJ1" s="520"/>
      <c r="FYK1" s="520"/>
      <c r="FYL1" s="520"/>
      <c r="FYM1" s="520"/>
      <c r="FYN1" s="520"/>
      <c r="FYO1" s="520"/>
      <c r="FYP1" s="520"/>
      <c r="FYQ1" s="520"/>
      <c r="FYR1" s="520"/>
      <c r="FYS1" s="520"/>
      <c r="FYT1" s="520"/>
      <c r="FYU1" s="520"/>
      <c r="FYV1" s="520"/>
      <c r="FYW1" s="520"/>
      <c r="FYX1" s="520"/>
      <c r="FYY1" s="520"/>
      <c r="FYZ1" s="520"/>
      <c r="FZA1" s="520"/>
      <c r="FZB1" s="520"/>
      <c r="FZC1" s="520"/>
      <c r="FZD1" s="520"/>
      <c r="FZE1" s="520"/>
      <c r="FZF1" s="520"/>
      <c r="FZG1" s="520"/>
      <c r="FZH1" s="520"/>
      <c r="FZI1" s="520"/>
      <c r="FZJ1" s="520"/>
      <c r="FZK1" s="520"/>
      <c r="FZL1" s="520"/>
      <c r="FZM1" s="520"/>
      <c r="FZN1" s="520"/>
      <c r="FZO1" s="520"/>
      <c r="FZP1" s="520"/>
      <c r="FZQ1" s="520"/>
      <c r="FZR1" s="520"/>
      <c r="FZS1" s="520"/>
      <c r="FZT1" s="520"/>
      <c r="FZU1" s="520"/>
      <c r="FZV1" s="520"/>
      <c r="FZW1" s="520"/>
      <c r="FZX1" s="520"/>
      <c r="FZY1" s="520"/>
      <c r="FZZ1" s="520"/>
      <c r="GAA1" s="520"/>
      <c r="GAB1" s="520"/>
      <c r="GAC1" s="520"/>
      <c r="GAD1" s="520"/>
      <c r="GAE1" s="520"/>
      <c r="GAF1" s="520"/>
      <c r="GAG1" s="520"/>
      <c r="GAH1" s="520"/>
      <c r="GAI1" s="520"/>
      <c r="GAJ1" s="520"/>
      <c r="GAK1" s="520"/>
      <c r="GAL1" s="520"/>
      <c r="GAM1" s="520"/>
      <c r="GAN1" s="520"/>
      <c r="GAO1" s="520"/>
      <c r="GAP1" s="520"/>
      <c r="GAQ1" s="520"/>
      <c r="GAR1" s="520"/>
      <c r="GAS1" s="520"/>
      <c r="GAT1" s="520"/>
      <c r="GAU1" s="520"/>
      <c r="GAV1" s="520"/>
      <c r="GAW1" s="520"/>
      <c r="GAX1" s="520"/>
      <c r="GAY1" s="520"/>
      <c r="GAZ1" s="520"/>
      <c r="GBA1" s="520"/>
      <c r="GBB1" s="520"/>
      <c r="GBC1" s="520"/>
      <c r="GBD1" s="520"/>
      <c r="GBE1" s="520"/>
      <c r="GBF1" s="520"/>
      <c r="GBG1" s="520"/>
      <c r="GBH1" s="520"/>
      <c r="GBI1" s="520"/>
      <c r="GBJ1" s="520"/>
      <c r="GBK1" s="520"/>
      <c r="GBL1" s="520"/>
      <c r="GBM1" s="520"/>
      <c r="GBN1" s="520"/>
      <c r="GBO1" s="520"/>
      <c r="GBP1" s="520"/>
      <c r="GBQ1" s="520"/>
      <c r="GBR1" s="520"/>
      <c r="GBS1" s="520"/>
      <c r="GBT1" s="520"/>
      <c r="GBU1" s="520"/>
      <c r="GBV1" s="520"/>
      <c r="GBW1" s="520"/>
      <c r="GBX1" s="520"/>
      <c r="GBY1" s="520"/>
      <c r="GBZ1" s="520"/>
      <c r="GCA1" s="520"/>
      <c r="GCB1" s="520"/>
      <c r="GCC1" s="520"/>
      <c r="GCD1" s="520"/>
      <c r="GCE1" s="520"/>
      <c r="GCF1" s="520"/>
      <c r="GCG1" s="520"/>
      <c r="GCH1" s="520"/>
      <c r="GCI1" s="520"/>
      <c r="GCJ1" s="520"/>
      <c r="GCK1" s="520"/>
      <c r="GCL1" s="520"/>
      <c r="GCM1" s="520"/>
      <c r="GCN1" s="520"/>
      <c r="GCO1" s="520"/>
      <c r="GCP1" s="520"/>
      <c r="GCQ1" s="520"/>
      <c r="GCR1" s="520"/>
      <c r="GCS1" s="520"/>
      <c r="GCT1" s="520"/>
      <c r="GCU1" s="520"/>
      <c r="GCV1" s="520"/>
      <c r="GCW1" s="520"/>
      <c r="GCX1" s="520"/>
      <c r="GCY1" s="520"/>
      <c r="GCZ1" s="520"/>
      <c r="GDA1" s="520"/>
      <c r="GDB1" s="520"/>
      <c r="GDC1" s="520"/>
      <c r="GDD1" s="520"/>
      <c r="GDE1" s="520"/>
      <c r="GDF1" s="520"/>
      <c r="GDG1" s="520"/>
      <c r="GDH1" s="520"/>
      <c r="GDI1" s="520"/>
      <c r="GDJ1" s="520"/>
      <c r="GDK1" s="520"/>
      <c r="GDL1" s="520"/>
      <c r="GDM1" s="520"/>
      <c r="GDN1" s="520"/>
      <c r="GDO1" s="520"/>
      <c r="GDP1" s="520"/>
      <c r="GDQ1" s="520"/>
      <c r="GDR1" s="520"/>
      <c r="GDS1" s="520"/>
      <c r="GDT1" s="520"/>
      <c r="GDU1" s="520"/>
      <c r="GDV1" s="520"/>
      <c r="GDW1" s="520"/>
      <c r="GDX1" s="520"/>
      <c r="GDY1" s="520"/>
      <c r="GDZ1" s="520"/>
      <c r="GEA1" s="520"/>
      <c r="GEB1" s="520"/>
      <c r="GEC1" s="520"/>
      <c r="GED1" s="520"/>
      <c r="GEE1" s="520"/>
      <c r="GEF1" s="520"/>
      <c r="GEG1" s="520"/>
      <c r="GEH1" s="520"/>
      <c r="GEI1" s="520"/>
      <c r="GEJ1" s="520"/>
      <c r="GEK1" s="520"/>
      <c r="GEL1" s="520"/>
      <c r="GEM1" s="520"/>
      <c r="GEN1" s="520"/>
      <c r="GEO1" s="520"/>
      <c r="GEP1" s="520"/>
      <c r="GEQ1" s="520"/>
      <c r="GER1" s="520"/>
      <c r="GES1" s="520"/>
      <c r="GET1" s="520"/>
      <c r="GEU1" s="520"/>
      <c r="GEV1" s="520"/>
      <c r="GEW1" s="520"/>
      <c r="GEX1" s="520"/>
      <c r="GEY1" s="520"/>
      <c r="GEZ1" s="520"/>
      <c r="GFA1" s="520"/>
      <c r="GFB1" s="520"/>
      <c r="GFC1" s="520"/>
      <c r="GFD1" s="520"/>
      <c r="GFE1" s="520"/>
      <c r="GFF1" s="520"/>
      <c r="GFG1" s="520"/>
      <c r="GFH1" s="520"/>
      <c r="GFI1" s="520"/>
      <c r="GFJ1" s="520"/>
      <c r="GFK1" s="520"/>
      <c r="GFL1" s="520"/>
      <c r="GFM1" s="520"/>
      <c r="GFN1" s="520"/>
      <c r="GFO1" s="520"/>
      <c r="GFP1" s="520"/>
      <c r="GFQ1" s="520"/>
      <c r="GFR1" s="520"/>
      <c r="GFS1" s="520"/>
      <c r="GFT1" s="520"/>
      <c r="GFU1" s="520"/>
      <c r="GFV1" s="520"/>
      <c r="GFW1" s="520"/>
      <c r="GFX1" s="520"/>
      <c r="GFY1" s="520"/>
      <c r="GFZ1" s="520"/>
      <c r="GGA1" s="520"/>
      <c r="GGB1" s="520"/>
      <c r="GGC1" s="520"/>
      <c r="GGD1" s="520"/>
      <c r="GGE1" s="520"/>
      <c r="GGF1" s="520"/>
      <c r="GGG1" s="520"/>
      <c r="GGH1" s="520"/>
      <c r="GGI1" s="520"/>
      <c r="GGJ1" s="520"/>
      <c r="GGK1" s="520"/>
      <c r="GGL1" s="520"/>
      <c r="GGM1" s="520"/>
      <c r="GGN1" s="520"/>
      <c r="GGO1" s="520"/>
      <c r="GGP1" s="520"/>
      <c r="GGQ1" s="520"/>
      <c r="GGR1" s="520"/>
      <c r="GGS1" s="520"/>
      <c r="GGT1" s="520"/>
      <c r="GGU1" s="520"/>
      <c r="GGV1" s="520"/>
      <c r="GGW1" s="520"/>
      <c r="GGX1" s="520"/>
      <c r="GGY1" s="520"/>
      <c r="GGZ1" s="520"/>
      <c r="GHA1" s="520"/>
      <c r="GHB1" s="520"/>
      <c r="GHC1" s="520"/>
      <c r="GHD1" s="520"/>
      <c r="GHE1" s="520"/>
      <c r="GHF1" s="520"/>
      <c r="GHG1" s="520"/>
      <c r="GHH1" s="520"/>
      <c r="GHI1" s="520"/>
      <c r="GHJ1" s="520"/>
      <c r="GHK1" s="520"/>
      <c r="GHL1" s="520"/>
      <c r="GHM1" s="520"/>
      <c r="GHN1" s="520"/>
      <c r="GHO1" s="520"/>
      <c r="GHP1" s="520"/>
      <c r="GHQ1" s="520"/>
      <c r="GHR1" s="520"/>
      <c r="GHS1" s="520"/>
      <c r="GHT1" s="520"/>
      <c r="GHU1" s="520"/>
      <c r="GHV1" s="520"/>
      <c r="GHW1" s="520"/>
      <c r="GHX1" s="520"/>
      <c r="GHY1" s="520"/>
      <c r="GHZ1" s="520"/>
      <c r="GIA1" s="520"/>
      <c r="GIB1" s="520"/>
      <c r="GIC1" s="520"/>
      <c r="GID1" s="520"/>
      <c r="GIE1" s="520"/>
      <c r="GIF1" s="520"/>
      <c r="GIG1" s="520"/>
      <c r="GIH1" s="520"/>
      <c r="GII1" s="520"/>
      <c r="GIJ1" s="520"/>
      <c r="GIK1" s="520"/>
      <c r="GIL1" s="520"/>
      <c r="GIM1" s="520"/>
      <c r="GIN1" s="520"/>
      <c r="GIO1" s="520"/>
      <c r="GIP1" s="520"/>
      <c r="GIQ1" s="520"/>
      <c r="GIR1" s="520"/>
      <c r="GIS1" s="520"/>
      <c r="GIT1" s="520"/>
      <c r="GIU1" s="520"/>
      <c r="GIV1" s="520"/>
      <c r="GIW1" s="520"/>
      <c r="GIX1" s="520"/>
      <c r="GIY1" s="520"/>
      <c r="GIZ1" s="520"/>
      <c r="GJA1" s="520"/>
      <c r="GJB1" s="520"/>
      <c r="GJC1" s="520"/>
      <c r="GJD1" s="520"/>
      <c r="GJE1" s="520"/>
      <c r="GJF1" s="520"/>
      <c r="GJG1" s="520"/>
      <c r="GJH1" s="520"/>
      <c r="GJI1" s="520"/>
      <c r="GJJ1" s="520"/>
      <c r="GJK1" s="520"/>
      <c r="GJL1" s="520"/>
      <c r="GJM1" s="520"/>
      <c r="GJN1" s="520"/>
      <c r="GJO1" s="520"/>
      <c r="GJP1" s="520"/>
      <c r="GJQ1" s="520"/>
      <c r="GJR1" s="520"/>
      <c r="GJS1" s="520"/>
      <c r="GJT1" s="520"/>
      <c r="GJU1" s="520"/>
      <c r="GJV1" s="520"/>
      <c r="GJW1" s="520"/>
      <c r="GJX1" s="520"/>
      <c r="GJY1" s="520"/>
      <c r="GJZ1" s="520"/>
      <c r="GKA1" s="520"/>
      <c r="GKB1" s="520"/>
      <c r="GKC1" s="520"/>
      <c r="GKD1" s="520"/>
      <c r="GKE1" s="520"/>
      <c r="GKF1" s="520"/>
      <c r="GKG1" s="520"/>
      <c r="GKH1" s="520"/>
      <c r="GKI1" s="520"/>
      <c r="GKJ1" s="520"/>
      <c r="GKK1" s="520"/>
      <c r="GKL1" s="520"/>
      <c r="GKM1" s="520"/>
      <c r="GKN1" s="520"/>
      <c r="GKO1" s="520"/>
      <c r="GKP1" s="520"/>
      <c r="GKQ1" s="520"/>
      <c r="GKR1" s="520"/>
      <c r="GKS1" s="520"/>
      <c r="GKT1" s="520"/>
      <c r="GKU1" s="520"/>
      <c r="GKV1" s="520"/>
      <c r="GKW1" s="520"/>
      <c r="GKX1" s="520"/>
      <c r="GKY1" s="520"/>
      <c r="GKZ1" s="520"/>
      <c r="GLA1" s="520"/>
      <c r="GLB1" s="520"/>
      <c r="GLC1" s="520"/>
      <c r="GLD1" s="520"/>
      <c r="GLE1" s="520"/>
      <c r="GLF1" s="520"/>
      <c r="GLG1" s="520"/>
      <c r="GLH1" s="520"/>
      <c r="GLI1" s="520"/>
      <c r="GLJ1" s="520"/>
      <c r="GLK1" s="520"/>
      <c r="GLL1" s="520"/>
      <c r="GLM1" s="520"/>
      <c r="GLN1" s="520"/>
      <c r="GLO1" s="520"/>
      <c r="GLP1" s="520"/>
      <c r="GLQ1" s="520"/>
      <c r="GLR1" s="520"/>
      <c r="GLS1" s="520"/>
      <c r="GLT1" s="520"/>
      <c r="GLU1" s="520"/>
      <c r="GLV1" s="520"/>
      <c r="GLW1" s="520"/>
      <c r="GLX1" s="520"/>
      <c r="GLY1" s="520"/>
      <c r="GLZ1" s="520"/>
      <c r="GMA1" s="520"/>
      <c r="GMB1" s="520"/>
      <c r="GMC1" s="520"/>
      <c r="GMD1" s="520"/>
      <c r="GME1" s="520"/>
      <c r="GMF1" s="520"/>
      <c r="GMG1" s="520"/>
      <c r="GMH1" s="520"/>
      <c r="GMI1" s="520"/>
      <c r="GMJ1" s="520"/>
      <c r="GMK1" s="520"/>
      <c r="GML1" s="520"/>
      <c r="GMM1" s="520"/>
      <c r="GMN1" s="520"/>
      <c r="GMO1" s="520"/>
      <c r="GMP1" s="520"/>
      <c r="GMQ1" s="520"/>
      <c r="GMR1" s="520"/>
      <c r="GMS1" s="520"/>
      <c r="GMT1" s="520"/>
      <c r="GMU1" s="520"/>
      <c r="GMV1" s="520"/>
      <c r="GMW1" s="520"/>
      <c r="GMX1" s="520"/>
      <c r="GMY1" s="520"/>
      <c r="GMZ1" s="520"/>
      <c r="GNA1" s="520"/>
      <c r="GNB1" s="520"/>
      <c r="GNC1" s="520"/>
      <c r="GND1" s="520"/>
      <c r="GNE1" s="520"/>
      <c r="GNF1" s="520"/>
      <c r="GNG1" s="520"/>
      <c r="GNH1" s="520"/>
      <c r="GNI1" s="520"/>
      <c r="GNJ1" s="520"/>
      <c r="GNK1" s="520"/>
      <c r="GNL1" s="520"/>
      <c r="GNM1" s="520"/>
      <c r="GNN1" s="520"/>
      <c r="GNO1" s="520"/>
      <c r="GNP1" s="520"/>
      <c r="GNQ1" s="520"/>
      <c r="GNR1" s="520"/>
      <c r="GNS1" s="520"/>
      <c r="GNT1" s="520"/>
      <c r="GNU1" s="520"/>
      <c r="GNV1" s="520"/>
      <c r="GNW1" s="520"/>
      <c r="GNX1" s="520"/>
      <c r="GNY1" s="520"/>
      <c r="GNZ1" s="520"/>
      <c r="GOA1" s="520"/>
      <c r="GOB1" s="520"/>
      <c r="GOC1" s="520"/>
      <c r="GOD1" s="520"/>
      <c r="GOE1" s="520"/>
      <c r="GOF1" s="520"/>
      <c r="GOG1" s="520"/>
      <c r="GOH1" s="520"/>
      <c r="GOI1" s="520"/>
      <c r="GOJ1" s="520"/>
      <c r="GOK1" s="520"/>
      <c r="GOL1" s="520"/>
      <c r="GOM1" s="520"/>
      <c r="GON1" s="520"/>
      <c r="GOO1" s="520"/>
      <c r="GOP1" s="520"/>
      <c r="GOQ1" s="520"/>
      <c r="GOR1" s="520"/>
      <c r="GOS1" s="520"/>
      <c r="GOT1" s="520"/>
      <c r="GOU1" s="520"/>
      <c r="GOV1" s="520"/>
      <c r="GOW1" s="520"/>
      <c r="GOX1" s="520"/>
      <c r="GOY1" s="520"/>
      <c r="GOZ1" s="520"/>
      <c r="GPA1" s="520"/>
      <c r="GPB1" s="520"/>
      <c r="GPC1" s="520"/>
      <c r="GPD1" s="520"/>
      <c r="GPE1" s="520"/>
      <c r="GPF1" s="520"/>
      <c r="GPG1" s="520"/>
      <c r="GPH1" s="520"/>
      <c r="GPI1" s="520"/>
      <c r="GPJ1" s="520"/>
      <c r="GPK1" s="520"/>
      <c r="GPL1" s="520"/>
      <c r="GPM1" s="520"/>
      <c r="GPN1" s="520"/>
      <c r="GPO1" s="520"/>
      <c r="GPP1" s="520"/>
      <c r="GPQ1" s="520"/>
      <c r="GPR1" s="520"/>
      <c r="GPS1" s="520"/>
      <c r="GPT1" s="520"/>
      <c r="GPU1" s="520"/>
      <c r="GPV1" s="520"/>
      <c r="GPW1" s="520"/>
      <c r="GPX1" s="520"/>
      <c r="GPY1" s="520"/>
      <c r="GPZ1" s="520"/>
      <c r="GQA1" s="520"/>
      <c r="GQB1" s="520"/>
      <c r="GQC1" s="520"/>
      <c r="GQD1" s="520"/>
      <c r="GQE1" s="520"/>
      <c r="GQF1" s="520"/>
      <c r="GQG1" s="520"/>
      <c r="GQH1" s="520"/>
      <c r="GQI1" s="520"/>
      <c r="GQJ1" s="520"/>
      <c r="GQK1" s="520"/>
      <c r="GQL1" s="520"/>
      <c r="GQM1" s="520"/>
      <c r="GQN1" s="520"/>
      <c r="GQO1" s="520"/>
      <c r="GQP1" s="520"/>
      <c r="GQQ1" s="520"/>
      <c r="GQR1" s="520"/>
      <c r="GQS1" s="520"/>
      <c r="GQT1" s="520"/>
      <c r="GQU1" s="520"/>
      <c r="GQV1" s="520"/>
      <c r="GQW1" s="520"/>
      <c r="GQX1" s="520"/>
      <c r="GQY1" s="520"/>
      <c r="GQZ1" s="520"/>
      <c r="GRA1" s="520"/>
      <c r="GRB1" s="520"/>
      <c r="GRC1" s="520"/>
      <c r="GRD1" s="520"/>
      <c r="GRE1" s="520"/>
      <c r="GRF1" s="520"/>
      <c r="GRG1" s="520"/>
      <c r="GRH1" s="520"/>
      <c r="GRI1" s="520"/>
      <c r="GRJ1" s="520"/>
      <c r="GRK1" s="520"/>
      <c r="GRL1" s="520"/>
      <c r="GRM1" s="520"/>
      <c r="GRN1" s="520"/>
      <c r="GRO1" s="520"/>
      <c r="GRP1" s="520"/>
      <c r="GRQ1" s="520"/>
      <c r="GRR1" s="520"/>
      <c r="GRS1" s="520"/>
      <c r="GRT1" s="520"/>
      <c r="GRU1" s="520"/>
      <c r="GRV1" s="520"/>
      <c r="GRW1" s="520"/>
      <c r="GRX1" s="520"/>
      <c r="GRY1" s="520"/>
      <c r="GRZ1" s="520"/>
      <c r="GSA1" s="520"/>
      <c r="GSB1" s="520"/>
      <c r="GSC1" s="520"/>
      <c r="GSD1" s="520"/>
      <c r="GSE1" s="520"/>
      <c r="GSF1" s="520"/>
      <c r="GSG1" s="520"/>
      <c r="GSH1" s="520"/>
      <c r="GSI1" s="520"/>
      <c r="GSJ1" s="520"/>
      <c r="GSK1" s="520"/>
      <c r="GSL1" s="520"/>
      <c r="GSM1" s="520"/>
      <c r="GSN1" s="520"/>
      <c r="GSO1" s="520"/>
      <c r="GSP1" s="520"/>
      <c r="GSQ1" s="520"/>
      <c r="GSR1" s="520"/>
      <c r="GSS1" s="520"/>
      <c r="GST1" s="520"/>
      <c r="GSU1" s="520"/>
      <c r="GSV1" s="520"/>
      <c r="GSW1" s="520"/>
      <c r="GSX1" s="520"/>
      <c r="GSY1" s="520"/>
      <c r="GSZ1" s="520"/>
      <c r="GTA1" s="520"/>
      <c r="GTB1" s="520"/>
      <c r="GTC1" s="520"/>
      <c r="GTD1" s="520"/>
      <c r="GTE1" s="520"/>
      <c r="GTF1" s="520"/>
      <c r="GTG1" s="520"/>
      <c r="GTH1" s="520"/>
      <c r="GTI1" s="520"/>
      <c r="GTJ1" s="520"/>
      <c r="GTK1" s="520"/>
      <c r="GTL1" s="520"/>
      <c r="GTM1" s="520"/>
      <c r="GTN1" s="520"/>
      <c r="GTO1" s="520"/>
      <c r="GTP1" s="520"/>
      <c r="GTQ1" s="520"/>
      <c r="GTR1" s="520"/>
      <c r="GTS1" s="520"/>
      <c r="GTT1" s="520"/>
      <c r="GTU1" s="520"/>
      <c r="GTV1" s="520"/>
      <c r="GTW1" s="520"/>
      <c r="GTX1" s="520"/>
      <c r="GTY1" s="520"/>
      <c r="GTZ1" s="520"/>
      <c r="GUA1" s="520"/>
      <c r="GUB1" s="520"/>
      <c r="GUC1" s="520"/>
      <c r="GUD1" s="520"/>
      <c r="GUE1" s="520"/>
      <c r="GUF1" s="520"/>
      <c r="GUG1" s="520"/>
      <c r="GUH1" s="520"/>
      <c r="GUI1" s="520"/>
      <c r="GUJ1" s="520"/>
      <c r="GUK1" s="520"/>
      <c r="GUL1" s="520"/>
      <c r="GUM1" s="520"/>
      <c r="GUN1" s="520"/>
      <c r="GUO1" s="520"/>
      <c r="GUP1" s="520"/>
      <c r="GUQ1" s="520"/>
      <c r="GUR1" s="520"/>
      <c r="GUS1" s="520"/>
      <c r="GUT1" s="520"/>
      <c r="GUU1" s="520"/>
      <c r="GUV1" s="520"/>
      <c r="GUW1" s="520"/>
      <c r="GUX1" s="520"/>
      <c r="GUY1" s="520"/>
      <c r="GUZ1" s="520"/>
      <c r="GVA1" s="520"/>
      <c r="GVB1" s="520"/>
      <c r="GVC1" s="520"/>
      <c r="GVD1" s="520"/>
      <c r="GVE1" s="520"/>
      <c r="GVF1" s="520"/>
      <c r="GVG1" s="520"/>
      <c r="GVH1" s="520"/>
      <c r="GVI1" s="520"/>
      <c r="GVJ1" s="520"/>
      <c r="GVK1" s="520"/>
      <c r="GVL1" s="520"/>
      <c r="GVM1" s="520"/>
      <c r="GVN1" s="520"/>
      <c r="GVO1" s="520"/>
      <c r="GVP1" s="520"/>
      <c r="GVQ1" s="520"/>
      <c r="GVR1" s="520"/>
      <c r="GVS1" s="520"/>
      <c r="GVT1" s="520"/>
      <c r="GVU1" s="520"/>
      <c r="GVV1" s="520"/>
      <c r="GVW1" s="520"/>
      <c r="GVX1" s="520"/>
      <c r="GVY1" s="520"/>
      <c r="GVZ1" s="520"/>
      <c r="GWA1" s="520"/>
      <c r="GWB1" s="520"/>
      <c r="GWC1" s="520"/>
      <c r="GWD1" s="520"/>
      <c r="GWE1" s="520"/>
      <c r="GWF1" s="520"/>
      <c r="GWG1" s="520"/>
      <c r="GWH1" s="520"/>
      <c r="GWI1" s="520"/>
      <c r="GWJ1" s="520"/>
      <c r="GWK1" s="520"/>
      <c r="GWL1" s="520"/>
      <c r="GWM1" s="520"/>
      <c r="GWN1" s="520"/>
      <c r="GWO1" s="520"/>
      <c r="GWP1" s="520"/>
      <c r="GWQ1" s="520"/>
      <c r="GWR1" s="520"/>
      <c r="GWS1" s="520"/>
      <c r="GWT1" s="520"/>
      <c r="GWU1" s="520"/>
      <c r="GWV1" s="520"/>
      <c r="GWW1" s="520"/>
      <c r="GWX1" s="520"/>
      <c r="GWY1" s="520"/>
      <c r="GWZ1" s="520"/>
      <c r="GXA1" s="520"/>
      <c r="GXB1" s="520"/>
      <c r="GXC1" s="520"/>
      <c r="GXD1" s="520"/>
      <c r="GXE1" s="520"/>
      <c r="GXF1" s="520"/>
      <c r="GXG1" s="520"/>
      <c r="GXH1" s="520"/>
      <c r="GXI1" s="520"/>
      <c r="GXJ1" s="520"/>
      <c r="GXK1" s="520"/>
      <c r="GXL1" s="520"/>
      <c r="GXM1" s="520"/>
      <c r="GXN1" s="520"/>
      <c r="GXO1" s="520"/>
      <c r="GXP1" s="520"/>
      <c r="GXQ1" s="520"/>
      <c r="GXR1" s="520"/>
      <c r="GXS1" s="520"/>
      <c r="GXT1" s="520"/>
      <c r="GXU1" s="520"/>
      <c r="GXV1" s="520"/>
      <c r="GXW1" s="520"/>
      <c r="GXX1" s="520"/>
      <c r="GXY1" s="520"/>
      <c r="GXZ1" s="520"/>
      <c r="GYA1" s="520"/>
      <c r="GYB1" s="520"/>
      <c r="GYC1" s="520"/>
      <c r="GYD1" s="520"/>
      <c r="GYE1" s="520"/>
      <c r="GYF1" s="520"/>
      <c r="GYG1" s="520"/>
      <c r="GYH1" s="520"/>
      <c r="GYI1" s="520"/>
      <c r="GYJ1" s="520"/>
      <c r="GYK1" s="520"/>
      <c r="GYL1" s="520"/>
      <c r="GYM1" s="520"/>
      <c r="GYN1" s="520"/>
      <c r="GYO1" s="520"/>
      <c r="GYP1" s="520"/>
      <c r="GYQ1" s="520"/>
      <c r="GYR1" s="520"/>
      <c r="GYS1" s="520"/>
      <c r="GYT1" s="520"/>
      <c r="GYU1" s="520"/>
      <c r="GYV1" s="520"/>
      <c r="GYW1" s="520"/>
      <c r="GYX1" s="520"/>
      <c r="GYY1" s="520"/>
      <c r="GYZ1" s="520"/>
      <c r="GZA1" s="520"/>
      <c r="GZB1" s="520"/>
      <c r="GZC1" s="520"/>
      <c r="GZD1" s="520"/>
      <c r="GZE1" s="520"/>
      <c r="GZF1" s="520"/>
      <c r="GZG1" s="520"/>
      <c r="GZH1" s="520"/>
      <c r="GZI1" s="520"/>
      <c r="GZJ1" s="520"/>
      <c r="GZK1" s="520"/>
      <c r="GZL1" s="520"/>
      <c r="GZM1" s="520"/>
      <c r="GZN1" s="520"/>
      <c r="GZO1" s="520"/>
      <c r="GZP1" s="520"/>
      <c r="GZQ1" s="520"/>
      <c r="GZR1" s="520"/>
      <c r="GZS1" s="520"/>
      <c r="GZT1" s="520"/>
      <c r="GZU1" s="520"/>
      <c r="GZV1" s="520"/>
      <c r="GZW1" s="520"/>
      <c r="GZX1" s="520"/>
      <c r="GZY1" s="520"/>
      <c r="GZZ1" s="520"/>
      <c r="HAA1" s="520"/>
      <c r="HAB1" s="520"/>
      <c r="HAC1" s="520"/>
      <c r="HAD1" s="520"/>
      <c r="HAE1" s="520"/>
      <c r="HAF1" s="520"/>
      <c r="HAG1" s="520"/>
      <c r="HAH1" s="520"/>
      <c r="HAI1" s="520"/>
      <c r="HAJ1" s="520"/>
      <c r="HAK1" s="520"/>
      <c r="HAL1" s="520"/>
      <c r="HAM1" s="520"/>
      <c r="HAN1" s="520"/>
      <c r="HAO1" s="520"/>
      <c r="HAP1" s="520"/>
      <c r="HAQ1" s="520"/>
      <c r="HAR1" s="520"/>
      <c r="HAS1" s="520"/>
      <c r="HAT1" s="520"/>
      <c r="HAU1" s="520"/>
      <c r="HAV1" s="520"/>
      <c r="HAW1" s="520"/>
      <c r="HAX1" s="520"/>
      <c r="HAY1" s="520"/>
      <c r="HAZ1" s="520"/>
      <c r="HBA1" s="520"/>
      <c r="HBB1" s="520"/>
      <c r="HBC1" s="520"/>
      <c r="HBD1" s="520"/>
      <c r="HBE1" s="520"/>
      <c r="HBF1" s="520"/>
      <c r="HBG1" s="520"/>
      <c r="HBH1" s="520"/>
      <c r="HBI1" s="520"/>
      <c r="HBJ1" s="520"/>
      <c r="HBK1" s="520"/>
      <c r="HBL1" s="520"/>
      <c r="HBM1" s="520"/>
      <c r="HBN1" s="520"/>
      <c r="HBO1" s="520"/>
      <c r="HBP1" s="520"/>
      <c r="HBQ1" s="520"/>
      <c r="HBR1" s="520"/>
      <c r="HBS1" s="520"/>
      <c r="HBT1" s="520"/>
      <c r="HBU1" s="520"/>
      <c r="HBV1" s="520"/>
      <c r="HBW1" s="520"/>
      <c r="HBX1" s="520"/>
      <c r="HBY1" s="520"/>
      <c r="HBZ1" s="520"/>
      <c r="HCA1" s="520"/>
      <c r="HCB1" s="520"/>
      <c r="HCC1" s="520"/>
      <c r="HCD1" s="520"/>
      <c r="HCE1" s="520"/>
      <c r="HCF1" s="520"/>
      <c r="HCG1" s="520"/>
      <c r="HCH1" s="520"/>
      <c r="HCI1" s="520"/>
      <c r="HCJ1" s="520"/>
      <c r="HCK1" s="520"/>
      <c r="HCL1" s="520"/>
      <c r="HCM1" s="520"/>
      <c r="HCN1" s="520"/>
      <c r="HCO1" s="520"/>
      <c r="HCP1" s="520"/>
      <c r="HCQ1" s="520"/>
      <c r="HCR1" s="520"/>
      <c r="HCS1" s="520"/>
      <c r="HCT1" s="520"/>
      <c r="HCU1" s="520"/>
      <c r="HCV1" s="520"/>
      <c r="HCW1" s="520"/>
      <c r="HCX1" s="520"/>
      <c r="HCY1" s="520"/>
      <c r="HCZ1" s="520"/>
      <c r="HDA1" s="520"/>
      <c r="HDB1" s="520"/>
      <c r="HDC1" s="520"/>
      <c r="HDD1" s="520"/>
      <c r="HDE1" s="520"/>
      <c r="HDF1" s="520"/>
      <c r="HDG1" s="520"/>
      <c r="HDH1" s="520"/>
      <c r="HDI1" s="520"/>
      <c r="HDJ1" s="520"/>
      <c r="HDK1" s="520"/>
      <c r="HDL1" s="520"/>
      <c r="HDM1" s="520"/>
      <c r="HDN1" s="520"/>
      <c r="HDO1" s="520"/>
      <c r="HDP1" s="520"/>
      <c r="HDQ1" s="520"/>
      <c r="HDR1" s="520"/>
      <c r="HDS1" s="520"/>
      <c r="HDT1" s="520"/>
      <c r="HDU1" s="520"/>
      <c r="HDV1" s="520"/>
      <c r="HDW1" s="520"/>
      <c r="HDX1" s="520"/>
      <c r="HDY1" s="520"/>
      <c r="HDZ1" s="520"/>
      <c r="HEA1" s="520"/>
      <c r="HEB1" s="520"/>
      <c r="HEC1" s="520"/>
      <c r="HED1" s="520"/>
      <c r="HEE1" s="520"/>
      <c r="HEF1" s="520"/>
      <c r="HEG1" s="520"/>
      <c r="HEH1" s="520"/>
      <c r="HEI1" s="520"/>
      <c r="HEJ1" s="520"/>
      <c r="HEK1" s="520"/>
      <c r="HEL1" s="520"/>
      <c r="HEM1" s="520"/>
      <c r="HEN1" s="520"/>
      <c r="HEO1" s="520"/>
      <c r="HEP1" s="520"/>
      <c r="HEQ1" s="520"/>
      <c r="HER1" s="520"/>
      <c r="HES1" s="520"/>
      <c r="HET1" s="520"/>
      <c r="HEU1" s="520"/>
      <c r="HEV1" s="520"/>
      <c r="HEW1" s="520"/>
      <c r="HEX1" s="520"/>
      <c r="HEY1" s="520"/>
      <c r="HEZ1" s="520"/>
      <c r="HFA1" s="520"/>
      <c r="HFB1" s="520"/>
      <c r="HFC1" s="520"/>
      <c r="HFD1" s="520"/>
      <c r="HFE1" s="520"/>
      <c r="HFF1" s="520"/>
      <c r="HFG1" s="520"/>
      <c r="HFH1" s="520"/>
      <c r="HFI1" s="520"/>
      <c r="HFJ1" s="520"/>
      <c r="HFK1" s="520"/>
      <c r="HFL1" s="520"/>
      <c r="HFM1" s="520"/>
      <c r="HFN1" s="520"/>
      <c r="HFO1" s="520"/>
      <c r="HFP1" s="520"/>
      <c r="HFQ1" s="520"/>
      <c r="HFR1" s="520"/>
      <c r="HFS1" s="520"/>
      <c r="HFT1" s="520"/>
      <c r="HFU1" s="520"/>
      <c r="HFV1" s="520"/>
      <c r="HFW1" s="520"/>
      <c r="HFX1" s="520"/>
      <c r="HFY1" s="520"/>
      <c r="HFZ1" s="520"/>
      <c r="HGA1" s="520"/>
      <c r="HGB1" s="520"/>
      <c r="HGC1" s="520"/>
      <c r="HGD1" s="520"/>
      <c r="HGE1" s="520"/>
      <c r="HGF1" s="520"/>
      <c r="HGG1" s="520"/>
      <c r="HGH1" s="520"/>
      <c r="HGI1" s="520"/>
      <c r="HGJ1" s="520"/>
      <c r="HGK1" s="520"/>
      <c r="HGL1" s="520"/>
      <c r="HGM1" s="520"/>
      <c r="HGN1" s="520"/>
      <c r="HGO1" s="520"/>
      <c r="HGP1" s="520"/>
      <c r="HGQ1" s="520"/>
      <c r="HGR1" s="520"/>
      <c r="HGS1" s="520"/>
      <c r="HGT1" s="520"/>
      <c r="HGU1" s="520"/>
      <c r="HGV1" s="520"/>
      <c r="HGW1" s="520"/>
      <c r="HGX1" s="520"/>
      <c r="HGY1" s="520"/>
      <c r="HGZ1" s="520"/>
      <c r="HHA1" s="520"/>
      <c r="HHB1" s="520"/>
      <c r="HHC1" s="520"/>
      <c r="HHD1" s="520"/>
      <c r="HHE1" s="520"/>
      <c r="HHF1" s="520"/>
      <c r="HHG1" s="520"/>
      <c r="HHH1" s="520"/>
      <c r="HHI1" s="520"/>
      <c r="HHJ1" s="520"/>
      <c r="HHK1" s="520"/>
      <c r="HHL1" s="520"/>
      <c r="HHM1" s="520"/>
      <c r="HHN1" s="520"/>
      <c r="HHO1" s="520"/>
      <c r="HHP1" s="520"/>
      <c r="HHQ1" s="520"/>
      <c r="HHR1" s="520"/>
      <c r="HHS1" s="520"/>
      <c r="HHT1" s="520"/>
      <c r="HHU1" s="520"/>
      <c r="HHV1" s="520"/>
      <c r="HHW1" s="520"/>
      <c r="HHX1" s="520"/>
      <c r="HHY1" s="520"/>
      <c r="HHZ1" s="520"/>
      <c r="HIA1" s="520"/>
      <c r="HIB1" s="520"/>
      <c r="HIC1" s="520"/>
      <c r="HID1" s="520"/>
      <c r="HIE1" s="520"/>
      <c r="HIF1" s="520"/>
      <c r="HIG1" s="520"/>
      <c r="HIH1" s="520"/>
      <c r="HII1" s="520"/>
      <c r="HIJ1" s="520"/>
      <c r="HIK1" s="520"/>
      <c r="HIL1" s="520"/>
      <c r="HIM1" s="520"/>
      <c r="HIN1" s="520"/>
      <c r="HIO1" s="520"/>
      <c r="HIP1" s="520"/>
      <c r="HIQ1" s="520"/>
      <c r="HIR1" s="520"/>
      <c r="HIS1" s="520"/>
      <c r="HIT1" s="520"/>
      <c r="HIU1" s="520"/>
      <c r="HIV1" s="520"/>
      <c r="HIW1" s="520"/>
      <c r="HIX1" s="520"/>
      <c r="HIY1" s="520"/>
      <c r="HIZ1" s="520"/>
      <c r="HJA1" s="520"/>
      <c r="HJB1" s="520"/>
      <c r="HJC1" s="520"/>
      <c r="HJD1" s="520"/>
      <c r="HJE1" s="520"/>
      <c r="HJF1" s="520"/>
      <c r="HJG1" s="520"/>
      <c r="HJH1" s="520"/>
      <c r="HJI1" s="520"/>
      <c r="HJJ1" s="520"/>
      <c r="HJK1" s="520"/>
      <c r="HJL1" s="520"/>
      <c r="HJM1" s="520"/>
      <c r="HJN1" s="520"/>
      <c r="HJO1" s="520"/>
      <c r="HJP1" s="520"/>
      <c r="HJQ1" s="520"/>
      <c r="HJR1" s="520"/>
      <c r="HJS1" s="520"/>
      <c r="HJT1" s="520"/>
      <c r="HJU1" s="520"/>
      <c r="HJV1" s="520"/>
      <c r="HJW1" s="520"/>
      <c r="HJX1" s="520"/>
      <c r="HJY1" s="520"/>
      <c r="HJZ1" s="520"/>
      <c r="HKA1" s="520"/>
      <c r="HKB1" s="520"/>
      <c r="HKC1" s="520"/>
      <c r="HKD1" s="520"/>
      <c r="HKE1" s="520"/>
      <c r="HKF1" s="520"/>
      <c r="HKG1" s="520"/>
      <c r="HKH1" s="520"/>
      <c r="HKI1" s="520"/>
      <c r="HKJ1" s="520"/>
      <c r="HKK1" s="520"/>
      <c r="HKL1" s="520"/>
      <c r="HKM1" s="520"/>
      <c r="HKN1" s="520"/>
      <c r="HKO1" s="520"/>
      <c r="HKP1" s="520"/>
      <c r="HKQ1" s="520"/>
      <c r="HKR1" s="520"/>
      <c r="HKS1" s="520"/>
      <c r="HKT1" s="520"/>
      <c r="HKU1" s="520"/>
      <c r="HKV1" s="520"/>
      <c r="HKW1" s="520"/>
      <c r="HKX1" s="520"/>
      <c r="HKY1" s="520"/>
      <c r="HKZ1" s="520"/>
      <c r="HLA1" s="520"/>
      <c r="HLB1" s="520"/>
      <c r="HLC1" s="520"/>
      <c r="HLD1" s="520"/>
      <c r="HLE1" s="520"/>
      <c r="HLF1" s="520"/>
      <c r="HLG1" s="520"/>
      <c r="HLH1" s="520"/>
      <c r="HLI1" s="520"/>
      <c r="HLJ1" s="520"/>
      <c r="HLK1" s="520"/>
      <c r="HLL1" s="520"/>
      <c r="HLM1" s="520"/>
      <c r="HLN1" s="520"/>
      <c r="HLO1" s="520"/>
      <c r="HLP1" s="520"/>
      <c r="HLQ1" s="520"/>
      <c r="HLR1" s="520"/>
      <c r="HLS1" s="520"/>
      <c r="HLT1" s="520"/>
      <c r="HLU1" s="520"/>
      <c r="HLV1" s="520"/>
      <c r="HLW1" s="520"/>
      <c r="HLX1" s="520"/>
      <c r="HLY1" s="520"/>
      <c r="HLZ1" s="520"/>
      <c r="HMA1" s="520"/>
      <c r="HMB1" s="520"/>
      <c r="HMC1" s="520"/>
      <c r="HMD1" s="520"/>
      <c r="HME1" s="520"/>
      <c r="HMF1" s="520"/>
      <c r="HMG1" s="520"/>
      <c r="HMH1" s="520"/>
      <c r="HMI1" s="520"/>
      <c r="HMJ1" s="520"/>
      <c r="HMK1" s="520"/>
      <c r="HML1" s="520"/>
      <c r="HMM1" s="520"/>
      <c r="HMN1" s="520"/>
      <c r="HMO1" s="520"/>
      <c r="HMP1" s="520"/>
      <c r="HMQ1" s="520"/>
      <c r="HMR1" s="520"/>
      <c r="HMS1" s="520"/>
      <c r="HMT1" s="520"/>
      <c r="HMU1" s="520"/>
      <c r="HMV1" s="520"/>
      <c r="HMW1" s="520"/>
      <c r="HMX1" s="520"/>
      <c r="HMY1" s="520"/>
      <c r="HMZ1" s="520"/>
      <c r="HNA1" s="520"/>
      <c r="HNB1" s="520"/>
      <c r="HNC1" s="520"/>
      <c r="HND1" s="520"/>
      <c r="HNE1" s="520"/>
      <c r="HNF1" s="520"/>
      <c r="HNG1" s="520"/>
      <c r="HNH1" s="520"/>
      <c r="HNI1" s="520"/>
      <c r="HNJ1" s="520"/>
      <c r="HNK1" s="520"/>
      <c r="HNL1" s="520"/>
      <c r="HNM1" s="520"/>
      <c r="HNN1" s="520"/>
      <c r="HNO1" s="520"/>
      <c r="HNP1" s="520"/>
      <c r="HNQ1" s="520"/>
      <c r="HNR1" s="520"/>
      <c r="HNS1" s="520"/>
      <c r="HNT1" s="520"/>
      <c r="HNU1" s="520"/>
      <c r="HNV1" s="520"/>
      <c r="HNW1" s="520"/>
      <c r="HNX1" s="520"/>
      <c r="HNY1" s="520"/>
      <c r="HNZ1" s="520"/>
      <c r="HOA1" s="520"/>
      <c r="HOB1" s="520"/>
      <c r="HOC1" s="520"/>
      <c r="HOD1" s="520"/>
      <c r="HOE1" s="520"/>
      <c r="HOF1" s="520"/>
      <c r="HOG1" s="520"/>
      <c r="HOH1" s="520"/>
      <c r="HOI1" s="520"/>
      <c r="HOJ1" s="520"/>
      <c r="HOK1" s="520"/>
      <c r="HOL1" s="520"/>
      <c r="HOM1" s="520"/>
      <c r="HON1" s="520"/>
      <c r="HOO1" s="520"/>
      <c r="HOP1" s="520"/>
      <c r="HOQ1" s="520"/>
      <c r="HOR1" s="520"/>
      <c r="HOS1" s="520"/>
      <c r="HOT1" s="520"/>
      <c r="HOU1" s="520"/>
      <c r="HOV1" s="520"/>
      <c r="HOW1" s="520"/>
      <c r="HOX1" s="520"/>
      <c r="HOY1" s="520"/>
      <c r="HOZ1" s="520"/>
      <c r="HPA1" s="520"/>
      <c r="HPB1" s="520"/>
      <c r="HPC1" s="520"/>
      <c r="HPD1" s="520"/>
      <c r="HPE1" s="520"/>
      <c r="HPF1" s="520"/>
      <c r="HPG1" s="520"/>
      <c r="HPH1" s="520"/>
      <c r="HPI1" s="520"/>
      <c r="HPJ1" s="520"/>
      <c r="HPK1" s="520"/>
      <c r="HPL1" s="520"/>
      <c r="HPM1" s="520"/>
      <c r="HPN1" s="520"/>
      <c r="HPO1" s="520"/>
      <c r="HPP1" s="520"/>
      <c r="HPQ1" s="520"/>
      <c r="HPR1" s="520"/>
      <c r="HPS1" s="520"/>
      <c r="HPT1" s="520"/>
      <c r="HPU1" s="520"/>
      <c r="HPV1" s="520"/>
      <c r="HPW1" s="520"/>
      <c r="HPX1" s="520"/>
      <c r="HPY1" s="520"/>
      <c r="HPZ1" s="520"/>
      <c r="HQA1" s="520"/>
      <c r="HQB1" s="520"/>
      <c r="HQC1" s="520"/>
      <c r="HQD1" s="520"/>
      <c r="HQE1" s="520"/>
      <c r="HQF1" s="520"/>
      <c r="HQG1" s="520"/>
      <c r="HQH1" s="520"/>
      <c r="HQI1" s="520"/>
      <c r="HQJ1" s="520"/>
      <c r="HQK1" s="520"/>
      <c r="HQL1" s="520"/>
      <c r="HQM1" s="520"/>
      <c r="HQN1" s="520"/>
      <c r="HQO1" s="520"/>
      <c r="HQP1" s="520"/>
      <c r="HQQ1" s="520"/>
      <c r="HQR1" s="520"/>
      <c r="HQS1" s="520"/>
      <c r="HQT1" s="520"/>
      <c r="HQU1" s="520"/>
      <c r="HQV1" s="520"/>
      <c r="HQW1" s="520"/>
      <c r="HQX1" s="520"/>
      <c r="HQY1" s="520"/>
      <c r="HQZ1" s="520"/>
      <c r="HRA1" s="520"/>
      <c r="HRB1" s="520"/>
      <c r="HRC1" s="520"/>
      <c r="HRD1" s="520"/>
      <c r="HRE1" s="520"/>
      <c r="HRF1" s="520"/>
      <c r="HRG1" s="520"/>
      <c r="HRH1" s="520"/>
      <c r="HRI1" s="520"/>
      <c r="HRJ1" s="520"/>
      <c r="HRK1" s="520"/>
      <c r="HRL1" s="520"/>
      <c r="HRM1" s="520"/>
      <c r="HRN1" s="520"/>
      <c r="HRO1" s="520"/>
      <c r="HRP1" s="520"/>
      <c r="HRQ1" s="520"/>
      <c r="HRR1" s="520"/>
      <c r="HRS1" s="520"/>
      <c r="HRT1" s="520"/>
      <c r="HRU1" s="520"/>
      <c r="HRV1" s="520"/>
      <c r="HRW1" s="520"/>
      <c r="HRX1" s="520"/>
      <c r="HRY1" s="520"/>
      <c r="HRZ1" s="520"/>
      <c r="HSA1" s="520"/>
      <c r="HSB1" s="520"/>
      <c r="HSC1" s="520"/>
      <c r="HSD1" s="520"/>
      <c r="HSE1" s="520"/>
      <c r="HSF1" s="520"/>
      <c r="HSG1" s="520"/>
      <c r="HSH1" s="520"/>
      <c r="HSI1" s="520"/>
      <c r="HSJ1" s="520"/>
      <c r="HSK1" s="520"/>
      <c r="HSL1" s="520"/>
      <c r="HSM1" s="520"/>
      <c r="HSN1" s="520"/>
      <c r="HSO1" s="520"/>
      <c r="HSP1" s="520"/>
      <c r="HSQ1" s="520"/>
      <c r="HSR1" s="520"/>
      <c r="HSS1" s="520"/>
      <c r="HST1" s="520"/>
      <c r="HSU1" s="520"/>
      <c r="HSV1" s="520"/>
      <c r="HSW1" s="520"/>
      <c r="HSX1" s="520"/>
      <c r="HSY1" s="520"/>
      <c r="HSZ1" s="520"/>
      <c r="HTA1" s="520"/>
      <c r="HTB1" s="520"/>
      <c r="HTC1" s="520"/>
      <c r="HTD1" s="520"/>
      <c r="HTE1" s="520"/>
      <c r="HTF1" s="520"/>
      <c r="HTG1" s="520"/>
      <c r="HTH1" s="520"/>
      <c r="HTI1" s="520"/>
      <c r="HTJ1" s="520"/>
      <c r="HTK1" s="520"/>
      <c r="HTL1" s="520"/>
      <c r="HTM1" s="520"/>
      <c r="HTN1" s="520"/>
      <c r="HTO1" s="520"/>
      <c r="HTP1" s="520"/>
      <c r="HTQ1" s="520"/>
      <c r="HTR1" s="520"/>
      <c r="HTS1" s="520"/>
      <c r="HTT1" s="520"/>
      <c r="HTU1" s="520"/>
      <c r="HTV1" s="520"/>
      <c r="HTW1" s="520"/>
      <c r="HTX1" s="520"/>
      <c r="HTY1" s="520"/>
      <c r="HTZ1" s="520"/>
      <c r="HUA1" s="520"/>
      <c r="HUB1" s="520"/>
      <c r="HUC1" s="520"/>
      <c r="HUD1" s="520"/>
      <c r="HUE1" s="520"/>
      <c r="HUF1" s="520"/>
      <c r="HUG1" s="520"/>
      <c r="HUH1" s="520"/>
      <c r="HUI1" s="520"/>
      <c r="HUJ1" s="520"/>
      <c r="HUK1" s="520"/>
      <c r="HUL1" s="520"/>
      <c r="HUM1" s="520"/>
      <c r="HUN1" s="520"/>
      <c r="HUO1" s="520"/>
      <c r="HUP1" s="520"/>
      <c r="HUQ1" s="520"/>
      <c r="HUR1" s="520"/>
      <c r="HUS1" s="520"/>
      <c r="HUT1" s="520"/>
      <c r="HUU1" s="520"/>
      <c r="HUV1" s="520"/>
      <c r="HUW1" s="520"/>
      <c r="HUX1" s="520"/>
      <c r="HUY1" s="520"/>
      <c r="HUZ1" s="520"/>
      <c r="HVA1" s="520"/>
      <c r="HVB1" s="520"/>
      <c r="HVC1" s="520"/>
      <c r="HVD1" s="520"/>
      <c r="HVE1" s="520"/>
      <c r="HVF1" s="520"/>
      <c r="HVG1" s="520"/>
      <c r="HVH1" s="520"/>
      <c r="HVI1" s="520"/>
      <c r="HVJ1" s="520"/>
      <c r="HVK1" s="520"/>
      <c r="HVL1" s="520"/>
      <c r="HVM1" s="520"/>
      <c r="HVN1" s="520"/>
      <c r="HVO1" s="520"/>
      <c r="HVP1" s="520"/>
      <c r="HVQ1" s="520"/>
      <c r="HVR1" s="520"/>
      <c r="HVS1" s="520"/>
      <c r="HVT1" s="520"/>
      <c r="HVU1" s="520"/>
      <c r="HVV1" s="520"/>
      <c r="HVW1" s="520"/>
      <c r="HVX1" s="520"/>
      <c r="HVY1" s="520"/>
      <c r="HVZ1" s="520"/>
      <c r="HWA1" s="520"/>
      <c r="HWB1" s="520"/>
      <c r="HWC1" s="520"/>
      <c r="HWD1" s="520"/>
      <c r="HWE1" s="520"/>
      <c r="HWF1" s="520"/>
      <c r="HWG1" s="520"/>
      <c r="HWH1" s="520"/>
      <c r="HWI1" s="520"/>
      <c r="HWJ1" s="520"/>
      <c r="HWK1" s="520"/>
      <c r="HWL1" s="520"/>
      <c r="HWM1" s="520"/>
      <c r="HWN1" s="520"/>
      <c r="HWO1" s="520"/>
      <c r="HWP1" s="520"/>
      <c r="HWQ1" s="520"/>
      <c r="HWR1" s="520"/>
      <c r="HWS1" s="520"/>
      <c r="HWT1" s="520"/>
      <c r="HWU1" s="520"/>
      <c r="HWV1" s="520"/>
      <c r="HWW1" s="520"/>
      <c r="HWX1" s="520"/>
      <c r="HWY1" s="520"/>
      <c r="HWZ1" s="520"/>
      <c r="HXA1" s="520"/>
      <c r="HXB1" s="520"/>
      <c r="HXC1" s="520"/>
      <c r="HXD1" s="520"/>
      <c r="HXE1" s="520"/>
      <c r="HXF1" s="520"/>
      <c r="HXG1" s="520"/>
      <c r="HXH1" s="520"/>
      <c r="HXI1" s="520"/>
      <c r="HXJ1" s="520"/>
      <c r="HXK1" s="520"/>
      <c r="HXL1" s="520"/>
      <c r="HXM1" s="520"/>
      <c r="HXN1" s="520"/>
      <c r="HXO1" s="520"/>
      <c r="HXP1" s="520"/>
      <c r="HXQ1" s="520"/>
      <c r="HXR1" s="520"/>
      <c r="HXS1" s="520"/>
      <c r="HXT1" s="520"/>
      <c r="HXU1" s="520"/>
      <c r="HXV1" s="520"/>
      <c r="HXW1" s="520"/>
      <c r="HXX1" s="520"/>
      <c r="HXY1" s="520"/>
      <c r="HXZ1" s="520"/>
      <c r="HYA1" s="520"/>
      <c r="HYB1" s="520"/>
      <c r="HYC1" s="520"/>
      <c r="HYD1" s="520"/>
      <c r="HYE1" s="520"/>
      <c r="HYF1" s="520"/>
      <c r="HYG1" s="520"/>
      <c r="HYH1" s="520"/>
      <c r="HYI1" s="520"/>
      <c r="HYJ1" s="520"/>
      <c r="HYK1" s="520"/>
      <c r="HYL1" s="520"/>
      <c r="HYM1" s="520"/>
      <c r="HYN1" s="520"/>
      <c r="HYO1" s="520"/>
      <c r="HYP1" s="520"/>
      <c r="HYQ1" s="520"/>
      <c r="HYR1" s="520"/>
      <c r="HYS1" s="520"/>
      <c r="HYT1" s="520"/>
      <c r="HYU1" s="520"/>
      <c r="HYV1" s="520"/>
      <c r="HYW1" s="520"/>
      <c r="HYX1" s="520"/>
      <c r="HYY1" s="520"/>
      <c r="HYZ1" s="520"/>
      <c r="HZA1" s="520"/>
      <c r="HZB1" s="520"/>
      <c r="HZC1" s="520"/>
      <c r="HZD1" s="520"/>
      <c r="HZE1" s="520"/>
      <c r="HZF1" s="520"/>
      <c r="HZG1" s="520"/>
      <c r="HZH1" s="520"/>
      <c r="HZI1" s="520"/>
      <c r="HZJ1" s="520"/>
      <c r="HZK1" s="520"/>
      <c r="HZL1" s="520"/>
      <c r="HZM1" s="520"/>
      <c r="HZN1" s="520"/>
      <c r="HZO1" s="520"/>
      <c r="HZP1" s="520"/>
      <c r="HZQ1" s="520"/>
      <c r="HZR1" s="520"/>
      <c r="HZS1" s="520"/>
      <c r="HZT1" s="520"/>
      <c r="HZU1" s="520"/>
      <c r="HZV1" s="520"/>
      <c r="HZW1" s="520"/>
      <c r="HZX1" s="520"/>
      <c r="HZY1" s="520"/>
      <c r="HZZ1" s="520"/>
      <c r="IAA1" s="520"/>
      <c r="IAB1" s="520"/>
      <c r="IAC1" s="520"/>
      <c r="IAD1" s="520"/>
      <c r="IAE1" s="520"/>
      <c r="IAF1" s="520"/>
      <c r="IAG1" s="520"/>
      <c r="IAH1" s="520"/>
      <c r="IAI1" s="520"/>
      <c r="IAJ1" s="520"/>
      <c r="IAK1" s="520"/>
      <c r="IAL1" s="520"/>
      <c r="IAM1" s="520"/>
      <c r="IAN1" s="520"/>
      <c r="IAO1" s="520"/>
      <c r="IAP1" s="520"/>
      <c r="IAQ1" s="520"/>
      <c r="IAR1" s="520"/>
      <c r="IAS1" s="520"/>
      <c r="IAT1" s="520"/>
      <c r="IAU1" s="520"/>
      <c r="IAV1" s="520"/>
      <c r="IAW1" s="520"/>
      <c r="IAX1" s="520"/>
      <c r="IAY1" s="520"/>
      <c r="IAZ1" s="520"/>
      <c r="IBA1" s="520"/>
      <c r="IBB1" s="520"/>
      <c r="IBC1" s="520"/>
      <c r="IBD1" s="520"/>
      <c r="IBE1" s="520"/>
      <c r="IBF1" s="520"/>
      <c r="IBG1" s="520"/>
      <c r="IBH1" s="520"/>
      <c r="IBI1" s="520"/>
      <c r="IBJ1" s="520"/>
      <c r="IBK1" s="520"/>
      <c r="IBL1" s="520"/>
      <c r="IBM1" s="520"/>
      <c r="IBN1" s="520"/>
      <c r="IBO1" s="520"/>
      <c r="IBP1" s="520"/>
      <c r="IBQ1" s="520"/>
      <c r="IBR1" s="520"/>
      <c r="IBS1" s="520"/>
      <c r="IBT1" s="520"/>
      <c r="IBU1" s="520"/>
      <c r="IBV1" s="520"/>
      <c r="IBW1" s="520"/>
      <c r="IBX1" s="520"/>
      <c r="IBY1" s="520"/>
      <c r="IBZ1" s="520"/>
      <c r="ICA1" s="520"/>
      <c r="ICB1" s="520"/>
      <c r="ICC1" s="520"/>
      <c r="ICD1" s="520"/>
      <c r="ICE1" s="520"/>
      <c r="ICF1" s="520"/>
      <c r="ICG1" s="520"/>
      <c r="ICH1" s="520"/>
      <c r="ICI1" s="520"/>
      <c r="ICJ1" s="520"/>
      <c r="ICK1" s="520"/>
      <c r="ICL1" s="520"/>
      <c r="ICM1" s="520"/>
      <c r="ICN1" s="520"/>
      <c r="ICO1" s="520"/>
      <c r="ICP1" s="520"/>
      <c r="ICQ1" s="520"/>
      <c r="ICR1" s="520"/>
      <c r="ICS1" s="520"/>
      <c r="ICT1" s="520"/>
      <c r="ICU1" s="520"/>
      <c r="ICV1" s="520"/>
      <c r="ICW1" s="520"/>
      <c r="ICX1" s="520"/>
      <c r="ICY1" s="520"/>
      <c r="ICZ1" s="520"/>
      <c r="IDA1" s="520"/>
      <c r="IDB1" s="520"/>
      <c r="IDC1" s="520"/>
      <c r="IDD1" s="520"/>
      <c r="IDE1" s="520"/>
      <c r="IDF1" s="520"/>
      <c r="IDG1" s="520"/>
      <c r="IDH1" s="520"/>
      <c r="IDI1" s="520"/>
      <c r="IDJ1" s="520"/>
      <c r="IDK1" s="520"/>
      <c r="IDL1" s="520"/>
      <c r="IDM1" s="520"/>
      <c r="IDN1" s="520"/>
      <c r="IDO1" s="520"/>
      <c r="IDP1" s="520"/>
      <c r="IDQ1" s="520"/>
      <c r="IDR1" s="520"/>
      <c r="IDS1" s="520"/>
      <c r="IDT1" s="520"/>
      <c r="IDU1" s="520"/>
      <c r="IDV1" s="520"/>
      <c r="IDW1" s="520"/>
      <c r="IDX1" s="520"/>
      <c r="IDY1" s="520"/>
      <c r="IDZ1" s="520"/>
      <c r="IEA1" s="520"/>
      <c r="IEB1" s="520"/>
      <c r="IEC1" s="520"/>
      <c r="IED1" s="520"/>
      <c r="IEE1" s="520"/>
      <c r="IEF1" s="520"/>
      <c r="IEG1" s="520"/>
      <c r="IEH1" s="520"/>
      <c r="IEI1" s="520"/>
      <c r="IEJ1" s="520"/>
      <c r="IEK1" s="520"/>
      <c r="IEL1" s="520"/>
      <c r="IEM1" s="520"/>
      <c r="IEN1" s="520"/>
      <c r="IEO1" s="520"/>
      <c r="IEP1" s="520"/>
      <c r="IEQ1" s="520"/>
      <c r="IER1" s="520"/>
      <c r="IES1" s="520"/>
      <c r="IET1" s="520"/>
      <c r="IEU1" s="520"/>
      <c r="IEV1" s="520"/>
      <c r="IEW1" s="520"/>
      <c r="IEX1" s="520"/>
      <c r="IEY1" s="520"/>
      <c r="IEZ1" s="520"/>
      <c r="IFA1" s="520"/>
      <c r="IFB1" s="520"/>
      <c r="IFC1" s="520"/>
      <c r="IFD1" s="520"/>
      <c r="IFE1" s="520"/>
      <c r="IFF1" s="520"/>
      <c r="IFG1" s="520"/>
      <c r="IFH1" s="520"/>
      <c r="IFI1" s="520"/>
      <c r="IFJ1" s="520"/>
      <c r="IFK1" s="520"/>
      <c r="IFL1" s="520"/>
      <c r="IFM1" s="520"/>
      <c r="IFN1" s="520"/>
      <c r="IFO1" s="520"/>
      <c r="IFP1" s="520"/>
      <c r="IFQ1" s="520"/>
      <c r="IFR1" s="520"/>
      <c r="IFS1" s="520"/>
      <c r="IFT1" s="520"/>
      <c r="IFU1" s="520"/>
      <c r="IFV1" s="520"/>
      <c r="IFW1" s="520"/>
      <c r="IFX1" s="520"/>
      <c r="IFY1" s="520"/>
      <c r="IFZ1" s="520"/>
      <c r="IGA1" s="520"/>
      <c r="IGB1" s="520"/>
      <c r="IGC1" s="520"/>
      <c r="IGD1" s="520"/>
      <c r="IGE1" s="520"/>
      <c r="IGF1" s="520"/>
      <c r="IGG1" s="520"/>
      <c r="IGH1" s="520"/>
      <c r="IGI1" s="520"/>
      <c r="IGJ1" s="520"/>
      <c r="IGK1" s="520"/>
      <c r="IGL1" s="520"/>
      <c r="IGM1" s="520"/>
      <c r="IGN1" s="520"/>
      <c r="IGO1" s="520"/>
      <c r="IGP1" s="520"/>
      <c r="IGQ1" s="520"/>
      <c r="IGR1" s="520"/>
      <c r="IGS1" s="520"/>
      <c r="IGT1" s="520"/>
      <c r="IGU1" s="520"/>
      <c r="IGV1" s="520"/>
      <c r="IGW1" s="520"/>
      <c r="IGX1" s="520"/>
      <c r="IGY1" s="520"/>
      <c r="IGZ1" s="520"/>
      <c r="IHA1" s="520"/>
      <c r="IHB1" s="520"/>
      <c r="IHC1" s="520"/>
      <c r="IHD1" s="520"/>
      <c r="IHE1" s="520"/>
      <c r="IHF1" s="520"/>
      <c r="IHG1" s="520"/>
      <c r="IHH1" s="520"/>
      <c r="IHI1" s="520"/>
      <c r="IHJ1" s="520"/>
      <c r="IHK1" s="520"/>
      <c r="IHL1" s="520"/>
      <c r="IHM1" s="520"/>
      <c r="IHN1" s="520"/>
      <c r="IHO1" s="520"/>
      <c r="IHP1" s="520"/>
      <c r="IHQ1" s="520"/>
      <c r="IHR1" s="520"/>
      <c r="IHS1" s="520"/>
      <c r="IHT1" s="520"/>
      <c r="IHU1" s="520"/>
      <c r="IHV1" s="520"/>
      <c r="IHW1" s="520"/>
      <c r="IHX1" s="520"/>
      <c r="IHY1" s="520"/>
      <c r="IHZ1" s="520"/>
      <c r="IIA1" s="520"/>
      <c r="IIB1" s="520"/>
      <c r="IIC1" s="520"/>
      <c r="IID1" s="520"/>
      <c r="IIE1" s="520"/>
      <c r="IIF1" s="520"/>
      <c r="IIG1" s="520"/>
      <c r="IIH1" s="520"/>
      <c r="III1" s="520"/>
      <c r="IIJ1" s="520"/>
      <c r="IIK1" s="520"/>
      <c r="IIL1" s="520"/>
      <c r="IIM1" s="520"/>
      <c r="IIN1" s="520"/>
      <c r="IIO1" s="520"/>
      <c r="IIP1" s="520"/>
      <c r="IIQ1" s="520"/>
      <c r="IIR1" s="520"/>
      <c r="IIS1" s="520"/>
      <c r="IIT1" s="520"/>
      <c r="IIU1" s="520"/>
      <c r="IIV1" s="520"/>
      <c r="IIW1" s="520"/>
      <c r="IIX1" s="520"/>
      <c r="IIY1" s="520"/>
      <c r="IIZ1" s="520"/>
      <c r="IJA1" s="520"/>
      <c r="IJB1" s="520"/>
      <c r="IJC1" s="520"/>
      <c r="IJD1" s="520"/>
      <c r="IJE1" s="520"/>
      <c r="IJF1" s="520"/>
      <c r="IJG1" s="520"/>
      <c r="IJH1" s="520"/>
      <c r="IJI1" s="520"/>
      <c r="IJJ1" s="520"/>
      <c r="IJK1" s="520"/>
      <c r="IJL1" s="520"/>
      <c r="IJM1" s="520"/>
      <c r="IJN1" s="520"/>
      <c r="IJO1" s="520"/>
      <c r="IJP1" s="520"/>
      <c r="IJQ1" s="520"/>
      <c r="IJR1" s="520"/>
      <c r="IJS1" s="520"/>
      <c r="IJT1" s="520"/>
      <c r="IJU1" s="520"/>
      <c r="IJV1" s="520"/>
      <c r="IJW1" s="520"/>
      <c r="IJX1" s="520"/>
      <c r="IJY1" s="520"/>
      <c r="IJZ1" s="520"/>
      <c r="IKA1" s="520"/>
      <c r="IKB1" s="520"/>
      <c r="IKC1" s="520"/>
      <c r="IKD1" s="520"/>
      <c r="IKE1" s="520"/>
      <c r="IKF1" s="520"/>
      <c r="IKG1" s="520"/>
      <c r="IKH1" s="520"/>
      <c r="IKI1" s="520"/>
      <c r="IKJ1" s="520"/>
      <c r="IKK1" s="520"/>
      <c r="IKL1" s="520"/>
      <c r="IKM1" s="520"/>
      <c r="IKN1" s="520"/>
      <c r="IKO1" s="520"/>
      <c r="IKP1" s="520"/>
      <c r="IKQ1" s="520"/>
      <c r="IKR1" s="520"/>
      <c r="IKS1" s="520"/>
      <c r="IKT1" s="520"/>
      <c r="IKU1" s="520"/>
      <c r="IKV1" s="520"/>
      <c r="IKW1" s="520"/>
      <c r="IKX1" s="520"/>
      <c r="IKY1" s="520"/>
      <c r="IKZ1" s="520"/>
      <c r="ILA1" s="520"/>
      <c r="ILB1" s="520"/>
      <c r="ILC1" s="520"/>
      <c r="ILD1" s="520"/>
      <c r="ILE1" s="520"/>
      <c r="ILF1" s="520"/>
      <c r="ILG1" s="520"/>
      <c r="ILH1" s="520"/>
      <c r="ILI1" s="520"/>
      <c r="ILJ1" s="520"/>
      <c r="ILK1" s="520"/>
      <c r="ILL1" s="520"/>
      <c r="ILM1" s="520"/>
      <c r="ILN1" s="520"/>
      <c r="ILO1" s="520"/>
      <c r="ILP1" s="520"/>
      <c r="ILQ1" s="520"/>
      <c r="ILR1" s="520"/>
      <c r="ILS1" s="520"/>
      <c r="ILT1" s="520"/>
      <c r="ILU1" s="520"/>
      <c r="ILV1" s="520"/>
      <c r="ILW1" s="520"/>
      <c r="ILX1" s="520"/>
      <c r="ILY1" s="520"/>
      <c r="ILZ1" s="520"/>
      <c r="IMA1" s="520"/>
      <c r="IMB1" s="520"/>
      <c r="IMC1" s="520"/>
      <c r="IMD1" s="520"/>
      <c r="IME1" s="520"/>
      <c r="IMF1" s="520"/>
      <c r="IMG1" s="520"/>
      <c r="IMH1" s="520"/>
      <c r="IMI1" s="520"/>
      <c r="IMJ1" s="520"/>
      <c r="IMK1" s="520"/>
      <c r="IML1" s="520"/>
      <c r="IMM1" s="520"/>
      <c r="IMN1" s="520"/>
      <c r="IMO1" s="520"/>
      <c r="IMP1" s="520"/>
      <c r="IMQ1" s="520"/>
      <c r="IMR1" s="520"/>
      <c r="IMS1" s="520"/>
      <c r="IMT1" s="520"/>
      <c r="IMU1" s="520"/>
      <c r="IMV1" s="520"/>
      <c r="IMW1" s="520"/>
      <c r="IMX1" s="520"/>
      <c r="IMY1" s="520"/>
      <c r="IMZ1" s="520"/>
      <c r="INA1" s="520"/>
      <c r="INB1" s="520"/>
      <c r="INC1" s="520"/>
      <c r="IND1" s="520"/>
      <c r="INE1" s="520"/>
      <c r="INF1" s="520"/>
      <c r="ING1" s="520"/>
      <c r="INH1" s="520"/>
      <c r="INI1" s="520"/>
      <c r="INJ1" s="520"/>
      <c r="INK1" s="520"/>
      <c r="INL1" s="520"/>
      <c r="INM1" s="520"/>
      <c r="INN1" s="520"/>
      <c r="INO1" s="520"/>
      <c r="INP1" s="520"/>
      <c r="INQ1" s="520"/>
      <c r="INR1" s="520"/>
      <c r="INS1" s="520"/>
      <c r="INT1" s="520"/>
      <c r="INU1" s="520"/>
      <c r="INV1" s="520"/>
      <c r="INW1" s="520"/>
      <c r="INX1" s="520"/>
      <c r="INY1" s="520"/>
      <c r="INZ1" s="520"/>
      <c r="IOA1" s="520"/>
      <c r="IOB1" s="520"/>
      <c r="IOC1" s="520"/>
      <c r="IOD1" s="520"/>
      <c r="IOE1" s="520"/>
      <c r="IOF1" s="520"/>
      <c r="IOG1" s="520"/>
      <c r="IOH1" s="520"/>
      <c r="IOI1" s="520"/>
      <c r="IOJ1" s="520"/>
      <c r="IOK1" s="520"/>
      <c r="IOL1" s="520"/>
      <c r="IOM1" s="520"/>
      <c r="ION1" s="520"/>
      <c r="IOO1" s="520"/>
      <c r="IOP1" s="520"/>
      <c r="IOQ1" s="520"/>
      <c r="IOR1" s="520"/>
      <c r="IOS1" s="520"/>
      <c r="IOT1" s="520"/>
      <c r="IOU1" s="520"/>
      <c r="IOV1" s="520"/>
      <c r="IOW1" s="520"/>
      <c r="IOX1" s="520"/>
      <c r="IOY1" s="520"/>
      <c r="IOZ1" s="520"/>
      <c r="IPA1" s="520"/>
      <c r="IPB1" s="520"/>
      <c r="IPC1" s="520"/>
      <c r="IPD1" s="520"/>
      <c r="IPE1" s="520"/>
      <c r="IPF1" s="520"/>
      <c r="IPG1" s="520"/>
      <c r="IPH1" s="520"/>
      <c r="IPI1" s="520"/>
      <c r="IPJ1" s="520"/>
      <c r="IPK1" s="520"/>
      <c r="IPL1" s="520"/>
      <c r="IPM1" s="520"/>
      <c r="IPN1" s="520"/>
      <c r="IPO1" s="520"/>
      <c r="IPP1" s="520"/>
      <c r="IPQ1" s="520"/>
      <c r="IPR1" s="520"/>
      <c r="IPS1" s="520"/>
      <c r="IPT1" s="520"/>
      <c r="IPU1" s="520"/>
      <c r="IPV1" s="520"/>
      <c r="IPW1" s="520"/>
      <c r="IPX1" s="520"/>
      <c r="IPY1" s="520"/>
      <c r="IPZ1" s="520"/>
      <c r="IQA1" s="520"/>
      <c r="IQB1" s="520"/>
      <c r="IQC1" s="520"/>
      <c r="IQD1" s="520"/>
      <c r="IQE1" s="520"/>
      <c r="IQF1" s="520"/>
      <c r="IQG1" s="520"/>
      <c r="IQH1" s="520"/>
      <c r="IQI1" s="520"/>
      <c r="IQJ1" s="520"/>
      <c r="IQK1" s="520"/>
      <c r="IQL1" s="520"/>
      <c r="IQM1" s="520"/>
      <c r="IQN1" s="520"/>
      <c r="IQO1" s="520"/>
      <c r="IQP1" s="520"/>
      <c r="IQQ1" s="520"/>
      <c r="IQR1" s="520"/>
      <c r="IQS1" s="520"/>
      <c r="IQT1" s="520"/>
      <c r="IQU1" s="520"/>
      <c r="IQV1" s="520"/>
      <c r="IQW1" s="520"/>
      <c r="IQX1" s="520"/>
      <c r="IQY1" s="520"/>
      <c r="IQZ1" s="520"/>
      <c r="IRA1" s="520"/>
      <c r="IRB1" s="520"/>
      <c r="IRC1" s="520"/>
      <c r="IRD1" s="520"/>
      <c r="IRE1" s="520"/>
      <c r="IRF1" s="520"/>
      <c r="IRG1" s="520"/>
      <c r="IRH1" s="520"/>
      <c r="IRI1" s="520"/>
      <c r="IRJ1" s="520"/>
      <c r="IRK1" s="520"/>
      <c r="IRL1" s="520"/>
      <c r="IRM1" s="520"/>
      <c r="IRN1" s="520"/>
      <c r="IRO1" s="520"/>
      <c r="IRP1" s="520"/>
      <c r="IRQ1" s="520"/>
      <c r="IRR1" s="520"/>
      <c r="IRS1" s="520"/>
      <c r="IRT1" s="520"/>
      <c r="IRU1" s="520"/>
      <c r="IRV1" s="520"/>
      <c r="IRW1" s="520"/>
      <c r="IRX1" s="520"/>
      <c r="IRY1" s="520"/>
      <c r="IRZ1" s="520"/>
      <c r="ISA1" s="520"/>
      <c r="ISB1" s="520"/>
      <c r="ISC1" s="520"/>
      <c r="ISD1" s="520"/>
      <c r="ISE1" s="520"/>
      <c r="ISF1" s="520"/>
      <c r="ISG1" s="520"/>
      <c r="ISH1" s="520"/>
      <c r="ISI1" s="520"/>
      <c r="ISJ1" s="520"/>
      <c r="ISK1" s="520"/>
      <c r="ISL1" s="520"/>
      <c r="ISM1" s="520"/>
      <c r="ISN1" s="520"/>
      <c r="ISO1" s="520"/>
      <c r="ISP1" s="520"/>
      <c r="ISQ1" s="520"/>
      <c r="ISR1" s="520"/>
      <c r="ISS1" s="520"/>
      <c r="IST1" s="520"/>
      <c r="ISU1" s="520"/>
      <c r="ISV1" s="520"/>
      <c r="ISW1" s="520"/>
      <c r="ISX1" s="520"/>
      <c r="ISY1" s="520"/>
      <c r="ISZ1" s="520"/>
      <c r="ITA1" s="520"/>
      <c r="ITB1" s="520"/>
      <c r="ITC1" s="520"/>
      <c r="ITD1" s="520"/>
      <c r="ITE1" s="520"/>
      <c r="ITF1" s="520"/>
      <c r="ITG1" s="520"/>
      <c r="ITH1" s="520"/>
      <c r="ITI1" s="520"/>
      <c r="ITJ1" s="520"/>
      <c r="ITK1" s="520"/>
      <c r="ITL1" s="520"/>
      <c r="ITM1" s="520"/>
      <c r="ITN1" s="520"/>
      <c r="ITO1" s="520"/>
      <c r="ITP1" s="520"/>
      <c r="ITQ1" s="520"/>
      <c r="ITR1" s="520"/>
      <c r="ITS1" s="520"/>
      <c r="ITT1" s="520"/>
      <c r="ITU1" s="520"/>
      <c r="ITV1" s="520"/>
      <c r="ITW1" s="520"/>
      <c r="ITX1" s="520"/>
      <c r="ITY1" s="520"/>
      <c r="ITZ1" s="520"/>
      <c r="IUA1" s="520"/>
      <c r="IUB1" s="520"/>
      <c r="IUC1" s="520"/>
      <c r="IUD1" s="520"/>
      <c r="IUE1" s="520"/>
      <c r="IUF1" s="520"/>
      <c r="IUG1" s="520"/>
      <c r="IUH1" s="520"/>
      <c r="IUI1" s="520"/>
      <c r="IUJ1" s="520"/>
      <c r="IUK1" s="520"/>
      <c r="IUL1" s="520"/>
      <c r="IUM1" s="520"/>
      <c r="IUN1" s="520"/>
      <c r="IUO1" s="520"/>
      <c r="IUP1" s="520"/>
      <c r="IUQ1" s="520"/>
      <c r="IUR1" s="520"/>
      <c r="IUS1" s="520"/>
      <c r="IUT1" s="520"/>
      <c r="IUU1" s="520"/>
      <c r="IUV1" s="520"/>
      <c r="IUW1" s="520"/>
      <c r="IUX1" s="520"/>
      <c r="IUY1" s="520"/>
      <c r="IUZ1" s="520"/>
      <c r="IVA1" s="520"/>
      <c r="IVB1" s="520"/>
      <c r="IVC1" s="520"/>
      <c r="IVD1" s="520"/>
      <c r="IVE1" s="520"/>
      <c r="IVF1" s="520"/>
      <c r="IVG1" s="520"/>
      <c r="IVH1" s="520"/>
      <c r="IVI1" s="520"/>
      <c r="IVJ1" s="520"/>
      <c r="IVK1" s="520"/>
      <c r="IVL1" s="520"/>
      <c r="IVM1" s="520"/>
      <c r="IVN1" s="520"/>
      <c r="IVO1" s="520"/>
      <c r="IVP1" s="520"/>
      <c r="IVQ1" s="520"/>
      <c r="IVR1" s="520"/>
      <c r="IVS1" s="520"/>
      <c r="IVT1" s="520"/>
      <c r="IVU1" s="520"/>
      <c r="IVV1" s="520"/>
      <c r="IVW1" s="520"/>
      <c r="IVX1" s="520"/>
      <c r="IVY1" s="520"/>
      <c r="IVZ1" s="520"/>
      <c r="IWA1" s="520"/>
      <c r="IWB1" s="520"/>
      <c r="IWC1" s="520"/>
      <c r="IWD1" s="520"/>
      <c r="IWE1" s="520"/>
      <c r="IWF1" s="520"/>
      <c r="IWG1" s="520"/>
      <c r="IWH1" s="520"/>
      <c r="IWI1" s="520"/>
      <c r="IWJ1" s="520"/>
      <c r="IWK1" s="520"/>
      <c r="IWL1" s="520"/>
      <c r="IWM1" s="520"/>
      <c r="IWN1" s="520"/>
      <c r="IWO1" s="520"/>
      <c r="IWP1" s="520"/>
      <c r="IWQ1" s="520"/>
      <c r="IWR1" s="520"/>
      <c r="IWS1" s="520"/>
      <c r="IWT1" s="520"/>
      <c r="IWU1" s="520"/>
      <c r="IWV1" s="520"/>
      <c r="IWW1" s="520"/>
      <c r="IWX1" s="520"/>
      <c r="IWY1" s="520"/>
      <c r="IWZ1" s="520"/>
      <c r="IXA1" s="520"/>
      <c r="IXB1" s="520"/>
      <c r="IXC1" s="520"/>
      <c r="IXD1" s="520"/>
      <c r="IXE1" s="520"/>
      <c r="IXF1" s="520"/>
      <c r="IXG1" s="520"/>
      <c r="IXH1" s="520"/>
      <c r="IXI1" s="520"/>
      <c r="IXJ1" s="520"/>
      <c r="IXK1" s="520"/>
      <c r="IXL1" s="520"/>
      <c r="IXM1" s="520"/>
      <c r="IXN1" s="520"/>
      <c r="IXO1" s="520"/>
      <c r="IXP1" s="520"/>
      <c r="IXQ1" s="520"/>
      <c r="IXR1" s="520"/>
      <c r="IXS1" s="520"/>
      <c r="IXT1" s="520"/>
      <c r="IXU1" s="520"/>
      <c r="IXV1" s="520"/>
      <c r="IXW1" s="520"/>
      <c r="IXX1" s="520"/>
      <c r="IXY1" s="520"/>
      <c r="IXZ1" s="520"/>
      <c r="IYA1" s="520"/>
      <c r="IYB1" s="520"/>
      <c r="IYC1" s="520"/>
      <c r="IYD1" s="520"/>
      <c r="IYE1" s="520"/>
      <c r="IYF1" s="520"/>
      <c r="IYG1" s="520"/>
      <c r="IYH1" s="520"/>
      <c r="IYI1" s="520"/>
      <c r="IYJ1" s="520"/>
      <c r="IYK1" s="520"/>
      <c r="IYL1" s="520"/>
      <c r="IYM1" s="520"/>
      <c r="IYN1" s="520"/>
      <c r="IYO1" s="520"/>
      <c r="IYP1" s="520"/>
      <c r="IYQ1" s="520"/>
      <c r="IYR1" s="520"/>
      <c r="IYS1" s="520"/>
      <c r="IYT1" s="520"/>
      <c r="IYU1" s="520"/>
      <c r="IYV1" s="520"/>
      <c r="IYW1" s="520"/>
      <c r="IYX1" s="520"/>
      <c r="IYY1" s="520"/>
      <c r="IYZ1" s="520"/>
      <c r="IZA1" s="520"/>
      <c r="IZB1" s="520"/>
      <c r="IZC1" s="520"/>
      <c r="IZD1" s="520"/>
      <c r="IZE1" s="520"/>
      <c r="IZF1" s="520"/>
      <c r="IZG1" s="520"/>
      <c r="IZH1" s="520"/>
      <c r="IZI1" s="520"/>
      <c r="IZJ1" s="520"/>
      <c r="IZK1" s="520"/>
      <c r="IZL1" s="520"/>
      <c r="IZM1" s="520"/>
      <c r="IZN1" s="520"/>
      <c r="IZO1" s="520"/>
      <c r="IZP1" s="520"/>
      <c r="IZQ1" s="520"/>
      <c r="IZR1" s="520"/>
      <c r="IZS1" s="520"/>
      <c r="IZT1" s="520"/>
      <c r="IZU1" s="520"/>
      <c r="IZV1" s="520"/>
      <c r="IZW1" s="520"/>
      <c r="IZX1" s="520"/>
      <c r="IZY1" s="520"/>
      <c r="IZZ1" s="520"/>
      <c r="JAA1" s="520"/>
      <c r="JAB1" s="520"/>
      <c r="JAC1" s="520"/>
      <c r="JAD1" s="520"/>
      <c r="JAE1" s="520"/>
      <c r="JAF1" s="520"/>
      <c r="JAG1" s="520"/>
      <c r="JAH1" s="520"/>
      <c r="JAI1" s="520"/>
      <c r="JAJ1" s="520"/>
      <c r="JAK1" s="520"/>
      <c r="JAL1" s="520"/>
      <c r="JAM1" s="520"/>
      <c r="JAN1" s="520"/>
      <c r="JAO1" s="520"/>
      <c r="JAP1" s="520"/>
      <c r="JAQ1" s="520"/>
      <c r="JAR1" s="520"/>
      <c r="JAS1" s="520"/>
      <c r="JAT1" s="520"/>
      <c r="JAU1" s="520"/>
      <c r="JAV1" s="520"/>
      <c r="JAW1" s="520"/>
      <c r="JAX1" s="520"/>
      <c r="JAY1" s="520"/>
      <c r="JAZ1" s="520"/>
      <c r="JBA1" s="520"/>
      <c r="JBB1" s="520"/>
      <c r="JBC1" s="520"/>
      <c r="JBD1" s="520"/>
      <c r="JBE1" s="520"/>
      <c r="JBF1" s="520"/>
      <c r="JBG1" s="520"/>
      <c r="JBH1" s="520"/>
      <c r="JBI1" s="520"/>
      <c r="JBJ1" s="520"/>
      <c r="JBK1" s="520"/>
      <c r="JBL1" s="520"/>
      <c r="JBM1" s="520"/>
      <c r="JBN1" s="520"/>
      <c r="JBO1" s="520"/>
      <c r="JBP1" s="520"/>
      <c r="JBQ1" s="520"/>
      <c r="JBR1" s="520"/>
      <c r="JBS1" s="520"/>
      <c r="JBT1" s="520"/>
      <c r="JBU1" s="520"/>
      <c r="JBV1" s="520"/>
      <c r="JBW1" s="520"/>
      <c r="JBX1" s="520"/>
      <c r="JBY1" s="520"/>
      <c r="JBZ1" s="520"/>
      <c r="JCA1" s="520"/>
      <c r="JCB1" s="520"/>
      <c r="JCC1" s="520"/>
      <c r="JCD1" s="520"/>
      <c r="JCE1" s="520"/>
      <c r="JCF1" s="520"/>
      <c r="JCG1" s="520"/>
      <c r="JCH1" s="520"/>
      <c r="JCI1" s="520"/>
      <c r="JCJ1" s="520"/>
      <c r="JCK1" s="520"/>
      <c r="JCL1" s="520"/>
      <c r="JCM1" s="520"/>
      <c r="JCN1" s="520"/>
      <c r="JCO1" s="520"/>
      <c r="JCP1" s="520"/>
      <c r="JCQ1" s="520"/>
      <c r="JCR1" s="520"/>
      <c r="JCS1" s="520"/>
      <c r="JCT1" s="520"/>
      <c r="JCU1" s="520"/>
      <c r="JCV1" s="520"/>
      <c r="JCW1" s="520"/>
      <c r="JCX1" s="520"/>
      <c r="JCY1" s="520"/>
      <c r="JCZ1" s="520"/>
      <c r="JDA1" s="520"/>
      <c r="JDB1" s="520"/>
      <c r="JDC1" s="520"/>
      <c r="JDD1" s="520"/>
      <c r="JDE1" s="520"/>
      <c r="JDF1" s="520"/>
      <c r="JDG1" s="520"/>
      <c r="JDH1" s="520"/>
      <c r="JDI1" s="520"/>
      <c r="JDJ1" s="520"/>
      <c r="JDK1" s="520"/>
      <c r="JDL1" s="520"/>
      <c r="JDM1" s="520"/>
      <c r="JDN1" s="520"/>
      <c r="JDO1" s="520"/>
      <c r="JDP1" s="520"/>
      <c r="JDQ1" s="520"/>
      <c r="JDR1" s="520"/>
      <c r="JDS1" s="520"/>
      <c r="JDT1" s="520"/>
      <c r="JDU1" s="520"/>
      <c r="JDV1" s="520"/>
      <c r="JDW1" s="520"/>
      <c r="JDX1" s="520"/>
      <c r="JDY1" s="520"/>
      <c r="JDZ1" s="520"/>
      <c r="JEA1" s="520"/>
      <c r="JEB1" s="520"/>
      <c r="JEC1" s="520"/>
      <c r="JED1" s="520"/>
      <c r="JEE1" s="520"/>
      <c r="JEF1" s="520"/>
      <c r="JEG1" s="520"/>
      <c r="JEH1" s="520"/>
      <c r="JEI1" s="520"/>
      <c r="JEJ1" s="520"/>
      <c r="JEK1" s="520"/>
      <c r="JEL1" s="520"/>
      <c r="JEM1" s="520"/>
      <c r="JEN1" s="520"/>
      <c r="JEO1" s="520"/>
      <c r="JEP1" s="520"/>
      <c r="JEQ1" s="520"/>
      <c r="JER1" s="520"/>
      <c r="JES1" s="520"/>
      <c r="JET1" s="520"/>
      <c r="JEU1" s="520"/>
      <c r="JEV1" s="520"/>
      <c r="JEW1" s="520"/>
      <c r="JEX1" s="520"/>
      <c r="JEY1" s="520"/>
      <c r="JEZ1" s="520"/>
      <c r="JFA1" s="520"/>
      <c r="JFB1" s="520"/>
      <c r="JFC1" s="520"/>
      <c r="JFD1" s="520"/>
      <c r="JFE1" s="520"/>
      <c r="JFF1" s="520"/>
      <c r="JFG1" s="520"/>
      <c r="JFH1" s="520"/>
      <c r="JFI1" s="520"/>
      <c r="JFJ1" s="520"/>
      <c r="JFK1" s="520"/>
      <c r="JFL1" s="520"/>
      <c r="JFM1" s="520"/>
      <c r="JFN1" s="520"/>
      <c r="JFO1" s="520"/>
      <c r="JFP1" s="520"/>
      <c r="JFQ1" s="520"/>
      <c r="JFR1" s="520"/>
      <c r="JFS1" s="520"/>
      <c r="JFT1" s="520"/>
      <c r="JFU1" s="520"/>
      <c r="JFV1" s="520"/>
      <c r="JFW1" s="520"/>
      <c r="JFX1" s="520"/>
      <c r="JFY1" s="520"/>
      <c r="JFZ1" s="520"/>
      <c r="JGA1" s="520"/>
      <c r="JGB1" s="520"/>
      <c r="JGC1" s="520"/>
      <c r="JGD1" s="520"/>
      <c r="JGE1" s="520"/>
      <c r="JGF1" s="520"/>
      <c r="JGG1" s="520"/>
      <c r="JGH1" s="520"/>
      <c r="JGI1" s="520"/>
      <c r="JGJ1" s="520"/>
      <c r="JGK1" s="520"/>
      <c r="JGL1" s="520"/>
      <c r="JGM1" s="520"/>
      <c r="JGN1" s="520"/>
      <c r="JGO1" s="520"/>
      <c r="JGP1" s="520"/>
      <c r="JGQ1" s="520"/>
      <c r="JGR1" s="520"/>
      <c r="JGS1" s="520"/>
      <c r="JGT1" s="520"/>
      <c r="JGU1" s="520"/>
      <c r="JGV1" s="520"/>
      <c r="JGW1" s="520"/>
      <c r="JGX1" s="520"/>
      <c r="JGY1" s="520"/>
      <c r="JGZ1" s="520"/>
      <c r="JHA1" s="520"/>
      <c r="JHB1" s="520"/>
      <c r="JHC1" s="520"/>
      <c r="JHD1" s="520"/>
      <c r="JHE1" s="520"/>
      <c r="JHF1" s="520"/>
      <c r="JHG1" s="520"/>
      <c r="JHH1" s="520"/>
      <c r="JHI1" s="520"/>
      <c r="JHJ1" s="520"/>
      <c r="JHK1" s="520"/>
      <c r="JHL1" s="520"/>
      <c r="JHM1" s="520"/>
      <c r="JHN1" s="520"/>
      <c r="JHO1" s="520"/>
      <c r="JHP1" s="520"/>
      <c r="JHQ1" s="520"/>
      <c r="JHR1" s="520"/>
      <c r="JHS1" s="520"/>
      <c r="JHT1" s="520"/>
      <c r="JHU1" s="520"/>
      <c r="JHV1" s="520"/>
      <c r="JHW1" s="520"/>
      <c r="JHX1" s="520"/>
      <c r="JHY1" s="520"/>
      <c r="JHZ1" s="520"/>
      <c r="JIA1" s="520"/>
      <c r="JIB1" s="520"/>
      <c r="JIC1" s="520"/>
      <c r="JID1" s="520"/>
      <c r="JIE1" s="520"/>
      <c r="JIF1" s="520"/>
      <c r="JIG1" s="520"/>
      <c r="JIH1" s="520"/>
      <c r="JII1" s="520"/>
      <c r="JIJ1" s="520"/>
      <c r="JIK1" s="520"/>
      <c r="JIL1" s="520"/>
      <c r="JIM1" s="520"/>
      <c r="JIN1" s="520"/>
      <c r="JIO1" s="520"/>
      <c r="JIP1" s="520"/>
      <c r="JIQ1" s="520"/>
      <c r="JIR1" s="520"/>
      <c r="JIS1" s="520"/>
      <c r="JIT1" s="520"/>
      <c r="JIU1" s="520"/>
      <c r="JIV1" s="520"/>
      <c r="JIW1" s="520"/>
      <c r="JIX1" s="520"/>
      <c r="JIY1" s="520"/>
      <c r="JIZ1" s="520"/>
      <c r="JJA1" s="520"/>
      <c r="JJB1" s="520"/>
      <c r="JJC1" s="520"/>
      <c r="JJD1" s="520"/>
      <c r="JJE1" s="520"/>
      <c r="JJF1" s="520"/>
      <c r="JJG1" s="520"/>
      <c r="JJH1" s="520"/>
      <c r="JJI1" s="520"/>
      <c r="JJJ1" s="520"/>
      <c r="JJK1" s="520"/>
      <c r="JJL1" s="520"/>
      <c r="JJM1" s="520"/>
      <c r="JJN1" s="520"/>
      <c r="JJO1" s="520"/>
      <c r="JJP1" s="520"/>
      <c r="JJQ1" s="520"/>
      <c r="JJR1" s="520"/>
      <c r="JJS1" s="520"/>
      <c r="JJT1" s="520"/>
      <c r="JJU1" s="520"/>
      <c r="JJV1" s="520"/>
      <c r="JJW1" s="520"/>
      <c r="JJX1" s="520"/>
      <c r="JJY1" s="520"/>
      <c r="JJZ1" s="520"/>
      <c r="JKA1" s="520"/>
      <c r="JKB1" s="520"/>
      <c r="JKC1" s="520"/>
      <c r="JKD1" s="520"/>
      <c r="JKE1" s="520"/>
      <c r="JKF1" s="520"/>
      <c r="JKG1" s="520"/>
      <c r="JKH1" s="520"/>
      <c r="JKI1" s="520"/>
      <c r="JKJ1" s="520"/>
      <c r="JKK1" s="520"/>
      <c r="JKL1" s="520"/>
      <c r="JKM1" s="520"/>
      <c r="JKN1" s="520"/>
      <c r="JKO1" s="520"/>
      <c r="JKP1" s="520"/>
      <c r="JKQ1" s="520"/>
      <c r="JKR1" s="520"/>
      <c r="JKS1" s="520"/>
      <c r="JKT1" s="520"/>
      <c r="JKU1" s="520"/>
      <c r="JKV1" s="520"/>
      <c r="JKW1" s="520"/>
      <c r="JKX1" s="520"/>
      <c r="JKY1" s="520"/>
      <c r="JKZ1" s="520"/>
      <c r="JLA1" s="520"/>
      <c r="JLB1" s="520"/>
      <c r="JLC1" s="520"/>
      <c r="JLD1" s="520"/>
      <c r="JLE1" s="520"/>
      <c r="JLF1" s="520"/>
      <c r="JLG1" s="520"/>
      <c r="JLH1" s="520"/>
      <c r="JLI1" s="520"/>
      <c r="JLJ1" s="520"/>
      <c r="JLK1" s="520"/>
      <c r="JLL1" s="520"/>
      <c r="JLM1" s="520"/>
      <c r="JLN1" s="520"/>
      <c r="JLO1" s="520"/>
      <c r="JLP1" s="520"/>
      <c r="JLQ1" s="520"/>
      <c r="JLR1" s="520"/>
      <c r="JLS1" s="520"/>
      <c r="JLT1" s="520"/>
      <c r="JLU1" s="520"/>
      <c r="JLV1" s="520"/>
      <c r="JLW1" s="520"/>
      <c r="JLX1" s="520"/>
      <c r="JLY1" s="520"/>
      <c r="JLZ1" s="520"/>
      <c r="JMA1" s="520"/>
      <c r="JMB1" s="520"/>
      <c r="JMC1" s="520"/>
      <c r="JMD1" s="520"/>
      <c r="JME1" s="520"/>
      <c r="JMF1" s="520"/>
      <c r="JMG1" s="520"/>
      <c r="JMH1" s="520"/>
      <c r="JMI1" s="520"/>
      <c r="JMJ1" s="520"/>
      <c r="JMK1" s="520"/>
      <c r="JML1" s="520"/>
      <c r="JMM1" s="520"/>
      <c r="JMN1" s="520"/>
      <c r="JMO1" s="520"/>
      <c r="JMP1" s="520"/>
      <c r="JMQ1" s="520"/>
      <c r="JMR1" s="520"/>
      <c r="JMS1" s="520"/>
      <c r="JMT1" s="520"/>
      <c r="JMU1" s="520"/>
      <c r="JMV1" s="520"/>
      <c r="JMW1" s="520"/>
      <c r="JMX1" s="520"/>
      <c r="JMY1" s="520"/>
      <c r="JMZ1" s="520"/>
      <c r="JNA1" s="520"/>
      <c r="JNB1" s="520"/>
      <c r="JNC1" s="520"/>
      <c r="JND1" s="520"/>
      <c r="JNE1" s="520"/>
      <c r="JNF1" s="520"/>
      <c r="JNG1" s="520"/>
      <c r="JNH1" s="520"/>
      <c r="JNI1" s="520"/>
      <c r="JNJ1" s="520"/>
      <c r="JNK1" s="520"/>
      <c r="JNL1" s="520"/>
      <c r="JNM1" s="520"/>
      <c r="JNN1" s="520"/>
      <c r="JNO1" s="520"/>
      <c r="JNP1" s="520"/>
      <c r="JNQ1" s="520"/>
      <c r="JNR1" s="520"/>
      <c r="JNS1" s="520"/>
      <c r="JNT1" s="520"/>
      <c r="JNU1" s="520"/>
      <c r="JNV1" s="520"/>
      <c r="JNW1" s="520"/>
      <c r="JNX1" s="520"/>
      <c r="JNY1" s="520"/>
      <c r="JNZ1" s="520"/>
      <c r="JOA1" s="520"/>
      <c r="JOB1" s="520"/>
      <c r="JOC1" s="520"/>
      <c r="JOD1" s="520"/>
      <c r="JOE1" s="520"/>
      <c r="JOF1" s="520"/>
      <c r="JOG1" s="520"/>
      <c r="JOH1" s="520"/>
      <c r="JOI1" s="520"/>
      <c r="JOJ1" s="520"/>
      <c r="JOK1" s="520"/>
      <c r="JOL1" s="520"/>
      <c r="JOM1" s="520"/>
      <c r="JON1" s="520"/>
      <c r="JOO1" s="520"/>
      <c r="JOP1" s="520"/>
      <c r="JOQ1" s="520"/>
      <c r="JOR1" s="520"/>
      <c r="JOS1" s="520"/>
      <c r="JOT1" s="520"/>
      <c r="JOU1" s="520"/>
      <c r="JOV1" s="520"/>
      <c r="JOW1" s="520"/>
      <c r="JOX1" s="520"/>
      <c r="JOY1" s="520"/>
      <c r="JOZ1" s="520"/>
      <c r="JPA1" s="520"/>
      <c r="JPB1" s="520"/>
      <c r="JPC1" s="520"/>
      <c r="JPD1" s="520"/>
      <c r="JPE1" s="520"/>
      <c r="JPF1" s="520"/>
      <c r="JPG1" s="520"/>
      <c r="JPH1" s="520"/>
      <c r="JPI1" s="520"/>
      <c r="JPJ1" s="520"/>
      <c r="JPK1" s="520"/>
      <c r="JPL1" s="520"/>
      <c r="JPM1" s="520"/>
      <c r="JPN1" s="520"/>
      <c r="JPO1" s="520"/>
      <c r="JPP1" s="520"/>
      <c r="JPQ1" s="520"/>
      <c r="JPR1" s="520"/>
      <c r="JPS1" s="520"/>
      <c r="JPT1" s="520"/>
      <c r="JPU1" s="520"/>
      <c r="JPV1" s="520"/>
      <c r="JPW1" s="520"/>
      <c r="JPX1" s="520"/>
      <c r="JPY1" s="520"/>
      <c r="JPZ1" s="520"/>
      <c r="JQA1" s="520"/>
      <c r="JQB1" s="520"/>
      <c r="JQC1" s="520"/>
      <c r="JQD1" s="520"/>
      <c r="JQE1" s="520"/>
      <c r="JQF1" s="520"/>
      <c r="JQG1" s="520"/>
      <c r="JQH1" s="520"/>
      <c r="JQI1" s="520"/>
      <c r="JQJ1" s="520"/>
      <c r="JQK1" s="520"/>
      <c r="JQL1" s="520"/>
      <c r="JQM1" s="520"/>
      <c r="JQN1" s="520"/>
      <c r="JQO1" s="520"/>
      <c r="JQP1" s="520"/>
      <c r="JQQ1" s="520"/>
      <c r="JQR1" s="520"/>
      <c r="JQS1" s="520"/>
      <c r="JQT1" s="520"/>
      <c r="JQU1" s="520"/>
      <c r="JQV1" s="520"/>
      <c r="JQW1" s="520"/>
      <c r="JQX1" s="520"/>
      <c r="JQY1" s="520"/>
      <c r="JQZ1" s="520"/>
      <c r="JRA1" s="520"/>
      <c r="JRB1" s="520"/>
      <c r="JRC1" s="520"/>
      <c r="JRD1" s="520"/>
      <c r="JRE1" s="520"/>
      <c r="JRF1" s="520"/>
      <c r="JRG1" s="520"/>
      <c r="JRH1" s="520"/>
      <c r="JRI1" s="520"/>
      <c r="JRJ1" s="520"/>
      <c r="JRK1" s="520"/>
      <c r="JRL1" s="520"/>
      <c r="JRM1" s="520"/>
      <c r="JRN1" s="520"/>
      <c r="JRO1" s="520"/>
      <c r="JRP1" s="520"/>
      <c r="JRQ1" s="520"/>
      <c r="JRR1" s="520"/>
      <c r="JRS1" s="520"/>
      <c r="JRT1" s="520"/>
      <c r="JRU1" s="520"/>
      <c r="JRV1" s="520"/>
      <c r="JRW1" s="520"/>
      <c r="JRX1" s="520"/>
      <c r="JRY1" s="520"/>
      <c r="JRZ1" s="520"/>
      <c r="JSA1" s="520"/>
      <c r="JSB1" s="520"/>
      <c r="JSC1" s="520"/>
      <c r="JSD1" s="520"/>
      <c r="JSE1" s="520"/>
      <c r="JSF1" s="520"/>
      <c r="JSG1" s="520"/>
      <c r="JSH1" s="520"/>
      <c r="JSI1" s="520"/>
      <c r="JSJ1" s="520"/>
      <c r="JSK1" s="520"/>
      <c r="JSL1" s="520"/>
      <c r="JSM1" s="520"/>
      <c r="JSN1" s="520"/>
      <c r="JSO1" s="520"/>
      <c r="JSP1" s="520"/>
      <c r="JSQ1" s="520"/>
      <c r="JSR1" s="520"/>
      <c r="JSS1" s="520"/>
      <c r="JST1" s="520"/>
      <c r="JSU1" s="520"/>
      <c r="JSV1" s="520"/>
      <c r="JSW1" s="520"/>
      <c r="JSX1" s="520"/>
      <c r="JSY1" s="520"/>
      <c r="JSZ1" s="520"/>
      <c r="JTA1" s="520"/>
      <c r="JTB1" s="520"/>
      <c r="JTC1" s="520"/>
      <c r="JTD1" s="520"/>
      <c r="JTE1" s="520"/>
      <c r="JTF1" s="520"/>
      <c r="JTG1" s="520"/>
      <c r="JTH1" s="520"/>
      <c r="JTI1" s="520"/>
      <c r="JTJ1" s="520"/>
      <c r="JTK1" s="520"/>
      <c r="JTL1" s="520"/>
      <c r="JTM1" s="520"/>
      <c r="JTN1" s="520"/>
      <c r="JTO1" s="520"/>
      <c r="JTP1" s="520"/>
      <c r="JTQ1" s="520"/>
      <c r="JTR1" s="520"/>
      <c r="JTS1" s="520"/>
      <c r="JTT1" s="520"/>
      <c r="JTU1" s="520"/>
      <c r="JTV1" s="520"/>
      <c r="JTW1" s="520"/>
      <c r="JTX1" s="520"/>
      <c r="JTY1" s="520"/>
      <c r="JTZ1" s="520"/>
      <c r="JUA1" s="520"/>
      <c r="JUB1" s="520"/>
      <c r="JUC1" s="520"/>
      <c r="JUD1" s="520"/>
      <c r="JUE1" s="520"/>
      <c r="JUF1" s="520"/>
      <c r="JUG1" s="520"/>
      <c r="JUH1" s="520"/>
      <c r="JUI1" s="520"/>
      <c r="JUJ1" s="520"/>
      <c r="JUK1" s="520"/>
      <c r="JUL1" s="520"/>
      <c r="JUM1" s="520"/>
      <c r="JUN1" s="520"/>
      <c r="JUO1" s="520"/>
      <c r="JUP1" s="520"/>
      <c r="JUQ1" s="520"/>
      <c r="JUR1" s="520"/>
      <c r="JUS1" s="520"/>
      <c r="JUT1" s="520"/>
      <c r="JUU1" s="520"/>
      <c r="JUV1" s="520"/>
      <c r="JUW1" s="520"/>
      <c r="JUX1" s="520"/>
      <c r="JUY1" s="520"/>
      <c r="JUZ1" s="520"/>
      <c r="JVA1" s="520"/>
      <c r="JVB1" s="520"/>
      <c r="JVC1" s="520"/>
      <c r="JVD1" s="520"/>
      <c r="JVE1" s="520"/>
      <c r="JVF1" s="520"/>
      <c r="JVG1" s="520"/>
      <c r="JVH1" s="520"/>
      <c r="JVI1" s="520"/>
      <c r="JVJ1" s="520"/>
      <c r="JVK1" s="520"/>
      <c r="JVL1" s="520"/>
      <c r="JVM1" s="520"/>
      <c r="JVN1" s="520"/>
      <c r="JVO1" s="520"/>
      <c r="JVP1" s="520"/>
      <c r="JVQ1" s="520"/>
      <c r="JVR1" s="520"/>
      <c r="JVS1" s="520"/>
      <c r="JVT1" s="520"/>
      <c r="JVU1" s="520"/>
      <c r="JVV1" s="520"/>
      <c r="JVW1" s="520"/>
      <c r="JVX1" s="520"/>
      <c r="JVY1" s="520"/>
      <c r="JVZ1" s="520"/>
      <c r="JWA1" s="520"/>
      <c r="JWB1" s="520"/>
      <c r="JWC1" s="520"/>
      <c r="JWD1" s="520"/>
      <c r="JWE1" s="520"/>
      <c r="JWF1" s="520"/>
      <c r="JWG1" s="520"/>
      <c r="JWH1" s="520"/>
      <c r="JWI1" s="520"/>
      <c r="JWJ1" s="520"/>
      <c r="JWK1" s="520"/>
      <c r="JWL1" s="520"/>
      <c r="JWM1" s="520"/>
      <c r="JWN1" s="520"/>
      <c r="JWO1" s="520"/>
      <c r="JWP1" s="520"/>
      <c r="JWQ1" s="520"/>
      <c r="JWR1" s="520"/>
      <c r="JWS1" s="520"/>
      <c r="JWT1" s="520"/>
      <c r="JWU1" s="520"/>
      <c r="JWV1" s="520"/>
      <c r="JWW1" s="520"/>
      <c r="JWX1" s="520"/>
      <c r="JWY1" s="520"/>
      <c r="JWZ1" s="520"/>
      <c r="JXA1" s="520"/>
      <c r="JXB1" s="520"/>
      <c r="JXC1" s="520"/>
      <c r="JXD1" s="520"/>
      <c r="JXE1" s="520"/>
      <c r="JXF1" s="520"/>
      <c r="JXG1" s="520"/>
      <c r="JXH1" s="520"/>
      <c r="JXI1" s="520"/>
      <c r="JXJ1" s="520"/>
      <c r="JXK1" s="520"/>
      <c r="JXL1" s="520"/>
      <c r="JXM1" s="520"/>
      <c r="JXN1" s="520"/>
      <c r="JXO1" s="520"/>
      <c r="JXP1" s="520"/>
      <c r="JXQ1" s="520"/>
      <c r="JXR1" s="520"/>
      <c r="JXS1" s="520"/>
      <c r="JXT1" s="520"/>
      <c r="JXU1" s="520"/>
      <c r="JXV1" s="520"/>
      <c r="JXW1" s="520"/>
      <c r="JXX1" s="520"/>
      <c r="JXY1" s="520"/>
      <c r="JXZ1" s="520"/>
      <c r="JYA1" s="520"/>
      <c r="JYB1" s="520"/>
      <c r="JYC1" s="520"/>
      <c r="JYD1" s="520"/>
      <c r="JYE1" s="520"/>
      <c r="JYF1" s="520"/>
      <c r="JYG1" s="520"/>
      <c r="JYH1" s="520"/>
      <c r="JYI1" s="520"/>
      <c r="JYJ1" s="520"/>
      <c r="JYK1" s="520"/>
      <c r="JYL1" s="520"/>
      <c r="JYM1" s="520"/>
      <c r="JYN1" s="520"/>
      <c r="JYO1" s="520"/>
      <c r="JYP1" s="520"/>
      <c r="JYQ1" s="520"/>
      <c r="JYR1" s="520"/>
      <c r="JYS1" s="520"/>
      <c r="JYT1" s="520"/>
      <c r="JYU1" s="520"/>
      <c r="JYV1" s="520"/>
      <c r="JYW1" s="520"/>
      <c r="JYX1" s="520"/>
      <c r="JYY1" s="520"/>
      <c r="JYZ1" s="520"/>
      <c r="JZA1" s="520"/>
      <c r="JZB1" s="520"/>
      <c r="JZC1" s="520"/>
      <c r="JZD1" s="520"/>
      <c r="JZE1" s="520"/>
      <c r="JZF1" s="520"/>
      <c r="JZG1" s="520"/>
      <c r="JZH1" s="520"/>
      <c r="JZI1" s="520"/>
      <c r="JZJ1" s="520"/>
      <c r="JZK1" s="520"/>
      <c r="JZL1" s="520"/>
      <c r="JZM1" s="520"/>
      <c r="JZN1" s="520"/>
      <c r="JZO1" s="520"/>
      <c r="JZP1" s="520"/>
      <c r="JZQ1" s="520"/>
      <c r="JZR1" s="520"/>
      <c r="JZS1" s="520"/>
      <c r="JZT1" s="520"/>
      <c r="JZU1" s="520"/>
      <c r="JZV1" s="520"/>
      <c r="JZW1" s="520"/>
      <c r="JZX1" s="520"/>
      <c r="JZY1" s="520"/>
      <c r="JZZ1" s="520"/>
      <c r="KAA1" s="520"/>
      <c r="KAB1" s="520"/>
      <c r="KAC1" s="520"/>
      <c r="KAD1" s="520"/>
      <c r="KAE1" s="520"/>
      <c r="KAF1" s="520"/>
      <c r="KAG1" s="520"/>
      <c r="KAH1" s="520"/>
      <c r="KAI1" s="520"/>
      <c r="KAJ1" s="520"/>
      <c r="KAK1" s="520"/>
      <c r="KAL1" s="520"/>
      <c r="KAM1" s="520"/>
      <c r="KAN1" s="520"/>
      <c r="KAO1" s="520"/>
      <c r="KAP1" s="520"/>
      <c r="KAQ1" s="520"/>
      <c r="KAR1" s="520"/>
      <c r="KAS1" s="520"/>
      <c r="KAT1" s="520"/>
      <c r="KAU1" s="520"/>
      <c r="KAV1" s="520"/>
      <c r="KAW1" s="520"/>
      <c r="KAX1" s="520"/>
      <c r="KAY1" s="520"/>
      <c r="KAZ1" s="520"/>
      <c r="KBA1" s="520"/>
      <c r="KBB1" s="520"/>
      <c r="KBC1" s="520"/>
      <c r="KBD1" s="520"/>
      <c r="KBE1" s="520"/>
      <c r="KBF1" s="520"/>
      <c r="KBG1" s="520"/>
      <c r="KBH1" s="520"/>
      <c r="KBI1" s="520"/>
      <c r="KBJ1" s="520"/>
      <c r="KBK1" s="520"/>
      <c r="KBL1" s="520"/>
      <c r="KBM1" s="520"/>
      <c r="KBN1" s="520"/>
      <c r="KBO1" s="520"/>
      <c r="KBP1" s="520"/>
      <c r="KBQ1" s="520"/>
      <c r="KBR1" s="520"/>
      <c r="KBS1" s="520"/>
      <c r="KBT1" s="520"/>
      <c r="KBU1" s="520"/>
      <c r="KBV1" s="520"/>
      <c r="KBW1" s="520"/>
      <c r="KBX1" s="520"/>
      <c r="KBY1" s="520"/>
      <c r="KBZ1" s="520"/>
      <c r="KCA1" s="520"/>
      <c r="KCB1" s="520"/>
      <c r="KCC1" s="520"/>
      <c r="KCD1" s="520"/>
      <c r="KCE1" s="520"/>
      <c r="KCF1" s="520"/>
      <c r="KCG1" s="520"/>
      <c r="KCH1" s="520"/>
      <c r="KCI1" s="520"/>
      <c r="KCJ1" s="520"/>
      <c r="KCK1" s="520"/>
      <c r="KCL1" s="520"/>
      <c r="KCM1" s="520"/>
      <c r="KCN1" s="520"/>
      <c r="KCO1" s="520"/>
      <c r="KCP1" s="520"/>
      <c r="KCQ1" s="520"/>
      <c r="KCR1" s="520"/>
      <c r="KCS1" s="520"/>
      <c r="KCT1" s="520"/>
      <c r="KCU1" s="520"/>
      <c r="KCV1" s="520"/>
      <c r="KCW1" s="520"/>
      <c r="KCX1" s="520"/>
      <c r="KCY1" s="520"/>
      <c r="KCZ1" s="520"/>
      <c r="KDA1" s="520"/>
      <c r="KDB1" s="520"/>
      <c r="KDC1" s="520"/>
      <c r="KDD1" s="520"/>
      <c r="KDE1" s="520"/>
      <c r="KDF1" s="520"/>
      <c r="KDG1" s="520"/>
      <c r="KDH1" s="520"/>
      <c r="KDI1" s="520"/>
      <c r="KDJ1" s="520"/>
      <c r="KDK1" s="520"/>
      <c r="KDL1" s="520"/>
      <c r="KDM1" s="520"/>
      <c r="KDN1" s="520"/>
      <c r="KDO1" s="520"/>
      <c r="KDP1" s="520"/>
      <c r="KDQ1" s="520"/>
      <c r="KDR1" s="520"/>
      <c r="KDS1" s="520"/>
      <c r="KDT1" s="520"/>
      <c r="KDU1" s="520"/>
      <c r="KDV1" s="520"/>
      <c r="KDW1" s="520"/>
      <c r="KDX1" s="520"/>
      <c r="KDY1" s="520"/>
      <c r="KDZ1" s="520"/>
      <c r="KEA1" s="520"/>
      <c r="KEB1" s="520"/>
      <c r="KEC1" s="520"/>
      <c r="KED1" s="520"/>
      <c r="KEE1" s="520"/>
      <c r="KEF1" s="520"/>
      <c r="KEG1" s="520"/>
      <c r="KEH1" s="520"/>
      <c r="KEI1" s="520"/>
      <c r="KEJ1" s="520"/>
      <c r="KEK1" s="520"/>
      <c r="KEL1" s="520"/>
      <c r="KEM1" s="520"/>
      <c r="KEN1" s="520"/>
      <c r="KEO1" s="520"/>
      <c r="KEP1" s="520"/>
      <c r="KEQ1" s="520"/>
      <c r="KER1" s="520"/>
      <c r="KES1" s="520"/>
      <c r="KET1" s="520"/>
      <c r="KEU1" s="520"/>
      <c r="KEV1" s="520"/>
      <c r="KEW1" s="520"/>
      <c r="KEX1" s="520"/>
      <c r="KEY1" s="520"/>
      <c r="KEZ1" s="520"/>
      <c r="KFA1" s="520"/>
      <c r="KFB1" s="520"/>
      <c r="KFC1" s="520"/>
      <c r="KFD1" s="520"/>
      <c r="KFE1" s="520"/>
      <c r="KFF1" s="520"/>
      <c r="KFG1" s="520"/>
      <c r="KFH1" s="520"/>
      <c r="KFI1" s="520"/>
      <c r="KFJ1" s="520"/>
      <c r="KFK1" s="520"/>
      <c r="KFL1" s="520"/>
      <c r="KFM1" s="520"/>
      <c r="KFN1" s="520"/>
      <c r="KFO1" s="520"/>
      <c r="KFP1" s="520"/>
      <c r="KFQ1" s="520"/>
      <c r="KFR1" s="520"/>
      <c r="KFS1" s="520"/>
      <c r="KFT1" s="520"/>
      <c r="KFU1" s="520"/>
      <c r="KFV1" s="520"/>
      <c r="KFW1" s="520"/>
      <c r="KFX1" s="520"/>
      <c r="KFY1" s="520"/>
      <c r="KFZ1" s="520"/>
      <c r="KGA1" s="520"/>
      <c r="KGB1" s="520"/>
      <c r="KGC1" s="520"/>
      <c r="KGD1" s="520"/>
      <c r="KGE1" s="520"/>
      <c r="KGF1" s="520"/>
      <c r="KGG1" s="520"/>
      <c r="KGH1" s="520"/>
      <c r="KGI1" s="520"/>
      <c r="KGJ1" s="520"/>
      <c r="KGK1" s="520"/>
      <c r="KGL1" s="520"/>
      <c r="KGM1" s="520"/>
      <c r="KGN1" s="520"/>
      <c r="KGO1" s="520"/>
      <c r="KGP1" s="520"/>
      <c r="KGQ1" s="520"/>
      <c r="KGR1" s="520"/>
      <c r="KGS1" s="520"/>
      <c r="KGT1" s="520"/>
      <c r="KGU1" s="520"/>
      <c r="KGV1" s="520"/>
      <c r="KGW1" s="520"/>
      <c r="KGX1" s="520"/>
      <c r="KGY1" s="520"/>
      <c r="KGZ1" s="520"/>
      <c r="KHA1" s="520"/>
      <c r="KHB1" s="520"/>
      <c r="KHC1" s="520"/>
      <c r="KHD1" s="520"/>
      <c r="KHE1" s="520"/>
      <c r="KHF1" s="520"/>
      <c r="KHG1" s="520"/>
      <c r="KHH1" s="520"/>
      <c r="KHI1" s="520"/>
      <c r="KHJ1" s="520"/>
      <c r="KHK1" s="520"/>
      <c r="KHL1" s="520"/>
      <c r="KHM1" s="520"/>
      <c r="KHN1" s="520"/>
      <c r="KHO1" s="520"/>
      <c r="KHP1" s="520"/>
      <c r="KHQ1" s="520"/>
      <c r="KHR1" s="520"/>
      <c r="KHS1" s="520"/>
      <c r="KHT1" s="520"/>
      <c r="KHU1" s="520"/>
      <c r="KHV1" s="520"/>
      <c r="KHW1" s="520"/>
      <c r="KHX1" s="520"/>
      <c r="KHY1" s="520"/>
      <c r="KHZ1" s="520"/>
      <c r="KIA1" s="520"/>
      <c r="KIB1" s="520"/>
      <c r="KIC1" s="520"/>
      <c r="KID1" s="520"/>
      <c r="KIE1" s="520"/>
      <c r="KIF1" s="520"/>
      <c r="KIG1" s="520"/>
      <c r="KIH1" s="520"/>
      <c r="KII1" s="520"/>
      <c r="KIJ1" s="520"/>
      <c r="KIK1" s="520"/>
      <c r="KIL1" s="520"/>
      <c r="KIM1" s="520"/>
      <c r="KIN1" s="520"/>
      <c r="KIO1" s="520"/>
      <c r="KIP1" s="520"/>
      <c r="KIQ1" s="520"/>
      <c r="KIR1" s="520"/>
      <c r="KIS1" s="520"/>
      <c r="KIT1" s="520"/>
      <c r="KIU1" s="520"/>
      <c r="KIV1" s="520"/>
      <c r="KIW1" s="520"/>
      <c r="KIX1" s="520"/>
      <c r="KIY1" s="520"/>
      <c r="KIZ1" s="520"/>
      <c r="KJA1" s="520"/>
      <c r="KJB1" s="520"/>
      <c r="KJC1" s="520"/>
      <c r="KJD1" s="520"/>
      <c r="KJE1" s="520"/>
      <c r="KJF1" s="520"/>
      <c r="KJG1" s="520"/>
      <c r="KJH1" s="520"/>
      <c r="KJI1" s="520"/>
      <c r="KJJ1" s="520"/>
      <c r="KJK1" s="520"/>
      <c r="KJL1" s="520"/>
      <c r="KJM1" s="520"/>
      <c r="KJN1" s="520"/>
      <c r="KJO1" s="520"/>
      <c r="KJP1" s="520"/>
      <c r="KJQ1" s="520"/>
      <c r="KJR1" s="520"/>
      <c r="KJS1" s="520"/>
      <c r="KJT1" s="520"/>
      <c r="KJU1" s="520"/>
      <c r="KJV1" s="520"/>
      <c r="KJW1" s="520"/>
      <c r="KJX1" s="520"/>
      <c r="KJY1" s="520"/>
      <c r="KJZ1" s="520"/>
      <c r="KKA1" s="520"/>
      <c r="KKB1" s="520"/>
      <c r="KKC1" s="520"/>
      <c r="KKD1" s="520"/>
      <c r="KKE1" s="520"/>
      <c r="KKF1" s="520"/>
      <c r="KKG1" s="520"/>
      <c r="KKH1" s="520"/>
      <c r="KKI1" s="520"/>
      <c r="KKJ1" s="520"/>
      <c r="KKK1" s="520"/>
      <c r="KKL1" s="520"/>
      <c r="KKM1" s="520"/>
      <c r="KKN1" s="520"/>
      <c r="KKO1" s="520"/>
      <c r="KKP1" s="520"/>
      <c r="KKQ1" s="520"/>
      <c r="KKR1" s="520"/>
      <c r="KKS1" s="520"/>
      <c r="KKT1" s="520"/>
      <c r="KKU1" s="520"/>
      <c r="KKV1" s="520"/>
      <c r="KKW1" s="520"/>
      <c r="KKX1" s="520"/>
      <c r="KKY1" s="520"/>
      <c r="KKZ1" s="520"/>
      <c r="KLA1" s="520"/>
      <c r="KLB1" s="520"/>
      <c r="KLC1" s="520"/>
      <c r="KLD1" s="520"/>
      <c r="KLE1" s="520"/>
      <c r="KLF1" s="520"/>
      <c r="KLG1" s="520"/>
      <c r="KLH1" s="520"/>
      <c r="KLI1" s="520"/>
      <c r="KLJ1" s="520"/>
      <c r="KLK1" s="520"/>
      <c r="KLL1" s="520"/>
      <c r="KLM1" s="520"/>
      <c r="KLN1" s="520"/>
      <c r="KLO1" s="520"/>
      <c r="KLP1" s="520"/>
      <c r="KLQ1" s="520"/>
      <c r="KLR1" s="520"/>
      <c r="KLS1" s="520"/>
      <c r="KLT1" s="520"/>
      <c r="KLU1" s="520"/>
      <c r="KLV1" s="520"/>
      <c r="KLW1" s="520"/>
      <c r="KLX1" s="520"/>
      <c r="KLY1" s="520"/>
      <c r="KLZ1" s="520"/>
      <c r="KMA1" s="520"/>
      <c r="KMB1" s="520"/>
      <c r="KMC1" s="520"/>
      <c r="KMD1" s="520"/>
      <c r="KME1" s="520"/>
      <c r="KMF1" s="520"/>
      <c r="KMG1" s="520"/>
      <c r="KMH1" s="520"/>
      <c r="KMI1" s="520"/>
      <c r="KMJ1" s="520"/>
      <c r="KMK1" s="520"/>
      <c r="KML1" s="520"/>
      <c r="KMM1" s="520"/>
      <c r="KMN1" s="520"/>
      <c r="KMO1" s="520"/>
      <c r="KMP1" s="520"/>
      <c r="KMQ1" s="520"/>
      <c r="KMR1" s="520"/>
      <c r="KMS1" s="520"/>
      <c r="KMT1" s="520"/>
      <c r="KMU1" s="520"/>
      <c r="KMV1" s="520"/>
      <c r="KMW1" s="520"/>
      <c r="KMX1" s="520"/>
      <c r="KMY1" s="520"/>
      <c r="KMZ1" s="520"/>
      <c r="KNA1" s="520"/>
      <c r="KNB1" s="520"/>
      <c r="KNC1" s="520"/>
      <c r="KND1" s="520"/>
      <c r="KNE1" s="520"/>
      <c r="KNF1" s="520"/>
      <c r="KNG1" s="520"/>
      <c r="KNH1" s="520"/>
      <c r="KNI1" s="520"/>
      <c r="KNJ1" s="520"/>
      <c r="KNK1" s="520"/>
      <c r="KNL1" s="520"/>
      <c r="KNM1" s="520"/>
      <c r="KNN1" s="520"/>
      <c r="KNO1" s="520"/>
      <c r="KNP1" s="520"/>
      <c r="KNQ1" s="520"/>
      <c r="KNR1" s="520"/>
      <c r="KNS1" s="520"/>
      <c r="KNT1" s="520"/>
      <c r="KNU1" s="520"/>
      <c r="KNV1" s="520"/>
      <c r="KNW1" s="520"/>
      <c r="KNX1" s="520"/>
      <c r="KNY1" s="520"/>
      <c r="KNZ1" s="520"/>
      <c r="KOA1" s="520"/>
      <c r="KOB1" s="520"/>
      <c r="KOC1" s="520"/>
      <c r="KOD1" s="520"/>
      <c r="KOE1" s="520"/>
      <c r="KOF1" s="520"/>
      <c r="KOG1" s="520"/>
      <c r="KOH1" s="520"/>
      <c r="KOI1" s="520"/>
      <c r="KOJ1" s="520"/>
      <c r="KOK1" s="520"/>
      <c r="KOL1" s="520"/>
      <c r="KOM1" s="520"/>
      <c r="KON1" s="520"/>
      <c r="KOO1" s="520"/>
      <c r="KOP1" s="520"/>
      <c r="KOQ1" s="520"/>
      <c r="KOR1" s="520"/>
      <c r="KOS1" s="520"/>
      <c r="KOT1" s="520"/>
      <c r="KOU1" s="520"/>
      <c r="KOV1" s="520"/>
      <c r="KOW1" s="520"/>
      <c r="KOX1" s="520"/>
      <c r="KOY1" s="520"/>
      <c r="KOZ1" s="520"/>
      <c r="KPA1" s="520"/>
      <c r="KPB1" s="520"/>
      <c r="KPC1" s="520"/>
      <c r="KPD1" s="520"/>
      <c r="KPE1" s="520"/>
      <c r="KPF1" s="520"/>
      <c r="KPG1" s="520"/>
      <c r="KPH1" s="520"/>
      <c r="KPI1" s="520"/>
      <c r="KPJ1" s="520"/>
      <c r="KPK1" s="520"/>
      <c r="KPL1" s="520"/>
      <c r="KPM1" s="520"/>
      <c r="KPN1" s="520"/>
      <c r="KPO1" s="520"/>
      <c r="KPP1" s="520"/>
      <c r="KPQ1" s="520"/>
      <c r="KPR1" s="520"/>
      <c r="KPS1" s="520"/>
      <c r="KPT1" s="520"/>
      <c r="KPU1" s="520"/>
      <c r="KPV1" s="520"/>
      <c r="KPW1" s="520"/>
      <c r="KPX1" s="520"/>
      <c r="KPY1" s="520"/>
      <c r="KPZ1" s="520"/>
      <c r="KQA1" s="520"/>
      <c r="KQB1" s="520"/>
      <c r="KQC1" s="520"/>
      <c r="KQD1" s="520"/>
      <c r="KQE1" s="520"/>
      <c r="KQF1" s="520"/>
      <c r="KQG1" s="520"/>
      <c r="KQH1" s="520"/>
      <c r="KQI1" s="520"/>
      <c r="KQJ1" s="520"/>
      <c r="KQK1" s="520"/>
      <c r="KQL1" s="520"/>
      <c r="KQM1" s="520"/>
      <c r="KQN1" s="520"/>
      <c r="KQO1" s="520"/>
      <c r="KQP1" s="520"/>
      <c r="KQQ1" s="520"/>
      <c r="KQR1" s="520"/>
      <c r="KQS1" s="520"/>
      <c r="KQT1" s="520"/>
      <c r="KQU1" s="520"/>
      <c r="KQV1" s="520"/>
      <c r="KQW1" s="520"/>
      <c r="KQX1" s="520"/>
      <c r="KQY1" s="520"/>
      <c r="KQZ1" s="520"/>
      <c r="KRA1" s="520"/>
      <c r="KRB1" s="520"/>
      <c r="KRC1" s="520"/>
      <c r="KRD1" s="520"/>
      <c r="KRE1" s="520"/>
      <c r="KRF1" s="520"/>
      <c r="KRG1" s="520"/>
      <c r="KRH1" s="520"/>
      <c r="KRI1" s="520"/>
      <c r="KRJ1" s="520"/>
      <c r="KRK1" s="520"/>
      <c r="KRL1" s="520"/>
      <c r="KRM1" s="520"/>
      <c r="KRN1" s="520"/>
      <c r="KRO1" s="520"/>
      <c r="KRP1" s="520"/>
      <c r="KRQ1" s="520"/>
      <c r="KRR1" s="520"/>
      <c r="KRS1" s="520"/>
      <c r="KRT1" s="520"/>
      <c r="KRU1" s="520"/>
      <c r="KRV1" s="520"/>
      <c r="KRW1" s="520"/>
      <c r="KRX1" s="520"/>
      <c r="KRY1" s="520"/>
      <c r="KRZ1" s="520"/>
      <c r="KSA1" s="520"/>
      <c r="KSB1" s="520"/>
      <c r="KSC1" s="520"/>
      <c r="KSD1" s="520"/>
      <c r="KSE1" s="520"/>
      <c r="KSF1" s="520"/>
      <c r="KSG1" s="520"/>
      <c r="KSH1" s="520"/>
      <c r="KSI1" s="520"/>
      <c r="KSJ1" s="520"/>
      <c r="KSK1" s="520"/>
      <c r="KSL1" s="520"/>
      <c r="KSM1" s="520"/>
      <c r="KSN1" s="520"/>
      <c r="KSO1" s="520"/>
      <c r="KSP1" s="520"/>
      <c r="KSQ1" s="520"/>
      <c r="KSR1" s="520"/>
      <c r="KSS1" s="520"/>
      <c r="KST1" s="520"/>
      <c r="KSU1" s="520"/>
      <c r="KSV1" s="520"/>
      <c r="KSW1" s="520"/>
      <c r="KSX1" s="520"/>
      <c r="KSY1" s="520"/>
      <c r="KSZ1" s="520"/>
      <c r="KTA1" s="520"/>
      <c r="KTB1" s="520"/>
      <c r="KTC1" s="520"/>
      <c r="KTD1" s="520"/>
      <c r="KTE1" s="520"/>
      <c r="KTF1" s="520"/>
      <c r="KTG1" s="520"/>
      <c r="KTH1" s="520"/>
      <c r="KTI1" s="520"/>
      <c r="KTJ1" s="520"/>
      <c r="KTK1" s="520"/>
      <c r="KTL1" s="520"/>
      <c r="KTM1" s="520"/>
      <c r="KTN1" s="520"/>
      <c r="KTO1" s="520"/>
      <c r="KTP1" s="520"/>
      <c r="KTQ1" s="520"/>
      <c r="KTR1" s="520"/>
      <c r="KTS1" s="520"/>
      <c r="KTT1" s="520"/>
      <c r="KTU1" s="520"/>
      <c r="KTV1" s="520"/>
      <c r="KTW1" s="520"/>
      <c r="KTX1" s="520"/>
      <c r="KTY1" s="520"/>
      <c r="KTZ1" s="520"/>
      <c r="KUA1" s="520"/>
      <c r="KUB1" s="520"/>
      <c r="KUC1" s="520"/>
      <c r="KUD1" s="520"/>
      <c r="KUE1" s="520"/>
      <c r="KUF1" s="520"/>
      <c r="KUG1" s="520"/>
      <c r="KUH1" s="520"/>
      <c r="KUI1" s="520"/>
      <c r="KUJ1" s="520"/>
      <c r="KUK1" s="520"/>
      <c r="KUL1" s="520"/>
      <c r="KUM1" s="520"/>
      <c r="KUN1" s="520"/>
      <c r="KUO1" s="520"/>
      <c r="KUP1" s="520"/>
      <c r="KUQ1" s="520"/>
      <c r="KUR1" s="520"/>
      <c r="KUS1" s="520"/>
      <c r="KUT1" s="520"/>
      <c r="KUU1" s="520"/>
      <c r="KUV1" s="520"/>
      <c r="KUW1" s="520"/>
      <c r="KUX1" s="520"/>
      <c r="KUY1" s="520"/>
      <c r="KUZ1" s="520"/>
      <c r="KVA1" s="520"/>
      <c r="KVB1" s="520"/>
      <c r="KVC1" s="520"/>
      <c r="KVD1" s="520"/>
      <c r="KVE1" s="520"/>
      <c r="KVF1" s="520"/>
      <c r="KVG1" s="520"/>
      <c r="KVH1" s="520"/>
      <c r="KVI1" s="520"/>
      <c r="KVJ1" s="520"/>
      <c r="KVK1" s="520"/>
      <c r="KVL1" s="520"/>
      <c r="KVM1" s="520"/>
      <c r="KVN1" s="520"/>
      <c r="KVO1" s="520"/>
      <c r="KVP1" s="520"/>
      <c r="KVQ1" s="520"/>
      <c r="KVR1" s="520"/>
      <c r="KVS1" s="520"/>
      <c r="KVT1" s="520"/>
      <c r="KVU1" s="520"/>
      <c r="KVV1" s="520"/>
      <c r="KVW1" s="520"/>
      <c r="KVX1" s="520"/>
      <c r="KVY1" s="520"/>
      <c r="KVZ1" s="520"/>
      <c r="KWA1" s="520"/>
      <c r="KWB1" s="520"/>
      <c r="KWC1" s="520"/>
      <c r="KWD1" s="520"/>
      <c r="KWE1" s="520"/>
      <c r="KWF1" s="520"/>
      <c r="KWG1" s="520"/>
      <c r="KWH1" s="520"/>
      <c r="KWI1" s="520"/>
      <c r="KWJ1" s="520"/>
      <c r="KWK1" s="520"/>
      <c r="KWL1" s="520"/>
      <c r="KWM1" s="520"/>
      <c r="KWN1" s="520"/>
      <c r="KWO1" s="520"/>
      <c r="KWP1" s="520"/>
      <c r="KWQ1" s="520"/>
      <c r="KWR1" s="520"/>
      <c r="KWS1" s="520"/>
      <c r="KWT1" s="520"/>
      <c r="KWU1" s="520"/>
      <c r="KWV1" s="520"/>
      <c r="KWW1" s="520"/>
      <c r="KWX1" s="520"/>
      <c r="KWY1" s="520"/>
      <c r="KWZ1" s="520"/>
      <c r="KXA1" s="520"/>
      <c r="KXB1" s="520"/>
      <c r="KXC1" s="520"/>
      <c r="KXD1" s="520"/>
      <c r="KXE1" s="520"/>
      <c r="KXF1" s="520"/>
      <c r="KXG1" s="520"/>
      <c r="KXH1" s="520"/>
      <c r="KXI1" s="520"/>
      <c r="KXJ1" s="520"/>
      <c r="KXK1" s="520"/>
      <c r="KXL1" s="520"/>
      <c r="KXM1" s="520"/>
      <c r="KXN1" s="520"/>
      <c r="KXO1" s="520"/>
      <c r="KXP1" s="520"/>
      <c r="KXQ1" s="520"/>
      <c r="KXR1" s="520"/>
      <c r="KXS1" s="520"/>
      <c r="KXT1" s="520"/>
      <c r="KXU1" s="520"/>
      <c r="KXV1" s="520"/>
      <c r="KXW1" s="520"/>
      <c r="KXX1" s="520"/>
      <c r="KXY1" s="520"/>
      <c r="KXZ1" s="520"/>
      <c r="KYA1" s="520"/>
      <c r="KYB1" s="520"/>
      <c r="KYC1" s="520"/>
      <c r="KYD1" s="520"/>
      <c r="KYE1" s="520"/>
      <c r="KYF1" s="520"/>
      <c r="KYG1" s="520"/>
      <c r="KYH1" s="520"/>
      <c r="KYI1" s="520"/>
      <c r="KYJ1" s="520"/>
      <c r="KYK1" s="520"/>
      <c r="KYL1" s="520"/>
      <c r="KYM1" s="520"/>
      <c r="KYN1" s="520"/>
      <c r="KYO1" s="520"/>
      <c r="KYP1" s="520"/>
      <c r="KYQ1" s="520"/>
      <c r="KYR1" s="520"/>
      <c r="KYS1" s="520"/>
      <c r="KYT1" s="520"/>
      <c r="KYU1" s="520"/>
      <c r="KYV1" s="520"/>
      <c r="KYW1" s="520"/>
      <c r="KYX1" s="520"/>
      <c r="KYY1" s="520"/>
      <c r="KYZ1" s="520"/>
      <c r="KZA1" s="520"/>
      <c r="KZB1" s="520"/>
      <c r="KZC1" s="520"/>
      <c r="KZD1" s="520"/>
      <c r="KZE1" s="520"/>
      <c r="KZF1" s="520"/>
      <c r="KZG1" s="520"/>
      <c r="KZH1" s="520"/>
      <c r="KZI1" s="520"/>
      <c r="KZJ1" s="520"/>
      <c r="KZK1" s="520"/>
      <c r="KZL1" s="520"/>
      <c r="KZM1" s="520"/>
      <c r="KZN1" s="520"/>
      <c r="KZO1" s="520"/>
      <c r="KZP1" s="520"/>
      <c r="KZQ1" s="520"/>
      <c r="KZR1" s="520"/>
      <c r="KZS1" s="520"/>
      <c r="KZT1" s="520"/>
      <c r="KZU1" s="520"/>
      <c r="KZV1" s="520"/>
      <c r="KZW1" s="520"/>
      <c r="KZX1" s="520"/>
      <c r="KZY1" s="520"/>
      <c r="KZZ1" s="520"/>
      <c r="LAA1" s="520"/>
      <c r="LAB1" s="520"/>
      <c r="LAC1" s="520"/>
      <c r="LAD1" s="520"/>
      <c r="LAE1" s="520"/>
      <c r="LAF1" s="520"/>
      <c r="LAG1" s="520"/>
      <c r="LAH1" s="520"/>
      <c r="LAI1" s="520"/>
      <c r="LAJ1" s="520"/>
      <c r="LAK1" s="520"/>
      <c r="LAL1" s="520"/>
      <c r="LAM1" s="520"/>
      <c r="LAN1" s="520"/>
      <c r="LAO1" s="520"/>
      <c r="LAP1" s="520"/>
      <c r="LAQ1" s="520"/>
      <c r="LAR1" s="520"/>
      <c r="LAS1" s="520"/>
      <c r="LAT1" s="520"/>
      <c r="LAU1" s="520"/>
      <c r="LAV1" s="520"/>
      <c r="LAW1" s="520"/>
      <c r="LAX1" s="520"/>
      <c r="LAY1" s="520"/>
      <c r="LAZ1" s="520"/>
      <c r="LBA1" s="520"/>
      <c r="LBB1" s="520"/>
      <c r="LBC1" s="520"/>
      <c r="LBD1" s="520"/>
      <c r="LBE1" s="520"/>
      <c r="LBF1" s="520"/>
      <c r="LBG1" s="520"/>
      <c r="LBH1" s="520"/>
      <c r="LBI1" s="520"/>
      <c r="LBJ1" s="520"/>
      <c r="LBK1" s="520"/>
      <c r="LBL1" s="520"/>
      <c r="LBM1" s="520"/>
      <c r="LBN1" s="520"/>
      <c r="LBO1" s="520"/>
      <c r="LBP1" s="520"/>
      <c r="LBQ1" s="520"/>
      <c r="LBR1" s="520"/>
      <c r="LBS1" s="520"/>
      <c r="LBT1" s="520"/>
      <c r="LBU1" s="520"/>
      <c r="LBV1" s="520"/>
      <c r="LBW1" s="520"/>
      <c r="LBX1" s="520"/>
      <c r="LBY1" s="520"/>
      <c r="LBZ1" s="520"/>
      <c r="LCA1" s="520"/>
      <c r="LCB1" s="520"/>
      <c r="LCC1" s="520"/>
      <c r="LCD1" s="520"/>
      <c r="LCE1" s="520"/>
      <c r="LCF1" s="520"/>
      <c r="LCG1" s="520"/>
      <c r="LCH1" s="520"/>
      <c r="LCI1" s="520"/>
      <c r="LCJ1" s="520"/>
      <c r="LCK1" s="520"/>
      <c r="LCL1" s="520"/>
      <c r="LCM1" s="520"/>
      <c r="LCN1" s="520"/>
      <c r="LCO1" s="520"/>
      <c r="LCP1" s="520"/>
      <c r="LCQ1" s="520"/>
      <c r="LCR1" s="520"/>
      <c r="LCS1" s="520"/>
      <c r="LCT1" s="520"/>
      <c r="LCU1" s="520"/>
      <c r="LCV1" s="520"/>
      <c r="LCW1" s="520"/>
      <c r="LCX1" s="520"/>
      <c r="LCY1" s="520"/>
      <c r="LCZ1" s="520"/>
      <c r="LDA1" s="520"/>
      <c r="LDB1" s="520"/>
      <c r="LDC1" s="520"/>
      <c r="LDD1" s="520"/>
      <c r="LDE1" s="520"/>
      <c r="LDF1" s="520"/>
      <c r="LDG1" s="520"/>
      <c r="LDH1" s="520"/>
      <c r="LDI1" s="520"/>
      <c r="LDJ1" s="520"/>
      <c r="LDK1" s="520"/>
      <c r="LDL1" s="520"/>
      <c r="LDM1" s="520"/>
      <c r="LDN1" s="520"/>
      <c r="LDO1" s="520"/>
      <c r="LDP1" s="520"/>
      <c r="LDQ1" s="520"/>
      <c r="LDR1" s="520"/>
      <c r="LDS1" s="520"/>
      <c r="LDT1" s="520"/>
      <c r="LDU1" s="520"/>
      <c r="LDV1" s="520"/>
      <c r="LDW1" s="520"/>
      <c r="LDX1" s="520"/>
      <c r="LDY1" s="520"/>
      <c r="LDZ1" s="520"/>
      <c r="LEA1" s="520"/>
      <c r="LEB1" s="520"/>
      <c r="LEC1" s="520"/>
      <c r="LED1" s="520"/>
      <c r="LEE1" s="520"/>
      <c r="LEF1" s="520"/>
      <c r="LEG1" s="520"/>
      <c r="LEH1" s="520"/>
      <c r="LEI1" s="520"/>
      <c r="LEJ1" s="520"/>
      <c r="LEK1" s="520"/>
      <c r="LEL1" s="520"/>
      <c r="LEM1" s="520"/>
      <c r="LEN1" s="520"/>
      <c r="LEO1" s="520"/>
      <c r="LEP1" s="520"/>
      <c r="LEQ1" s="520"/>
      <c r="LER1" s="520"/>
      <c r="LES1" s="520"/>
      <c r="LET1" s="520"/>
      <c r="LEU1" s="520"/>
      <c r="LEV1" s="520"/>
      <c r="LEW1" s="520"/>
      <c r="LEX1" s="520"/>
      <c r="LEY1" s="520"/>
      <c r="LEZ1" s="520"/>
      <c r="LFA1" s="520"/>
      <c r="LFB1" s="520"/>
      <c r="LFC1" s="520"/>
      <c r="LFD1" s="520"/>
      <c r="LFE1" s="520"/>
      <c r="LFF1" s="520"/>
      <c r="LFG1" s="520"/>
      <c r="LFH1" s="520"/>
      <c r="LFI1" s="520"/>
      <c r="LFJ1" s="520"/>
      <c r="LFK1" s="520"/>
      <c r="LFL1" s="520"/>
      <c r="LFM1" s="520"/>
      <c r="LFN1" s="520"/>
      <c r="LFO1" s="520"/>
      <c r="LFP1" s="520"/>
      <c r="LFQ1" s="520"/>
      <c r="LFR1" s="520"/>
      <c r="LFS1" s="520"/>
      <c r="LFT1" s="520"/>
      <c r="LFU1" s="520"/>
      <c r="LFV1" s="520"/>
      <c r="LFW1" s="520"/>
      <c r="LFX1" s="520"/>
      <c r="LFY1" s="520"/>
      <c r="LFZ1" s="520"/>
      <c r="LGA1" s="520"/>
      <c r="LGB1" s="520"/>
      <c r="LGC1" s="520"/>
      <c r="LGD1" s="520"/>
      <c r="LGE1" s="520"/>
      <c r="LGF1" s="520"/>
      <c r="LGG1" s="520"/>
      <c r="LGH1" s="520"/>
      <c r="LGI1" s="520"/>
      <c r="LGJ1" s="520"/>
      <c r="LGK1" s="520"/>
      <c r="LGL1" s="520"/>
      <c r="LGM1" s="520"/>
      <c r="LGN1" s="520"/>
      <c r="LGO1" s="520"/>
      <c r="LGP1" s="520"/>
      <c r="LGQ1" s="520"/>
      <c r="LGR1" s="520"/>
      <c r="LGS1" s="520"/>
      <c r="LGT1" s="520"/>
      <c r="LGU1" s="520"/>
      <c r="LGV1" s="520"/>
      <c r="LGW1" s="520"/>
      <c r="LGX1" s="520"/>
      <c r="LGY1" s="520"/>
      <c r="LGZ1" s="520"/>
      <c r="LHA1" s="520"/>
      <c r="LHB1" s="520"/>
      <c r="LHC1" s="520"/>
      <c r="LHD1" s="520"/>
      <c r="LHE1" s="520"/>
      <c r="LHF1" s="520"/>
      <c r="LHG1" s="520"/>
      <c r="LHH1" s="520"/>
      <c r="LHI1" s="520"/>
      <c r="LHJ1" s="520"/>
      <c r="LHK1" s="520"/>
      <c r="LHL1" s="520"/>
      <c r="LHM1" s="520"/>
      <c r="LHN1" s="520"/>
      <c r="LHO1" s="520"/>
      <c r="LHP1" s="520"/>
      <c r="LHQ1" s="520"/>
      <c r="LHR1" s="520"/>
      <c r="LHS1" s="520"/>
      <c r="LHT1" s="520"/>
      <c r="LHU1" s="520"/>
      <c r="LHV1" s="520"/>
      <c r="LHW1" s="520"/>
      <c r="LHX1" s="520"/>
      <c r="LHY1" s="520"/>
      <c r="LHZ1" s="520"/>
      <c r="LIA1" s="520"/>
      <c r="LIB1" s="520"/>
      <c r="LIC1" s="520"/>
      <c r="LID1" s="520"/>
      <c r="LIE1" s="520"/>
      <c r="LIF1" s="520"/>
      <c r="LIG1" s="520"/>
      <c r="LIH1" s="520"/>
      <c r="LII1" s="520"/>
      <c r="LIJ1" s="520"/>
      <c r="LIK1" s="520"/>
      <c r="LIL1" s="520"/>
      <c r="LIM1" s="520"/>
      <c r="LIN1" s="520"/>
      <c r="LIO1" s="520"/>
      <c r="LIP1" s="520"/>
      <c r="LIQ1" s="520"/>
      <c r="LIR1" s="520"/>
      <c r="LIS1" s="520"/>
      <c r="LIT1" s="520"/>
      <c r="LIU1" s="520"/>
      <c r="LIV1" s="520"/>
      <c r="LIW1" s="520"/>
      <c r="LIX1" s="520"/>
      <c r="LIY1" s="520"/>
      <c r="LIZ1" s="520"/>
      <c r="LJA1" s="520"/>
      <c r="LJB1" s="520"/>
      <c r="LJC1" s="520"/>
      <c r="LJD1" s="520"/>
      <c r="LJE1" s="520"/>
      <c r="LJF1" s="520"/>
      <c r="LJG1" s="520"/>
      <c r="LJH1" s="520"/>
      <c r="LJI1" s="520"/>
      <c r="LJJ1" s="520"/>
      <c r="LJK1" s="520"/>
      <c r="LJL1" s="520"/>
      <c r="LJM1" s="520"/>
      <c r="LJN1" s="520"/>
      <c r="LJO1" s="520"/>
      <c r="LJP1" s="520"/>
      <c r="LJQ1" s="520"/>
      <c r="LJR1" s="520"/>
      <c r="LJS1" s="520"/>
      <c r="LJT1" s="520"/>
      <c r="LJU1" s="520"/>
      <c r="LJV1" s="520"/>
      <c r="LJW1" s="520"/>
      <c r="LJX1" s="520"/>
      <c r="LJY1" s="520"/>
      <c r="LJZ1" s="520"/>
      <c r="LKA1" s="520"/>
      <c r="LKB1" s="520"/>
      <c r="LKC1" s="520"/>
      <c r="LKD1" s="520"/>
      <c r="LKE1" s="520"/>
      <c r="LKF1" s="520"/>
      <c r="LKG1" s="520"/>
      <c r="LKH1" s="520"/>
      <c r="LKI1" s="520"/>
      <c r="LKJ1" s="520"/>
      <c r="LKK1" s="520"/>
      <c r="LKL1" s="520"/>
      <c r="LKM1" s="520"/>
      <c r="LKN1" s="520"/>
      <c r="LKO1" s="520"/>
      <c r="LKP1" s="520"/>
      <c r="LKQ1" s="520"/>
      <c r="LKR1" s="520"/>
      <c r="LKS1" s="520"/>
      <c r="LKT1" s="520"/>
      <c r="LKU1" s="520"/>
      <c r="LKV1" s="520"/>
      <c r="LKW1" s="520"/>
      <c r="LKX1" s="520"/>
      <c r="LKY1" s="520"/>
      <c r="LKZ1" s="520"/>
      <c r="LLA1" s="520"/>
      <c r="LLB1" s="520"/>
      <c r="LLC1" s="520"/>
      <c r="LLD1" s="520"/>
      <c r="LLE1" s="520"/>
      <c r="LLF1" s="520"/>
      <c r="LLG1" s="520"/>
      <c r="LLH1" s="520"/>
      <c r="LLI1" s="520"/>
      <c r="LLJ1" s="520"/>
      <c r="LLK1" s="520"/>
      <c r="LLL1" s="520"/>
      <c r="LLM1" s="520"/>
      <c r="LLN1" s="520"/>
      <c r="LLO1" s="520"/>
      <c r="LLP1" s="520"/>
      <c r="LLQ1" s="520"/>
      <c r="LLR1" s="520"/>
      <c r="LLS1" s="520"/>
      <c r="LLT1" s="520"/>
      <c r="LLU1" s="520"/>
      <c r="LLV1" s="520"/>
      <c r="LLW1" s="520"/>
      <c r="LLX1" s="520"/>
      <c r="LLY1" s="520"/>
      <c r="LLZ1" s="520"/>
      <c r="LMA1" s="520"/>
      <c r="LMB1" s="520"/>
      <c r="LMC1" s="520"/>
      <c r="LMD1" s="520"/>
      <c r="LME1" s="520"/>
      <c r="LMF1" s="520"/>
      <c r="LMG1" s="520"/>
      <c r="LMH1" s="520"/>
      <c r="LMI1" s="520"/>
      <c r="LMJ1" s="520"/>
      <c r="LMK1" s="520"/>
      <c r="LML1" s="520"/>
      <c r="LMM1" s="520"/>
      <c r="LMN1" s="520"/>
      <c r="LMO1" s="520"/>
      <c r="LMP1" s="520"/>
      <c r="LMQ1" s="520"/>
      <c r="LMR1" s="520"/>
      <c r="LMS1" s="520"/>
      <c r="LMT1" s="520"/>
      <c r="LMU1" s="520"/>
      <c r="LMV1" s="520"/>
      <c r="LMW1" s="520"/>
      <c r="LMX1" s="520"/>
      <c r="LMY1" s="520"/>
      <c r="LMZ1" s="520"/>
      <c r="LNA1" s="520"/>
      <c r="LNB1" s="520"/>
      <c r="LNC1" s="520"/>
      <c r="LND1" s="520"/>
      <c r="LNE1" s="520"/>
      <c r="LNF1" s="520"/>
      <c r="LNG1" s="520"/>
      <c r="LNH1" s="520"/>
      <c r="LNI1" s="520"/>
      <c r="LNJ1" s="520"/>
      <c r="LNK1" s="520"/>
      <c r="LNL1" s="520"/>
      <c r="LNM1" s="520"/>
      <c r="LNN1" s="520"/>
      <c r="LNO1" s="520"/>
      <c r="LNP1" s="520"/>
      <c r="LNQ1" s="520"/>
      <c r="LNR1" s="520"/>
      <c r="LNS1" s="520"/>
      <c r="LNT1" s="520"/>
      <c r="LNU1" s="520"/>
      <c r="LNV1" s="520"/>
      <c r="LNW1" s="520"/>
      <c r="LNX1" s="520"/>
      <c r="LNY1" s="520"/>
      <c r="LNZ1" s="520"/>
      <c r="LOA1" s="520"/>
      <c r="LOB1" s="520"/>
      <c r="LOC1" s="520"/>
      <c r="LOD1" s="520"/>
      <c r="LOE1" s="520"/>
      <c r="LOF1" s="520"/>
      <c r="LOG1" s="520"/>
      <c r="LOH1" s="520"/>
      <c r="LOI1" s="520"/>
      <c r="LOJ1" s="520"/>
      <c r="LOK1" s="520"/>
      <c r="LOL1" s="520"/>
      <c r="LOM1" s="520"/>
      <c r="LON1" s="520"/>
      <c r="LOO1" s="520"/>
      <c r="LOP1" s="520"/>
      <c r="LOQ1" s="520"/>
      <c r="LOR1" s="520"/>
      <c r="LOS1" s="520"/>
      <c r="LOT1" s="520"/>
      <c r="LOU1" s="520"/>
      <c r="LOV1" s="520"/>
      <c r="LOW1" s="520"/>
      <c r="LOX1" s="520"/>
      <c r="LOY1" s="520"/>
      <c r="LOZ1" s="520"/>
      <c r="LPA1" s="520"/>
      <c r="LPB1" s="520"/>
      <c r="LPC1" s="520"/>
      <c r="LPD1" s="520"/>
      <c r="LPE1" s="520"/>
      <c r="LPF1" s="520"/>
      <c r="LPG1" s="520"/>
      <c r="LPH1" s="520"/>
      <c r="LPI1" s="520"/>
      <c r="LPJ1" s="520"/>
      <c r="LPK1" s="520"/>
      <c r="LPL1" s="520"/>
      <c r="LPM1" s="520"/>
      <c r="LPN1" s="520"/>
      <c r="LPO1" s="520"/>
      <c r="LPP1" s="520"/>
      <c r="LPQ1" s="520"/>
      <c r="LPR1" s="520"/>
      <c r="LPS1" s="520"/>
      <c r="LPT1" s="520"/>
      <c r="LPU1" s="520"/>
      <c r="LPV1" s="520"/>
      <c r="LPW1" s="520"/>
      <c r="LPX1" s="520"/>
      <c r="LPY1" s="520"/>
      <c r="LPZ1" s="520"/>
      <c r="LQA1" s="520"/>
      <c r="LQB1" s="520"/>
      <c r="LQC1" s="520"/>
      <c r="LQD1" s="520"/>
      <c r="LQE1" s="520"/>
      <c r="LQF1" s="520"/>
      <c r="LQG1" s="520"/>
      <c r="LQH1" s="520"/>
      <c r="LQI1" s="520"/>
      <c r="LQJ1" s="520"/>
      <c r="LQK1" s="520"/>
      <c r="LQL1" s="520"/>
      <c r="LQM1" s="520"/>
      <c r="LQN1" s="520"/>
      <c r="LQO1" s="520"/>
      <c r="LQP1" s="520"/>
      <c r="LQQ1" s="520"/>
      <c r="LQR1" s="520"/>
      <c r="LQS1" s="520"/>
      <c r="LQT1" s="520"/>
      <c r="LQU1" s="520"/>
      <c r="LQV1" s="520"/>
      <c r="LQW1" s="520"/>
      <c r="LQX1" s="520"/>
      <c r="LQY1" s="520"/>
      <c r="LQZ1" s="520"/>
      <c r="LRA1" s="520"/>
      <c r="LRB1" s="520"/>
      <c r="LRC1" s="520"/>
      <c r="LRD1" s="520"/>
      <c r="LRE1" s="520"/>
      <c r="LRF1" s="520"/>
      <c r="LRG1" s="520"/>
      <c r="LRH1" s="520"/>
      <c r="LRI1" s="520"/>
      <c r="LRJ1" s="520"/>
      <c r="LRK1" s="520"/>
      <c r="LRL1" s="520"/>
      <c r="LRM1" s="520"/>
      <c r="LRN1" s="520"/>
      <c r="LRO1" s="520"/>
      <c r="LRP1" s="520"/>
      <c r="LRQ1" s="520"/>
      <c r="LRR1" s="520"/>
      <c r="LRS1" s="520"/>
      <c r="LRT1" s="520"/>
      <c r="LRU1" s="520"/>
      <c r="LRV1" s="520"/>
      <c r="LRW1" s="520"/>
      <c r="LRX1" s="520"/>
      <c r="LRY1" s="520"/>
      <c r="LRZ1" s="520"/>
      <c r="LSA1" s="520"/>
      <c r="LSB1" s="520"/>
      <c r="LSC1" s="520"/>
      <c r="LSD1" s="520"/>
      <c r="LSE1" s="520"/>
      <c r="LSF1" s="520"/>
      <c r="LSG1" s="520"/>
      <c r="LSH1" s="520"/>
      <c r="LSI1" s="520"/>
      <c r="LSJ1" s="520"/>
      <c r="LSK1" s="520"/>
      <c r="LSL1" s="520"/>
      <c r="LSM1" s="520"/>
      <c r="LSN1" s="520"/>
      <c r="LSO1" s="520"/>
      <c r="LSP1" s="520"/>
      <c r="LSQ1" s="520"/>
      <c r="LSR1" s="520"/>
      <c r="LSS1" s="520"/>
      <c r="LST1" s="520"/>
      <c r="LSU1" s="520"/>
      <c r="LSV1" s="520"/>
      <c r="LSW1" s="520"/>
      <c r="LSX1" s="520"/>
      <c r="LSY1" s="520"/>
      <c r="LSZ1" s="520"/>
      <c r="LTA1" s="520"/>
      <c r="LTB1" s="520"/>
      <c r="LTC1" s="520"/>
      <c r="LTD1" s="520"/>
      <c r="LTE1" s="520"/>
      <c r="LTF1" s="520"/>
      <c r="LTG1" s="520"/>
      <c r="LTH1" s="520"/>
      <c r="LTI1" s="520"/>
      <c r="LTJ1" s="520"/>
      <c r="LTK1" s="520"/>
      <c r="LTL1" s="520"/>
      <c r="LTM1" s="520"/>
      <c r="LTN1" s="520"/>
      <c r="LTO1" s="520"/>
      <c r="LTP1" s="520"/>
      <c r="LTQ1" s="520"/>
      <c r="LTR1" s="520"/>
      <c r="LTS1" s="520"/>
      <c r="LTT1" s="520"/>
      <c r="LTU1" s="520"/>
      <c r="LTV1" s="520"/>
      <c r="LTW1" s="520"/>
      <c r="LTX1" s="520"/>
      <c r="LTY1" s="520"/>
      <c r="LTZ1" s="520"/>
      <c r="LUA1" s="520"/>
      <c r="LUB1" s="520"/>
      <c r="LUC1" s="520"/>
      <c r="LUD1" s="520"/>
      <c r="LUE1" s="520"/>
      <c r="LUF1" s="520"/>
      <c r="LUG1" s="520"/>
      <c r="LUH1" s="520"/>
      <c r="LUI1" s="520"/>
      <c r="LUJ1" s="520"/>
      <c r="LUK1" s="520"/>
      <c r="LUL1" s="520"/>
      <c r="LUM1" s="520"/>
      <c r="LUN1" s="520"/>
      <c r="LUO1" s="520"/>
      <c r="LUP1" s="520"/>
      <c r="LUQ1" s="520"/>
      <c r="LUR1" s="520"/>
      <c r="LUS1" s="520"/>
      <c r="LUT1" s="520"/>
      <c r="LUU1" s="520"/>
      <c r="LUV1" s="520"/>
      <c r="LUW1" s="520"/>
      <c r="LUX1" s="520"/>
      <c r="LUY1" s="520"/>
      <c r="LUZ1" s="520"/>
      <c r="LVA1" s="520"/>
      <c r="LVB1" s="520"/>
      <c r="LVC1" s="520"/>
      <c r="LVD1" s="520"/>
      <c r="LVE1" s="520"/>
      <c r="LVF1" s="520"/>
      <c r="LVG1" s="520"/>
      <c r="LVH1" s="520"/>
      <c r="LVI1" s="520"/>
      <c r="LVJ1" s="520"/>
      <c r="LVK1" s="520"/>
      <c r="LVL1" s="520"/>
      <c r="LVM1" s="520"/>
      <c r="LVN1" s="520"/>
      <c r="LVO1" s="520"/>
      <c r="LVP1" s="520"/>
      <c r="LVQ1" s="520"/>
      <c r="LVR1" s="520"/>
      <c r="LVS1" s="520"/>
      <c r="LVT1" s="520"/>
      <c r="LVU1" s="520"/>
      <c r="LVV1" s="520"/>
      <c r="LVW1" s="520"/>
      <c r="LVX1" s="520"/>
      <c r="LVY1" s="520"/>
      <c r="LVZ1" s="520"/>
      <c r="LWA1" s="520"/>
      <c r="LWB1" s="520"/>
      <c r="LWC1" s="520"/>
      <c r="LWD1" s="520"/>
      <c r="LWE1" s="520"/>
      <c r="LWF1" s="520"/>
      <c r="LWG1" s="520"/>
      <c r="LWH1" s="520"/>
      <c r="LWI1" s="520"/>
      <c r="LWJ1" s="520"/>
      <c r="LWK1" s="520"/>
      <c r="LWL1" s="520"/>
      <c r="LWM1" s="520"/>
      <c r="LWN1" s="520"/>
      <c r="LWO1" s="520"/>
      <c r="LWP1" s="520"/>
      <c r="LWQ1" s="520"/>
      <c r="LWR1" s="520"/>
      <c r="LWS1" s="520"/>
      <c r="LWT1" s="520"/>
      <c r="LWU1" s="520"/>
      <c r="LWV1" s="520"/>
      <c r="LWW1" s="520"/>
      <c r="LWX1" s="520"/>
      <c r="LWY1" s="520"/>
      <c r="LWZ1" s="520"/>
      <c r="LXA1" s="520"/>
      <c r="LXB1" s="520"/>
      <c r="LXC1" s="520"/>
      <c r="LXD1" s="520"/>
      <c r="LXE1" s="520"/>
      <c r="LXF1" s="520"/>
      <c r="LXG1" s="520"/>
      <c r="LXH1" s="520"/>
      <c r="LXI1" s="520"/>
      <c r="LXJ1" s="520"/>
      <c r="LXK1" s="520"/>
      <c r="LXL1" s="520"/>
      <c r="LXM1" s="520"/>
      <c r="LXN1" s="520"/>
      <c r="LXO1" s="520"/>
      <c r="LXP1" s="520"/>
      <c r="LXQ1" s="520"/>
      <c r="LXR1" s="520"/>
      <c r="LXS1" s="520"/>
      <c r="LXT1" s="520"/>
      <c r="LXU1" s="520"/>
      <c r="LXV1" s="520"/>
      <c r="LXW1" s="520"/>
      <c r="LXX1" s="520"/>
      <c r="LXY1" s="520"/>
      <c r="LXZ1" s="520"/>
      <c r="LYA1" s="520"/>
      <c r="LYB1" s="520"/>
      <c r="LYC1" s="520"/>
      <c r="LYD1" s="520"/>
      <c r="LYE1" s="520"/>
      <c r="LYF1" s="520"/>
      <c r="LYG1" s="520"/>
      <c r="LYH1" s="520"/>
      <c r="LYI1" s="520"/>
      <c r="LYJ1" s="520"/>
      <c r="LYK1" s="520"/>
      <c r="LYL1" s="520"/>
      <c r="LYM1" s="520"/>
      <c r="LYN1" s="520"/>
      <c r="LYO1" s="520"/>
      <c r="LYP1" s="520"/>
      <c r="LYQ1" s="520"/>
      <c r="LYR1" s="520"/>
      <c r="LYS1" s="520"/>
      <c r="LYT1" s="520"/>
      <c r="LYU1" s="520"/>
      <c r="LYV1" s="520"/>
      <c r="LYW1" s="520"/>
      <c r="LYX1" s="520"/>
      <c r="LYY1" s="520"/>
      <c r="LYZ1" s="520"/>
      <c r="LZA1" s="520"/>
      <c r="LZB1" s="520"/>
      <c r="LZC1" s="520"/>
      <c r="LZD1" s="520"/>
      <c r="LZE1" s="520"/>
      <c r="LZF1" s="520"/>
      <c r="LZG1" s="520"/>
      <c r="LZH1" s="520"/>
      <c r="LZI1" s="520"/>
      <c r="LZJ1" s="520"/>
      <c r="LZK1" s="520"/>
      <c r="LZL1" s="520"/>
      <c r="LZM1" s="520"/>
      <c r="LZN1" s="520"/>
      <c r="LZO1" s="520"/>
      <c r="LZP1" s="520"/>
      <c r="LZQ1" s="520"/>
      <c r="LZR1" s="520"/>
      <c r="LZS1" s="520"/>
      <c r="LZT1" s="520"/>
      <c r="LZU1" s="520"/>
      <c r="LZV1" s="520"/>
      <c r="LZW1" s="520"/>
      <c r="LZX1" s="520"/>
      <c r="LZY1" s="520"/>
      <c r="LZZ1" s="520"/>
      <c r="MAA1" s="520"/>
      <c r="MAB1" s="520"/>
      <c r="MAC1" s="520"/>
      <c r="MAD1" s="520"/>
      <c r="MAE1" s="520"/>
      <c r="MAF1" s="520"/>
      <c r="MAG1" s="520"/>
      <c r="MAH1" s="520"/>
      <c r="MAI1" s="520"/>
      <c r="MAJ1" s="520"/>
      <c r="MAK1" s="520"/>
      <c r="MAL1" s="520"/>
      <c r="MAM1" s="520"/>
      <c r="MAN1" s="520"/>
      <c r="MAO1" s="520"/>
      <c r="MAP1" s="520"/>
      <c r="MAQ1" s="520"/>
      <c r="MAR1" s="520"/>
      <c r="MAS1" s="520"/>
      <c r="MAT1" s="520"/>
      <c r="MAU1" s="520"/>
      <c r="MAV1" s="520"/>
      <c r="MAW1" s="520"/>
      <c r="MAX1" s="520"/>
      <c r="MAY1" s="520"/>
      <c r="MAZ1" s="520"/>
      <c r="MBA1" s="520"/>
      <c r="MBB1" s="520"/>
      <c r="MBC1" s="520"/>
      <c r="MBD1" s="520"/>
      <c r="MBE1" s="520"/>
      <c r="MBF1" s="520"/>
      <c r="MBG1" s="520"/>
      <c r="MBH1" s="520"/>
      <c r="MBI1" s="520"/>
      <c r="MBJ1" s="520"/>
      <c r="MBK1" s="520"/>
      <c r="MBL1" s="520"/>
      <c r="MBM1" s="520"/>
      <c r="MBN1" s="520"/>
      <c r="MBO1" s="520"/>
      <c r="MBP1" s="520"/>
      <c r="MBQ1" s="520"/>
      <c r="MBR1" s="520"/>
      <c r="MBS1" s="520"/>
      <c r="MBT1" s="520"/>
      <c r="MBU1" s="520"/>
      <c r="MBV1" s="520"/>
      <c r="MBW1" s="520"/>
      <c r="MBX1" s="520"/>
      <c r="MBY1" s="520"/>
      <c r="MBZ1" s="520"/>
      <c r="MCA1" s="520"/>
      <c r="MCB1" s="520"/>
      <c r="MCC1" s="520"/>
      <c r="MCD1" s="520"/>
      <c r="MCE1" s="520"/>
      <c r="MCF1" s="520"/>
      <c r="MCG1" s="520"/>
      <c r="MCH1" s="520"/>
      <c r="MCI1" s="520"/>
      <c r="MCJ1" s="520"/>
      <c r="MCK1" s="520"/>
      <c r="MCL1" s="520"/>
      <c r="MCM1" s="520"/>
      <c r="MCN1" s="520"/>
      <c r="MCO1" s="520"/>
      <c r="MCP1" s="520"/>
      <c r="MCQ1" s="520"/>
      <c r="MCR1" s="520"/>
      <c r="MCS1" s="520"/>
      <c r="MCT1" s="520"/>
      <c r="MCU1" s="520"/>
      <c r="MCV1" s="520"/>
      <c r="MCW1" s="520"/>
      <c r="MCX1" s="520"/>
      <c r="MCY1" s="520"/>
      <c r="MCZ1" s="520"/>
      <c r="MDA1" s="520"/>
      <c r="MDB1" s="520"/>
      <c r="MDC1" s="520"/>
      <c r="MDD1" s="520"/>
      <c r="MDE1" s="520"/>
      <c r="MDF1" s="520"/>
      <c r="MDG1" s="520"/>
      <c r="MDH1" s="520"/>
      <c r="MDI1" s="520"/>
      <c r="MDJ1" s="520"/>
      <c r="MDK1" s="520"/>
      <c r="MDL1" s="520"/>
      <c r="MDM1" s="520"/>
      <c r="MDN1" s="520"/>
      <c r="MDO1" s="520"/>
      <c r="MDP1" s="520"/>
      <c r="MDQ1" s="520"/>
      <c r="MDR1" s="520"/>
      <c r="MDS1" s="520"/>
      <c r="MDT1" s="520"/>
      <c r="MDU1" s="520"/>
      <c r="MDV1" s="520"/>
      <c r="MDW1" s="520"/>
      <c r="MDX1" s="520"/>
      <c r="MDY1" s="520"/>
      <c r="MDZ1" s="520"/>
      <c r="MEA1" s="520"/>
      <c r="MEB1" s="520"/>
      <c r="MEC1" s="520"/>
      <c r="MED1" s="520"/>
      <c r="MEE1" s="520"/>
      <c r="MEF1" s="520"/>
      <c r="MEG1" s="520"/>
      <c r="MEH1" s="520"/>
      <c r="MEI1" s="520"/>
      <c r="MEJ1" s="520"/>
      <c r="MEK1" s="520"/>
      <c r="MEL1" s="520"/>
      <c r="MEM1" s="520"/>
      <c r="MEN1" s="520"/>
      <c r="MEO1" s="520"/>
      <c r="MEP1" s="520"/>
      <c r="MEQ1" s="520"/>
      <c r="MER1" s="520"/>
      <c r="MES1" s="520"/>
      <c r="MET1" s="520"/>
      <c r="MEU1" s="520"/>
      <c r="MEV1" s="520"/>
      <c r="MEW1" s="520"/>
      <c r="MEX1" s="520"/>
      <c r="MEY1" s="520"/>
      <c r="MEZ1" s="520"/>
      <c r="MFA1" s="520"/>
      <c r="MFB1" s="520"/>
      <c r="MFC1" s="520"/>
      <c r="MFD1" s="520"/>
      <c r="MFE1" s="520"/>
      <c r="MFF1" s="520"/>
      <c r="MFG1" s="520"/>
      <c r="MFH1" s="520"/>
      <c r="MFI1" s="520"/>
      <c r="MFJ1" s="520"/>
      <c r="MFK1" s="520"/>
      <c r="MFL1" s="520"/>
      <c r="MFM1" s="520"/>
      <c r="MFN1" s="520"/>
      <c r="MFO1" s="520"/>
      <c r="MFP1" s="520"/>
      <c r="MFQ1" s="520"/>
      <c r="MFR1" s="520"/>
      <c r="MFS1" s="520"/>
      <c r="MFT1" s="520"/>
      <c r="MFU1" s="520"/>
      <c r="MFV1" s="520"/>
      <c r="MFW1" s="520"/>
      <c r="MFX1" s="520"/>
      <c r="MFY1" s="520"/>
      <c r="MFZ1" s="520"/>
      <c r="MGA1" s="520"/>
      <c r="MGB1" s="520"/>
      <c r="MGC1" s="520"/>
      <c r="MGD1" s="520"/>
      <c r="MGE1" s="520"/>
      <c r="MGF1" s="520"/>
      <c r="MGG1" s="520"/>
      <c r="MGH1" s="520"/>
      <c r="MGI1" s="520"/>
      <c r="MGJ1" s="520"/>
      <c r="MGK1" s="520"/>
      <c r="MGL1" s="520"/>
      <c r="MGM1" s="520"/>
      <c r="MGN1" s="520"/>
      <c r="MGO1" s="520"/>
      <c r="MGP1" s="520"/>
      <c r="MGQ1" s="520"/>
      <c r="MGR1" s="520"/>
      <c r="MGS1" s="520"/>
      <c r="MGT1" s="520"/>
      <c r="MGU1" s="520"/>
      <c r="MGV1" s="520"/>
      <c r="MGW1" s="520"/>
      <c r="MGX1" s="520"/>
      <c r="MGY1" s="520"/>
      <c r="MGZ1" s="520"/>
      <c r="MHA1" s="520"/>
      <c r="MHB1" s="520"/>
      <c r="MHC1" s="520"/>
      <c r="MHD1" s="520"/>
      <c r="MHE1" s="520"/>
      <c r="MHF1" s="520"/>
      <c r="MHG1" s="520"/>
      <c r="MHH1" s="520"/>
      <c r="MHI1" s="520"/>
      <c r="MHJ1" s="520"/>
      <c r="MHK1" s="520"/>
      <c r="MHL1" s="520"/>
      <c r="MHM1" s="520"/>
      <c r="MHN1" s="520"/>
      <c r="MHO1" s="520"/>
      <c r="MHP1" s="520"/>
      <c r="MHQ1" s="520"/>
      <c r="MHR1" s="520"/>
      <c r="MHS1" s="520"/>
      <c r="MHT1" s="520"/>
      <c r="MHU1" s="520"/>
      <c r="MHV1" s="520"/>
      <c r="MHW1" s="520"/>
      <c r="MHX1" s="520"/>
      <c r="MHY1" s="520"/>
      <c r="MHZ1" s="520"/>
      <c r="MIA1" s="520"/>
      <c r="MIB1" s="520"/>
      <c r="MIC1" s="520"/>
      <c r="MID1" s="520"/>
      <c r="MIE1" s="520"/>
      <c r="MIF1" s="520"/>
      <c r="MIG1" s="520"/>
      <c r="MIH1" s="520"/>
      <c r="MII1" s="520"/>
      <c r="MIJ1" s="520"/>
      <c r="MIK1" s="520"/>
      <c r="MIL1" s="520"/>
      <c r="MIM1" s="520"/>
      <c r="MIN1" s="520"/>
      <c r="MIO1" s="520"/>
      <c r="MIP1" s="520"/>
      <c r="MIQ1" s="520"/>
      <c r="MIR1" s="520"/>
      <c r="MIS1" s="520"/>
      <c r="MIT1" s="520"/>
      <c r="MIU1" s="520"/>
      <c r="MIV1" s="520"/>
      <c r="MIW1" s="520"/>
      <c r="MIX1" s="520"/>
      <c r="MIY1" s="520"/>
      <c r="MIZ1" s="520"/>
      <c r="MJA1" s="520"/>
      <c r="MJB1" s="520"/>
      <c r="MJC1" s="520"/>
      <c r="MJD1" s="520"/>
      <c r="MJE1" s="520"/>
      <c r="MJF1" s="520"/>
      <c r="MJG1" s="520"/>
      <c r="MJH1" s="520"/>
      <c r="MJI1" s="520"/>
      <c r="MJJ1" s="520"/>
      <c r="MJK1" s="520"/>
      <c r="MJL1" s="520"/>
      <c r="MJM1" s="520"/>
      <c r="MJN1" s="520"/>
      <c r="MJO1" s="520"/>
      <c r="MJP1" s="520"/>
      <c r="MJQ1" s="520"/>
      <c r="MJR1" s="520"/>
      <c r="MJS1" s="520"/>
      <c r="MJT1" s="520"/>
      <c r="MJU1" s="520"/>
      <c r="MJV1" s="520"/>
      <c r="MJW1" s="520"/>
      <c r="MJX1" s="520"/>
      <c r="MJY1" s="520"/>
      <c r="MJZ1" s="520"/>
      <c r="MKA1" s="520"/>
      <c r="MKB1" s="520"/>
      <c r="MKC1" s="520"/>
      <c r="MKD1" s="520"/>
      <c r="MKE1" s="520"/>
      <c r="MKF1" s="520"/>
      <c r="MKG1" s="520"/>
      <c r="MKH1" s="520"/>
      <c r="MKI1" s="520"/>
      <c r="MKJ1" s="520"/>
      <c r="MKK1" s="520"/>
      <c r="MKL1" s="520"/>
      <c r="MKM1" s="520"/>
      <c r="MKN1" s="520"/>
      <c r="MKO1" s="520"/>
      <c r="MKP1" s="520"/>
      <c r="MKQ1" s="520"/>
      <c r="MKR1" s="520"/>
      <c r="MKS1" s="520"/>
      <c r="MKT1" s="520"/>
      <c r="MKU1" s="520"/>
      <c r="MKV1" s="520"/>
      <c r="MKW1" s="520"/>
      <c r="MKX1" s="520"/>
      <c r="MKY1" s="520"/>
      <c r="MKZ1" s="520"/>
      <c r="MLA1" s="520"/>
      <c r="MLB1" s="520"/>
      <c r="MLC1" s="520"/>
      <c r="MLD1" s="520"/>
      <c r="MLE1" s="520"/>
      <c r="MLF1" s="520"/>
      <c r="MLG1" s="520"/>
      <c r="MLH1" s="520"/>
      <c r="MLI1" s="520"/>
      <c r="MLJ1" s="520"/>
      <c r="MLK1" s="520"/>
      <c r="MLL1" s="520"/>
      <c r="MLM1" s="520"/>
      <c r="MLN1" s="520"/>
      <c r="MLO1" s="520"/>
      <c r="MLP1" s="520"/>
      <c r="MLQ1" s="520"/>
      <c r="MLR1" s="520"/>
      <c r="MLS1" s="520"/>
      <c r="MLT1" s="520"/>
      <c r="MLU1" s="520"/>
      <c r="MLV1" s="520"/>
      <c r="MLW1" s="520"/>
      <c r="MLX1" s="520"/>
      <c r="MLY1" s="520"/>
      <c r="MLZ1" s="520"/>
      <c r="MMA1" s="520"/>
      <c r="MMB1" s="520"/>
      <c r="MMC1" s="520"/>
      <c r="MMD1" s="520"/>
      <c r="MME1" s="520"/>
      <c r="MMF1" s="520"/>
      <c r="MMG1" s="520"/>
      <c r="MMH1" s="520"/>
      <c r="MMI1" s="520"/>
      <c r="MMJ1" s="520"/>
      <c r="MMK1" s="520"/>
      <c r="MML1" s="520"/>
      <c r="MMM1" s="520"/>
      <c r="MMN1" s="520"/>
      <c r="MMO1" s="520"/>
      <c r="MMP1" s="520"/>
      <c r="MMQ1" s="520"/>
      <c r="MMR1" s="520"/>
      <c r="MMS1" s="520"/>
      <c r="MMT1" s="520"/>
      <c r="MMU1" s="520"/>
      <c r="MMV1" s="520"/>
      <c r="MMW1" s="520"/>
      <c r="MMX1" s="520"/>
      <c r="MMY1" s="520"/>
      <c r="MMZ1" s="520"/>
      <c r="MNA1" s="520"/>
      <c r="MNB1" s="520"/>
      <c r="MNC1" s="520"/>
      <c r="MND1" s="520"/>
      <c r="MNE1" s="520"/>
      <c r="MNF1" s="520"/>
      <c r="MNG1" s="520"/>
      <c r="MNH1" s="520"/>
      <c r="MNI1" s="520"/>
      <c r="MNJ1" s="520"/>
      <c r="MNK1" s="520"/>
      <c r="MNL1" s="520"/>
      <c r="MNM1" s="520"/>
      <c r="MNN1" s="520"/>
      <c r="MNO1" s="520"/>
      <c r="MNP1" s="520"/>
      <c r="MNQ1" s="520"/>
      <c r="MNR1" s="520"/>
      <c r="MNS1" s="520"/>
      <c r="MNT1" s="520"/>
      <c r="MNU1" s="520"/>
      <c r="MNV1" s="520"/>
      <c r="MNW1" s="520"/>
      <c r="MNX1" s="520"/>
      <c r="MNY1" s="520"/>
      <c r="MNZ1" s="520"/>
      <c r="MOA1" s="520"/>
      <c r="MOB1" s="520"/>
      <c r="MOC1" s="520"/>
      <c r="MOD1" s="520"/>
      <c r="MOE1" s="520"/>
      <c r="MOF1" s="520"/>
      <c r="MOG1" s="520"/>
      <c r="MOH1" s="520"/>
      <c r="MOI1" s="520"/>
      <c r="MOJ1" s="520"/>
      <c r="MOK1" s="520"/>
      <c r="MOL1" s="520"/>
      <c r="MOM1" s="520"/>
      <c r="MON1" s="520"/>
      <c r="MOO1" s="520"/>
      <c r="MOP1" s="520"/>
      <c r="MOQ1" s="520"/>
      <c r="MOR1" s="520"/>
      <c r="MOS1" s="520"/>
      <c r="MOT1" s="520"/>
      <c r="MOU1" s="520"/>
      <c r="MOV1" s="520"/>
      <c r="MOW1" s="520"/>
      <c r="MOX1" s="520"/>
      <c r="MOY1" s="520"/>
      <c r="MOZ1" s="520"/>
      <c r="MPA1" s="520"/>
      <c r="MPB1" s="520"/>
      <c r="MPC1" s="520"/>
      <c r="MPD1" s="520"/>
      <c r="MPE1" s="520"/>
      <c r="MPF1" s="520"/>
      <c r="MPG1" s="520"/>
      <c r="MPH1" s="520"/>
      <c r="MPI1" s="520"/>
      <c r="MPJ1" s="520"/>
      <c r="MPK1" s="520"/>
      <c r="MPL1" s="520"/>
      <c r="MPM1" s="520"/>
      <c r="MPN1" s="520"/>
      <c r="MPO1" s="520"/>
      <c r="MPP1" s="520"/>
      <c r="MPQ1" s="520"/>
      <c r="MPR1" s="520"/>
      <c r="MPS1" s="520"/>
      <c r="MPT1" s="520"/>
      <c r="MPU1" s="520"/>
      <c r="MPV1" s="520"/>
      <c r="MPW1" s="520"/>
      <c r="MPX1" s="520"/>
      <c r="MPY1" s="520"/>
      <c r="MPZ1" s="520"/>
      <c r="MQA1" s="520"/>
      <c r="MQB1" s="520"/>
      <c r="MQC1" s="520"/>
      <c r="MQD1" s="520"/>
      <c r="MQE1" s="520"/>
      <c r="MQF1" s="520"/>
      <c r="MQG1" s="520"/>
      <c r="MQH1" s="520"/>
      <c r="MQI1" s="520"/>
      <c r="MQJ1" s="520"/>
      <c r="MQK1" s="520"/>
      <c r="MQL1" s="520"/>
      <c r="MQM1" s="520"/>
      <c r="MQN1" s="520"/>
      <c r="MQO1" s="520"/>
      <c r="MQP1" s="520"/>
      <c r="MQQ1" s="520"/>
      <c r="MQR1" s="520"/>
      <c r="MQS1" s="520"/>
      <c r="MQT1" s="520"/>
      <c r="MQU1" s="520"/>
      <c r="MQV1" s="520"/>
      <c r="MQW1" s="520"/>
      <c r="MQX1" s="520"/>
      <c r="MQY1" s="520"/>
      <c r="MQZ1" s="520"/>
      <c r="MRA1" s="520"/>
      <c r="MRB1" s="520"/>
      <c r="MRC1" s="520"/>
      <c r="MRD1" s="520"/>
      <c r="MRE1" s="520"/>
      <c r="MRF1" s="520"/>
      <c r="MRG1" s="520"/>
      <c r="MRH1" s="520"/>
      <c r="MRI1" s="520"/>
      <c r="MRJ1" s="520"/>
      <c r="MRK1" s="520"/>
      <c r="MRL1" s="520"/>
      <c r="MRM1" s="520"/>
      <c r="MRN1" s="520"/>
      <c r="MRO1" s="520"/>
      <c r="MRP1" s="520"/>
      <c r="MRQ1" s="520"/>
      <c r="MRR1" s="520"/>
      <c r="MRS1" s="520"/>
      <c r="MRT1" s="520"/>
      <c r="MRU1" s="520"/>
      <c r="MRV1" s="520"/>
      <c r="MRW1" s="520"/>
      <c r="MRX1" s="520"/>
      <c r="MRY1" s="520"/>
      <c r="MRZ1" s="520"/>
      <c r="MSA1" s="520"/>
      <c r="MSB1" s="520"/>
      <c r="MSC1" s="520"/>
      <c r="MSD1" s="520"/>
      <c r="MSE1" s="520"/>
      <c r="MSF1" s="520"/>
      <c r="MSG1" s="520"/>
      <c r="MSH1" s="520"/>
      <c r="MSI1" s="520"/>
      <c r="MSJ1" s="520"/>
      <c r="MSK1" s="520"/>
      <c r="MSL1" s="520"/>
      <c r="MSM1" s="520"/>
      <c r="MSN1" s="520"/>
      <c r="MSO1" s="520"/>
      <c r="MSP1" s="520"/>
      <c r="MSQ1" s="520"/>
      <c r="MSR1" s="520"/>
      <c r="MSS1" s="520"/>
      <c r="MST1" s="520"/>
      <c r="MSU1" s="520"/>
      <c r="MSV1" s="520"/>
      <c r="MSW1" s="520"/>
      <c r="MSX1" s="520"/>
      <c r="MSY1" s="520"/>
      <c r="MSZ1" s="520"/>
      <c r="MTA1" s="520"/>
      <c r="MTB1" s="520"/>
      <c r="MTC1" s="520"/>
      <c r="MTD1" s="520"/>
      <c r="MTE1" s="520"/>
      <c r="MTF1" s="520"/>
      <c r="MTG1" s="520"/>
      <c r="MTH1" s="520"/>
      <c r="MTI1" s="520"/>
      <c r="MTJ1" s="520"/>
      <c r="MTK1" s="520"/>
      <c r="MTL1" s="520"/>
      <c r="MTM1" s="520"/>
      <c r="MTN1" s="520"/>
      <c r="MTO1" s="520"/>
      <c r="MTP1" s="520"/>
      <c r="MTQ1" s="520"/>
      <c r="MTR1" s="520"/>
      <c r="MTS1" s="520"/>
      <c r="MTT1" s="520"/>
      <c r="MTU1" s="520"/>
      <c r="MTV1" s="520"/>
      <c r="MTW1" s="520"/>
      <c r="MTX1" s="520"/>
      <c r="MTY1" s="520"/>
      <c r="MTZ1" s="520"/>
      <c r="MUA1" s="520"/>
      <c r="MUB1" s="520"/>
      <c r="MUC1" s="520"/>
      <c r="MUD1" s="520"/>
      <c r="MUE1" s="520"/>
      <c r="MUF1" s="520"/>
      <c r="MUG1" s="520"/>
      <c r="MUH1" s="520"/>
      <c r="MUI1" s="520"/>
      <c r="MUJ1" s="520"/>
      <c r="MUK1" s="520"/>
      <c r="MUL1" s="520"/>
      <c r="MUM1" s="520"/>
      <c r="MUN1" s="520"/>
      <c r="MUO1" s="520"/>
      <c r="MUP1" s="520"/>
      <c r="MUQ1" s="520"/>
      <c r="MUR1" s="520"/>
      <c r="MUS1" s="520"/>
      <c r="MUT1" s="520"/>
      <c r="MUU1" s="520"/>
      <c r="MUV1" s="520"/>
      <c r="MUW1" s="520"/>
      <c r="MUX1" s="520"/>
      <c r="MUY1" s="520"/>
      <c r="MUZ1" s="520"/>
      <c r="MVA1" s="520"/>
      <c r="MVB1" s="520"/>
      <c r="MVC1" s="520"/>
      <c r="MVD1" s="520"/>
      <c r="MVE1" s="520"/>
      <c r="MVF1" s="520"/>
      <c r="MVG1" s="520"/>
      <c r="MVH1" s="520"/>
      <c r="MVI1" s="520"/>
      <c r="MVJ1" s="520"/>
      <c r="MVK1" s="520"/>
      <c r="MVL1" s="520"/>
      <c r="MVM1" s="520"/>
      <c r="MVN1" s="520"/>
      <c r="MVO1" s="520"/>
      <c r="MVP1" s="520"/>
      <c r="MVQ1" s="520"/>
      <c r="MVR1" s="520"/>
      <c r="MVS1" s="520"/>
      <c r="MVT1" s="520"/>
      <c r="MVU1" s="520"/>
      <c r="MVV1" s="520"/>
      <c r="MVW1" s="520"/>
      <c r="MVX1" s="520"/>
      <c r="MVY1" s="520"/>
      <c r="MVZ1" s="520"/>
      <c r="MWA1" s="520"/>
      <c r="MWB1" s="520"/>
      <c r="MWC1" s="520"/>
      <c r="MWD1" s="520"/>
      <c r="MWE1" s="520"/>
      <c r="MWF1" s="520"/>
      <c r="MWG1" s="520"/>
      <c r="MWH1" s="520"/>
      <c r="MWI1" s="520"/>
      <c r="MWJ1" s="520"/>
      <c r="MWK1" s="520"/>
      <c r="MWL1" s="520"/>
      <c r="MWM1" s="520"/>
      <c r="MWN1" s="520"/>
      <c r="MWO1" s="520"/>
      <c r="MWP1" s="520"/>
      <c r="MWQ1" s="520"/>
      <c r="MWR1" s="520"/>
      <c r="MWS1" s="520"/>
      <c r="MWT1" s="520"/>
      <c r="MWU1" s="520"/>
      <c r="MWV1" s="520"/>
      <c r="MWW1" s="520"/>
      <c r="MWX1" s="520"/>
      <c r="MWY1" s="520"/>
      <c r="MWZ1" s="520"/>
      <c r="MXA1" s="520"/>
      <c r="MXB1" s="520"/>
      <c r="MXC1" s="520"/>
      <c r="MXD1" s="520"/>
      <c r="MXE1" s="520"/>
      <c r="MXF1" s="520"/>
      <c r="MXG1" s="520"/>
      <c r="MXH1" s="520"/>
      <c r="MXI1" s="520"/>
      <c r="MXJ1" s="520"/>
      <c r="MXK1" s="520"/>
      <c r="MXL1" s="520"/>
      <c r="MXM1" s="520"/>
      <c r="MXN1" s="520"/>
      <c r="MXO1" s="520"/>
      <c r="MXP1" s="520"/>
      <c r="MXQ1" s="520"/>
      <c r="MXR1" s="520"/>
      <c r="MXS1" s="520"/>
      <c r="MXT1" s="520"/>
      <c r="MXU1" s="520"/>
      <c r="MXV1" s="520"/>
      <c r="MXW1" s="520"/>
      <c r="MXX1" s="520"/>
      <c r="MXY1" s="520"/>
      <c r="MXZ1" s="520"/>
      <c r="MYA1" s="520"/>
      <c r="MYB1" s="520"/>
      <c r="MYC1" s="520"/>
      <c r="MYD1" s="520"/>
      <c r="MYE1" s="520"/>
      <c r="MYF1" s="520"/>
      <c r="MYG1" s="520"/>
      <c r="MYH1" s="520"/>
      <c r="MYI1" s="520"/>
      <c r="MYJ1" s="520"/>
      <c r="MYK1" s="520"/>
      <c r="MYL1" s="520"/>
      <c r="MYM1" s="520"/>
      <c r="MYN1" s="520"/>
      <c r="MYO1" s="520"/>
      <c r="MYP1" s="520"/>
      <c r="MYQ1" s="520"/>
      <c r="MYR1" s="520"/>
      <c r="MYS1" s="520"/>
      <c r="MYT1" s="520"/>
      <c r="MYU1" s="520"/>
      <c r="MYV1" s="520"/>
      <c r="MYW1" s="520"/>
      <c r="MYX1" s="520"/>
      <c r="MYY1" s="520"/>
      <c r="MYZ1" s="520"/>
      <c r="MZA1" s="520"/>
      <c r="MZB1" s="520"/>
      <c r="MZC1" s="520"/>
      <c r="MZD1" s="520"/>
      <c r="MZE1" s="520"/>
      <c r="MZF1" s="520"/>
      <c r="MZG1" s="520"/>
      <c r="MZH1" s="520"/>
      <c r="MZI1" s="520"/>
      <c r="MZJ1" s="520"/>
      <c r="MZK1" s="520"/>
      <c r="MZL1" s="520"/>
      <c r="MZM1" s="520"/>
      <c r="MZN1" s="520"/>
      <c r="MZO1" s="520"/>
      <c r="MZP1" s="520"/>
      <c r="MZQ1" s="520"/>
      <c r="MZR1" s="520"/>
      <c r="MZS1" s="520"/>
      <c r="MZT1" s="520"/>
      <c r="MZU1" s="520"/>
      <c r="MZV1" s="520"/>
      <c r="MZW1" s="520"/>
      <c r="MZX1" s="520"/>
      <c r="MZY1" s="520"/>
      <c r="MZZ1" s="520"/>
      <c r="NAA1" s="520"/>
      <c r="NAB1" s="520"/>
      <c r="NAC1" s="520"/>
      <c r="NAD1" s="520"/>
      <c r="NAE1" s="520"/>
      <c r="NAF1" s="520"/>
      <c r="NAG1" s="520"/>
      <c r="NAH1" s="520"/>
      <c r="NAI1" s="520"/>
      <c r="NAJ1" s="520"/>
      <c r="NAK1" s="520"/>
      <c r="NAL1" s="520"/>
      <c r="NAM1" s="520"/>
      <c r="NAN1" s="520"/>
      <c r="NAO1" s="520"/>
      <c r="NAP1" s="520"/>
      <c r="NAQ1" s="520"/>
      <c r="NAR1" s="520"/>
      <c r="NAS1" s="520"/>
      <c r="NAT1" s="520"/>
      <c r="NAU1" s="520"/>
      <c r="NAV1" s="520"/>
      <c r="NAW1" s="520"/>
      <c r="NAX1" s="520"/>
      <c r="NAY1" s="520"/>
      <c r="NAZ1" s="520"/>
      <c r="NBA1" s="520"/>
      <c r="NBB1" s="520"/>
      <c r="NBC1" s="520"/>
      <c r="NBD1" s="520"/>
      <c r="NBE1" s="520"/>
      <c r="NBF1" s="520"/>
      <c r="NBG1" s="520"/>
      <c r="NBH1" s="520"/>
      <c r="NBI1" s="520"/>
      <c r="NBJ1" s="520"/>
      <c r="NBK1" s="520"/>
      <c r="NBL1" s="520"/>
      <c r="NBM1" s="520"/>
      <c r="NBN1" s="520"/>
      <c r="NBO1" s="520"/>
      <c r="NBP1" s="520"/>
      <c r="NBQ1" s="520"/>
      <c r="NBR1" s="520"/>
      <c r="NBS1" s="520"/>
      <c r="NBT1" s="520"/>
      <c r="NBU1" s="520"/>
      <c r="NBV1" s="520"/>
      <c r="NBW1" s="520"/>
      <c r="NBX1" s="520"/>
      <c r="NBY1" s="520"/>
      <c r="NBZ1" s="520"/>
      <c r="NCA1" s="520"/>
      <c r="NCB1" s="520"/>
      <c r="NCC1" s="520"/>
      <c r="NCD1" s="520"/>
      <c r="NCE1" s="520"/>
      <c r="NCF1" s="520"/>
      <c r="NCG1" s="520"/>
      <c r="NCH1" s="520"/>
      <c r="NCI1" s="520"/>
      <c r="NCJ1" s="520"/>
      <c r="NCK1" s="520"/>
      <c r="NCL1" s="520"/>
      <c r="NCM1" s="520"/>
      <c r="NCN1" s="520"/>
      <c r="NCO1" s="520"/>
      <c r="NCP1" s="520"/>
      <c r="NCQ1" s="520"/>
      <c r="NCR1" s="520"/>
      <c r="NCS1" s="520"/>
      <c r="NCT1" s="520"/>
      <c r="NCU1" s="520"/>
      <c r="NCV1" s="520"/>
      <c r="NCW1" s="520"/>
      <c r="NCX1" s="520"/>
      <c r="NCY1" s="520"/>
      <c r="NCZ1" s="520"/>
      <c r="NDA1" s="520"/>
      <c r="NDB1" s="520"/>
      <c r="NDC1" s="520"/>
      <c r="NDD1" s="520"/>
      <c r="NDE1" s="520"/>
      <c r="NDF1" s="520"/>
      <c r="NDG1" s="520"/>
      <c r="NDH1" s="520"/>
      <c r="NDI1" s="520"/>
      <c r="NDJ1" s="520"/>
      <c r="NDK1" s="520"/>
      <c r="NDL1" s="520"/>
      <c r="NDM1" s="520"/>
      <c r="NDN1" s="520"/>
      <c r="NDO1" s="520"/>
      <c r="NDP1" s="520"/>
      <c r="NDQ1" s="520"/>
      <c r="NDR1" s="520"/>
      <c r="NDS1" s="520"/>
      <c r="NDT1" s="520"/>
      <c r="NDU1" s="520"/>
      <c r="NDV1" s="520"/>
      <c r="NDW1" s="520"/>
      <c r="NDX1" s="520"/>
      <c r="NDY1" s="520"/>
      <c r="NDZ1" s="520"/>
      <c r="NEA1" s="520"/>
      <c r="NEB1" s="520"/>
      <c r="NEC1" s="520"/>
      <c r="NED1" s="520"/>
      <c r="NEE1" s="520"/>
      <c r="NEF1" s="520"/>
      <c r="NEG1" s="520"/>
      <c r="NEH1" s="520"/>
      <c r="NEI1" s="520"/>
      <c r="NEJ1" s="520"/>
      <c r="NEK1" s="520"/>
      <c r="NEL1" s="520"/>
      <c r="NEM1" s="520"/>
      <c r="NEN1" s="520"/>
      <c r="NEO1" s="520"/>
      <c r="NEP1" s="520"/>
      <c r="NEQ1" s="520"/>
      <c r="NER1" s="520"/>
      <c r="NES1" s="520"/>
      <c r="NET1" s="520"/>
      <c r="NEU1" s="520"/>
      <c r="NEV1" s="520"/>
      <c r="NEW1" s="520"/>
      <c r="NEX1" s="520"/>
      <c r="NEY1" s="520"/>
      <c r="NEZ1" s="520"/>
      <c r="NFA1" s="520"/>
      <c r="NFB1" s="520"/>
      <c r="NFC1" s="520"/>
      <c r="NFD1" s="520"/>
      <c r="NFE1" s="520"/>
      <c r="NFF1" s="520"/>
      <c r="NFG1" s="520"/>
      <c r="NFH1" s="520"/>
      <c r="NFI1" s="520"/>
      <c r="NFJ1" s="520"/>
      <c r="NFK1" s="520"/>
      <c r="NFL1" s="520"/>
      <c r="NFM1" s="520"/>
      <c r="NFN1" s="520"/>
      <c r="NFO1" s="520"/>
      <c r="NFP1" s="520"/>
      <c r="NFQ1" s="520"/>
      <c r="NFR1" s="520"/>
      <c r="NFS1" s="520"/>
      <c r="NFT1" s="520"/>
      <c r="NFU1" s="520"/>
      <c r="NFV1" s="520"/>
      <c r="NFW1" s="520"/>
      <c r="NFX1" s="520"/>
      <c r="NFY1" s="520"/>
      <c r="NFZ1" s="520"/>
      <c r="NGA1" s="520"/>
      <c r="NGB1" s="520"/>
      <c r="NGC1" s="520"/>
      <c r="NGD1" s="520"/>
      <c r="NGE1" s="520"/>
      <c r="NGF1" s="520"/>
      <c r="NGG1" s="520"/>
      <c r="NGH1" s="520"/>
      <c r="NGI1" s="520"/>
      <c r="NGJ1" s="520"/>
      <c r="NGK1" s="520"/>
      <c r="NGL1" s="520"/>
      <c r="NGM1" s="520"/>
      <c r="NGN1" s="520"/>
      <c r="NGO1" s="520"/>
      <c r="NGP1" s="520"/>
      <c r="NGQ1" s="520"/>
      <c r="NGR1" s="520"/>
      <c r="NGS1" s="520"/>
      <c r="NGT1" s="520"/>
      <c r="NGU1" s="520"/>
      <c r="NGV1" s="520"/>
      <c r="NGW1" s="520"/>
      <c r="NGX1" s="520"/>
      <c r="NGY1" s="520"/>
      <c r="NGZ1" s="520"/>
      <c r="NHA1" s="520"/>
      <c r="NHB1" s="520"/>
      <c r="NHC1" s="520"/>
      <c r="NHD1" s="520"/>
      <c r="NHE1" s="520"/>
      <c r="NHF1" s="520"/>
      <c r="NHG1" s="520"/>
      <c r="NHH1" s="520"/>
      <c r="NHI1" s="520"/>
      <c r="NHJ1" s="520"/>
      <c r="NHK1" s="520"/>
      <c r="NHL1" s="520"/>
      <c r="NHM1" s="520"/>
      <c r="NHN1" s="520"/>
      <c r="NHO1" s="520"/>
      <c r="NHP1" s="520"/>
      <c r="NHQ1" s="520"/>
      <c r="NHR1" s="520"/>
      <c r="NHS1" s="520"/>
      <c r="NHT1" s="520"/>
      <c r="NHU1" s="520"/>
      <c r="NHV1" s="520"/>
      <c r="NHW1" s="520"/>
      <c r="NHX1" s="520"/>
      <c r="NHY1" s="520"/>
      <c r="NHZ1" s="520"/>
      <c r="NIA1" s="520"/>
      <c r="NIB1" s="520"/>
      <c r="NIC1" s="520"/>
      <c r="NID1" s="520"/>
      <c r="NIE1" s="520"/>
      <c r="NIF1" s="520"/>
      <c r="NIG1" s="520"/>
      <c r="NIH1" s="520"/>
      <c r="NII1" s="520"/>
      <c r="NIJ1" s="520"/>
      <c r="NIK1" s="520"/>
      <c r="NIL1" s="520"/>
      <c r="NIM1" s="520"/>
      <c r="NIN1" s="520"/>
      <c r="NIO1" s="520"/>
      <c r="NIP1" s="520"/>
      <c r="NIQ1" s="520"/>
      <c r="NIR1" s="520"/>
      <c r="NIS1" s="520"/>
      <c r="NIT1" s="520"/>
      <c r="NIU1" s="520"/>
      <c r="NIV1" s="520"/>
      <c r="NIW1" s="520"/>
      <c r="NIX1" s="520"/>
      <c r="NIY1" s="520"/>
      <c r="NIZ1" s="520"/>
      <c r="NJA1" s="520"/>
      <c r="NJB1" s="520"/>
      <c r="NJC1" s="520"/>
      <c r="NJD1" s="520"/>
      <c r="NJE1" s="520"/>
      <c r="NJF1" s="520"/>
      <c r="NJG1" s="520"/>
      <c r="NJH1" s="520"/>
      <c r="NJI1" s="520"/>
      <c r="NJJ1" s="520"/>
      <c r="NJK1" s="520"/>
      <c r="NJL1" s="520"/>
      <c r="NJM1" s="520"/>
      <c r="NJN1" s="520"/>
      <c r="NJO1" s="520"/>
      <c r="NJP1" s="520"/>
      <c r="NJQ1" s="520"/>
      <c r="NJR1" s="520"/>
      <c r="NJS1" s="520"/>
      <c r="NJT1" s="520"/>
      <c r="NJU1" s="520"/>
      <c r="NJV1" s="520"/>
      <c r="NJW1" s="520"/>
      <c r="NJX1" s="520"/>
      <c r="NJY1" s="520"/>
      <c r="NJZ1" s="520"/>
      <c r="NKA1" s="520"/>
      <c r="NKB1" s="520"/>
      <c r="NKC1" s="520"/>
      <c r="NKD1" s="520"/>
      <c r="NKE1" s="520"/>
      <c r="NKF1" s="520"/>
      <c r="NKG1" s="520"/>
      <c r="NKH1" s="520"/>
      <c r="NKI1" s="520"/>
      <c r="NKJ1" s="520"/>
      <c r="NKK1" s="520"/>
      <c r="NKL1" s="520"/>
      <c r="NKM1" s="520"/>
      <c r="NKN1" s="520"/>
      <c r="NKO1" s="520"/>
      <c r="NKP1" s="520"/>
      <c r="NKQ1" s="520"/>
      <c r="NKR1" s="520"/>
      <c r="NKS1" s="520"/>
      <c r="NKT1" s="520"/>
      <c r="NKU1" s="520"/>
      <c r="NKV1" s="520"/>
      <c r="NKW1" s="520"/>
      <c r="NKX1" s="520"/>
      <c r="NKY1" s="520"/>
      <c r="NKZ1" s="520"/>
      <c r="NLA1" s="520"/>
      <c r="NLB1" s="520"/>
      <c r="NLC1" s="520"/>
      <c r="NLD1" s="520"/>
      <c r="NLE1" s="520"/>
      <c r="NLF1" s="520"/>
      <c r="NLG1" s="520"/>
      <c r="NLH1" s="520"/>
      <c r="NLI1" s="520"/>
      <c r="NLJ1" s="520"/>
      <c r="NLK1" s="520"/>
      <c r="NLL1" s="520"/>
      <c r="NLM1" s="520"/>
      <c r="NLN1" s="520"/>
      <c r="NLO1" s="520"/>
      <c r="NLP1" s="520"/>
      <c r="NLQ1" s="520"/>
      <c r="NLR1" s="520"/>
      <c r="NLS1" s="520"/>
      <c r="NLT1" s="520"/>
      <c r="NLU1" s="520"/>
      <c r="NLV1" s="520"/>
      <c r="NLW1" s="520"/>
      <c r="NLX1" s="520"/>
      <c r="NLY1" s="520"/>
      <c r="NLZ1" s="520"/>
      <c r="NMA1" s="520"/>
      <c r="NMB1" s="520"/>
      <c r="NMC1" s="520"/>
      <c r="NMD1" s="520"/>
      <c r="NME1" s="520"/>
      <c r="NMF1" s="520"/>
      <c r="NMG1" s="520"/>
      <c r="NMH1" s="520"/>
      <c r="NMI1" s="520"/>
      <c r="NMJ1" s="520"/>
      <c r="NMK1" s="520"/>
      <c r="NML1" s="520"/>
      <c r="NMM1" s="520"/>
      <c r="NMN1" s="520"/>
      <c r="NMO1" s="520"/>
      <c r="NMP1" s="520"/>
      <c r="NMQ1" s="520"/>
      <c r="NMR1" s="520"/>
      <c r="NMS1" s="520"/>
      <c r="NMT1" s="520"/>
      <c r="NMU1" s="520"/>
      <c r="NMV1" s="520"/>
      <c r="NMW1" s="520"/>
      <c r="NMX1" s="520"/>
      <c r="NMY1" s="520"/>
      <c r="NMZ1" s="520"/>
      <c r="NNA1" s="520"/>
      <c r="NNB1" s="520"/>
      <c r="NNC1" s="520"/>
      <c r="NND1" s="520"/>
      <c r="NNE1" s="520"/>
      <c r="NNF1" s="520"/>
      <c r="NNG1" s="520"/>
      <c r="NNH1" s="520"/>
      <c r="NNI1" s="520"/>
      <c r="NNJ1" s="520"/>
      <c r="NNK1" s="520"/>
      <c r="NNL1" s="520"/>
      <c r="NNM1" s="520"/>
      <c r="NNN1" s="520"/>
      <c r="NNO1" s="520"/>
      <c r="NNP1" s="520"/>
      <c r="NNQ1" s="520"/>
      <c r="NNR1" s="520"/>
      <c r="NNS1" s="520"/>
      <c r="NNT1" s="520"/>
      <c r="NNU1" s="520"/>
      <c r="NNV1" s="520"/>
      <c r="NNW1" s="520"/>
      <c r="NNX1" s="520"/>
      <c r="NNY1" s="520"/>
      <c r="NNZ1" s="520"/>
      <c r="NOA1" s="520"/>
      <c r="NOB1" s="520"/>
      <c r="NOC1" s="520"/>
      <c r="NOD1" s="520"/>
      <c r="NOE1" s="520"/>
      <c r="NOF1" s="520"/>
      <c r="NOG1" s="520"/>
      <c r="NOH1" s="520"/>
      <c r="NOI1" s="520"/>
      <c r="NOJ1" s="520"/>
      <c r="NOK1" s="520"/>
      <c r="NOL1" s="520"/>
      <c r="NOM1" s="520"/>
      <c r="NON1" s="520"/>
      <c r="NOO1" s="520"/>
      <c r="NOP1" s="520"/>
      <c r="NOQ1" s="520"/>
      <c r="NOR1" s="520"/>
      <c r="NOS1" s="520"/>
      <c r="NOT1" s="520"/>
      <c r="NOU1" s="520"/>
      <c r="NOV1" s="520"/>
      <c r="NOW1" s="520"/>
      <c r="NOX1" s="520"/>
      <c r="NOY1" s="520"/>
      <c r="NOZ1" s="520"/>
      <c r="NPA1" s="520"/>
      <c r="NPB1" s="520"/>
      <c r="NPC1" s="520"/>
      <c r="NPD1" s="520"/>
      <c r="NPE1" s="520"/>
      <c r="NPF1" s="520"/>
      <c r="NPG1" s="520"/>
      <c r="NPH1" s="520"/>
      <c r="NPI1" s="520"/>
      <c r="NPJ1" s="520"/>
      <c r="NPK1" s="520"/>
      <c r="NPL1" s="520"/>
      <c r="NPM1" s="520"/>
      <c r="NPN1" s="520"/>
      <c r="NPO1" s="520"/>
      <c r="NPP1" s="520"/>
      <c r="NPQ1" s="520"/>
      <c r="NPR1" s="520"/>
      <c r="NPS1" s="520"/>
      <c r="NPT1" s="520"/>
      <c r="NPU1" s="520"/>
      <c r="NPV1" s="520"/>
      <c r="NPW1" s="520"/>
      <c r="NPX1" s="520"/>
      <c r="NPY1" s="520"/>
      <c r="NPZ1" s="520"/>
      <c r="NQA1" s="520"/>
      <c r="NQB1" s="520"/>
      <c r="NQC1" s="520"/>
      <c r="NQD1" s="520"/>
      <c r="NQE1" s="520"/>
      <c r="NQF1" s="520"/>
      <c r="NQG1" s="520"/>
      <c r="NQH1" s="520"/>
      <c r="NQI1" s="520"/>
      <c r="NQJ1" s="520"/>
      <c r="NQK1" s="520"/>
      <c r="NQL1" s="520"/>
      <c r="NQM1" s="520"/>
      <c r="NQN1" s="520"/>
      <c r="NQO1" s="520"/>
      <c r="NQP1" s="520"/>
      <c r="NQQ1" s="520"/>
      <c r="NQR1" s="520"/>
      <c r="NQS1" s="520"/>
      <c r="NQT1" s="520"/>
      <c r="NQU1" s="520"/>
      <c r="NQV1" s="520"/>
      <c r="NQW1" s="520"/>
      <c r="NQX1" s="520"/>
      <c r="NQY1" s="520"/>
      <c r="NQZ1" s="520"/>
      <c r="NRA1" s="520"/>
      <c r="NRB1" s="520"/>
      <c r="NRC1" s="520"/>
      <c r="NRD1" s="520"/>
      <c r="NRE1" s="520"/>
      <c r="NRF1" s="520"/>
      <c r="NRG1" s="520"/>
      <c r="NRH1" s="520"/>
      <c r="NRI1" s="520"/>
      <c r="NRJ1" s="520"/>
      <c r="NRK1" s="520"/>
      <c r="NRL1" s="520"/>
      <c r="NRM1" s="520"/>
      <c r="NRN1" s="520"/>
      <c r="NRO1" s="520"/>
      <c r="NRP1" s="520"/>
      <c r="NRQ1" s="520"/>
      <c r="NRR1" s="520"/>
      <c r="NRS1" s="520"/>
      <c r="NRT1" s="520"/>
      <c r="NRU1" s="520"/>
      <c r="NRV1" s="520"/>
      <c r="NRW1" s="520"/>
      <c r="NRX1" s="520"/>
      <c r="NRY1" s="520"/>
      <c r="NRZ1" s="520"/>
      <c r="NSA1" s="520"/>
      <c r="NSB1" s="520"/>
      <c r="NSC1" s="520"/>
      <c r="NSD1" s="520"/>
      <c r="NSE1" s="520"/>
      <c r="NSF1" s="520"/>
      <c r="NSG1" s="520"/>
      <c r="NSH1" s="520"/>
      <c r="NSI1" s="520"/>
      <c r="NSJ1" s="520"/>
      <c r="NSK1" s="520"/>
      <c r="NSL1" s="520"/>
      <c r="NSM1" s="520"/>
      <c r="NSN1" s="520"/>
      <c r="NSO1" s="520"/>
      <c r="NSP1" s="520"/>
      <c r="NSQ1" s="520"/>
      <c r="NSR1" s="520"/>
      <c r="NSS1" s="520"/>
      <c r="NST1" s="520"/>
      <c r="NSU1" s="520"/>
      <c r="NSV1" s="520"/>
      <c r="NSW1" s="520"/>
      <c r="NSX1" s="520"/>
      <c r="NSY1" s="520"/>
      <c r="NSZ1" s="520"/>
      <c r="NTA1" s="520"/>
      <c r="NTB1" s="520"/>
      <c r="NTC1" s="520"/>
      <c r="NTD1" s="520"/>
      <c r="NTE1" s="520"/>
      <c r="NTF1" s="520"/>
      <c r="NTG1" s="520"/>
      <c r="NTH1" s="520"/>
      <c r="NTI1" s="520"/>
      <c r="NTJ1" s="520"/>
      <c r="NTK1" s="520"/>
      <c r="NTL1" s="520"/>
      <c r="NTM1" s="520"/>
      <c r="NTN1" s="520"/>
      <c r="NTO1" s="520"/>
      <c r="NTP1" s="520"/>
      <c r="NTQ1" s="520"/>
      <c r="NTR1" s="520"/>
      <c r="NTS1" s="520"/>
      <c r="NTT1" s="520"/>
      <c r="NTU1" s="520"/>
      <c r="NTV1" s="520"/>
      <c r="NTW1" s="520"/>
      <c r="NTX1" s="520"/>
      <c r="NTY1" s="520"/>
      <c r="NTZ1" s="520"/>
      <c r="NUA1" s="520"/>
      <c r="NUB1" s="520"/>
      <c r="NUC1" s="520"/>
      <c r="NUD1" s="520"/>
      <c r="NUE1" s="520"/>
      <c r="NUF1" s="520"/>
      <c r="NUG1" s="520"/>
      <c r="NUH1" s="520"/>
      <c r="NUI1" s="520"/>
      <c r="NUJ1" s="520"/>
      <c r="NUK1" s="520"/>
      <c r="NUL1" s="520"/>
      <c r="NUM1" s="520"/>
      <c r="NUN1" s="520"/>
      <c r="NUO1" s="520"/>
      <c r="NUP1" s="520"/>
      <c r="NUQ1" s="520"/>
      <c r="NUR1" s="520"/>
      <c r="NUS1" s="520"/>
      <c r="NUT1" s="520"/>
      <c r="NUU1" s="520"/>
      <c r="NUV1" s="520"/>
      <c r="NUW1" s="520"/>
      <c r="NUX1" s="520"/>
      <c r="NUY1" s="520"/>
      <c r="NUZ1" s="520"/>
      <c r="NVA1" s="520"/>
      <c r="NVB1" s="520"/>
      <c r="NVC1" s="520"/>
      <c r="NVD1" s="520"/>
      <c r="NVE1" s="520"/>
      <c r="NVF1" s="520"/>
      <c r="NVG1" s="520"/>
      <c r="NVH1" s="520"/>
      <c r="NVI1" s="520"/>
      <c r="NVJ1" s="520"/>
      <c r="NVK1" s="520"/>
      <c r="NVL1" s="520"/>
      <c r="NVM1" s="520"/>
      <c r="NVN1" s="520"/>
      <c r="NVO1" s="520"/>
      <c r="NVP1" s="520"/>
      <c r="NVQ1" s="520"/>
      <c r="NVR1" s="520"/>
      <c r="NVS1" s="520"/>
      <c r="NVT1" s="520"/>
      <c r="NVU1" s="520"/>
      <c r="NVV1" s="520"/>
      <c r="NVW1" s="520"/>
      <c r="NVX1" s="520"/>
      <c r="NVY1" s="520"/>
      <c r="NVZ1" s="520"/>
      <c r="NWA1" s="520"/>
      <c r="NWB1" s="520"/>
      <c r="NWC1" s="520"/>
      <c r="NWD1" s="520"/>
      <c r="NWE1" s="520"/>
      <c r="NWF1" s="520"/>
      <c r="NWG1" s="520"/>
      <c r="NWH1" s="520"/>
      <c r="NWI1" s="520"/>
      <c r="NWJ1" s="520"/>
      <c r="NWK1" s="520"/>
      <c r="NWL1" s="520"/>
      <c r="NWM1" s="520"/>
      <c r="NWN1" s="520"/>
      <c r="NWO1" s="520"/>
      <c r="NWP1" s="520"/>
      <c r="NWQ1" s="520"/>
      <c r="NWR1" s="520"/>
      <c r="NWS1" s="520"/>
      <c r="NWT1" s="520"/>
      <c r="NWU1" s="520"/>
      <c r="NWV1" s="520"/>
      <c r="NWW1" s="520"/>
      <c r="NWX1" s="520"/>
      <c r="NWY1" s="520"/>
      <c r="NWZ1" s="520"/>
      <c r="NXA1" s="520"/>
      <c r="NXB1" s="520"/>
      <c r="NXC1" s="520"/>
      <c r="NXD1" s="520"/>
      <c r="NXE1" s="520"/>
      <c r="NXF1" s="520"/>
      <c r="NXG1" s="520"/>
      <c r="NXH1" s="520"/>
      <c r="NXI1" s="520"/>
      <c r="NXJ1" s="520"/>
      <c r="NXK1" s="520"/>
      <c r="NXL1" s="520"/>
      <c r="NXM1" s="520"/>
      <c r="NXN1" s="520"/>
      <c r="NXO1" s="520"/>
      <c r="NXP1" s="520"/>
      <c r="NXQ1" s="520"/>
      <c r="NXR1" s="520"/>
      <c r="NXS1" s="520"/>
      <c r="NXT1" s="520"/>
      <c r="NXU1" s="520"/>
      <c r="NXV1" s="520"/>
      <c r="NXW1" s="520"/>
      <c r="NXX1" s="520"/>
      <c r="NXY1" s="520"/>
      <c r="NXZ1" s="520"/>
      <c r="NYA1" s="520"/>
      <c r="NYB1" s="520"/>
      <c r="NYC1" s="520"/>
      <c r="NYD1" s="520"/>
      <c r="NYE1" s="520"/>
      <c r="NYF1" s="520"/>
      <c r="NYG1" s="520"/>
      <c r="NYH1" s="520"/>
      <c r="NYI1" s="520"/>
      <c r="NYJ1" s="520"/>
      <c r="NYK1" s="520"/>
      <c r="NYL1" s="520"/>
      <c r="NYM1" s="520"/>
      <c r="NYN1" s="520"/>
      <c r="NYO1" s="520"/>
      <c r="NYP1" s="520"/>
      <c r="NYQ1" s="520"/>
      <c r="NYR1" s="520"/>
      <c r="NYS1" s="520"/>
      <c r="NYT1" s="520"/>
      <c r="NYU1" s="520"/>
      <c r="NYV1" s="520"/>
      <c r="NYW1" s="520"/>
      <c r="NYX1" s="520"/>
      <c r="NYY1" s="520"/>
      <c r="NYZ1" s="520"/>
      <c r="NZA1" s="520"/>
      <c r="NZB1" s="520"/>
      <c r="NZC1" s="520"/>
      <c r="NZD1" s="520"/>
      <c r="NZE1" s="520"/>
      <c r="NZF1" s="520"/>
      <c r="NZG1" s="520"/>
      <c r="NZH1" s="520"/>
      <c r="NZI1" s="520"/>
      <c r="NZJ1" s="520"/>
      <c r="NZK1" s="520"/>
      <c r="NZL1" s="520"/>
      <c r="NZM1" s="520"/>
      <c r="NZN1" s="520"/>
      <c r="NZO1" s="520"/>
      <c r="NZP1" s="520"/>
      <c r="NZQ1" s="520"/>
      <c r="NZR1" s="520"/>
      <c r="NZS1" s="520"/>
      <c r="NZT1" s="520"/>
      <c r="NZU1" s="520"/>
      <c r="NZV1" s="520"/>
      <c r="NZW1" s="520"/>
      <c r="NZX1" s="520"/>
      <c r="NZY1" s="520"/>
      <c r="NZZ1" s="520"/>
      <c r="OAA1" s="520"/>
      <c r="OAB1" s="520"/>
      <c r="OAC1" s="520"/>
      <c r="OAD1" s="520"/>
      <c r="OAE1" s="520"/>
      <c r="OAF1" s="520"/>
      <c r="OAG1" s="520"/>
      <c r="OAH1" s="520"/>
      <c r="OAI1" s="520"/>
      <c r="OAJ1" s="520"/>
      <c r="OAK1" s="520"/>
      <c r="OAL1" s="520"/>
      <c r="OAM1" s="520"/>
      <c r="OAN1" s="520"/>
      <c r="OAO1" s="520"/>
      <c r="OAP1" s="520"/>
      <c r="OAQ1" s="520"/>
      <c r="OAR1" s="520"/>
      <c r="OAS1" s="520"/>
      <c r="OAT1" s="520"/>
      <c r="OAU1" s="520"/>
      <c r="OAV1" s="520"/>
      <c r="OAW1" s="520"/>
      <c r="OAX1" s="520"/>
      <c r="OAY1" s="520"/>
      <c r="OAZ1" s="520"/>
      <c r="OBA1" s="520"/>
      <c r="OBB1" s="520"/>
      <c r="OBC1" s="520"/>
      <c r="OBD1" s="520"/>
      <c r="OBE1" s="520"/>
      <c r="OBF1" s="520"/>
      <c r="OBG1" s="520"/>
      <c r="OBH1" s="520"/>
      <c r="OBI1" s="520"/>
      <c r="OBJ1" s="520"/>
      <c r="OBK1" s="520"/>
      <c r="OBL1" s="520"/>
      <c r="OBM1" s="520"/>
      <c r="OBN1" s="520"/>
      <c r="OBO1" s="520"/>
      <c r="OBP1" s="520"/>
      <c r="OBQ1" s="520"/>
      <c r="OBR1" s="520"/>
      <c r="OBS1" s="520"/>
      <c r="OBT1" s="520"/>
      <c r="OBU1" s="520"/>
      <c r="OBV1" s="520"/>
      <c r="OBW1" s="520"/>
      <c r="OBX1" s="520"/>
      <c r="OBY1" s="520"/>
      <c r="OBZ1" s="520"/>
      <c r="OCA1" s="520"/>
      <c r="OCB1" s="520"/>
      <c r="OCC1" s="520"/>
      <c r="OCD1" s="520"/>
      <c r="OCE1" s="520"/>
      <c r="OCF1" s="520"/>
      <c r="OCG1" s="520"/>
      <c r="OCH1" s="520"/>
      <c r="OCI1" s="520"/>
      <c r="OCJ1" s="520"/>
      <c r="OCK1" s="520"/>
      <c r="OCL1" s="520"/>
      <c r="OCM1" s="520"/>
      <c r="OCN1" s="520"/>
      <c r="OCO1" s="520"/>
      <c r="OCP1" s="520"/>
      <c r="OCQ1" s="520"/>
      <c r="OCR1" s="520"/>
      <c r="OCS1" s="520"/>
      <c r="OCT1" s="520"/>
      <c r="OCU1" s="520"/>
      <c r="OCV1" s="520"/>
      <c r="OCW1" s="520"/>
      <c r="OCX1" s="520"/>
      <c r="OCY1" s="520"/>
      <c r="OCZ1" s="520"/>
      <c r="ODA1" s="520"/>
      <c r="ODB1" s="520"/>
      <c r="ODC1" s="520"/>
      <c r="ODD1" s="520"/>
      <c r="ODE1" s="520"/>
      <c r="ODF1" s="520"/>
      <c r="ODG1" s="520"/>
      <c r="ODH1" s="520"/>
      <c r="ODI1" s="520"/>
      <c r="ODJ1" s="520"/>
      <c r="ODK1" s="520"/>
      <c r="ODL1" s="520"/>
      <c r="ODM1" s="520"/>
      <c r="ODN1" s="520"/>
      <c r="ODO1" s="520"/>
      <c r="ODP1" s="520"/>
      <c r="ODQ1" s="520"/>
      <c r="ODR1" s="520"/>
      <c r="ODS1" s="520"/>
      <c r="ODT1" s="520"/>
      <c r="ODU1" s="520"/>
      <c r="ODV1" s="520"/>
      <c r="ODW1" s="520"/>
      <c r="ODX1" s="520"/>
      <c r="ODY1" s="520"/>
      <c r="ODZ1" s="520"/>
      <c r="OEA1" s="520"/>
      <c r="OEB1" s="520"/>
      <c r="OEC1" s="520"/>
      <c r="OED1" s="520"/>
      <c r="OEE1" s="520"/>
      <c r="OEF1" s="520"/>
      <c r="OEG1" s="520"/>
      <c r="OEH1" s="520"/>
      <c r="OEI1" s="520"/>
      <c r="OEJ1" s="520"/>
      <c r="OEK1" s="520"/>
      <c r="OEL1" s="520"/>
      <c r="OEM1" s="520"/>
      <c r="OEN1" s="520"/>
      <c r="OEO1" s="520"/>
      <c r="OEP1" s="520"/>
      <c r="OEQ1" s="520"/>
      <c r="OER1" s="520"/>
      <c r="OES1" s="520"/>
      <c r="OET1" s="520"/>
      <c r="OEU1" s="520"/>
      <c r="OEV1" s="520"/>
      <c r="OEW1" s="520"/>
      <c r="OEX1" s="520"/>
      <c r="OEY1" s="520"/>
      <c r="OEZ1" s="520"/>
      <c r="OFA1" s="520"/>
      <c r="OFB1" s="520"/>
      <c r="OFC1" s="520"/>
      <c r="OFD1" s="520"/>
      <c r="OFE1" s="520"/>
      <c r="OFF1" s="520"/>
      <c r="OFG1" s="520"/>
      <c r="OFH1" s="520"/>
      <c r="OFI1" s="520"/>
      <c r="OFJ1" s="520"/>
      <c r="OFK1" s="520"/>
      <c r="OFL1" s="520"/>
      <c r="OFM1" s="520"/>
      <c r="OFN1" s="520"/>
      <c r="OFO1" s="520"/>
      <c r="OFP1" s="520"/>
      <c r="OFQ1" s="520"/>
      <c r="OFR1" s="520"/>
      <c r="OFS1" s="520"/>
      <c r="OFT1" s="520"/>
      <c r="OFU1" s="520"/>
      <c r="OFV1" s="520"/>
      <c r="OFW1" s="520"/>
      <c r="OFX1" s="520"/>
      <c r="OFY1" s="520"/>
      <c r="OFZ1" s="520"/>
      <c r="OGA1" s="520"/>
      <c r="OGB1" s="520"/>
      <c r="OGC1" s="520"/>
      <c r="OGD1" s="520"/>
      <c r="OGE1" s="520"/>
      <c r="OGF1" s="520"/>
      <c r="OGG1" s="520"/>
      <c r="OGH1" s="520"/>
      <c r="OGI1" s="520"/>
      <c r="OGJ1" s="520"/>
      <c r="OGK1" s="520"/>
      <c r="OGL1" s="520"/>
      <c r="OGM1" s="520"/>
      <c r="OGN1" s="520"/>
      <c r="OGO1" s="520"/>
      <c r="OGP1" s="520"/>
      <c r="OGQ1" s="520"/>
      <c r="OGR1" s="520"/>
      <c r="OGS1" s="520"/>
      <c r="OGT1" s="520"/>
      <c r="OGU1" s="520"/>
      <c r="OGV1" s="520"/>
      <c r="OGW1" s="520"/>
      <c r="OGX1" s="520"/>
      <c r="OGY1" s="520"/>
      <c r="OGZ1" s="520"/>
      <c r="OHA1" s="520"/>
      <c r="OHB1" s="520"/>
      <c r="OHC1" s="520"/>
      <c r="OHD1" s="520"/>
      <c r="OHE1" s="520"/>
      <c r="OHF1" s="520"/>
      <c r="OHG1" s="520"/>
      <c r="OHH1" s="520"/>
      <c r="OHI1" s="520"/>
      <c r="OHJ1" s="520"/>
      <c r="OHK1" s="520"/>
      <c r="OHL1" s="520"/>
      <c r="OHM1" s="520"/>
      <c r="OHN1" s="520"/>
      <c r="OHO1" s="520"/>
      <c r="OHP1" s="520"/>
      <c r="OHQ1" s="520"/>
      <c r="OHR1" s="520"/>
      <c r="OHS1" s="520"/>
      <c r="OHT1" s="520"/>
      <c r="OHU1" s="520"/>
      <c r="OHV1" s="520"/>
      <c r="OHW1" s="520"/>
      <c r="OHX1" s="520"/>
      <c r="OHY1" s="520"/>
      <c r="OHZ1" s="520"/>
      <c r="OIA1" s="520"/>
      <c r="OIB1" s="520"/>
      <c r="OIC1" s="520"/>
      <c r="OID1" s="520"/>
      <c r="OIE1" s="520"/>
      <c r="OIF1" s="520"/>
      <c r="OIG1" s="520"/>
      <c r="OIH1" s="520"/>
      <c r="OII1" s="520"/>
      <c r="OIJ1" s="520"/>
      <c r="OIK1" s="520"/>
      <c r="OIL1" s="520"/>
      <c r="OIM1" s="520"/>
      <c r="OIN1" s="520"/>
      <c r="OIO1" s="520"/>
      <c r="OIP1" s="520"/>
      <c r="OIQ1" s="520"/>
      <c r="OIR1" s="520"/>
      <c r="OIS1" s="520"/>
      <c r="OIT1" s="520"/>
      <c r="OIU1" s="520"/>
      <c r="OIV1" s="520"/>
      <c r="OIW1" s="520"/>
      <c r="OIX1" s="520"/>
      <c r="OIY1" s="520"/>
      <c r="OIZ1" s="520"/>
      <c r="OJA1" s="520"/>
      <c r="OJB1" s="520"/>
      <c r="OJC1" s="520"/>
      <c r="OJD1" s="520"/>
      <c r="OJE1" s="520"/>
      <c r="OJF1" s="520"/>
      <c r="OJG1" s="520"/>
      <c r="OJH1" s="520"/>
      <c r="OJI1" s="520"/>
      <c r="OJJ1" s="520"/>
      <c r="OJK1" s="520"/>
      <c r="OJL1" s="520"/>
      <c r="OJM1" s="520"/>
      <c r="OJN1" s="520"/>
      <c r="OJO1" s="520"/>
      <c r="OJP1" s="520"/>
      <c r="OJQ1" s="520"/>
      <c r="OJR1" s="520"/>
      <c r="OJS1" s="520"/>
      <c r="OJT1" s="520"/>
      <c r="OJU1" s="520"/>
      <c r="OJV1" s="520"/>
      <c r="OJW1" s="520"/>
      <c r="OJX1" s="520"/>
      <c r="OJY1" s="520"/>
      <c r="OJZ1" s="520"/>
      <c r="OKA1" s="520"/>
      <c r="OKB1" s="520"/>
      <c r="OKC1" s="520"/>
      <c r="OKD1" s="520"/>
      <c r="OKE1" s="520"/>
      <c r="OKF1" s="520"/>
      <c r="OKG1" s="520"/>
      <c r="OKH1" s="520"/>
      <c r="OKI1" s="520"/>
      <c r="OKJ1" s="520"/>
      <c r="OKK1" s="520"/>
      <c r="OKL1" s="520"/>
      <c r="OKM1" s="520"/>
      <c r="OKN1" s="520"/>
      <c r="OKO1" s="520"/>
      <c r="OKP1" s="520"/>
      <c r="OKQ1" s="520"/>
      <c r="OKR1" s="520"/>
      <c r="OKS1" s="520"/>
      <c r="OKT1" s="520"/>
      <c r="OKU1" s="520"/>
      <c r="OKV1" s="520"/>
      <c r="OKW1" s="520"/>
      <c r="OKX1" s="520"/>
      <c r="OKY1" s="520"/>
      <c r="OKZ1" s="520"/>
      <c r="OLA1" s="520"/>
      <c r="OLB1" s="520"/>
      <c r="OLC1" s="520"/>
      <c r="OLD1" s="520"/>
      <c r="OLE1" s="520"/>
      <c r="OLF1" s="520"/>
      <c r="OLG1" s="520"/>
      <c r="OLH1" s="520"/>
      <c r="OLI1" s="520"/>
      <c r="OLJ1" s="520"/>
      <c r="OLK1" s="520"/>
      <c r="OLL1" s="520"/>
      <c r="OLM1" s="520"/>
      <c r="OLN1" s="520"/>
      <c r="OLO1" s="520"/>
      <c r="OLP1" s="520"/>
      <c r="OLQ1" s="520"/>
      <c r="OLR1" s="520"/>
      <c r="OLS1" s="520"/>
      <c r="OLT1" s="520"/>
      <c r="OLU1" s="520"/>
      <c r="OLV1" s="520"/>
      <c r="OLW1" s="520"/>
      <c r="OLX1" s="520"/>
      <c r="OLY1" s="520"/>
      <c r="OLZ1" s="520"/>
      <c r="OMA1" s="520"/>
      <c r="OMB1" s="520"/>
      <c r="OMC1" s="520"/>
      <c r="OMD1" s="520"/>
      <c r="OME1" s="520"/>
      <c r="OMF1" s="520"/>
      <c r="OMG1" s="520"/>
      <c r="OMH1" s="520"/>
      <c r="OMI1" s="520"/>
      <c r="OMJ1" s="520"/>
      <c r="OMK1" s="520"/>
      <c r="OML1" s="520"/>
      <c r="OMM1" s="520"/>
      <c r="OMN1" s="520"/>
      <c r="OMO1" s="520"/>
      <c r="OMP1" s="520"/>
      <c r="OMQ1" s="520"/>
      <c r="OMR1" s="520"/>
      <c r="OMS1" s="520"/>
      <c r="OMT1" s="520"/>
      <c r="OMU1" s="520"/>
      <c r="OMV1" s="520"/>
      <c r="OMW1" s="520"/>
      <c r="OMX1" s="520"/>
      <c r="OMY1" s="520"/>
      <c r="OMZ1" s="520"/>
      <c r="ONA1" s="520"/>
      <c r="ONB1" s="520"/>
      <c r="ONC1" s="520"/>
      <c r="OND1" s="520"/>
      <c r="ONE1" s="520"/>
      <c r="ONF1" s="520"/>
      <c r="ONG1" s="520"/>
      <c r="ONH1" s="520"/>
      <c r="ONI1" s="520"/>
      <c r="ONJ1" s="520"/>
      <c r="ONK1" s="520"/>
      <c r="ONL1" s="520"/>
      <c r="ONM1" s="520"/>
      <c r="ONN1" s="520"/>
      <c r="ONO1" s="520"/>
      <c r="ONP1" s="520"/>
      <c r="ONQ1" s="520"/>
      <c r="ONR1" s="520"/>
      <c r="ONS1" s="520"/>
      <c r="ONT1" s="520"/>
      <c r="ONU1" s="520"/>
      <c r="ONV1" s="520"/>
      <c r="ONW1" s="520"/>
      <c r="ONX1" s="520"/>
      <c r="ONY1" s="520"/>
      <c r="ONZ1" s="520"/>
      <c r="OOA1" s="520"/>
      <c r="OOB1" s="520"/>
      <c r="OOC1" s="520"/>
      <c r="OOD1" s="520"/>
      <c r="OOE1" s="520"/>
      <c r="OOF1" s="520"/>
      <c r="OOG1" s="520"/>
      <c r="OOH1" s="520"/>
      <c r="OOI1" s="520"/>
      <c r="OOJ1" s="520"/>
      <c r="OOK1" s="520"/>
      <c r="OOL1" s="520"/>
      <c r="OOM1" s="520"/>
      <c r="OON1" s="520"/>
      <c r="OOO1" s="520"/>
      <c r="OOP1" s="520"/>
      <c r="OOQ1" s="520"/>
      <c r="OOR1" s="520"/>
      <c r="OOS1" s="520"/>
      <c r="OOT1" s="520"/>
      <c r="OOU1" s="520"/>
      <c r="OOV1" s="520"/>
      <c r="OOW1" s="520"/>
      <c r="OOX1" s="520"/>
      <c r="OOY1" s="520"/>
      <c r="OOZ1" s="520"/>
      <c r="OPA1" s="520"/>
      <c r="OPB1" s="520"/>
      <c r="OPC1" s="520"/>
      <c r="OPD1" s="520"/>
      <c r="OPE1" s="520"/>
      <c r="OPF1" s="520"/>
      <c r="OPG1" s="520"/>
      <c r="OPH1" s="520"/>
      <c r="OPI1" s="520"/>
      <c r="OPJ1" s="520"/>
      <c r="OPK1" s="520"/>
      <c r="OPL1" s="520"/>
      <c r="OPM1" s="520"/>
      <c r="OPN1" s="520"/>
      <c r="OPO1" s="520"/>
      <c r="OPP1" s="520"/>
      <c r="OPQ1" s="520"/>
      <c r="OPR1" s="520"/>
      <c r="OPS1" s="520"/>
      <c r="OPT1" s="520"/>
      <c r="OPU1" s="520"/>
      <c r="OPV1" s="520"/>
      <c r="OPW1" s="520"/>
      <c r="OPX1" s="520"/>
      <c r="OPY1" s="520"/>
      <c r="OPZ1" s="520"/>
      <c r="OQA1" s="520"/>
      <c r="OQB1" s="520"/>
      <c r="OQC1" s="520"/>
      <c r="OQD1" s="520"/>
      <c r="OQE1" s="520"/>
      <c r="OQF1" s="520"/>
      <c r="OQG1" s="520"/>
      <c r="OQH1" s="520"/>
      <c r="OQI1" s="520"/>
      <c r="OQJ1" s="520"/>
      <c r="OQK1" s="520"/>
      <c r="OQL1" s="520"/>
      <c r="OQM1" s="520"/>
      <c r="OQN1" s="520"/>
      <c r="OQO1" s="520"/>
      <c r="OQP1" s="520"/>
      <c r="OQQ1" s="520"/>
      <c r="OQR1" s="520"/>
      <c r="OQS1" s="520"/>
      <c r="OQT1" s="520"/>
      <c r="OQU1" s="520"/>
      <c r="OQV1" s="520"/>
      <c r="OQW1" s="520"/>
      <c r="OQX1" s="520"/>
      <c r="OQY1" s="520"/>
      <c r="OQZ1" s="520"/>
      <c r="ORA1" s="520"/>
      <c r="ORB1" s="520"/>
      <c r="ORC1" s="520"/>
      <c r="ORD1" s="520"/>
      <c r="ORE1" s="520"/>
      <c r="ORF1" s="520"/>
      <c r="ORG1" s="520"/>
      <c r="ORH1" s="520"/>
      <c r="ORI1" s="520"/>
      <c r="ORJ1" s="520"/>
      <c r="ORK1" s="520"/>
      <c r="ORL1" s="520"/>
      <c r="ORM1" s="520"/>
      <c r="ORN1" s="520"/>
      <c r="ORO1" s="520"/>
      <c r="ORP1" s="520"/>
      <c r="ORQ1" s="520"/>
      <c r="ORR1" s="520"/>
      <c r="ORS1" s="520"/>
      <c r="ORT1" s="520"/>
      <c r="ORU1" s="520"/>
      <c r="ORV1" s="520"/>
      <c r="ORW1" s="520"/>
      <c r="ORX1" s="520"/>
      <c r="ORY1" s="520"/>
      <c r="ORZ1" s="520"/>
      <c r="OSA1" s="520"/>
      <c r="OSB1" s="520"/>
      <c r="OSC1" s="520"/>
      <c r="OSD1" s="520"/>
      <c r="OSE1" s="520"/>
      <c r="OSF1" s="520"/>
      <c r="OSG1" s="520"/>
      <c r="OSH1" s="520"/>
      <c r="OSI1" s="520"/>
      <c r="OSJ1" s="520"/>
      <c r="OSK1" s="520"/>
      <c r="OSL1" s="520"/>
      <c r="OSM1" s="520"/>
      <c r="OSN1" s="520"/>
      <c r="OSO1" s="520"/>
      <c r="OSP1" s="520"/>
      <c r="OSQ1" s="520"/>
      <c r="OSR1" s="520"/>
      <c r="OSS1" s="520"/>
      <c r="OST1" s="520"/>
      <c r="OSU1" s="520"/>
      <c r="OSV1" s="520"/>
      <c r="OSW1" s="520"/>
      <c r="OSX1" s="520"/>
      <c r="OSY1" s="520"/>
      <c r="OSZ1" s="520"/>
      <c r="OTA1" s="520"/>
      <c r="OTB1" s="520"/>
      <c r="OTC1" s="520"/>
      <c r="OTD1" s="520"/>
      <c r="OTE1" s="520"/>
      <c r="OTF1" s="520"/>
      <c r="OTG1" s="520"/>
      <c r="OTH1" s="520"/>
      <c r="OTI1" s="520"/>
      <c r="OTJ1" s="520"/>
      <c r="OTK1" s="520"/>
      <c r="OTL1" s="520"/>
      <c r="OTM1" s="520"/>
      <c r="OTN1" s="520"/>
      <c r="OTO1" s="520"/>
      <c r="OTP1" s="520"/>
      <c r="OTQ1" s="520"/>
      <c r="OTR1" s="520"/>
      <c r="OTS1" s="520"/>
      <c r="OTT1" s="520"/>
      <c r="OTU1" s="520"/>
      <c r="OTV1" s="520"/>
      <c r="OTW1" s="520"/>
      <c r="OTX1" s="520"/>
      <c r="OTY1" s="520"/>
      <c r="OTZ1" s="520"/>
      <c r="OUA1" s="520"/>
      <c r="OUB1" s="520"/>
      <c r="OUC1" s="520"/>
      <c r="OUD1" s="520"/>
      <c r="OUE1" s="520"/>
      <c r="OUF1" s="520"/>
      <c r="OUG1" s="520"/>
      <c r="OUH1" s="520"/>
      <c r="OUI1" s="520"/>
      <c r="OUJ1" s="520"/>
      <c r="OUK1" s="520"/>
      <c r="OUL1" s="520"/>
      <c r="OUM1" s="520"/>
      <c r="OUN1" s="520"/>
      <c r="OUO1" s="520"/>
      <c r="OUP1" s="520"/>
      <c r="OUQ1" s="520"/>
      <c r="OUR1" s="520"/>
      <c r="OUS1" s="520"/>
      <c r="OUT1" s="520"/>
      <c r="OUU1" s="520"/>
      <c r="OUV1" s="520"/>
      <c r="OUW1" s="520"/>
      <c r="OUX1" s="520"/>
      <c r="OUY1" s="520"/>
      <c r="OUZ1" s="520"/>
      <c r="OVA1" s="520"/>
      <c r="OVB1" s="520"/>
      <c r="OVC1" s="520"/>
      <c r="OVD1" s="520"/>
      <c r="OVE1" s="520"/>
      <c r="OVF1" s="520"/>
      <c r="OVG1" s="520"/>
      <c r="OVH1" s="520"/>
      <c r="OVI1" s="520"/>
      <c r="OVJ1" s="520"/>
      <c r="OVK1" s="520"/>
      <c r="OVL1" s="520"/>
      <c r="OVM1" s="520"/>
      <c r="OVN1" s="520"/>
      <c r="OVO1" s="520"/>
      <c r="OVP1" s="520"/>
      <c r="OVQ1" s="520"/>
      <c r="OVR1" s="520"/>
      <c r="OVS1" s="520"/>
      <c r="OVT1" s="520"/>
      <c r="OVU1" s="520"/>
      <c r="OVV1" s="520"/>
      <c r="OVW1" s="520"/>
      <c r="OVX1" s="520"/>
      <c r="OVY1" s="520"/>
      <c r="OVZ1" s="520"/>
      <c r="OWA1" s="520"/>
      <c r="OWB1" s="520"/>
      <c r="OWC1" s="520"/>
      <c r="OWD1" s="520"/>
      <c r="OWE1" s="520"/>
      <c r="OWF1" s="520"/>
      <c r="OWG1" s="520"/>
      <c r="OWH1" s="520"/>
      <c r="OWI1" s="520"/>
      <c r="OWJ1" s="520"/>
      <c r="OWK1" s="520"/>
      <c r="OWL1" s="520"/>
      <c r="OWM1" s="520"/>
      <c r="OWN1" s="520"/>
      <c r="OWO1" s="520"/>
      <c r="OWP1" s="520"/>
      <c r="OWQ1" s="520"/>
      <c r="OWR1" s="520"/>
      <c r="OWS1" s="520"/>
      <c r="OWT1" s="520"/>
      <c r="OWU1" s="520"/>
      <c r="OWV1" s="520"/>
      <c r="OWW1" s="520"/>
      <c r="OWX1" s="520"/>
      <c r="OWY1" s="520"/>
      <c r="OWZ1" s="520"/>
      <c r="OXA1" s="520"/>
      <c r="OXB1" s="520"/>
      <c r="OXC1" s="520"/>
      <c r="OXD1" s="520"/>
      <c r="OXE1" s="520"/>
      <c r="OXF1" s="520"/>
      <c r="OXG1" s="520"/>
      <c r="OXH1" s="520"/>
      <c r="OXI1" s="520"/>
      <c r="OXJ1" s="520"/>
      <c r="OXK1" s="520"/>
      <c r="OXL1" s="520"/>
      <c r="OXM1" s="520"/>
      <c r="OXN1" s="520"/>
      <c r="OXO1" s="520"/>
      <c r="OXP1" s="520"/>
      <c r="OXQ1" s="520"/>
      <c r="OXR1" s="520"/>
      <c r="OXS1" s="520"/>
      <c r="OXT1" s="520"/>
      <c r="OXU1" s="520"/>
      <c r="OXV1" s="520"/>
      <c r="OXW1" s="520"/>
      <c r="OXX1" s="520"/>
      <c r="OXY1" s="520"/>
      <c r="OXZ1" s="520"/>
      <c r="OYA1" s="520"/>
      <c r="OYB1" s="520"/>
      <c r="OYC1" s="520"/>
      <c r="OYD1" s="520"/>
      <c r="OYE1" s="520"/>
      <c r="OYF1" s="520"/>
      <c r="OYG1" s="520"/>
      <c r="OYH1" s="520"/>
      <c r="OYI1" s="520"/>
      <c r="OYJ1" s="520"/>
      <c r="OYK1" s="520"/>
      <c r="OYL1" s="520"/>
      <c r="OYM1" s="520"/>
      <c r="OYN1" s="520"/>
      <c r="OYO1" s="520"/>
      <c r="OYP1" s="520"/>
      <c r="OYQ1" s="520"/>
      <c r="OYR1" s="520"/>
      <c r="OYS1" s="520"/>
      <c r="OYT1" s="520"/>
      <c r="OYU1" s="520"/>
      <c r="OYV1" s="520"/>
      <c r="OYW1" s="520"/>
      <c r="OYX1" s="520"/>
      <c r="OYY1" s="520"/>
      <c r="OYZ1" s="520"/>
      <c r="OZA1" s="520"/>
      <c r="OZB1" s="520"/>
      <c r="OZC1" s="520"/>
      <c r="OZD1" s="520"/>
      <c r="OZE1" s="520"/>
      <c r="OZF1" s="520"/>
      <c r="OZG1" s="520"/>
      <c r="OZH1" s="520"/>
      <c r="OZI1" s="520"/>
      <c r="OZJ1" s="520"/>
      <c r="OZK1" s="520"/>
      <c r="OZL1" s="520"/>
      <c r="OZM1" s="520"/>
      <c r="OZN1" s="520"/>
      <c r="OZO1" s="520"/>
      <c r="OZP1" s="520"/>
      <c r="OZQ1" s="520"/>
      <c r="OZR1" s="520"/>
      <c r="OZS1" s="520"/>
      <c r="OZT1" s="520"/>
      <c r="OZU1" s="520"/>
      <c r="OZV1" s="520"/>
      <c r="OZW1" s="520"/>
      <c r="OZX1" s="520"/>
      <c r="OZY1" s="520"/>
      <c r="OZZ1" s="520"/>
      <c r="PAA1" s="520"/>
      <c r="PAB1" s="520"/>
      <c r="PAC1" s="520"/>
      <c r="PAD1" s="520"/>
      <c r="PAE1" s="520"/>
      <c r="PAF1" s="520"/>
      <c r="PAG1" s="520"/>
      <c r="PAH1" s="520"/>
      <c r="PAI1" s="520"/>
      <c r="PAJ1" s="520"/>
      <c r="PAK1" s="520"/>
      <c r="PAL1" s="520"/>
      <c r="PAM1" s="520"/>
      <c r="PAN1" s="520"/>
      <c r="PAO1" s="520"/>
      <c r="PAP1" s="520"/>
      <c r="PAQ1" s="520"/>
      <c r="PAR1" s="520"/>
      <c r="PAS1" s="520"/>
      <c r="PAT1" s="520"/>
      <c r="PAU1" s="520"/>
      <c r="PAV1" s="520"/>
      <c r="PAW1" s="520"/>
      <c r="PAX1" s="520"/>
      <c r="PAY1" s="520"/>
      <c r="PAZ1" s="520"/>
      <c r="PBA1" s="520"/>
      <c r="PBB1" s="520"/>
      <c r="PBC1" s="520"/>
      <c r="PBD1" s="520"/>
      <c r="PBE1" s="520"/>
      <c r="PBF1" s="520"/>
      <c r="PBG1" s="520"/>
      <c r="PBH1" s="520"/>
      <c r="PBI1" s="520"/>
      <c r="PBJ1" s="520"/>
      <c r="PBK1" s="520"/>
      <c r="PBL1" s="520"/>
      <c r="PBM1" s="520"/>
      <c r="PBN1" s="520"/>
      <c r="PBO1" s="520"/>
      <c r="PBP1" s="520"/>
      <c r="PBQ1" s="520"/>
      <c r="PBR1" s="520"/>
      <c r="PBS1" s="520"/>
      <c r="PBT1" s="520"/>
      <c r="PBU1" s="520"/>
      <c r="PBV1" s="520"/>
      <c r="PBW1" s="520"/>
      <c r="PBX1" s="520"/>
      <c r="PBY1" s="520"/>
      <c r="PBZ1" s="520"/>
      <c r="PCA1" s="520"/>
      <c r="PCB1" s="520"/>
      <c r="PCC1" s="520"/>
      <c r="PCD1" s="520"/>
      <c r="PCE1" s="520"/>
      <c r="PCF1" s="520"/>
      <c r="PCG1" s="520"/>
      <c r="PCH1" s="520"/>
      <c r="PCI1" s="520"/>
      <c r="PCJ1" s="520"/>
      <c r="PCK1" s="520"/>
      <c r="PCL1" s="520"/>
      <c r="PCM1" s="520"/>
      <c r="PCN1" s="520"/>
      <c r="PCO1" s="520"/>
      <c r="PCP1" s="520"/>
      <c r="PCQ1" s="520"/>
      <c r="PCR1" s="520"/>
      <c r="PCS1" s="520"/>
      <c r="PCT1" s="520"/>
      <c r="PCU1" s="520"/>
      <c r="PCV1" s="520"/>
      <c r="PCW1" s="520"/>
      <c r="PCX1" s="520"/>
      <c r="PCY1" s="520"/>
      <c r="PCZ1" s="520"/>
      <c r="PDA1" s="520"/>
      <c r="PDB1" s="520"/>
      <c r="PDC1" s="520"/>
      <c r="PDD1" s="520"/>
      <c r="PDE1" s="520"/>
      <c r="PDF1" s="520"/>
      <c r="PDG1" s="520"/>
      <c r="PDH1" s="520"/>
      <c r="PDI1" s="520"/>
      <c r="PDJ1" s="520"/>
      <c r="PDK1" s="520"/>
      <c r="PDL1" s="520"/>
      <c r="PDM1" s="520"/>
      <c r="PDN1" s="520"/>
      <c r="PDO1" s="520"/>
      <c r="PDP1" s="520"/>
      <c r="PDQ1" s="520"/>
      <c r="PDR1" s="520"/>
      <c r="PDS1" s="520"/>
      <c r="PDT1" s="520"/>
      <c r="PDU1" s="520"/>
      <c r="PDV1" s="520"/>
      <c r="PDW1" s="520"/>
      <c r="PDX1" s="520"/>
      <c r="PDY1" s="520"/>
      <c r="PDZ1" s="520"/>
      <c r="PEA1" s="520"/>
      <c r="PEB1" s="520"/>
      <c r="PEC1" s="520"/>
      <c r="PED1" s="520"/>
      <c r="PEE1" s="520"/>
      <c r="PEF1" s="520"/>
      <c r="PEG1" s="520"/>
      <c r="PEH1" s="520"/>
      <c r="PEI1" s="520"/>
      <c r="PEJ1" s="520"/>
      <c r="PEK1" s="520"/>
      <c r="PEL1" s="520"/>
      <c r="PEM1" s="520"/>
      <c r="PEN1" s="520"/>
      <c r="PEO1" s="520"/>
      <c r="PEP1" s="520"/>
      <c r="PEQ1" s="520"/>
      <c r="PER1" s="520"/>
      <c r="PES1" s="520"/>
      <c r="PET1" s="520"/>
      <c r="PEU1" s="520"/>
      <c r="PEV1" s="520"/>
      <c r="PEW1" s="520"/>
      <c r="PEX1" s="520"/>
      <c r="PEY1" s="520"/>
      <c r="PEZ1" s="520"/>
      <c r="PFA1" s="520"/>
      <c r="PFB1" s="520"/>
      <c r="PFC1" s="520"/>
      <c r="PFD1" s="520"/>
      <c r="PFE1" s="520"/>
      <c r="PFF1" s="520"/>
      <c r="PFG1" s="520"/>
      <c r="PFH1" s="520"/>
      <c r="PFI1" s="520"/>
      <c r="PFJ1" s="520"/>
      <c r="PFK1" s="520"/>
      <c r="PFL1" s="520"/>
      <c r="PFM1" s="520"/>
      <c r="PFN1" s="520"/>
      <c r="PFO1" s="520"/>
      <c r="PFP1" s="520"/>
      <c r="PFQ1" s="520"/>
      <c r="PFR1" s="520"/>
      <c r="PFS1" s="520"/>
      <c r="PFT1" s="520"/>
      <c r="PFU1" s="520"/>
      <c r="PFV1" s="520"/>
      <c r="PFW1" s="520"/>
      <c r="PFX1" s="520"/>
      <c r="PFY1" s="520"/>
      <c r="PFZ1" s="520"/>
      <c r="PGA1" s="520"/>
      <c r="PGB1" s="520"/>
      <c r="PGC1" s="520"/>
      <c r="PGD1" s="520"/>
      <c r="PGE1" s="520"/>
      <c r="PGF1" s="520"/>
      <c r="PGG1" s="520"/>
      <c r="PGH1" s="520"/>
      <c r="PGI1" s="520"/>
      <c r="PGJ1" s="520"/>
      <c r="PGK1" s="520"/>
      <c r="PGL1" s="520"/>
      <c r="PGM1" s="520"/>
      <c r="PGN1" s="520"/>
      <c r="PGO1" s="520"/>
      <c r="PGP1" s="520"/>
      <c r="PGQ1" s="520"/>
      <c r="PGR1" s="520"/>
      <c r="PGS1" s="520"/>
      <c r="PGT1" s="520"/>
      <c r="PGU1" s="520"/>
      <c r="PGV1" s="520"/>
      <c r="PGW1" s="520"/>
      <c r="PGX1" s="520"/>
      <c r="PGY1" s="520"/>
      <c r="PGZ1" s="520"/>
      <c r="PHA1" s="520"/>
      <c r="PHB1" s="520"/>
      <c r="PHC1" s="520"/>
      <c r="PHD1" s="520"/>
      <c r="PHE1" s="520"/>
      <c r="PHF1" s="520"/>
      <c r="PHG1" s="520"/>
      <c r="PHH1" s="520"/>
      <c r="PHI1" s="520"/>
      <c r="PHJ1" s="520"/>
      <c r="PHK1" s="520"/>
      <c r="PHL1" s="520"/>
      <c r="PHM1" s="520"/>
      <c r="PHN1" s="520"/>
      <c r="PHO1" s="520"/>
      <c r="PHP1" s="520"/>
      <c r="PHQ1" s="520"/>
      <c r="PHR1" s="520"/>
      <c r="PHS1" s="520"/>
      <c r="PHT1" s="520"/>
      <c r="PHU1" s="520"/>
      <c r="PHV1" s="520"/>
      <c r="PHW1" s="520"/>
      <c r="PHX1" s="520"/>
      <c r="PHY1" s="520"/>
      <c r="PHZ1" s="520"/>
      <c r="PIA1" s="520"/>
      <c r="PIB1" s="520"/>
      <c r="PIC1" s="520"/>
      <c r="PID1" s="520"/>
      <c r="PIE1" s="520"/>
      <c r="PIF1" s="520"/>
      <c r="PIG1" s="520"/>
      <c r="PIH1" s="520"/>
      <c r="PII1" s="520"/>
      <c r="PIJ1" s="520"/>
      <c r="PIK1" s="520"/>
      <c r="PIL1" s="520"/>
      <c r="PIM1" s="520"/>
      <c r="PIN1" s="520"/>
      <c r="PIO1" s="520"/>
      <c r="PIP1" s="520"/>
      <c r="PIQ1" s="520"/>
      <c r="PIR1" s="520"/>
      <c r="PIS1" s="520"/>
      <c r="PIT1" s="520"/>
      <c r="PIU1" s="520"/>
      <c r="PIV1" s="520"/>
      <c r="PIW1" s="520"/>
      <c r="PIX1" s="520"/>
      <c r="PIY1" s="520"/>
      <c r="PIZ1" s="520"/>
      <c r="PJA1" s="520"/>
      <c r="PJB1" s="520"/>
      <c r="PJC1" s="520"/>
      <c r="PJD1" s="520"/>
      <c r="PJE1" s="520"/>
      <c r="PJF1" s="520"/>
      <c r="PJG1" s="520"/>
      <c r="PJH1" s="520"/>
      <c r="PJI1" s="520"/>
      <c r="PJJ1" s="520"/>
      <c r="PJK1" s="520"/>
      <c r="PJL1" s="520"/>
      <c r="PJM1" s="520"/>
      <c r="PJN1" s="520"/>
      <c r="PJO1" s="520"/>
      <c r="PJP1" s="520"/>
      <c r="PJQ1" s="520"/>
      <c r="PJR1" s="520"/>
      <c r="PJS1" s="520"/>
      <c r="PJT1" s="520"/>
      <c r="PJU1" s="520"/>
      <c r="PJV1" s="520"/>
      <c r="PJW1" s="520"/>
      <c r="PJX1" s="520"/>
      <c r="PJY1" s="520"/>
      <c r="PJZ1" s="520"/>
      <c r="PKA1" s="520"/>
      <c r="PKB1" s="520"/>
      <c r="PKC1" s="520"/>
      <c r="PKD1" s="520"/>
      <c r="PKE1" s="520"/>
      <c r="PKF1" s="520"/>
      <c r="PKG1" s="520"/>
      <c r="PKH1" s="520"/>
      <c r="PKI1" s="520"/>
      <c r="PKJ1" s="520"/>
      <c r="PKK1" s="520"/>
      <c r="PKL1" s="520"/>
      <c r="PKM1" s="520"/>
      <c r="PKN1" s="520"/>
      <c r="PKO1" s="520"/>
      <c r="PKP1" s="520"/>
      <c r="PKQ1" s="520"/>
      <c r="PKR1" s="520"/>
      <c r="PKS1" s="520"/>
      <c r="PKT1" s="520"/>
      <c r="PKU1" s="520"/>
      <c r="PKV1" s="520"/>
      <c r="PKW1" s="520"/>
      <c r="PKX1" s="520"/>
      <c r="PKY1" s="520"/>
      <c r="PKZ1" s="520"/>
      <c r="PLA1" s="520"/>
      <c r="PLB1" s="520"/>
      <c r="PLC1" s="520"/>
      <c r="PLD1" s="520"/>
      <c r="PLE1" s="520"/>
      <c r="PLF1" s="520"/>
      <c r="PLG1" s="520"/>
      <c r="PLH1" s="520"/>
      <c r="PLI1" s="520"/>
      <c r="PLJ1" s="520"/>
      <c r="PLK1" s="520"/>
      <c r="PLL1" s="520"/>
      <c r="PLM1" s="520"/>
      <c r="PLN1" s="520"/>
      <c r="PLO1" s="520"/>
      <c r="PLP1" s="520"/>
      <c r="PLQ1" s="520"/>
      <c r="PLR1" s="520"/>
      <c r="PLS1" s="520"/>
      <c r="PLT1" s="520"/>
      <c r="PLU1" s="520"/>
      <c r="PLV1" s="520"/>
      <c r="PLW1" s="520"/>
      <c r="PLX1" s="520"/>
      <c r="PLY1" s="520"/>
      <c r="PLZ1" s="520"/>
      <c r="PMA1" s="520"/>
      <c r="PMB1" s="520"/>
      <c r="PMC1" s="520"/>
      <c r="PMD1" s="520"/>
      <c r="PME1" s="520"/>
      <c r="PMF1" s="520"/>
      <c r="PMG1" s="520"/>
      <c r="PMH1" s="520"/>
      <c r="PMI1" s="520"/>
      <c r="PMJ1" s="520"/>
      <c r="PMK1" s="520"/>
      <c r="PML1" s="520"/>
      <c r="PMM1" s="520"/>
      <c r="PMN1" s="520"/>
      <c r="PMO1" s="520"/>
      <c r="PMP1" s="520"/>
      <c r="PMQ1" s="520"/>
      <c r="PMR1" s="520"/>
      <c r="PMS1" s="520"/>
      <c r="PMT1" s="520"/>
      <c r="PMU1" s="520"/>
      <c r="PMV1" s="520"/>
      <c r="PMW1" s="520"/>
      <c r="PMX1" s="520"/>
      <c r="PMY1" s="520"/>
      <c r="PMZ1" s="520"/>
      <c r="PNA1" s="520"/>
      <c r="PNB1" s="520"/>
      <c r="PNC1" s="520"/>
      <c r="PND1" s="520"/>
      <c r="PNE1" s="520"/>
      <c r="PNF1" s="520"/>
      <c r="PNG1" s="520"/>
      <c r="PNH1" s="520"/>
      <c r="PNI1" s="520"/>
      <c r="PNJ1" s="520"/>
      <c r="PNK1" s="520"/>
      <c r="PNL1" s="520"/>
      <c r="PNM1" s="520"/>
      <c r="PNN1" s="520"/>
      <c r="PNO1" s="520"/>
      <c r="PNP1" s="520"/>
      <c r="PNQ1" s="520"/>
      <c r="PNR1" s="520"/>
      <c r="PNS1" s="520"/>
      <c r="PNT1" s="520"/>
      <c r="PNU1" s="520"/>
      <c r="PNV1" s="520"/>
      <c r="PNW1" s="520"/>
      <c r="PNX1" s="520"/>
      <c r="PNY1" s="520"/>
      <c r="PNZ1" s="520"/>
      <c r="POA1" s="520"/>
      <c r="POB1" s="520"/>
      <c r="POC1" s="520"/>
      <c r="POD1" s="520"/>
      <c r="POE1" s="520"/>
      <c r="POF1" s="520"/>
      <c r="POG1" s="520"/>
      <c r="POH1" s="520"/>
      <c r="POI1" s="520"/>
      <c r="POJ1" s="520"/>
      <c r="POK1" s="520"/>
      <c r="POL1" s="520"/>
      <c r="POM1" s="520"/>
      <c r="PON1" s="520"/>
      <c r="POO1" s="520"/>
      <c r="POP1" s="520"/>
      <c r="POQ1" s="520"/>
      <c r="POR1" s="520"/>
      <c r="POS1" s="520"/>
      <c r="POT1" s="520"/>
      <c r="POU1" s="520"/>
      <c r="POV1" s="520"/>
      <c r="POW1" s="520"/>
      <c r="POX1" s="520"/>
      <c r="POY1" s="520"/>
      <c r="POZ1" s="520"/>
      <c r="PPA1" s="520"/>
      <c r="PPB1" s="520"/>
      <c r="PPC1" s="520"/>
      <c r="PPD1" s="520"/>
      <c r="PPE1" s="520"/>
      <c r="PPF1" s="520"/>
      <c r="PPG1" s="520"/>
      <c r="PPH1" s="520"/>
      <c r="PPI1" s="520"/>
      <c r="PPJ1" s="520"/>
      <c r="PPK1" s="520"/>
      <c r="PPL1" s="520"/>
      <c r="PPM1" s="520"/>
      <c r="PPN1" s="520"/>
      <c r="PPO1" s="520"/>
      <c r="PPP1" s="520"/>
      <c r="PPQ1" s="520"/>
      <c r="PPR1" s="520"/>
      <c r="PPS1" s="520"/>
      <c r="PPT1" s="520"/>
      <c r="PPU1" s="520"/>
      <c r="PPV1" s="520"/>
      <c r="PPW1" s="520"/>
      <c r="PPX1" s="520"/>
      <c r="PPY1" s="520"/>
      <c r="PPZ1" s="520"/>
      <c r="PQA1" s="520"/>
      <c r="PQB1" s="520"/>
      <c r="PQC1" s="520"/>
      <c r="PQD1" s="520"/>
      <c r="PQE1" s="520"/>
      <c r="PQF1" s="520"/>
      <c r="PQG1" s="520"/>
      <c r="PQH1" s="520"/>
      <c r="PQI1" s="520"/>
      <c r="PQJ1" s="520"/>
      <c r="PQK1" s="520"/>
      <c r="PQL1" s="520"/>
      <c r="PQM1" s="520"/>
      <c r="PQN1" s="520"/>
      <c r="PQO1" s="520"/>
      <c r="PQP1" s="520"/>
      <c r="PQQ1" s="520"/>
      <c r="PQR1" s="520"/>
      <c r="PQS1" s="520"/>
      <c r="PQT1" s="520"/>
      <c r="PQU1" s="520"/>
      <c r="PQV1" s="520"/>
      <c r="PQW1" s="520"/>
      <c r="PQX1" s="520"/>
      <c r="PQY1" s="520"/>
      <c r="PQZ1" s="520"/>
      <c r="PRA1" s="520"/>
      <c r="PRB1" s="520"/>
      <c r="PRC1" s="520"/>
      <c r="PRD1" s="520"/>
      <c r="PRE1" s="520"/>
      <c r="PRF1" s="520"/>
      <c r="PRG1" s="520"/>
      <c r="PRH1" s="520"/>
      <c r="PRI1" s="520"/>
      <c r="PRJ1" s="520"/>
      <c r="PRK1" s="520"/>
      <c r="PRL1" s="520"/>
      <c r="PRM1" s="520"/>
      <c r="PRN1" s="520"/>
      <c r="PRO1" s="520"/>
      <c r="PRP1" s="520"/>
      <c r="PRQ1" s="520"/>
      <c r="PRR1" s="520"/>
      <c r="PRS1" s="520"/>
      <c r="PRT1" s="520"/>
      <c r="PRU1" s="520"/>
      <c r="PRV1" s="520"/>
      <c r="PRW1" s="520"/>
      <c r="PRX1" s="520"/>
      <c r="PRY1" s="520"/>
      <c r="PRZ1" s="520"/>
      <c r="PSA1" s="520"/>
      <c r="PSB1" s="520"/>
      <c r="PSC1" s="520"/>
      <c r="PSD1" s="520"/>
      <c r="PSE1" s="520"/>
      <c r="PSF1" s="520"/>
      <c r="PSG1" s="520"/>
      <c r="PSH1" s="520"/>
      <c r="PSI1" s="520"/>
      <c r="PSJ1" s="520"/>
      <c r="PSK1" s="520"/>
      <c r="PSL1" s="520"/>
      <c r="PSM1" s="520"/>
      <c r="PSN1" s="520"/>
      <c r="PSO1" s="520"/>
      <c r="PSP1" s="520"/>
      <c r="PSQ1" s="520"/>
      <c r="PSR1" s="520"/>
      <c r="PSS1" s="520"/>
      <c r="PST1" s="520"/>
      <c r="PSU1" s="520"/>
      <c r="PSV1" s="520"/>
      <c r="PSW1" s="520"/>
      <c r="PSX1" s="520"/>
      <c r="PSY1" s="520"/>
      <c r="PSZ1" s="520"/>
      <c r="PTA1" s="520"/>
      <c r="PTB1" s="520"/>
      <c r="PTC1" s="520"/>
      <c r="PTD1" s="520"/>
      <c r="PTE1" s="520"/>
      <c r="PTF1" s="520"/>
      <c r="PTG1" s="520"/>
      <c r="PTH1" s="520"/>
      <c r="PTI1" s="520"/>
      <c r="PTJ1" s="520"/>
      <c r="PTK1" s="520"/>
      <c r="PTL1" s="520"/>
      <c r="PTM1" s="520"/>
      <c r="PTN1" s="520"/>
      <c r="PTO1" s="520"/>
      <c r="PTP1" s="520"/>
      <c r="PTQ1" s="520"/>
      <c r="PTR1" s="520"/>
      <c r="PTS1" s="520"/>
      <c r="PTT1" s="520"/>
      <c r="PTU1" s="520"/>
      <c r="PTV1" s="520"/>
      <c r="PTW1" s="520"/>
      <c r="PTX1" s="520"/>
      <c r="PTY1" s="520"/>
      <c r="PTZ1" s="520"/>
      <c r="PUA1" s="520"/>
      <c r="PUB1" s="520"/>
      <c r="PUC1" s="520"/>
      <c r="PUD1" s="520"/>
      <c r="PUE1" s="520"/>
      <c r="PUF1" s="520"/>
      <c r="PUG1" s="520"/>
      <c r="PUH1" s="520"/>
      <c r="PUI1" s="520"/>
      <c r="PUJ1" s="520"/>
      <c r="PUK1" s="520"/>
      <c r="PUL1" s="520"/>
      <c r="PUM1" s="520"/>
      <c r="PUN1" s="520"/>
      <c r="PUO1" s="520"/>
      <c r="PUP1" s="520"/>
      <c r="PUQ1" s="520"/>
      <c r="PUR1" s="520"/>
      <c r="PUS1" s="520"/>
      <c r="PUT1" s="520"/>
      <c r="PUU1" s="520"/>
      <c r="PUV1" s="520"/>
      <c r="PUW1" s="520"/>
      <c r="PUX1" s="520"/>
      <c r="PUY1" s="520"/>
      <c r="PUZ1" s="520"/>
      <c r="PVA1" s="520"/>
      <c r="PVB1" s="520"/>
      <c r="PVC1" s="520"/>
      <c r="PVD1" s="520"/>
      <c r="PVE1" s="520"/>
      <c r="PVF1" s="520"/>
      <c r="PVG1" s="520"/>
      <c r="PVH1" s="520"/>
      <c r="PVI1" s="520"/>
      <c r="PVJ1" s="520"/>
      <c r="PVK1" s="520"/>
      <c r="PVL1" s="520"/>
      <c r="PVM1" s="520"/>
      <c r="PVN1" s="520"/>
      <c r="PVO1" s="520"/>
      <c r="PVP1" s="520"/>
      <c r="PVQ1" s="520"/>
      <c r="PVR1" s="520"/>
      <c r="PVS1" s="520"/>
      <c r="PVT1" s="520"/>
      <c r="PVU1" s="520"/>
      <c r="PVV1" s="520"/>
      <c r="PVW1" s="520"/>
      <c r="PVX1" s="520"/>
      <c r="PVY1" s="520"/>
      <c r="PVZ1" s="520"/>
      <c r="PWA1" s="520"/>
      <c r="PWB1" s="520"/>
      <c r="PWC1" s="520"/>
      <c r="PWD1" s="520"/>
      <c r="PWE1" s="520"/>
      <c r="PWF1" s="520"/>
      <c r="PWG1" s="520"/>
      <c r="PWH1" s="520"/>
      <c r="PWI1" s="520"/>
      <c r="PWJ1" s="520"/>
      <c r="PWK1" s="520"/>
      <c r="PWL1" s="520"/>
      <c r="PWM1" s="520"/>
      <c r="PWN1" s="520"/>
      <c r="PWO1" s="520"/>
      <c r="PWP1" s="520"/>
      <c r="PWQ1" s="520"/>
      <c r="PWR1" s="520"/>
      <c r="PWS1" s="520"/>
      <c r="PWT1" s="520"/>
      <c r="PWU1" s="520"/>
      <c r="PWV1" s="520"/>
      <c r="PWW1" s="520"/>
      <c r="PWX1" s="520"/>
      <c r="PWY1" s="520"/>
      <c r="PWZ1" s="520"/>
      <c r="PXA1" s="520"/>
      <c r="PXB1" s="520"/>
      <c r="PXC1" s="520"/>
      <c r="PXD1" s="520"/>
      <c r="PXE1" s="520"/>
      <c r="PXF1" s="520"/>
      <c r="PXG1" s="520"/>
      <c r="PXH1" s="520"/>
      <c r="PXI1" s="520"/>
      <c r="PXJ1" s="520"/>
      <c r="PXK1" s="520"/>
      <c r="PXL1" s="520"/>
      <c r="PXM1" s="520"/>
      <c r="PXN1" s="520"/>
      <c r="PXO1" s="520"/>
      <c r="PXP1" s="520"/>
      <c r="PXQ1" s="520"/>
      <c r="PXR1" s="520"/>
      <c r="PXS1" s="520"/>
      <c r="PXT1" s="520"/>
      <c r="PXU1" s="520"/>
      <c r="PXV1" s="520"/>
      <c r="PXW1" s="520"/>
      <c r="PXX1" s="520"/>
      <c r="PXY1" s="520"/>
      <c r="PXZ1" s="520"/>
      <c r="PYA1" s="520"/>
      <c r="PYB1" s="520"/>
      <c r="PYC1" s="520"/>
      <c r="PYD1" s="520"/>
      <c r="PYE1" s="520"/>
      <c r="PYF1" s="520"/>
      <c r="PYG1" s="520"/>
      <c r="PYH1" s="520"/>
      <c r="PYI1" s="520"/>
      <c r="PYJ1" s="520"/>
      <c r="PYK1" s="520"/>
      <c r="PYL1" s="520"/>
      <c r="PYM1" s="520"/>
      <c r="PYN1" s="520"/>
      <c r="PYO1" s="520"/>
      <c r="PYP1" s="520"/>
      <c r="PYQ1" s="520"/>
      <c r="PYR1" s="520"/>
      <c r="PYS1" s="520"/>
      <c r="PYT1" s="520"/>
      <c r="PYU1" s="520"/>
      <c r="PYV1" s="520"/>
      <c r="PYW1" s="520"/>
      <c r="PYX1" s="520"/>
      <c r="PYY1" s="520"/>
      <c r="PYZ1" s="520"/>
      <c r="PZA1" s="520"/>
      <c r="PZB1" s="520"/>
      <c r="PZC1" s="520"/>
      <c r="PZD1" s="520"/>
      <c r="PZE1" s="520"/>
      <c r="PZF1" s="520"/>
      <c r="PZG1" s="520"/>
      <c r="PZH1" s="520"/>
      <c r="PZI1" s="520"/>
      <c r="PZJ1" s="520"/>
      <c r="PZK1" s="520"/>
      <c r="PZL1" s="520"/>
      <c r="PZM1" s="520"/>
      <c r="PZN1" s="520"/>
      <c r="PZO1" s="520"/>
      <c r="PZP1" s="520"/>
      <c r="PZQ1" s="520"/>
      <c r="PZR1" s="520"/>
      <c r="PZS1" s="520"/>
      <c r="PZT1" s="520"/>
      <c r="PZU1" s="520"/>
      <c r="PZV1" s="520"/>
      <c r="PZW1" s="520"/>
      <c r="PZX1" s="520"/>
      <c r="PZY1" s="520"/>
      <c r="PZZ1" s="520"/>
      <c r="QAA1" s="520"/>
      <c r="QAB1" s="520"/>
      <c r="QAC1" s="520"/>
      <c r="QAD1" s="520"/>
      <c r="QAE1" s="520"/>
      <c r="QAF1" s="520"/>
      <c r="QAG1" s="520"/>
      <c r="QAH1" s="520"/>
      <c r="QAI1" s="520"/>
      <c r="QAJ1" s="520"/>
      <c r="QAK1" s="520"/>
      <c r="QAL1" s="520"/>
      <c r="QAM1" s="520"/>
      <c r="QAN1" s="520"/>
      <c r="QAO1" s="520"/>
      <c r="QAP1" s="520"/>
      <c r="QAQ1" s="520"/>
      <c r="QAR1" s="520"/>
      <c r="QAS1" s="520"/>
      <c r="QAT1" s="520"/>
      <c r="QAU1" s="520"/>
      <c r="QAV1" s="520"/>
      <c r="QAW1" s="520"/>
      <c r="QAX1" s="520"/>
      <c r="QAY1" s="520"/>
      <c r="QAZ1" s="520"/>
      <c r="QBA1" s="520"/>
      <c r="QBB1" s="520"/>
      <c r="QBC1" s="520"/>
      <c r="QBD1" s="520"/>
      <c r="QBE1" s="520"/>
      <c r="QBF1" s="520"/>
      <c r="QBG1" s="520"/>
      <c r="QBH1" s="520"/>
      <c r="QBI1" s="520"/>
      <c r="QBJ1" s="520"/>
      <c r="QBK1" s="520"/>
      <c r="QBL1" s="520"/>
      <c r="QBM1" s="520"/>
      <c r="QBN1" s="520"/>
      <c r="QBO1" s="520"/>
      <c r="QBP1" s="520"/>
      <c r="QBQ1" s="520"/>
      <c r="QBR1" s="520"/>
      <c r="QBS1" s="520"/>
      <c r="QBT1" s="520"/>
      <c r="QBU1" s="520"/>
      <c r="QBV1" s="520"/>
      <c r="QBW1" s="520"/>
      <c r="QBX1" s="520"/>
      <c r="QBY1" s="520"/>
      <c r="QBZ1" s="520"/>
      <c r="QCA1" s="520"/>
      <c r="QCB1" s="520"/>
      <c r="QCC1" s="520"/>
      <c r="QCD1" s="520"/>
      <c r="QCE1" s="520"/>
      <c r="QCF1" s="520"/>
      <c r="QCG1" s="520"/>
      <c r="QCH1" s="520"/>
      <c r="QCI1" s="520"/>
      <c r="QCJ1" s="520"/>
      <c r="QCK1" s="520"/>
      <c r="QCL1" s="520"/>
      <c r="QCM1" s="520"/>
      <c r="QCN1" s="520"/>
      <c r="QCO1" s="520"/>
      <c r="QCP1" s="520"/>
      <c r="QCQ1" s="520"/>
      <c r="QCR1" s="520"/>
      <c r="QCS1" s="520"/>
      <c r="QCT1" s="520"/>
      <c r="QCU1" s="520"/>
      <c r="QCV1" s="520"/>
      <c r="QCW1" s="520"/>
      <c r="QCX1" s="520"/>
      <c r="QCY1" s="520"/>
      <c r="QCZ1" s="520"/>
      <c r="QDA1" s="520"/>
      <c r="QDB1" s="520"/>
      <c r="QDC1" s="520"/>
      <c r="QDD1" s="520"/>
      <c r="QDE1" s="520"/>
      <c r="QDF1" s="520"/>
      <c r="QDG1" s="520"/>
      <c r="QDH1" s="520"/>
      <c r="QDI1" s="520"/>
      <c r="QDJ1" s="520"/>
      <c r="QDK1" s="520"/>
      <c r="QDL1" s="520"/>
      <c r="QDM1" s="520"/>
      <c r="QDN1" s="520"/>
      <c r="QDO1" s="520"/>
      <c r="QDP1" s="520"/>
      <c r="QDQ1" s="520"/>
      <c r="QDR1" s="520"/>
      <c r="QDS1" s="520"/>
      <c r="QDT1" s="520"/>
      <c r="QDU1" s="520"/>
      <c r="QDV1" s="520"/>
      <c r="QDW1" s="520"/>
      <c r="QDX1" s="520"/>
      <c r="QDY1" s="520"/>
      <c r="QDZ1" s="520"/>
      <c r="QEA1" s="520"/>
      <c r="QEB1" s="520"/>
      <c r="QEC1" s="520"/>
      <c r="QED1" s="520"/>
      <c r="QEE1" s="520"/>
      <c r="QEF1" s="520"/>
      <c r="QEG1" s="520"/>
      <c r="QEH1" s="520"/>
      <c r="QEI1" s="520"/>
      <c r="QEJ1" s="520"/>
      <c r="QEK1" s="520"/>
      <c r="QEL1" s="520"/>
      <c r="QEM1" s="520"/>
      <c r="QEN1" s="520"/>
      <c r="QEO1" s="520"/>
      <c r="QEP1" s="520"/>
      <c r="QEQ1" s="520"/>
      <c r="QER1" s="520"/>
      <c r="QES1" s="520"/>
      <c r="QET1" s="520"/>
      <c r="QEU1" s="520"/>
      <c r="QEV1" s="520"/>
      <c r="QEW1" s="520"/>
      <c r="QEX1" s="520"/>
      <c r="QEY1" s="520"/>
      <c r="QEZ1" s="520"/>
      <c r="QFA1" s="520"/>
      <c r="QFB1" s="520"/>
      <c r="QFC1" s="520"/>
      <c r="QFD1" s="520"/>
      <c r="QFE1" s="520"/>
      <c r="QFF1" s="520"/>
      <c r="QFG1" s="520"/>
      <c r="QFH1" s="520"/>
      <c r="QFI1" s="520"/>
      <c r="QFJ1" s="520"/>
      <c r="QFK1" s="520"/>
      <c r="QFL1" s="520"/>
      <c r="QFM1" s="520"/>
      <c r="QFN1" s="520"/>
      <c r="QFO1" s="520"/>
      <c r="QFP1" s="520"/>
      <c r="QFQ1" s="520"/>
      <c r="QFR1" s="520"/>
      <c r="QFS1" s="520"/>
      <c r="QFT1" s="520"/>
      <c r="QFU1" s="520"/>
      <c r="QFV1" s="520"/>
      <c r="QFW1" s="520"/>
      <c r="QFX1" s="520"/>
      <c r="QFY1" s="520"/>
      <c r="QFZ1" s="520"/>
      <c r="QGA1" s="520"/>
      <c r="QGB1" s="520"/>
      <c r="QGC1" s="520"/>
      <c r="QGD1" s="520"/>
      <c r="QGE1" s="520"/>
      <c r="QGF1" s="520"/>
      <c r="QGG1" s="520"/>
      <c r="QGH1" s="520"/>
      <c r="QGI1" s="520"/>
      <c r="QGJ1" s="520"/>
      <c r="QGK1" s="520"/>
      <c r="QGL1" s="520"/>
      <c r="QGM1" s="520"/>
      <c r="QGN1" s="520"/>
      <c r="QGO1" s="520"/>
      <c r="QGP1" s="520"/>
      <c r="QGQ1" s="520"/>
      <c r="QGR1" s="520"/>
      <c r="QGS1" s="520"/>
      <c r="QGT1" s="520"/>
      <c r="QGU1" s="520"/>
      <c r="QGV1" s="520"/>
      <c r="QGW1" s="520"/>
      <c r="QGX1" s="520"/>
      <c r="QGY1" s="520"/>
      <c r="QGZ1" s="520"/>
      <c r="QHA1" s="520"/>
      <c r="QHB1" s="520"/>
      <c r="QHC1" s="520"/>
      <c r="QHD1" s="520"/>
      <c r="QHE1" s="520"/>
      <c r="QHF1" s="520"/>
      <c r="QHG1" s="520"/>
      <c r="QHH1" s="520"/>
      <c r="QHI1" s="520"/>
      <c r="QHJ1" s="520"/>
      <c r="QHK1" s="520"/>
      <c r="QHL1" s="520"/>
      <c r="QHM1" s="520"/>
      <c r="QHN1" s="520"/>
      <c r="QHO1" s="520"/>
      <c r="QHP1" s="520"/>
      <c r="QHQ1" s="520"/>
      <c r="QHR1" s="520"/>
      <c r="QHS1" s="520"/>
      <c r="QHT1" s="520"/>
      <c r="QHU1" s="520"/>
      <c r="QHV1" s="520"/>
      <c r="QHW1" s="520"/>
      <c r="QHX1" s="520"/>
      <c r="QHY1" s="520"/>
      <c r="QHZ1" s="520"/>
      <c r="QIA1" s="520"/>
      <c r="QIB1" s="520"/>
      <c r="QIC1" s="520"/>
      <c r="QID1" s="520"/>
      <c r="QIE1" s="520"/>
      <c r="QIF1" s="520"/>
      <c r="QIG1" s="520"/>
      <c r="QIH1" s="520"/>
      <c r="QII1" s="520"/>
      <c r="QIJ1" s="520"/>
      <c r="QIK1" s="520"/>
      <c r="QIL1" s="520"/>
      <c r="QIM1" s="520"/>
      <c r="QIN1" s="520"/>
      <c r="QIO1" s="520"/>
      <c r="QIP1" s="520"/>
      <c r="QIQ1" s="520"/>
      <c r="QIR1" s="520"/>
      <c r="QIS1" s="520"/>
      <c r="QIT1" s="520"/>
      <c r="QIU1" s="520"/>
      <c r="QIV1" s="520"/>
      <c r="QIW1" s="520"/>
      <c r="QIX1" s="520"/>
      <c r="QIY1" s="520"/>
      <c r="QIZ1" s="520"/>
      <c r="QJA1" s="520"/>
      <c r="QJB1" s="520"/>
      <c r="QJC1" s="520"/>
      <c r="QJD1" s="520"/>
      <c r="QJE1" s="520"/>
      <c r="QJF1" s="520"/>
      <c r="QJG1" s="520"/>
      <c r="QJH1" s="520"/>
      <c r="QJI1" s="520"/>
      <c r="QJJ1" s="520"/>
      <c r="QJK1" s="520"/>
      <c r="QJL1" s="520"/>
      <c r="QJM1" s="520"/>
      <c r="QJN1" s="520"/>
      <c r="QJO1" s="520"/>
      <c r="QJP1" s="520"/>
      <c r="QJQ1" s="520"/>
      <c r="QJR1" s="520"/>
      <c r="QJS1" s="520"/>
      <c r="QJT1" s="520"/>
      <c r="QJU1" s="520"/>
      <c r="QJV1" s="520"/>
      <c r="QJW1" s="520"/>
      <c r="QJX1" s="520"/>
      <c r="QJY1" s="520"/>
      <c r="QJZ1" s="520"/>
      <c r="QKA1" s="520"/>
      <c r="QKB1" s="520"/>
      <c r="QKC1" s="520"/>
      <c r="QKD1" s="520"/>
      <c r="QKE1" s="520"/>
      <c r="QKF1" s="520"/>
      <c r="QKG1" s="520"/>
      <c r="QKH1" s="520"/>
      <c r="QKI1" s="520"/>
      <c r="QKJ1" s="520"/>
      <c r="QKK1" s="520"/>
      <c r="QKL1" s="520"/>
      <c r="QKM1" s="520"/>
      <c r="QKN1" s="520"/>
      <c r="QKO1" s="520"/>
      <c r="QKP1" s="520"/>
      <c r="QKQ1" s="520"/>
      <c r="QKR1" s="520"/>
      <c r="QKS1" s="520"/>
      <c r="QKT1" s="520"/>
      <c r="QKU1" s="520"/>
      <c r="QKV1" s="520"/>
      <c r="QKW1" s="520"/>
      <c r="QKX1" s="520"/>
      <c r="QKY1" s="520"/>
      <c r="QKZ1" s="520"/>
      <c r="QLA1" s="520"/>
      <c r="QLB1" s="520"/>
      <c r="QLC1" s="520"/>
      <c r="QLD1" s="520"/>
      <c r="QLE1" s="520"/>
      <c r="QLF1" s="520"/>
      <c r="QLG1" s="520"/>
      <c r="QLH1" s="520"/>
      <c r="QLI1" s="520"/>
      <c r="QLJ1" s="520"/>
      <c r="QLK1" s="520"/>
      <c r="QLL1" s="520"/>
      <c r="QLM1" s="520"/>
      <c r="QLN1" s="520"/>
      <c r="QLO1" s="520"/>
      <c r="QLP1" s="520"/>
      <c r="QLQ1" s="520"/>
      <c r="QLR1" s="520"/>
      <c r="QLS1" s="520"/>
      <c r="QLT1" s="520"/>
      <c r="QLU1" s="520"/>
      <c r="QLV1" s="520"/>
      <c r="QLW1" s="520"/>
      <c r="QLX1" s="520"/>
      <c r="QLY1" s="520"/>
      <c r="QLZ1" s="520"/>
      <c r="QMA1" s="520"/>
      <c r="QMB1" s="520"/>
      <c r="QMC1" s="520"/>
      <c r="QMD1" s="520"/>
      <c r="QME1" s="520"/>
      <c r="QMF1" s="520"/>
      <c r="QMG1" s="520"/>
      <c r="QMH1" s="520"/>
      <c r="QMI1" s="520"/>
      <c r="QMJ1" s="520"/>
      <c r="QMK1" s="520"/>
      <c r="QML1" s="520"/>
      <c r="QMM1" s="520"/>
      <c r="QMN1" s="520"/>
      <c r="QMO1" s="520"/>
      <c r="QMP1" s="520"/>
      <c r="QMQ1" s="520"/>
      <c r="QMR1" s="520"/>
      <c r="QMS1" s="520"/>
      <c r="QMT1" s="520"/>
      <c r="QMU1" s="520"/>
      <c r="QMV1" s="520"/>
      <c r="QMW1" s="520"/>
      <c r="QMX1" s="520"/>
      <c r="QMY1" s="520"/>
      <c r="QMZ1" s="520"/>
      <c r="QNA1" s="520"/>
      <c r="QNB1" s="520"/>
      <c r="QNC1" s="520"/>
      <c r="QND1" s="520"/>
      <c r="QNE1" s="520"/>
      <c r="QNF1" s="520"/>
      <c r="QNG1" s="520"/>
      <c r="QNH1" s="520"/>
      <c r="QNI1" s="520"/>
      <c r="QNJ1" s="520"/>
      <c r="QNK1" s="520"/>
      <c r="QNL1" s="520"/>
      <c r="QNM1" s="520"/>
      <c r="QNN1" s="520"/>
      <c r="QNO1" s="520"/>
      <c r="QNP1" s="520"/>
      <c r="QNQ1" s="520"/>
      <c r="QNR1" s="520"/>
      <c r="QNS1" s="520"/>
      <c r="QNT1" s="520"/>
      <c r="QNU1" s="520"/>
      <c r="QNV1" s="520"/>
      <c r="QNW1" s="520"/>
      <c r="QNX1" s="520"/>
      <c r="QNY1" s="520"/>
      <c r="QNZ1" s="520"/>
      <c r="QOA1" s="520"/>
      <c r="QOB1" s="520"/>
      <c r="QOC1" s="520"/>
      <c r="QOD1" s="520"/>
      <c r="QOE1" s="520"/>
      <c r="QOF1" s="520"/>
      <c r="QOG1" s="520"/>
      <c r="QOH1" s="520"/>
      <c r="QOI1" s="520"/>
      <c r="QOJ1" s="520"/>
      <c r="QOK1" s="520"/>
      <c r="QOL1" s="520"/>
      <c r="QOM1" s="520"/>
      <c r="QON1" s="520"/>
      <c r="QOO1" s="520"/>
      <c r="QOP1" s="520"/>
      <c r="QOQ1" s="520"/>
      <c r="QOR1" s="520"/>
      <c r="QOS1" s="520"/>
      <c r="QOT1" s="520"/>
      <c r="QOU1" s="520"/>
      <c r="QOV1" s="520"/>
      <c r="QOW1" s="520"/>
      <c r="QOX1" s="520"/>
      <c r="QOY1" s="520"/>
      <c r="QOZ1" s="520"/>
      <c r="QPA1" s="520"/>
      <c r="QPB1" s="520"/>
      <c r="QPC1" s="520"/>
      <c r="QPD1" s="520"/>
      <c r="QPE1" s="520"/>
      <c r="QPF1" s="520"/>
      <c r="QPG1" s="520"/>
      <c r="QPH1" s="520"/>
      <c r="QPI1" s="520"/>
      <c r="QPJ1" s="520"/>
      <c r="QPK1" s="520"/>
      <c r="QPL1" s="520"/>
      <c r="QPM1" s="520"/>
      <c r="QPN1" s="520"/>
      <c r="QPO1" s="520"/>
      <c r="QPP1" s="520"/>
      <c r="QPQ1" s="520"/>
      <c r="QPR1" s="520"/>
      <c r="QPS1" s="520"/>
      <c r="QPT1" s="520"/>
      <c r="QPU1" s="520"/>
      <c r="QPV1" s="520"/>
      <c r="QPW1" s="520"/>
      <c r="QPX1" s="520"/>
      <c r="QPY1" s="520"/>
      <c r="QPZ1" s="520"/>
      <c r="QQA1" s="520"/>
      <c r="QQB1" s="520"/>
      <c r="QQC1" s="520"/>
      <c r="QQD1" s="520"/>
      <c r="QQE1" s="520"/>
      <c r="QQF1" s="520"/>
      <c r="QQG1" s="520"/>
      <c r="QQH1" s="520"/>
      <c r="QQI1" s="520"/>
      <c r="QQJ1" s="520"/>
      <c r="QQK1" s="520"/>
      <c r="QQL1" s="520"/>
      <c r="QQM1" s="520"/>
      <c r="QQN1" s="520"/>
      <c r="QQO1" s="520"/>
      <c r="QQP1" s="520"/>
      <c r="QQQ1" s="520"/>
      <c r="QQR1" s="520"/>
      <c r="QQS1" s="520"/>
      <c r="QQT1" s="520"/>
      <c r="QQU1" s="520"/>
      <c r="QQV1" s="520"/>
      <c r="QQW1" s="520"/>
      <c r="QQX1" s="520"/>
      <c r="QQY1" s="520"/>
      <c r="QQZ1" s="520"/>
      <c r="QRA1" s="520"/>
      <c r="QRB1" s="520"/>
      <c r="QRC1" s="520"/>
      <c r="QRD1" s="520"/>
      <c r="QRE1" s="520"/>
      <c r="QRF1" s="520"/>
      <c r="QRG1" s="520"/>
      <c r="QRH1" s="520"/>
      <c r="QRI1" s="520"/>
      <c r="QRJ1" s="520"/>
      <c r="QRK1" s="520"/>
      <c r="QRL1" s="520"/>
      <c r="QRM1" s="520"/>
      <c r="QRN1" s="520"/>
      <c r="QRO1" s="520"/>
      <c r="QRP1" s="520"/>
      <c r="QRQ1" s="520"/>
      <c r="QRR1" s="520"/>
      <c r="QRS1" s="520"/>
      <c r="QRT1" s="520"/>
      <c r="QRU1" s="520"/>
      <c r="QRV1" s="520"/>
      <c r="QRW1" s="520"/>
      <c r="QRX1" s="520"/>
      <c r="QRY1" s="520"/>
      <c r="QRZ1" s="520"/>
      <c r="QSA1" s="520"/>
      <c r="QSB1" s="520"/>
      <c r="QSC1" s="520"/>
      <c r="QSD1" s="520"/>
      <c r="QSE1" s="520"/>
      <c r="QSF1" s="520"/>
      <c r="QSG1" s="520"/>
      <c r="QSH1" s="520"/>
      <c r="QSI1" s="520"/>
      <c r="QSJ1" s="520"/>
      <c r="QSK1" s="520"/>
      <c r="QSL1" s="520"/>
      <c r="QSM1" s="520"/>
      <c r="QSN1" s="520"/>
      <c r="QSO1" s="520"/>
      <c r="QSP1" s="520"/>
      <c r="QSQ1" s="520"/>
      <c r="QSR1" s="520"/>
      <c r="QSS1" s="520"/>
      <c r="QST1" s="520"/>
      <c r="QSU1" s="520"/>
      <c r="QSV1" s="520"/>
      <c r="QSW1" s="520"/>
      <c r="QSX1" s="520"/>
      <c r="QSY1" s="520"/>
      <c r="QSZ1" s="520"/>
      <c r="QTA1" s="520"/>
      <c r="QTB1" s="520"/>
      <c r="QTC1" s="520"/>
      <c r="QTD1" s="520"/>
      <c r="QTE1" s="520"/>
      <c r="QTF1" s="520"/>
      <c r="QTG1" s="520"/>
      <c r="QTH1" s="520"/>
      <c r="QTI1" s="520"/>
      <c r="QTJ1" s="520"/>
      <c r="QTK1" s="520"/>
      <c r="QTL1" s="520"/>
      <c r="QTM1" s="520"/>
      <c r="QTN1" s="520"/>
      <c r="QTO1" s="520"/>
      <c r="QTP1" s="520"/>
      <c r="QTQ1" s="520"/>
      <c r="QTR1" s="520"/>
      <c r="QTS1" s="520"/>
      <c r="QTT1" s="520"/>
      <c r="QTU1" s="520"/>
      <c r="QTV1" s="520"/>
      <c r="QTW1" s="520"/>
      <c r="QTX1" s="520"/>
      <c r="QTY1" s="520"/>
      <c r="QTZ1" s="520"/>
      <c r="QUA1" s="520"/>
      <c r="QUB1" s="520"/>
      <c r="QUC1" s="520"/>
      <c r="QUD1" s="520"/>
      <c r="QUE1" s="520"/>
      <c r="QUF1" s="520"/>
      <c r="QUG1" s="520"/>
      <c r="QUH1" s="520"/>
      <c r="QUI1" s="520"/>
      <c r="QUJ1" s="520"/>
      <c r="QUK1" s="520"/>
      <c r="QUL1" s="520"/>
      <c r="QUM1" s="520"/>
      <c r="QUN1" s="520"/>
      <c r="QUO1" s="520"/>
      <c r="QUP1" s="520"/>
      <c r="QUQ1" s="520"/>
      <c r="QUR1" s="520"/>
      <c r="QUS1" s="520"/>
      <c r="QUT1" s="520"/>
      <c r="QUU1" s="520"/>
      <c r="QUV1" s="520"/>
      <c r="QUW1" s="520"/>
      <c r="QUX1" s="520"/>
      <c r="QUY1" s="520"/>
      <c r="QUZ1" s="520"/>
      <c r="QVA1" s="520"/>
      <c r="QVB1" s="520"/>
      <c r="QVC1" s="520"/>
      <c r="QVD1" s="520"/>
      <c r="QVE1" s="520"/>
      <c r="QVF1" s="520"/>
      <c r="QVG1" s="520"/>
      <c r="QVH1" s="520"/>
      <c r="QVI1" s="520"/>
      <c r="QVJ1" s="520"/>
      <c r="QVK1" s="520"/>
      <c r="QVL1" s="520"/>
      <c r="QVM1" s="520"/>
      <c r="QVN1" s="520"/>
      <c r="QVO1" s="520"/>
      <c r="QVP1" s="520"/>
      <c r="QVQ1" s="520"/>
      <c r="QVR1" s="520"/>
      <c r="QVS1" s="520"/>
      <c r="QVT1" s="520"/>
      <c r="QVU1" s="520"/>
      <c r="QVV1" s="520"/>
      <c r="QVW1" s="520"/>
      <c r="QVX1" s="520"/>
      <c r="QVY1" s="520"/>
      <c r="QVZ1" s="520"/>
      <c r="QWA1" s="520"/>
      <c r="QWB1" s="520"/>
      <c r="QWC1" s="520"/>
      <c r="QWD1" s="520"/>
      <c r="QWE1" s="520"/>
      <c r="QWF1" s="520"/>
      <c r="QWG1" s="520"/>
      <c r="QWH1" s="520"/>
      <c r="QWI1" s="520"/>
      <c r="QWJ1" s="520"/>
      <c r="QWK1" s="520"/>
      <c r="QWL1" s="520"/>
      <c r="QWM1" s="520"/>
      <c r="QWN1" s="520"/>
      <c r="QWO1" s="520"/>
      <c r="QWP1" s="520"/>
      <c r="QWQ1" s="520"/>
      <c r="QWR1" s="520"/>
      <c r="QWS1" s="520"/>
      <c r="QWT1" s="520"/>
      <c r="QWU1" s="520"/>
      <c r="QWV1" s="520"/>
      <c r="QWW1" s="520"/>
      <c r="QWX1" s="520"/>
      <c r="QWY1" s="520"/>
      <c r="QWZ1" s="520"/>
      <c r="QXA1" s="520"/>
      <c r="QXB1" s="520"/>
      <c r="QXC1" s="520"/>
      <c r="QXD1" s="520"/>
      <c r="QXE1" s="520"/>
      <c r="QXF1" s="520"/>
      <c r="QXG1" s="520"/>
      <c r="QXH1" s="520"/>
      <c r="QXI1" s="520"/>
      <c r="QXJ1" s="520"/>
      <c r="QXK1" s="520"/>
      <c r="QXL1" s="520"/>
      <c r="QXM1" s="520"/>
      <c r="QXN1" s="520"/>
      <c r="QXO1" s="520"/>
      <c r="QXP1" s="520"/>
      <c r="QXQ1" s="520"/>
      <c r="QXR1" s="520"/>
      <c r="QXS1" s="520"/>
      <c r="QXT1" s="520"/>
      <c r="QXU1" s="520"/>
      <c r="QXV1" s="520"/>
      <c r="QXW1" s="520"/>
      <c r="QXX1" s="520"/>
      <c r="QXY1" s="520"/>
      <c r="QXZ1" s="520"/>
      <c r="QYA1" s="520"/>
      <c r="QYB1" s="520"/>
      <c r="QYC1" s="520"/>
      <c r="QYD1" s="520"/>
      <c r="QYE1" s="520"/>
      <c r="QYF1" s="520"/>
      <c r="QYG1" s="520"/>
      <c r="QYH1" s="520"/>
      <c r="QYI1" s="520"/>
      <c r="QYJ1" s="520"/>
      <c r="QYK1" s="520"/>
      <c r="QYL1" s="520"/>
      <c r="QYM1" s="520"/>
      <c r="QYN1" s="520"/>
      <c r="QYO1" s="520"/>
      <c r="QYP1" s="520"/>
      <c r="QYQ1" s="520"/>
      <c r="QYR1" s="520"/>
      <c r="QYS1" s="520"/>
      <c r="QYT1" s="520"/>
      <c r="QYU1" s="520"/>
      <c r="QYV1" s="520"/>
      <c r="QYW1" s="520"/>
      <c r="QYX1" s="520"/>
      <c r="QYY1" s="520"/>
      <c r="QYZ1" s="520"/>
      <c r="QZA1" s="520"/>
      <c r="QZB1" s="520"/>
      <c r="QZC1" s="520"/>
      <c r="QZD1" s="520"/>
      <c r="QZE1" s="520"/>
      <c r="QZF1" s="520"/>
      <c r="QZG1" s="520"/>
      <c r="QZH1" s="520"/>
      <c r="QZI1" s="520"/>
      <c r="QZJ1" s="520"/>
      <c r="QZK1" s="520"/>
      <c r="QZL1" s="520"/>
      <c r="QZM1" s="520"/>
      <c r="QZN1" s="520"/>
      <c r="QZO1" s="520"/>
      <c r="QZP1" s="520"/>
      <c r="QZQ1" s="520"/>
      <c r="QZR1" s="520"/>
      <c r="QZS1" s="520"/>
      <c r="QZT1" s="520"/>
      <c r="QZU1" s="520"/>
      <c r="QZV1" s="520"/>
      <c r="QZW1" s="520"/>
      <c r="QZX1" s="520"/>
      <c r="QZY1" s="520"/>
      <c r="QZZ1" s="520"/>
      <c r="RAA1" s="520"/>
      <c r="RAB1" s="520"/>
      <c r="RAC1" s="520"/>
      <c r="RAD1" s="520"/>
      <c r="RAE1" s="520"/>
      <c r="RAF1" s="520"/>
      <c r="RAG1" s="520"/>
      <c r="RAH1" s="520"/>
      <c r="RAI1" s="520"/>
      <c r="RAJ1" s="520"/>
      <c r="RAK1" s="520"/>
      <c r="RAL1" s="520"/>
      <c r="RAM1" s="520"/>
      <c r="RAN1" s="520"/>
      <c r="RAO1" s="520"/>
      <c r="RAP1" s="520"/>
      <c r="RAQ1" s="520"/>
      <c r="RAR1" s="520"/>
      <c r="RAS1" s="520"/>
      <c r="RAT1" s="520"/>
      <c r="RAU1" s="520"/>
      <c r="RAV1" s="520"/>
      <c r="RAW1" s="520"/>
      <c r="RAX1" s="520"/>
      <c r="RAY1" s="520"/>
      <c r="RAZ1" s="520"/>
      <c r="RBA1" s="520"/>
      <c r="RBB1" s="520"/>
      <c r="RBC1" s="520"/>
      <c r="RBD1" s="520"/>
      <c r="RBE1" s="520"/>
      <c r="RBF1" s="520"/>
      <c r="RBG1" s="520"/>
      <c r="RBH1" s="520"/>
      <c r="RBI1" s="520"/>
      <c r="RBJ1" s="520"/>
      <c r="RBK1" s="520"/>
      <c r="RBL1" s="520"/>
      <c r="RBM1" s="520"/>
      <c r="RBN1" s="520"/>
      <c r="RBO1" s="520"/>
      <c r="RBP1" s="520"/>
      <c r="RBQ1" s="520"/>
      <c r="RBR1" s="520"/>
      <c r="RBS1" s="520"/>
      <c r="RBT1" s="520"/>
      <c r="RBU1" s="520"/>
      <c r="RBV1" s="520"/>
      <c r="RBW1" s="520"/>
      <c r="RBX1" s="520"/>
      <c r="RBY1" s="520"/>
      <c r="RBZ1" s="520"/>
      <c r="RCA1" s="520"/>
      <c r="RCB1" s="520"/>
      <c r="RCC1" s="520"/>
      <c r="RCD1" s="520"/>
      <c r="RCE1" s="520"/>
      <c r="RCF1" s="520"/>
      <c r="RCG1" s="520"/>
      <c r="RCH1" s="520"/>
      <c r="RCI1" s="520"/>
      <c r="RCJ1" s="520"/>
      <c r="RCK1" s="520"/>
      <c r="RCL1" s="520"/>
      <c r="RCM1" s="520"/>
      <c r="RCN1" s="520"/>
      <c r="RCO1" s="520"/>
      <c r="RCP1" s="520"/>
      <c r="RCQ1" s="520"/>
      <c r="RCR1" s="520"/>
      <c r="RCS1" s="520"/>
      <c r="RCT1" s="520"/>
      <c r="RCU1" s="520"/>
      <c r="RCV1" s="520"/>
      <c r="RCW1" s="520"/>
      <c r="RCX1" s="520"/>
      <c r="RCY1" s="520"/>
      <c r="RCZ1" s="520"/>
      <c r="RDA1" s="520"/>
      <c r="RDB1" s="520"/>
      <c r="RDC1" s="520"/>
      <c r="RDD1" s="520"/>
      <c r="RDE1" s="520"/>
      <c r="RDF1" s="520"/>
      <c r="RDG1" s="520"/>
      <c r="RDH1" s="520"/>
      <c r="RDI1" s="520"/>
      <c r="RDJ1" s="520"/>
      <c r="RDK1" s="520"/>
      <c r="RDL1" s="520"/>
      <c r="RDM1" s="520"/>
      <c r="RDN1" s="520"/>
      <c r="RDO1" s="520"/>
      <c r="RDP1" s="520"/>
      <c r="RDQ1" s="520"/>
      <c r="RDR1" s="520"/>
      <c r="RDS1" s="520"/>
      <c r="RDT1" s="520"/>
      <c r="RDU1" s="520"/>
      <c r="RDV1" s="520"/>
      <c r="RDW1" s="520"/>
      <c r="RDX1" s="520"/>
      <c r="RDY1" s="520"/>
      <c r="RDZ1" s="520"/>
      <c r="REA1" s="520"/>
      <c r="REB1" s="520"/>
      <c r="REC1" s="520"/>
      <c r="RED1" s="520"/>
      <c r="REE1" s="520"/>
      <c r="REF1" s="520"/>
      <c r="REG1" s="520"/>
      <c r="REH1" s="520"/>
      <c r="REI1" s="520"/>
      <c r="REJ1" s="520"/>
      <c r="REK1" s="520"/>
      <c r="REL1" s="520"/>
      <c r="REM1" s="520"/>
      <c r="REN1" s="520"/>
      <c r="REO1" s="520"/>
      <c r="REP1" s="520"/>
      <c r="REQ1" s="520"/>
      <c r="RER1" s="520"/>
      <c r="RES1" s="520"/>
      <c r="RET1" s="520"/>
      <c r="REU1" s="520"/>
      <c r="REV1" s="520"/>
      <c r="REW1" s="520"/>
      <c r="REX1" s="520"/>
      <c r="REY1" s="520"/>
      <c r="REZ1" s="520"/>
      <c r="RFA1" s="520"/>
      <c r="RFB1" s="520"/>
      <c r="RFC1" s="520"/>
      <c r="RFD1" s="520"/>
      <c r="RFE1" s="520"/>
      <c r="RFF1" s="520"/>
      <c r="RFG1" s="520"/>
      <c r="RFH1" s="520"/>
      <c r="RFI1" s="520"/>
      <c r="RFJ1" s="520"/>
      <c r="RFK1" s="520"/>
      <c r="RFL1" s="520"/>
      <c r="RFM1" s="520"/>
      <c r="RFN1" s="520"/>
      <c r="RFO1" s="520"/>
      <c r="RFP1" s="520"/>
      <c r="RFQ1" s="520"/>
      <c r="RFR1" s="520"/>
      <c r="RFS1" s="520"/>
      <c r="RFT1" s="520"/>
      <c r="RFU1" s="520"/>
      <c r="RFV1" s="520"/>
      <c r="RFW1" s="520"/>
      <c r="RFX1" s="520"/>
      <c r="RFY1" s="520"/>
      <c r="RFZ1" s="520"/>
      <c r="RGA1" s="520"/>
      <c r="RGB1" s="520"/>
      <c r="RGC1" s="520"/>
      <c r="RGD1" s="520"/>
      <c r="RGE1" s="520"/>
      <c r="RGF1" s="520"/>
      <c r="RGG1" s="520"/>
      <c r="RGH1" s="520"/>
      <c r="RGI1" s="520"/>
      <c r="RGJ1" s="520"/>
      <c r="RGK1" s="520"/>
      <c r="RGL1" s="520"/>
      <c r="RGM1" s="520"/>
      <c r="RGN1" s="520"/>
      <c r="RGO1" s="520"/>
      <c r="RGP1" s="520"/>
      <c r="RGQ1" s="520"/>
      <c r="RGR1" s="520"/>
      <c r="RGS1" s="520"/>
      <c r="RGT1" s="520"/>
      <c r="RGU1" s="520"/>
      <c r="RGV1" s="520"/>
      <c r="RGW1" s="520"/>
      <c r="RGX1" s="520"/>
      <c r="RGY1" s="520"/>
      <c r="RGZ1" s="520"/>
      <c r="RHA1" s="520"/>
      <c r="RHB1" s="520"/>
      <c r="RHC1" s="520"/>
      <c r="RHD1" s="520"/>
      <c r="RHE1" s="520"/>
      <c r="RHF1" s="520"/>
      <c r="RHG1" s="520"/>
      <c r="RHH1" s="520"/>
      <c r="RHI1" s="520"/>
      <c r="RHJ1" s="520"/>
      <c r="RHK1" s="520"/>
      <c r="RHL1" s="520"/>
      <c r="RHM1" s="520"/>
      <c r="RHN1" s="520"/>
      <c r="RHO1" s="520"/>
      <c r="RHP1" s="520"/>
      <c r="RHQ1" s="520"/>
      <c r="RHR1" s="520"/>
      <c r="RHS1" s="520"/>
      <c r="RHT1" s="520"/>
      <c r="RHU1" s="520"/>
      <c r="RHV1" s="520"/>
      <c r="RHW1" s="520"/>
      <c r="RHX1" s="520"/>
      <c r="RHY1" s="520"/>
      <c r="RHZ1" s="520"/>
      <c r="RIA1" s="520"/>
      <c r="RIB1" s="520"/>
      <c r="RIC1" s="520"/>
      <c r="RID1" s="520"/>
      <c r="RIE1" s="520"/>
      <c r="RIF1" s="520"/>
      <c r="RIG1" s="520"/>
      <c r="RIH1" s="520"/>
      <c r="RII1" s="520"/>
      <c r="RIJ1" s="520"/>
      <c r="RIK1" s="520"/>
      <c r="RIL1" s="520"/>
      <c r="RIM1" s="520"/>
      <c r="RIN1" s="520"/>
      <c r="RIO1" s="520"/>
      <c r="RIP1" s="520"/>
      <c r="RIQ1" s="520"/>
      <c r="RIR1" s="520"/>
      <c r="RIS1" s="520"/>
      <c r="RIT1" s="520"/>
      <c r="RIU1" s="520"/>
      <c r="RIV1" s="520"/>
      <c r="RIW1" s="520"/>
      <c r="RIX1" s="520"/>
      <c r="RIY1" s="520"/>
      <c r="RIZ1" s="520"/>
      <c r="RJA1" s="520"/>
      <c r="RJB1" s="520"/>
      <c r="RJC1" s="520"/>
      <c r="RJD1" s="520"/>
      <c r="RJE1" s="520"/>
      <c r="RJF1" s="520"/>
      <c r="RJG1" s="520"/>
      <c r="RJH1" s="520"/>
      <c r="RJI1" s="520"/>
      <c r="RJJ1" s="520"/>
      <c r="RJK1" s="520"/>
      <c r="RJL1" s="520"/>
      <c r="RJM1" s="520"/>
      <c r="RJN1" s="520"/>
      <c r="RJO1" s="520"/>
      <c r="RJP1" s="520"/>
      <c r="RJQ1" s="520"/>
      <c r="RJR1" s="520"/>
      <c r="RJS1" s="520"/>
      <c r="RJT1" s="520"/>
      <c r="RJU1" s="520"/>
      <c r="RJV1" s="520"/>
      <c r="RJW1" s="520"/>
      <c r="RJX1" s="520"/>
      <c r="RJY1" s="520"/>
      <c r="RJZ1" s="520"/>
      <c r="RKA1" s="520"/>
      <c r="RKB1" s="520"/>
      <c r="RKC1" s="520"/>
      <c r="RKD1" s="520"/>
      <c r="RKE1" s="520"/>
      <c r="RKF1" s="520"/>
      <c r="RKG1" s="520"/>
      <c r="RKH1" s="520"/>
      <c r="RKI1" s="520"/>
      <c r="RKJ1" s="520"/>
      <c r="RKK1" s="520"/>
      <c r="RKL1" s="520"/>
      <c r="RKM1" s="520"/>
      <c r="RKN1" s="520"/>
      <c r="RKO1" s="520"/>
      <c r="RKP1" s="520"/>
      <c r="RKQ1" s="520"/>
      <c r="RKR1" s="520"/>
      <c r="RKS1" s="520"/>
      <c r="RKT1" s="520"/>
      <c r="RKU1" s="520"/>
      <c r="RKV1" s="520"/>
      <c r="RKW1" s="520"/>
      <c r="RKX1" s="520"/>
      <c r="RKY1" s="520"/>
      <c r="RKZ1" s="520"/>
      <c r="RLA1" s="520"/>
      <c r="RLB1" s="520"/>
      <c r="RLC1" s="520"/>
      <c r="RLD1" s="520"/>
      <c r="RLE1" s="520"/>
      <c r="RLF1" s="520"/>
      <c r="RLG1" s="520"/>
      <c r="RLH1" s="520"/>
      <c r="RLI1" s="520"/>
      <c r="RLJ1" s="520"/>
      <c r="RLK1" s="520"/>
      <c r="RLL1" s="520"/>
      <c r="RLM1" s="520"/>
      <c r="RLN1" s="520"/>
      <c r="RLO1" s="520"/>
      <c r="RLP1" s="520"/>
      <c r="RLQ1" s="520"/>
      <c r="RLR1" s="520"/>
      <c r="RLS1" s="520"/>
      <c r="RLT1" s="520"/>
      <c r="RLU1" s="520"/>
      <c r="RLV1" s="520"/>
      <c r="RLW1" s="520"/>
      <c r="RLX1" s="520"/>
      <c r="RLY1" s="520"/>
      <c r="RLZ1" s="520"/>
      <c r="RMA1" s="520"/>
      <c r="RMB1" s="520"/>
      <c r="RMC1" s="520"/>
      <c r="RMD1" s="520"/>
      <c r="RME1" s="520"/>
      <c r="RMF1" s="520"/>
      <c r="RMG1" s="520"/>
      <c r="RMH1" s="520"/>
      <c r="RMI1" s="520"/>
      <c r="RMJ1" s="520"/>
      <c r="RMK1" s="520"/>
      <c r="RML1" s="520"/>
      <c r="RMM1" s="520"/>
      <c r="RMN1" s="520"/>
      <c r="RMO1" s="520"/>
      <c r="RMP1" s="520"/>
      <c r="RMQ1" s="520"/>
      <c r="RMR1" s="520"/>
      <c r="RMS1" s="520"/>
      <c r="RMT1" s="520"/>
      <c r="RMU1" s="520"/>
      <c r="RMV1" s="520"/>
      <c r="RMW1" s="520"/>
      <c r="RMX1" s="520"/>
      <c r="RMY1" s="520"/>
      <c r="RMZ1" s="520"/>
      <c r="RNA1" s="520"/>
      <c r="RNB1" s="520"/>
      <c r="RNC1" s="520"/>
      <c r="RND1" s="520"/>
      <c r="RNE1" s="520"/>
      <c r="RNF1" s="520"/>
      <c r="RNG1" s="520"/>
      <c r="RNH1" s="520"/>
      <c r="RNI1" s="520"/>
      <c r="RNJ1" s="520"/>
      <c r="RNK1" s="520"/>
      <c r="RNL1" s="520"/>
      <c r="RNM1" s="520"/>
      <c r="RNN1" s="520"/>
      <c r="RNO1" s="520"/>
      <c r="RNP1" s="520"/>
      <c r="RNQ1" s="520"/>
      <c r="RNR1" s="520"/>
      <c r="RNS1" s="520"/>
      <c r="RNT1" s="520"/>
      <c r="RNU1" s="520"/>
      <c r="RNV1" s="520"/>
      <c r="RNW1" s="520"/>
      <c r="RNX1" s="520"/>
      <c r="RNY1" s="520"/>
      <c r="RNZ1" s="520"/>
      <c r="ROA1" s="520"/>
      <c r="ROB1" s="520"/>
      <c r="ROC1" s="520"/>
      <c r="ROD1" s="520"/>
      <c r="ROE1" s="520"/>
      <c r="ROF1" s="520"/>
      <c r="ROG1" s="520"/>
      <c r="ROH1" s="520"/>
      <c r="ROI1" s="520"/>
      <c r="ROJ1" s="520"/>
      <c r="ROK1" s="520"/>
      <c r="ROL1" s="520"/>
      <c r="ROM1" s="520"/>
      <c r="RON1" s="520"/>
      <c r="ROO1" s="520"/>
      <c r="ROP1" s="520"/>
      <c r="ROQ1" s="520"/>
      <c r="ROR1" s="520"/>
      <c r="ROS1" s="520"/>
      <c r="ROT1" s="520"/>
      <c r="ROU1" s="520"/>
      <c r="ROV1" s="520"/>
      <c r="ROW1" s="520"/>
      <c r="ROX1" s="520"/>
      <c r="ROY1" s="520"/>
      <c r="ROZ1" s="520"/>
      <c r="RPA1" s="520"/>
      <c r="RPB1" s="520"/>
      <c r="RPC1" s="520"/>
      <c r="RPD1" s="520"/>
      <c r="RPE1" s="520"/>
      <c r="RPF1" s="520"/>
      <c r="RPG1" s="520"/>
      <c r="RPH1" s="520"/>
      <c r="RPI1" s="520"/>
      <c r="RPJ1" s="520"/>
      <c r="RPK1" s="520"/>
      <c r="RPL1" s="520"/>
      <c r="RPM1" s="520"/>
      <c r="RPN1" s="520"/>
      <c r="RPO1" s="520"/>
      <c r="RPP1" s="520"/>
      <c r="RPQ1" s="520"/>
      <c r="RPR1" s="520"/>
      <c r="RPS1" s="520"/>
      <c r="RPT1" s="520"/>
      <c r="RPU1" s="520"/>
      <c r="RPV1" s="520"/>
      <c r="RPW1" s="520"/>
      <c r="RPX1" s="520"/>
      <c r="RPY1" s="520"/>
      <c r="RPZ1" s="520"/>
      <c r="RQA1" s="520"/>
      <c r="RQB1" s="520"/>
      <c r="RQC1" s="520"/>
      <c r="RQD1" s="520"/>
      <c r="RQE1" s="520"/>
      <c r="RQF1" s="520"/>
      <c r="RQG1" s="520"/>
      <c r="RQH1" s="520"/>
      <c r="RQI1" s="520"/>
      <c r="RQJ1" s="520"/>
      <c r="RQK1" s="520"/>
      <c r="RQL1" s="520"/>
      <c r="RQM1" s="520"/>
      <c r="RQN1" s="520"/>
      <c r="RQO1" s="520"/>
      <c r="RQP1" s="520"/>
      <c r="RQQ1" s="520"/>
      <c r="RQR1" s="520"/>
      <c r="RQS1" s="520"/>
      <c r="RQT1" s="520"/>
      <c r="RQU1" s="520"/>
      <c r="RQV1" s="520"/>
      <c r="RQW1" s="520"/>
      <c r="RQX1" s="520"/>
      <c r="RQY1" s="520"/>
      <c r="RQZ1" s="520"/>
      <c r="RRA1" s="520"/>
      <c r="RRB1" s="520"/>
      <c r="RRC1" s="520"/>
      <c r="RRD1" s="520"/>
      <c r="RRE1" s="520"/>
      <c r="RRF1" s="520"/>
      <c r="RRG1" s="520"/>
      <c r="RRH1" s="520"/>
      <c r="RRI1" s="520"/>
      <c r="RRJ1" s="520"/>
      <c r="RRK1" s="520"/>
      <c r="RRL1" s="520"/>
      <c r="RRM1" s="520"/>
      <c r="RRN1" s="520"/>
      <c r="RRO1" s="520"/>
      <c r="RRP1" s="520"/>
      <c r="RRQ1" s="520"/>
      <c r="RRR1" s="520"/>
      <c r="RRS1" s="520"/>
      <c r="RRT1" s="520"/>
      <c r="RRU1" s="520"/>
      <c r="RRV1" s="520"/>
      <c r="RRW1" s="520"/>
      <c r="RRX1" s="520"/>
      <c r="RRY1" s="520"/>
      <c r="RRZ1" s="520"/>
      <c r="RSA1" s="520"/>
      <c r="RSB1" s="520"/>
      <c r="RSC1" s="520"/>
      <c r="RSD1" s="520"/>
      <c r="RSE1" s="520"/>
      <c r="RSF1" s="520"/>
      <c r="RSG1" s="520"/>
      <c r="RSH1" s="520"/>
      <c r="RSI1" s="520"/>
      <c r="RSJ1" s="520"/>
      <c r="RSK1" s="520"/>
      <c r="RSL1" s="520"/>
      <c r="RSM1" s="520"/>
      <c r="RSN1" s="520"/>
      <c r="RSO1" s="520"/>
      <c r="RSP1" s="520"/>
      <c r="RSQ1" s="520"/>
      <c r="RSR1" s="520"/>
      <c r="RSS1" s="520"/>
      <c r="RST1" s="520"/>
      <c r="RSU1" s="520"/>
      <c r="RSV1" s="520"/>
      <c r="RSW1" s="520"/>
      <c r="RSX1" s="520"/>
      <c r="RSY1" s="520"/>
      <c r="RSZ1" s="520"/>
      <c r="RTA1" s="520"/>
      <c r="RTB1" s="520"/>
      <c r="RTC1" s="520"/>
      <c r="RTD1" s="520"/>
      <c r="RTE1" s="520"/>
      <c r="RTF1" s="520"/>
      <c r="RTG1" s="520"/>
      <c r="RTH1" s="520"/>
      <c r="RTI1" s="520"/>
      <c r="RTJ1" s="520"/>
      <c r="RTK1" s="520"/>
      <c r="RTL1" s="520"/>
      <c r="RTM1" s="520"/>
      <c r="RTN1" s="520"/>
      <c r="RTO1" s="520"/>
      <c r="RTP1" s="520"/>
      <c r="RTQ1" s="520"/>
      <c r="RTR1" s="520"/>
      <c r="RTS1" s="520"/>
      <c r="RTT1" s="520"/>
      <c r="RTU1" s="520"/>
      <c r="RTV1" s="520"/>
      <c r="RTW1" s="520"/>
      <c r="RTX1" s="520"/>
      <c r="RTY1" s="520"/>
      <c r="RTZ1" s="520"/>
      <c r="RUA1" s="520"/>
      <c r="RUB1" s="520"/>
      <c r="RUC1" s="520"/>
      <c r="RUD1" s="520"/>
      <c r="RUE1" s="520"/>
      <c r="RUF1" s="520"/>
      <c r="RUG1" s="520"/>
      <c r="RUH1" s="520"/>
      <c r="RUI1" s="520"/>
      <c r="RUJ1" s="520"/>
      <c r="RUK1" s="520"/>
      <c r="RUL1" s="520"/>
      <c r="RUM1" s="520"/>
      <c r="RUN1" s="520"/>
      <c r="RUO1" s="520"/>
      <c r="RUP1" s="520"/>
      <c r="RUQ1" s="520"/>
      <c r="RUR1" s="520"/>
      <c r="RUS1" s="520"/>
      <c r="RUT1" s="520"/>
      <c r="RUU1" s="520"/>
      <c r="RUV1" s="520"/>
      <c r="RUW1" s="520"/>
      <c r="RUX1" s="520"/>
      <c r="RUY1" s="520"/>
      <c r="RUZ1" s="520"/>
      <c r="RVA1" s="520"/>
      <c r="RVB1" s="520"/>
      <c r="RVC1" s="520"/>
      <c r="RVD1" s="520"/>
      <c r="RVE1" s="520"/>
      <c r="RVF1" s="520"/>
      <c r="RVG1" s="520"/>
      <c r="RVH1" s="520"/>
      <c r="RVI1" s="520"/>
      <c r="RVJ1" s="520"/>
      <c r="RVK1" s="520"/>
      <c r="RVL1" s="520"/>
      <c r="RVM1" s="520"/>
      <c r="RVN1" s="520"/>
      <c r="RVO1" s="520"/>
      <c r="RVP1" s="520"/>
      <c r="RVQ1" s="520"/>
      <c r="RVR1" s="520"/>
      <c r="RVS1" s="520"/>
      <c r="RVT1" s="520"/>
      <c r="RVU1" s="520"/>
      <c r="RVV1" s="520"/>
      <c r="RVW1" s="520"/>
      <c r="RVX1" s="520"/>
      <c r="RVY1" s="520"/>
      <c r="RVZ1" s="520"/>
      <c r="RWA1" s="520"/>
      <c r="RWB1" s="520"/>
      <c r="RWC1" s="520"/>
      <c r="RWD1" s="520"/>
      <c r="RWE1" s="520"/>
      <c r="RWF1" s="520"/>
      <c r="RWG1" s="520"/>
      <c r="RWH1" s="520"/>
      <c r="RWI1" s="520"/>
      <c r="RWJ1" s="520"/>
      <c r="RWK1" s="520"/>
      <c r="RWL1" s="520"/>
      <c r="RWM1" s="520"/>
      <c r="RWN1" s="520"/>
      <c r="RWO1" s="520"/>
      <c r="RWP1" s="520"/>
      <c r="RWQ1" s="520"/>
      <c r="RWR1" s="520"/>
      <c r="RWS1" s="520"/>
      <c r="RWT1" s="520"/>
      <c r="RWU1" s="520"/>
      <c r="RWV1" s="520"/>
      <c r="RWW1" s="520"/>
      <c r="RWX1" s="520"/>
      <c r="RWY1" s="520"/>
      <c r="RWZ1" s="520"/>
      <c r="RXA1" s="520"/>
      <c r="RXB1" s="520"/>
      <c r="RXC1" s="520"/>
      <c r="RXD1" s="520"/>
      <c r="RXE1" s="520"/>
      <c r="RXF1" s="520"/>
      <c r="RXG1" s="520"/>
      <c r="RXH1" s="520"/>
      <c r="RXI1" s="520"/>
      <c r="RXJ1" s="520"/>
      <c r="RXK1" s="520"/>
      <c r="RXL1" s="520"/>
      <c r="RXM1" s="520"/>
      <c r="RXN1" s="520"/>
      <c r="RXO1" s="520"/>
      <c r="RXP1" s="520"/>
      <c r="RXQ1" s="520"/>
      <c r="RXR1" s="520"/>
      <c r="RXS1" s="520"/>
      <c r="RXT1" s="520"/>
      <c r="RXU1" s="520"/>
      <c r="RXV1" s="520"/>
      <c r="RXW1" s="520"/>
      <c r="RXX1" s="520"/>
      <c r="RXY1" s="520"/>
      <c r="RXZ1" s="520"/>
      <c r="RYA1" s="520"/>
      <c r="RYB1" s="520"/>
      <c r="RYC1" s="520"/>
      <c r="RYD1" s="520"/>
      <c r="RYE1" s="520"/>
      <c r="RYF1" s="520"/>
      <c r="RYG1" s="520"/>
      <c r="RYH1" s="520"/>
      <c r="RYI1" s="520"/>
      <c r="RYJ1" s="520"/>
      <c r="RYK1" s="520"/>
      <c r="RYL1" s="520"/>
      <c r="RYM1" s="520"/>
      <c r="RYN1" s="520"/>
      <c r="RYO1" s="520"/>
      <c r="RYP1" s="520"/>
      <c r="RYQ1" s="520"/>
      <c r="RYR1" s="520"/>
      <c r="RYS1" s="520"/>
      <c r="RYT1" s="520"/>
      <c r="RYU1" s="520"/>
      <c r="RYV1" s="520"/>
      <c r="RYW1" s="520"/>
      <c r="RYX1" s="520"/>
      <c r="RYY1" s="520"/>
      <c r="RYZ1" s="520"/>
      <c r="RZA1" s="520"/>
      <c r="RZB1" s="520"/>
      <c r="RZC1" s="520"/>
      <c r="RZD1" s="520"/>
      <c r="RZE1" s="520"/>
      <c r="RZF1" s="520"/>
      <c r="RZG1" s="520"/>
      <c r="RZH1" s="520"/>
      <c r="RZI1" s="520"/>
      <c r="RZJ1" s="520"/>
      <c r="RZK1" s="520"/>
      <c r="RZL1" s="520"/>
      <c r="RZM1" s="520"/>
      <c r="RZN1" s="520"/>
      <c r="RZO1" s="520"/>
      <c r="RZP1" s="520"/>
      <c r="RZQ1" s="520"/>
      <c r="RZR1" s="520"/>
      <c r="RZS1" s="520"/>
      <c r="RZT1" s="520"/>
      <c r="RZU1" s="520"/>
      <c r="RZV1" s="520"/>
      <c r="RZW1" s="520"/>
      <c r="RZX1" s="520"/>
      <c r="RZY1" s="520"/>
      <c r="RZZ1" s="520"/>
      <c r="SAA1" s="520"/>
      <c r="SAB1" s="520"/>
      <c r="SAC1" s="520"/>
      <c r="SAD1" s="520"/>
      <c r="SAE1" s="520"/>
      <c r="SAF1" s="520"/>
      <c r="SAG1" s="520"/>
      <c r="SAH1" s="520"/>
      <c r="SAI1" s="520"/>
      <c r="SAJ1" s="520"/>
      <c r="SAK1" s="520"/>
      <c r="SAL1" s="520"/>
      <c r="SAM1" s="520"/>
      <c r="SAN1" s="520"/>
      <c r="SAO1" s="520"/>
      <c r="SAP1" s="520"/>
      <c r="SAQ1" s="520"/>
      <c r="SAR1" s="520"/>
      <c r="SAS1" s="520"/>
      <c r="SAT1" s="520"/>
      <c r="SAU1" s="520"/>
      <c r="SAV1" s="520"/>
      <c r="SAW1" s="520"/>
      <c r="SAX1" s="520"/>
      <c r="SAY1" s="520"/>
      <c r="SAZ1" s="520"/>
      <c r="SBA1" s="520"/>
      <c r="SBB1" s="520"/>
      <c r="SBC1" s="520"/>
      <c r="SBD1" s="520"/>
      <c r="SBE1" s="520"/>
      <c r="SBF1" s="520"/>
      <c r="SBG1" s="520"/>
      <c r="SBH1" s="520"/>
      <c r="SBI1" s="520"/>
      <c r="SBJ1" s="520"/>
      <c r="SBK1" s="520"/>
      <c r="SBL1" s="520"/>
      <c r="SBM1" s="520"/>
      <c r="SBN1" s="520"/>
      <c r="SBO1" s="520"/>
      <c r="SBP1" s="520"/>
      <c r="SBQ1" s="520"/>
      <c r="SBR1" s="520"/>
      <c r="SBS1" s="520"/>
      <c r="SBT1" s="520"/>
      <c r="SBU1" s="520"/>
      <c r="SBV1" s="520"/>
      <c r="SBW1" s="520"/>
      <c r="SBX1" s="520"/>
      <c r="SBY1" s="520"/>
      <c r="SBZ1" s="520"/>
      <c r="SCA1" s="520"/>
      <c r="SCB1" s="520"/>
      <c r="SCC1" s="520"/>
      <c r="SCD1" s="520"/>
      <c r="SCE1" s="520"/>
      <c r="SCF1" s="520"/>
      <c r="SCG1" s="520"/>
      <c r="SCH1" s="520"/>
      <c r="SCI1" s="520"/>
      <c r="SCJ1" s="520"/>
      <c r="SCK1" s="520"/>
      <c r="SCL1" s="520"/>
      <c r="SCM1" s="520"/>
      <c r="SCN1" s="520"/>
      <c r="SCO1" s="520"/>
      <c r="SCP1" s="520"/>
      <c r="SCQ1" s="520"/>
      <c r="SCR1" s="520"/>
      <c r="SCS1" s="520"/>
      <c r="SCT1" s="520"/>
      <c r="SCU1" s="520"/>
      <c r="SCV1" s="520"/>
      <c r="SCW1" s="520"/>
      <c r="SCX1" s="520"/>
      <c r="SCY1" s="520"/>
      <c r="SCZ1" s="520"/>
      <c r="SDA1" s="520"/>
      <c r="SDB1" s="520"/>
      <c r="SDC1" s="520"/>
      <c r="SDD1" s="520"/>
      <c r="SDE1" s="520"/>
      <c r="SDF1" s="520"/>
      <c r="SDG1" s="520"/>
      <c r="SDH1" s="520"/>
      <c r="SDI1" s="520"/>
      <c r="SDJ1" s="520"/>
      <c r="SDK1" s="520"/>
      <c r="SDL1" s="520"/>
      <c r="SDM1" s="520"/>
      <c r="SDN1" s="520"/>
      <c r="SDO1" s="520"/>
      <c r="SDP1" s="520"/>
      <c r="SDQ1" s="520"/>
      <c r="SDR1" s="520"/>
      <c r="SDS1" s="520"/>
      <c r="SDT1" s="520"/>
      <c r="SDU1" s="520"/>
      <c r="SDV1" s="520"/>
      <c r="SDW1" s="520"/>
      <c r="SDX1" s="520"/>
      <c r="SDY1" s="520"/>
      <c r="SDZ1" s="520"/>
      <c r="SEA1" s="520"/>
      <c r="SEB1" s="520"/>
      <c r="SEC1" s="520"/>
      <c r="SED1" s="520"/>
      <c r="SEE1" s="520"/>
      <c r="SEF1" s="520"/>
      <c r="SEG1" s="520"/>
      <c r="SEH1" s="520"/>
      <c r="SEI1" s="520"/>
      <c r="SEJ1" s="520"/>
      <c r="SEK1" s="520"/>
      <c r="SEL1" s="520"/>
      <c r="SEM1" s="520"/>
      <c r="SEN1" s="520"/>
      <c r="SEO1" s="520"/>
      <c r="SEP1" s="520"/>
      <c r="SEQ1" s="520"/>
      <c r="SER1" s="520"/>
      <c r="SES1" s="520"/>
      <c r="SET1" s="520"/>
      <c r="SEU1" s="520"/>
      <c r="SEV1" s="520"/>
      <c r="SEW1" s="520"/>
      <c r="SEX1" s="520"/>
      <c r="SEY1" s="520"/>
      <c r="SEZ1" s="520"/>
      <c r="SFA1" s="520"/>
      <c r="SFB1" s="520"/>
      <c r="SFC1" s="520"/>
      <c r="SFD1" s="520"/>
      <c r="SFE1" s="520"/>
      <c r="SFF1" s="520"/>
      <c r="SFG1" s="520"/>
      <c r="SFH1" s="520"/>
      <c r="SFI1" s="520"/>
      <c r="SFJ1" s="520"/>
      <c r="SFK1" s="520"/>
      <c r="SFL1" s="520"/>
      <c r="SFM1" s="520"/>
      <c r="SFN1" s="520"/>
      <c r="SFO1" s="520"/>
      <c r="SFP1" s="520"/>
      <c r="SFQ1" s="520"/>
      <c r="SFR1" s="520"/>
      <c r="SFS1" s="520"/>
      <c r="SFT1" s="520"/>
      <c r="SFU1" s="520"/>
      <c r="SFV1" s="520"/>
      <c r="SFW1" s="520"/>
      <c r="SFX1" s="520"/>
      <c r="SFY1" s="520"/>
      <c r="SFZ1" s="520"/>
      <c r="SGA1" s="520"/>
      <c r="SGB1" s="520"/>
      <c r="SGC1" s="520"/>
      <c r="SGD1" s="520"/>
      <c r="SGE1" s="520"/>
      <c r="SGF1" s="520"/>
      <c r="SGG1" s="520"/>
      <c r="SGH1" s="520"/>
      <c r="SGI1" s="520"/>
      <c r="SGJ1" s="520"/>
      <c r="SGK1" s="520"/>
      <c r="SGL1" s="520"/>
      <c r="SGM1" s="520"/>
      <c r="SGN1" s="520"/>
      <c r="SGO1" s="520"/>
      <c r="SGP1" s="520"/>
      <c r="SGQ1" s="520"/>
      <c r="SGR1" s="520"/>
      <c r="SGS1" s="520"/>
      <c r="SGT1" s="520"/>
      <c r="SGU1" s="520"/>
      <c r="SGV1" s="520"/>
      <c r="SGW1" s="520"/>
      <c r="SGX1" s="520"/>
      <c r="SGY1" s="520"/>
      <c r="SGZ1" s="520"/>
      <c r="SHA1" s="520"/>
      <c r="SHB1" s="520"/>
      <c r="SHC1" s="520"/>
      <c r="SHD1" s="520"/>
      <c r="SHE1" s="520"/>
      <c r="SHF1" s="520"/>
      <c r="SHG1" s="520"/>
      <c r="SHH1" s="520"/>
      <c r="SHI1" s="520"/>
      <c r="SHJ1" s="520"/>
      <c r="SHK1" s="520"/>
      <c r="SHL1" s="520"/>
      <c r="SHM1" s="520"/>
      <c r="SHN1" s="520"/>
      <c r="SHO1" s="520"/>
      <c r="SHP1" s="520"/>
      <c r="SHQ1" s="520"/>
      <c r="SHR1" s="520"/>
      <c r="SHS1" s="520"/>
      <c r="SHT1" s="520"/>
      <c r="SHU1" s="520"/>
      <c r="SHV1" s="520"/>
      <c r="SHW1" s="520"/>
      <c r="SHX1" s="520"/>
      <c r="SHY1" s="520"/>
      <c r="SHZ1" s="520"/>
      <c r="SIA1" s="520"/>
      <c r="SIB1" s="520"/>
      <c r="SIC1" s="520"/>
      <c r="SID1" s="520"/>
      <c r="SIE1" s="520"/>
      <c r="SIF1" s="520"/>
      <c r="SIG1" s="520"/>
      <c r="SIH1" s="520"/>
      <c r="SII1" s="520"/>
      <c r="SIJ1" s="520"/>
      <c r="SIK1" s="520"/>
      <c r="SIL1" s="520"/>
      <c r="SIM1" s="520"/>
      <c r="SIN1" s="520"/>
      <c r="SIO1" s="520"/>
      <c r="SIP1" s="520"/>
      <c r="SIQ1" s="520"/>
      <c r="SIR1" s="520"/>
      <c r="SIS1" s="520"/>
      <c r="SIT1" s="520"/>
      <c r="SIU1" s="520"/>
      <c r="SIV1" s="520"/>
      <c r="SIW1" s="520"/>
      <c r="SIX1" s="520"/>
      <c r="SIY1" s="520"/>
      <c r="SIZ1" s="520"/>
      <c r="SJA1" s="520"/>
      <c r="SJB1" s="520"/>
      <c r="SJC1" s="520"/>
      <c r="SJD1" s="520"/>
      <c r="SJE1" s="520"/>
      <c r="SJF1" s="520"/>
      <c r="SJG1" s="520"/>
      <c r="SJH1" s="520"/>
      <c r="SJI1" s="520"/>
      <c r="SJJ1" s="520"/>
      <c r="SJK1" s="520"/>
      <c r="SJL1" s="520"/>
      <c r="SJM1" s="520"/>
      <c r="SJN1" s="520"/>
      <c r="SJO1" s="520"/>
      <c r="SJP1" s="520"/>
      <c r="SJQ1" s="520"/>
      <c r="SJR1" s="520"/>
      <c r="SJS1" s="520"/>
      <c r="SJT1" s="520"/>
      <c r="SJU1" s="520"/>
      <c r="SJV1" s="520"/>
      <c r="SJW1" s="520"/>
      <c r="SJX1" s="520"/>
      <c r="SJY1" s="520"/>
      <c r="SJZ1" s="520"/>
      <c r="SKA1" s="520"/>
      <c r="SKB1" s="520"/>
      <c r="SKC1" s="520"/>
      <c r="SKD1" s="520"/>
      <c r="SKE1" s="520"/>
      <c r="SKF1" s="520"/>
      <c r="SKG1" s="520"/>
      <c r="SKH1" s="520"/>
      <c r="SKI1" s="520"/>
      <c r="SKJ1" s="520"/>
      <c r="SKK1" s="520"/>
      <c r="SKL1" s="520"/>
      <c r="SKM1" s="520"/>
      <c r="SKN1" s="520"/>
      <c r="SKO1" s="520"/>
      <c r="SKP1" s="520"/>
      <c r="SKQ1" s="520"/>
      <c r="SKR1" s="520"/>
      <c r="SKS1" s="520"/>
      <c r="SKT1" s="520"/>
      <c r="SKU1" s="520"/>
      <c r="SKV1" s="520"/>
      <c r="SKW1" s="520"/>
      <c r="SKX1" s="520"/>
      <c r="SKY1" s="520"/>
      <c r="SKZ1" s="520"/>
      <c r="SLA1" s="520"/>
      <c r="SLB1" s="520"/>
      <c r="SLC1" s="520"/>
      <c r="SLD1" s="520"/>
      <c r="SLE1" s="520"/>
      <c r="SLF1" s="520"/>
      <c r="SLG1" s="520"/>
      <c r="SLH1" s="520"/>
      <c r="SLI1" s="520"/>
      <c r="SLJ1" s="520"/>
      <c r="SLK1" s="520"/>
      <c r="SLL1" s="520"/>
      <c r="SLM1" s="520"/>
      <c r="SLN1" s="520"/>
      <c r="SLO1" s="520"/>
      <c r="SLP1" s="520"/>
      <c r="SLQ1" s="520"/>
      <c r="SLR1" s="520"/>
      <c r="SLS1" s="520"/>
      <c r="SLT1" s="520"/>
      <c r="SLU1" s="520"/>
      <c r="SLV1" s="520"/>
      <c r="SLW1" s="520"/>
      <c r="SLX1" s="520"/>
      <c r="SLY1" s="520"/>
      <c r="SLZ1" s="520"/>
      <c r="SMA1" s="520"/>
      <c r="SMB1" s="520"/>
      <c r="SMC1" s="520"/>
      <c r="SMD1" s="520"/>
      <c r="SME1" s="520"/>
      <c r="SMF1" s="520"/>
      <c r="SMG1" s="520"/>
      <c r="SMH1" s="520"/>
      <c r="SMI1" s="520"/>
      <c r="SMJ1" s="520"/>
      <c r="SMK1" s="520"/>
      <c r="SML1" s="520"/>
      <c r="SMM1" s="520"/>
      <c r="SMN1" s="520"/>
      <c r="SMO1" s="520"/>
      <c r="SMP1" s="520"/>
      <c r="SMQ1" s="520"/>
      <c r="SMR1" s="520"/>
      <c r="SMS1" s="520"/>
      <c r="SMT1" s="520"/>
      <c r="SMU1" s="520"/>
      <c r="SMV1" s="520"/>
      <c r="SMW1" s="520"/>
      <c r="SMX1" s="520"/>
      <c r="SMY1" s="520"/>
      <c r="SMZ1" s="520"/>
      <c r="SNA1" s="520"/>
      <c r="SNB1" s="520"/>
      <c r="SNC1" s="520"/>
      <c r="SND1" s="520"/>
      <c r="SNE1" s="520"/>
      <c r="SNF1" s="520"/>
      <c r="SNG1" s="520"/>
      <c r="SNH1" s="520"/>
      <c r="SNI1" s="520"/>
      <c r="SNJ1" s="520"/>
      <c r="SNK1" s="520"/>
      <c r="SNL1" s="520"/>
      <c r="SNM1" s="520"/>
      <c r="SNN1" s="520"/>
      <c r="SNO1" s="520"/>
      <c r="SNP1" s="520"/>
      <c r="SNQ1" s="520"/>
      <c r="SNR1" s="520"/>
      <c r="SNS1" s="520"/>
      <c r="SNT1" s="520"/>
      <c r="SNU1" s="520"/>
      <c r="SNV1" s="520"/>
      <c r="SNW1" s="520"/>
      <c r="SNX1" s="520"/>
      <c r="SNY1" s="520"/>
      <c r="SNZ1" s="520"/>
      <c r="SOA1" s="520"/>
      <c r="SOB1" s="520"/>
      <c r="SOC1" s="520"/>
      <c r="SOD1" s="520"/>
      <c r="SOE1" s="520"/>
      <c r="SOF1" s="520"/>
      <c r="SOG1" s="520"/>
      <c r="SOH1" s="520"/>
      <c r="SOI1" s="520"/>
      <c r="SOJ1" s="520"/>
      <c r="SOK1" s="520"/>
      <c r="SOL1" s="520"/>
      <c r="SOM1" s="520"/>
      <c r="SON1" s="520"/>
      <c r="SOO1" s="520"/>
      <c r="SOP1" s="520"/>
      <c r="SOQ1" s="520"/>
      <c r="SOR1" s="520"/>
      <c r="SOS1" s="520"/>
      <c r="SOT1" s="520"/>
      <c r="SOU1" s="520"/>
      <c r="SOV1" s="520"/>
      <c r="SOW1" s="520"/>
      <c r="SOX1" s="520"/>
      <c r="SOY1" s="520"/>
      <c r="SOZ1" s="520"/>
      <c r="SPA1" s="520"/>
      <c r="SPB1" s="520"/>
      <c r="SPC1" s="520"/>
      <c r="SPD1" s="520"/>
      <c r="SPE1" s="520"/>
      <c r="SPF1" s="520"/>
      <c r="SPG1" s="520"/>
      <c r="SPH1" s="520"/>
      <c r="SPI1" s="520"/>
      <c r="SPJ1" s="520"/>
      <c r="SPK1" s="520"/>
      <c r="SPL1" s="520"/>
      <c r="SPM1" s="520"/>
      <c r="SPN1" s="520"/>
      <c r="SPO1" s="520"/>
      <c r="SPP1" s="520"/>
      <c r="SPQ1" s="520"/>
      <c r="SPR1" s="520"/>
      <c r="SPS1" s="520"/>
      <c r="SPT1" s="520"/>
      <c r="SPU1" s="520"/>
      <c r="SPV1" s="520"/>
      <c r="SPW1" s="520"/>
      <c r="SPX1" s="520"/>
      <c r="SPY1" s="520"/>
      <c r="SPZ1" s="520"/>
      <c r="SQA1" s="520"/>
      <c r="SQB1" s="520"/>
      <c r="SQC1" s="520"/>
      <c r="SQD1" s="520"/>
      <c r="SQE1" s="520"/>
      <c r="SQF1" s="520"/>
      <c r="SQG1" s="520"/>
      <c r="SQH1" s="520"/>
      <c r="SQI1" s="520"/>
      <c r="SQJ1" s="520"/>
      <c r="SQK1" s="520"/>
      <c r="SQL1" s="520"/>
      <c r="SQM1" s="520"/>
      <c r="SQN1" s="520"/>
      <c r="SQO1" s="520"/>
      <c r="SQP1" s="520"/>
      <c r="SQQ1" s="520"/>
      <c r="SQR1" s="520"/>
      <c r="SQS1" s="520"/>
      <c r="SQT1" s="520"/>
      <c r="SQU1" s="520"/>
      <c r="SQV1" s="520"/>
      <c r="SQW1" s="520"/>
      <c r="SQX1" s="520"/>
      <c r="SQY1" s="520"/>
      <c r="SQZ1" s="520"/>
      <c r="SRA1" s="520"/>
      <c r="SRB1" s="520"/>
      <c r="SRC1" s="520"/>
      <c r="SRD1" s="520"/>
      <c r="SRE1" s="520"/>
      <c r="SRF1" s="520"/>
      <c r="SRG1" s="520"/>
      <c r="SRH1" s="520"/>
      <c r="SRI1" s="520"/>
      <c r="SRJ1" s="520"/>
      <c r="SRK1" s="520"/>
      <c r="SRL1" s="520"/>
      <c r="SRM1" s="520"/>
      <c r="SRN1" s="520"/>
      <c r="SRO1" s="520"/>
      <c r="SRP1" s="520"/>
      <c r="SRQ1" s="520"/>
      <c r="SRR1" s="520"/>
      <c r="SRS1" s="520"/>
      <c r="SRT1" s="520"/>
      <c r="SRU1" s="520"/>
      <c r="SRV1" s="520"/>
      <c r="SRW1" s="520"/>
      <c r="SRX1" s="520"/>
      <c r="SRY1" s="520"/>
      <c r="SRZ1" s="520"/>
      <c r="SSA1" s="520"/>
      <c r="SSB1" s="520"/>
      <c r="SSC1" s="520"/>
      <c r="SSD1" s="520"/>
      <c r="SSE1" s="520"/>
      <c r="SSF1" s="520"/>
      <c r="SSG1" s="520"/>
      <c r="SSH1" s="520"/>
      <c r="SSI1" s="520"/>
      <c r="SSJ1" s="520"/>
      <c r="SSK1" s="520"/>
      <c r="SSL1" s="520"/>
      <c r="SSM1" s="520"/>
      <c r="SSN1" s="520"/>
      <c r="SSO1" s="520"/>
      <c r="SSP1" s="520"/>
      <c r="SSQ1" s="520"/>
      <c r="SSR1" s="520"/>
      <c r="SSS1" s="520"/>
      <c r="SST1" s="520"/>
      <c r="SSU1" s="520"/>
      <c r="SSV1" s="520"/>
      <c r="SSW1" s="520"/>
      <c r="SSX1" s="520"/>
      <c r="SSY1" s="520"/>
      <c r="SSZ1" s="520"/>
      <c r="STA1" s="520"/>
      <c r="STB1" s="520"/>
      <c r="STC1" s="520"/>
      <c r="STD1" s="520"/>
      <c r="STE1" s="520"/>
      <c r="STF1" s="520"/>
      <c r="STG1" s="520"/>
      <c r="STH1" s="520"/>
      <c r="STI1" s="520"/>
      <c r="STJ1" s="520"/>
      <c r="STK1" s="520"/>
      <c r="STL1" s="520"/>
      <c r="STM1" s="520"/>
      <c r="STN1" s="520"/>
      <c r="STO1" s="520"/>
      <c r="STP1" s="520"/>
      <c r="STQ1" s="520"/>
      <c r="STR1" s="520"/>
      <c r="STS1" s="520"/>
      <c r="STT1" s="520"/>
      <c r="STU1" s="520"/>
      <c r="STV1" s="520"/>
      <c r="STW1" s="520"/>
      <c r="STX1" s="520"/>
      <c r="STY1" s="520"/>
      <c r="STZ1" s="520"/>
      <c r="SUA1" s="520"/>
      <c r="SUB1" s="520"/>
      <c r="SUC1" s="520"/>
      <c r="SUD1" s="520"/>
      <c r="SUE1" s="520"/>
      <c r="SUF1" s="520"/>
      <c r="SUG1" s="520"/>
      <c r="SUH1" s="520"/>
      <c r="SUI1" s="520"/>
      <c r="SUJ1" s="520"/>
      <c r="SUK1" s="520"/>
      <c r="SUL1" s="520"/>
      <c r="SUM1" s="520"/>
      <c r="SUN1" s="520"/>
      <c r="SUO1" s="520"/>
      <c r="SUP1" s="520"/>
      <c r="SUQ1" s="520"/>
      <c r="SUR1" s="520"/>
      <c r="SUS1" s="520"/>
      <c r="SUT1" s="520"/>
      <c r="SUU1" s="520"/>
      <c r="SUV1" s="520"/>
      <c r="SUW1" s="520"/>
      <c r="SUX1" s="520"/>
      <c r="SUY1" s="520"/>
      <c r="SUZ1" s="520"/>
      <c r="SVA1" s="520"/>
      <c r="SVB1" s="520"/>
      <c r="SVC1" s="520"/>
      <c r="SVD1" s="520"/>
      <c r="SVE1" s="520"/>
      <c r="SVF1" s="520"/>
      <c r="SVG1" s="520"/>
      <c r="SVH1" s="520"/>
      <c r="SVI1" s="520"/>
      <c r="SVJ1" s="520"/>
      <c r="SVK1" s="520"/>
      <c r="SVL1" s="520"/>
      <c r="SVM1" s="520"/>
      <c r="SVN1" s="520"/>
      <c r="SVO1" s="520"/>
      <c r="SVP1" s="520"/>
      <c r="SVQ1" s="520"/>
      <c r="SVR1" s="520"/>
      <c r="SVS1" s="520"/>
      <c r="SVT1" s="520"/>
      <c r="SVU1" s="520"/>
      <c r="SVV1" s="520"/>
      <c r="SVW1" s="520"/>
      <c r="SVX1" s="520"/>
      <c r="SVY1" s="520"/>
      <c r="SVZ1" s="520"/>
      <c r="SWA1" s="520"/>
      <c r="SWB1" s="520"/>
      <c r="SWC1" s="520"/>
      <c r="SWD1" s="520"/>
      <c r="SWE1" s="520"/>
      <c r="SWF1" s="520"/>
      <c r="SWG1" s="520"/>
      <c r="SWH1" s="520"/>
      <c r="SWI1" s="520"/>
      <c r="SWJ1" s="520"/>
      <c r="SWK1" s="520"/>
      <c r="SWL1" s="520"/>
      <c r="SWM1" s="520"/>
      <c r="SWN1" s="520"/>
      <c r="SWO1" s="520"/>
      <c r="SWP1" s="520"/>
      <c r="SWQ1" s="520"/>
      <c r="SWR1" s="520"/>
      <c r="SWS1" s="520"/>
      <c r="SWT1" s="520"/>
      <c r="SWU1" s="520"/>
      <c r="SWV1" s="520"/>
      <c r="SWW1" s="520"/>
      <c r="SWX1" s="520"/>
      <c r="SWY1" s="520"/>
      <c r="SWZ1" s="520"/>
      <c r="SXA1" s="520"/>
      <c r="SXB1" s="520"/>
      <c r="SXC1" s="520"/>
      <c r="SXD1" s="520"/>
      <c r="SXE1" s="520"/>
      <c r="SXF1" s="520"/>
      <c r="SXG1" s="520"/>
      <c r="SXH1" s="520"/>
      <c r="SXI1" s="520"/>
      <c r="SXJ1" s="520"/>
      <c r="SXK1" s="520"/>
      <c r="SXL1" s="520"/>
      <c r="SXM1" s="520"/>
      <c r="SXN1" s="520"/>
      <c r="SXO1" s="520"/>
      <c r="SXP1" s="520"/>
      <c r="SXQ1" s="520"/>
      <c r="SXR1" s="520"/>
      <c r="SXS1" s="520"/>
      <c r="SXT1" s="520"/>
      <c r="SXU1" s="520"/>
      <c r="SXV1" s="520"/>
      <c r="SXW1" s="520"/>
      <c r="SXX1" s="520"/>
      <c r="SXY1" s="520"/>
      <c r="SXZ1" s="520"/>
      <c r="SYA1" s="520"/>
      <c r="SYB1" s="520"/>
      <c r="SYC1" s="520"/>
      <c r="SYD1" s="520"/>
      <c r="SYE1" s="520"/>
      <c r="SYF1" s="520"/>
      <c r="SYG1" s="520"/>
      <c r="SYH1" s="520"/>
      <c r="SYI1" s="520"/>
      <c r="SYJ1" s="520"/>
      <c r="SYK1" s="520"/>
      <c r="SYL1" s="520"/>
      <c r="SYM1" s="520"/>
      <c r="SYN1" s="520"/>
      <c r="SYO1" s="520"/>
      <c r="SYP1" s="520"/>
      <c r="SYQ1" s="520"/>
      <c r="SYR1" s="520"/>
      <c r="SYS1" s="520"/>
      <c r="SYT1" s="520"/>
      <c r="SYU1" s="520"/>
      <c r="SYV1" s="520"/>
      <c r="SYW1" s="520"/>
      <c r="SYX1" s="520"/>
      <c r="SYY1" s="520"/>
      <c r="SYZ1" s="520"/>
      <c r="SZA1" s="520"/>
      <c r="SZB1" s="520"/>
      <c r="SZC1" s="520"/>
      <c r="SZD1" s="520"/>
      <c r="SZE1" s="520"/>
      <c r="SZF1" s="520"/>
      <c r="SZG1" s="520"/>
      <c r="SZH1" s="520"/>
      <c r="SZI1" s="520"/>
      <c r="SZJ1" s="520"/>
      <c r="SZK1" s="520"/>
      <c r="SZL1" s="520"/>
      <c r="SZM1" s="520"/>
      <c r="SZN1" s="520"/>
      <c r="SZO1" s="520"/>
      <c r="SZP1" s="520"/>
      <c r="SZQ1" s="520"/>
      <c r="SZR1" s="520"/>
      <c r="SZS1" s="520"/>
      <c r="SZT1" s="520"/>
      <c r="SZU1" s="520"/>
      <c r="SZV1" s="520"/>
      <c r="SZW1" s="520"/>
      <c r="SZX1" s="520"/>
      <c r="SZY1" s="520"/>
      <c r="SZZ1" s="520"/>
      <c r="TAA1" s="520"/>
      <c r="TAB1" s="520"/>
      <c r="TAC1" s="520"/>
      <c r="TAD1" s="520"/>
      <c r="TAE1" s="520"/>
      <c r="TAF1" s="520"/>
      <c r="TAG1" s="520"/>
      <c r="TAH1" s="520"/>
      <c r="TAI1" s="520"/>
      <c r="TAJ1" s="520"/>
      <c r="TAK1" s="520"/>
      <c r="TAL1" s="520"/>
      <c r="TAM1" s="520"/>
      <c r="TAN1" s="520"/>
      <c r="TAO1" s="520"/>
      <c r="TAP1" s="520"/>
      <c r="TAQ1" s="520"/>
      <c r="TAR1" s="520"/>
      <c r="TAS1" s="520"/>
      <c r="TAT1" s="520"/>
      <c r="TAU1" s="520"/>
      <c r="TAV1" s="520"/>
      <c r="TAW1" s="520"/>
      <c r="TAX1" s="520"/>
      <c r="TAY1" s="520"/>
      <c r="TAZ1" s="520"/>
      <c r="TBA1" s="520"/>
      <c r="TBB1" s="520"/>
      <c r="TBC1" s="520"/>
      <c r="TBD1" s="520"/>
      <c r="TBE1" s="520"/>
      <c r="TBF1" s="520"/>
      <c r="TBG1" s="520"/>
      <c r="TBH1" s="520"/>
      <c r="TBI1" s="520"/>
      <c r="TBJ1" s="520"/>
      <c r="TBK1" s="520"/>
      <c r="TBL1" s="520"/>
      <c r="TBM1" s="520"/>
      <c r="TBN1" s="520"/>
      <c r="TBO1" s="520"/>
      <c r="TBP1" s="520"/>
      <c r="TBQ1" s="520"/>
      <c r="TBR1" s="520"/>
      <c r="TBS1" s="520"/>
      <c r="TBT1" s="520"/>
      <c r="TBU1" s="520"/>
      <c r="TBV1" s="520"/>
      <c r="TBW1" s="520"/>
      <c r="TBX1" s="520"/>
      <c r="TBY1" s="520"/>
      <c r="TBZ1" s="520"/>
      <c r="TCA1" s="520"/>
      <c r="TCB1" s="520"/>
      <c r="TCC1" s="520"/>
      <c r="TCD1" s="520"/>
      <c r="TCE1" s="520"/>
      <c r="TCF1" s="520"/>
      <c r="TCG1" s="520"/>
      <c r="TCH1" s="520"/>
      <c r="TCI1" s="520"/>
      <c r="TCJ1" s="520"/>
      <c r="TCK1" s="520"/>
      <c r="TCL1" s="520"/>
      <c r="TCM1" s="520"/>
      <c r="TCN1" s="520"/>
      <c r="TCO1" s="520"/>
      <c r="TCP1" s="520"/>
      <c r="TCQ1" s="520"/>
      <c r="TCR1" s="520"/>
      <c r="TCS1" s="520"/>
      <c r="TCT1" s="520"/>
      <c r="TCU1" s="520"/>
      <c r="TCV1" s="520"/>
      <c r="TCW1" s="520"/>
      <c r="TCX1" s="520"/>
      <c r="TCY1" s="520"/>
      <c r="TCZ1" s="520"/>
      <c r="TDA1" s="520"/>
      <c r="TDB1" s="520"/>
      <c r="TDC1" s="520"/>
      <c r="TDD1" s="520"/>
      <c r="TDE1" s="520"/>
      <c r="TDF1" s="520"/>
      <c r="TDG1" s="520"/>
      <c r="TDH1" s="520"/>
      <c r="TDI1" s="520"/>
      <c r="TDJ1" s="520"/>
      <c r="TDK1" s="520"/>
      <c r="TDL1" s="520"/>
      <c r="TDM1" s="520"/>
      <c r="TDN1" s="520"/>
      <c r="TDO1" s="520"/>
      <c r="TDP1" s="520"/>
      <c r="TDQ1" s="520"/>
      <c r="TDR1" s="520"/>
      <c r="TDS1" s="520"/>
      <c r="TDT1" s="520"/>
      <c r="TDU1" s="520"/>
      <c r="TDV1" s="520"/>
      <c r="TDW1" s="520"/>
      <c r="TDX1" s="520"/>
      <c r="TDY1" s="520"/>
      <c r="TDZ1" s="520"/>
      <c r="TEA1" s="520"/>
      <c r="TEB1" s="520"/>
      <c r="TEC1" s="520"/>
      <c r="TED1" s="520"/>
      <c r="TEE1" s="520"/>
      <c r="TEF1" s="520"/>
      <c r="TEG1" s="520"/>
      <c r="TEH1" s="520"/>
      <c r="TEI1" s="520"/>
      <c r="TEJ1" s="520"/>
      <c r="TEK1" s="520"/>
      <c r="TEL1" s="520"/>
      <c r="TEM1" s="520"/>
      <c r="TEN1" s="520"/>
      <c r="TEO1" s="520"/>
      <c r="TEP1" s="520"/>
      <c r="TEQ1" s="520"/>
      <c r="TER1" s="520"/>
      <c r="TES1" s="520"/>
      <c r="TET1" s="520"/>
      <c r="TEU1" s="520"/>
      <c r="TEV1" s="520"/>
      <c r="TEW1" s="520"/>
      <c r="TEX1" s="520"/>
      <c r="TEY1" s="520"/>
      <c r="TEZ1" s="520"/>
      <c r="TFA1" s="520"/>
      <c r="TFB1" s="520"/>
      <c r="TFC1" s="520"/>
      <c r="TFD1" s="520"/>
      <c r="TFE1" s="520"/>
      <c r="TFF1" s="520"/>
      <c r="TFG1" s="520"/>
      <c r="TFH1" s="520"/>
      <c r="TFI1" s="520"/>
      <c r="TFJ1" s="520"/>
      <c r="TFK1" s="520"/>
      <c r="TFL1" s="520"/>
      <c r="TFM1" s="520"/>
      <c r="TFN1" s="520"/>
      <c r="TFO1" s="520"/>
      <c r="TFP1" s="520"/>
      <c r="TFQ1" s="520"/>
      <c r="TFR1" s="520"/>
      <c r="TFS1" s="520"/>
      <c r="TFT1" s="520"/>
      <c r="TFU1" s="520"/>
      <c r="TFV1" s="520"/>
      <c r="TFW1" s="520"/>
      <c r="TFX1" s="520"/>
      <c r="TFY1" s="520"/>
      <c r="TFZ1" s="520"/>
      <c r="TGA1" s="520"/>
      <c r="TGB1" s="520"/>
      <c r="TGC1" s="520"/>
      <c r="TGD1" s="520"/>
      <c r="TGE1" s="520"/>
      <c r="TGF1" s="520"/>
      <c r="TGG1" s="520"/>
      <c r="TGH1" s="520"/>
      <c r="TGI1" s="520"/>
      <c r="TGJ1" s="520"/>
      <c r="TGK1" s="520"/>
      <c r="TGL1" s="520"/>
      <c r="TGM1" s="520"/>
      <c r="TGN1" s="520"/>
      <c r="TGO1" s="520"/>
      <c r="TGP1" s="520"/>
      <c r="TGQ1" s="520"/>
      <c r="TGR1" s="520"/>
      <c r="TGS1" s="520"/>
      <c r="TGT1" s="520"/>
      <c r="TGU1" s="520"/>
      <c r="TGV1" s="520"/>
      <c r="TGW1" s="520"/>
      <c r="TGX1" s="520"/>
      <c r="TGY1" s="520"/>
      <c r="TGZ1" s="520"/>
      <c r="THA1" s="520"/>
      <c r="THB1" s="520"/>
      <c r="THC1" s="520"/>
      <c r="THD1" s="520"/>
      <c r="THE1" s="520"/>
      <c r="THF1" s="520"/>
      <c r="THG1" s="520"/>
      <c r="THH1" s="520"/>
      <c r="THI1" s="520"/>
      <c r="THJ1" s="520"/>
      <c r="THK1" s="520"/>
      <c r="THL1" s="520"/>
      <c r="THM1" s="520"/>
      <c r="THN1" s="520"/>
      <c r="THO1" s="520"/>
      <c r="THP1" s="520"/>
      <c r="THQ1" s="520"/>
      <c r="THR1" s="520"/>
      <c r="THS1" s="520"/>
      <c r="THT1" s="520"/>
      <c r="THU1" s="520"/>
      <c r="THV1" s="520"/>
      <c r="THW1" s="520"/>
      <c r="THX1" s="520"/>
      <c r="THY1" s="520"/>
      <c r="THZ1" s="520"/>
      <c r="TIA1" s="520"/>
      <c r="TIB1" s="520"/>
      <c r="TIC1" s="520"/>
      <c r="TID1" s="520"/>
      <c r="TIE1" s="520"/>
      <c r="TIF1" s="520"/>
      <c r="TIG1" s="520"/>
      <c r="TIH1" s="520"/>
      <c r="TII1" s="520"/>
      <c r="TIJ1" s="520"/>
      <c r="TIK1" s="520"/>
      <c r="TIL1" s="520"/>
      <c r="TIM1" s="520"/>
      <c r="TIN1" s="520"/>
      <c r="TIO1" s="520"/>
      <c r="TIP1" s="520"/>
      <c r="TIQ1" s="520"/>
      <c r="TIR1" s="520"/>
      <c r="TIS1" s="520"/>
      <c r="TIT1" s="520"/>
      <c r="TIU1" s="520"/>
      <c r="TIV1" s="520"/>
      <c r="TIW1" s="520"/>
      <c r="TIX1" s="520"/>
      <c r="TIY1" s="520"/>
      <c r="TIZ1" s="520"/>
      <c r="TJA1" s="520"/>
      <c r="TJB1" s="520"/>
      <c r="TJC1" s="520"/>
      <c r="TJD1" s="520"/>
      <c r="TJE1" s="520"/>
      <c r="TJF1" s="520"/>
      <c r="TJG1" s="520"/>
      <c r="TJH1" s="520"/>
      <c r="TJI1" s="520"/>
      <c r="TJJ1" s="520"/>
      <c r="TJK1" s="520"/>
      <c r="TJL1" s="520"/>
      <c r="TJM1" s="520"/>
      <c r="TJN1" s="520"/>
      <c r="TJO1" s="520"/>
      <c r="TJP1" s="520"/>
      <c r="TJQ1" s="520"/>
      <c r="TJR1" s="520"/>
      <c r="TJS1" s="520"/>
      <c r="TJT1" s="520"/>
      <c r="TJU1" s="520"/>
      <c r="TJV1" s="520"/>
      <c r="TJW1" s="520"/>
      <c r="TJX1" s="520"/>
      <c r="TJY1" s="520"/>
      <c r="TJZ1" s="520"/>
      <c r="TKA1" s="520"/>
      <c r="TKB1" s="520"/>
      <c r="TKC1" s="520"/>
      <c r="TKD1" s="520"/>
      <c r="TKE1" s="520"/>
      <c r="TKF1" s="520"/>
      <c r="TKG1" s="520"/>
      <c r="TKH1" s="520"/>
      <c r="TKI1" s="520"/>
      <c r="TKJ1" s="520"/>
      <c r="TKK1" s="520"/>
      <c r="TKL1" s="520"/>
      <c r="TKM1" s="520"/>
      <c r="TKN1" s="520"/>
      <c r="TKO1" s="520"/>
      <c r="TKP1" s="520"/>
      <c r="TKQ1" s="520"/>
      <c r="TKR1" s="520"/>
      <c r="TKS1" s="520"/>
      <c r="TKT1" s="520"/>
      <c r="TKU1" s="520"/>
      <c r="TKV1" s="520"/>
      <c r="TKW1" s="520"/>
      <c r="TKX1" s="520"/>
      <c r="TKY1" s="520"/>
      <c r="TKZ1" s="520"/>
      <c r="TLA1" s="520"/>
      <c r="TLB1" s="520"/>
      <c r="TLC1" s="520"/>
      <c r="TLD1" s="520"/>
      <c r="TLE1" s="520"/>
      <c r="TLF1" s="520"/>
      <c r="TLG1" s="520"/>
      <c r="TLH1" s="520"/>
      <c r="TLI1" s="520"/>
      <c r="TLJ1" s="520"/>
      <c r="TLK1" s="520"/>
      <c r="TLL1" s="520"/>
      <c r="TLM1" s="520"/>
      <c r="TLN1" s="520"/>
      <c r="TLO1" s="520"/>
      <c r="TLP1" s="520"/>
      <c r="TLQ1" s="520"/>
      <c r="TLR1" s="520"/>
      <c r="TLS1" s="520"/>
      <c r="TLT1" s="520"/>
      <c r="TLU1" s="520"/>
      <c r="TLV1" s="520"/>
      <c r="TLW1" s="520"/>
      <c r="TLX1" s="520"/>
      <c r="TLY1" s="520"/>
      <c r="TLZ1" s="520"/>
      <c r="TMA1" s="520"/>
      <c r="TMB1" s="520"/>
      <c r="TMC1" s="520"/>
      <c r="TMD1" s="520"/>
      <c r="TME1" s="520"/>
      <c r="TMF1" s="520"/>
      <c r="TMG1" s="520"/>
      <c r="TMH1" s="520"/>
      <c r="TMI1" s="520"/>
      <c r="TMJ1" s="520"/>
      <c r="TMK1" s="520"/>
      <c r="TML1" s="520"/>
      <c r="TMM1" s="520"/>
      <c r="TMN1" s="520"/>
      <c r="TMO1" s="520"/>
      <c r="TMP1" s="520"/>
      <c r="TMQ1" s="520"/>
      <c r="TMR1" s="520"/>
      <c r="TMS1" s="520"/>
      <c r="TMT1" s="520"/>
      <c r="TMU1" s="520"/>
      <c r="TMV1" s="520"/>
      <c r="TMW1" s="520"/>
      <c r="TMX1" s="520"/>
      <c r="TMY1" s="520"/>
      <c r="TMZ1" s="520"/>
      <c r="TNA1" s="520"/>
      <c r="TNB1" s="520"/>
      <c r="TNC1" s="520"/>
      <c r="TND1" s="520"/>
      <c r="TNE1" s="520"/>
      <c r="TNF1" s="520"/>
      <c r="TNG1" s="520"/>
      <c r="TNH1" s="520"/>
      <c r="TNI1" s="520"/>
      <c r="TNJ1" s="520"/>
      <c r="TNK1" s="520"/>
      <c r="TNL1" s="520"/>
      <c r="TNM1" s="520"/>
      <c r="TNN1" s="520"/>
      <c r="TNO1" s="520"/>
      <c r="TNP1" s="520"/>
      <c r="TNQ1" s="520"/>
      <c r="TNR1" s="520"/>
      <c r="TNS1" s="520"/>
      <c r="TNT1" s="520"/>
      <c r="TNU1" s="520"/>
      <c r="TNV1" s="520"/>
      <c r="TNW1" s="520"/>
      <c r="TNX1" s="520"/>
      <c r="TNY1" s="520"/>
      <c r="TNZ1" s="520"/>
      <c r="TOA1" s="520"/>
      <c r="TOB1" s="520"/>
      <c r="TOC1" s="520"/>
      <c r="TOD1" s="520"/>
      <c r="TOE1" s="520"/>
      <c r="TOF1" s="520"/>
      <c r="TOG1" s="520"/>
      <c r="TOH1" s="520"/>
      <c r="TOI1" s="520"/>
      <c r="TOJ1" s="520"/>
      <c r="TOK1" s="520"/>
      <c r="TOL1" s="520"/>
      <c r="TOM1" s="520"/>
      <c r="TON1" s="520"/>
      <c r="TOO1" s="520"/>
      <c r="TOP1" s="520"/>
      <c r="TOQ1" s="520"/>
      <c r="TOR1" s="520"/>
      <c r="TOS1" s="520"/>
      <c r="TOT1" s="520"/>
      <c r="TOU1" s="520"/>
      <c r="TOV1" s="520"/>
      <c r="TOW1" s="520"/>
      <c r="TOX1" s="520"/>
      <c r="TOY1" s="520"/>
      <c r="TOZ1" s="520"/>
      <c r="TPA1" s="520"/>
      <c r="TPB1" s="520"/>
      <c r="TPC1" s="520"/>
      <c r="TPD1" s="520"/>
      <c r="TPE1" s="520"/>
      <c r="TPF1" s="520"/>
      <c r="TPG1" s="520"/>
      <c r="TPH1" s="520"/>
      <c r="TPI1" s="520"/>
      <c r="TPJ1" s="520"/>
      <c r="TPK1" s="520"/>
      <c r="TPL1" s="520"/>
      <c r="TPM1" s="520"/>
      <c r="TPN1" s="520"/>
      <c r="TPO1" s="520"/>
      <c r="TPP1" s="520"/>
      <c r="TPQ1" s="520"/>
      <c r="TPR1" s="520"/>
      <c r="TPS1" s="520"/>
      <c r="TPT1" s="520"/>
      <c r="TPU1" s="520"/>
      <c r="TPV1" s="520"/>
      <c r="TPW1" s="520"/>
      <c r="TPX1" s="520"/>
      <c r="TPY1" s="520"/>
      <c r="TPZ1" s="520"/>
      <c r="TQA1" s="520"/>
      <c r="TQB1" s="520"/>
      <c r="TQC1" s="520"/>
      <c r="TQD1" s="520"/>
      <c r="TQE1" s="520"/>
      <c r="TQF1" s="520"/>
      <c r="TQG1" s="520"/>
      <c r="TQH1" s="520"/>
      <c r="TQI1" s="520"/>
      <c r="TQJ1" s="520"/>
      <c r="TQK1" s="520"/>
      <c r="TQL1" s="520"/>
      <c r="TQM1" s="520"/>
      <c r="TQN1" s="520"/>
      <c r="TQO1" s="520"/>
      <c r="TQP1" s="520"/>
      <c r="TQQ1" s="520"/>
      <c r="TQR1" s="520"/>
      <c r="TQS1" s="520"/>
      <c r="TQT1" s="520"/>
      <c r="TQU1" s="520"/>
      <c r="TQV1" s="520"/>
      <c r="TQW1" s="520"/>
      <c r="TQX1" s="520"/>
      <c r="TQY1" s="520"/>
      <c r="TQZ1" s="520"/>
      <c r="TRA1" s="520"/>
      <c r="TRB1" s="520"/>
      <c r="TRC1" s="520"/>
      <c r="TRD1" s="520"/>
      <c r="TRE1" s="520"/>
      <c r="TRF1" s="520"/>
      <c r="TRG1" s="520"/>
      <c r="TRH1" s="520"/>
      <c r="TRI1" s="520"/>
      <c r="TRJ1" s="520"/>
      <c r="TRK1" s="520"/>
      <c r="TRL1" s="520"/>
      <c r="TRM1" s="520"/>
      <c r="TRN1" s="520"/>
      <c r="TRO1" s="520"/>
      <c r="TRP1" s="520"/>
      <c r="TRQ1" s="520"/>
      <c r="TRR1" s="520"/>
      <c r="TRS1" s="520"/>
      <c r="TRT1" s="520"/>
      <c r="TRU1" s="520"/>
      <c r="TRV1" s="520"/>
      <c r="TRW1" s="520"/>
      <c r="TRX1" s="520"/>
      <c r="TRY1" s="520"/>
      <c r="TRZ1" s="520"/>
      <c r="TSA1" s="520"/>
      <c r="TSB1" s="520"/>
      <c r="TSC1" s="520"/>
      <c r="TSD1" s="520"/>
      <c r="TSE1" s="520"/>
      <c r="TSF1" s="520"/>
      <c r="TSG1" s="520"/>
      <c r="TSH1" s="520"/>
      <c r="TSI1" s="520"/>
      <c r="TSJ1" s="520"/>
      <c r="TSK1" s="520"/>
      <c r="TSL1" s="520"/>
      <c r="TSM1" s="520"/>
      <c r="TSN1" s="520"/>
      <c r="TSO1" s="520"/>
      <c r="TSP1" s="520"/>
      <c r="TSQ1" s="520"/>
      <c r="TSR1" s="520"/>
      <c r="TSS1" s="520"/>
      <c r="TST1" s="520"/>
      <c r="TSU1" s="520"/>
      <c r="TSV1" s="520"/>
      <c r="TSW1" s="520"/>
      <c r="TSX1" s="520"/>
      <c r="TSY1" s="520"/>
      <c r="TSZ1" s="520"/>
      <c r="TTA1" s="520"/>
      <c r="TTB1" s="520"/>
      <c r="TTC1" s="520"/>
      <c r="TTD1" s="520"/>
      <c r="TTE1" s="520"/>
      <c r="TTF1" s="520"/>
      <c r="TTG1" s="520"/>
      <c r="TTH1" s="520"/>
      <c r="TTI1" s="520"/>
      <c r="TTJ1" s="520"/>
      <c r="TTK1" s="520"/>
      <c r="TTL1" s="520"/>
      <c r="TTM1" s="520"/>
      <c r="TTN1" s="520"/>
      <c r="TTO1" s="520"/>
      <c r="TTP1" s="520"/>
      <c r="TTQ1" s="520"/>
      <c r="TTR1" s="520"/>
      <c r="TTS1" s="520"/>
      <c r="TTT1" s="520"/>
      <c r="TTU1" s="520"/>
      <c r="TTV1" s="520"/>
      <c r="TTW1" s="520"/>
      <c r="TTX1" s="520"/>
      <c r="TTY1" s="520"/>
      <c r="TTZ1" s="520"/>
      <c r="TUA1" s="520"/>
      <c r="TUB1" s="520"/>
      <c r="TUC1" s="520"/>
      <c r="TUD1" s="520"/>
      <c r="TUE1" s="520"/>
      <c r="TUF1" s="520"/>
      <c r="TUG1" s="520"/>
      <c r="TUH1" s="520"/>
      <c r="TUI1" s="520"/>
      <c r="TUJ1" s="520"/>
      <c r="TUK1" s="520"/>
      <c r="TUL1" s="520"/>
      <c r="TUM1" s="520"/>
      <c r="TUN1" s="520"/>
      <c r="TUO1" s="520"/>
      <c r="TUP1" s="520"/>
      <c r="TUQ1" s="520"/>
      <c r="TUR1" s="520"/>
      <c r="TUS1" s="520"/>
      <c r="TUT1" s="520"/>
      <c r="TUU1" s="520"/>
      <c r="TUV1" s="520"/>
      <c r="TUW1" s="520"/>
      <c r="TUX1" s="520"/>
      <c r="TUY1" s="520"/>
      <c r="TUZ1" s="520"/>
      <c r="TVA1" s="520"/>
      <c r="TVB1" s="520"/>
      <c r="TVC1" s="520"/>
      <c r="TVD1" s="520"/>
      <c r="TVE1" s="520"/>
      <c r="TVF1" s="520"/>
      <c r="TVG1" s="520"/>
      <c r="TVH1" s="520"/>
      <c r="TVI1" s="520"/>
      <c r="TVJ1" s="520"/>
      <c r="TVK1" s="520"/>
      <c r="TVL1" s="520"/>
      <c r="TVM1" s="520"/>
      <c r="TVN1" s="520"/>
      <c r="TVO1" s="520"/>
      <c r="TVP1" s="520"/>
      <c r="TVQ1" s="520"/>
      <c r="TVR1" s="520"/>
      <c r="TVS1" s="520"/>
      <c r="TVT1" s="520"/>
      <c r="TVU1" s="520"/>
      <c r="TVV1" s="520"/>
      <c r="TVW1" s="520"/>
      <c r="TVX1" s="520"/>
      <c r="TVY1" s="520"/>
      <c r="TVZ1" s="520"/>
      <c r="TWA1" s="520"/>
      <c r="TWB1" s="520"/>
      <c r="TWC1" s="520"/>
      <c r="TWD1" s="520"/>
      <c r="TWE1" s="520"/>
      <c r="TWF1" s="520"/>
      <c r="TWG1" s="520"/>
      <c r="TWH1" s="520"/>
      <c r="TWI1" s="520"/>
      <c r="TWJ1" s="520"/>
      <c r="TWK1" s="520"/>
      <c r="TWL1" s="520"/>
      <c r="TWM1" s="520"/>
      <c r="TWN1" s="520"/>
      <c r="TWO1" s="520"/>
      <c r="TWP1" s="520"/>
      <c r="TWQ1" s="520"/>
      <c r="TWR1" s="520"/>
      <c r="TWS1" s="520"/>
      <c r="TWT1" s="520"/>
      <c r="TWU1" s="520"/>
      <c r="TWV1" s="520"/>
      <c r="TWW1" s="520"/>
      <c r="TWX1" s="520"/>
      <c r="TWY1" s="520"/>
      <c r="TWZ1" s="520"/>
      <c r="TXA1" s="520"/>
      <c r="TXB1" s="520"/>
      <c r="TXC1" s="520"/>
      <c r="TXD1" s="520"/>
      <c r="TXE1" s="520"/>
      <c r="TXF1" s="520"/>
      <c r="TXG1" s="520"/>
      <c r="TXH1" s="520"/>
      <c r="TXI1" s="520"/>
      <c r="TXJ1" s="520"/>
      <c r="TXK1" s="520"/>
      <c r="TXL1" s="520"/>
      <c r="TXM1" s="520"/>
      <c r="TXN1" s="520"/>
      <c r="TXO1" s="520"/>
      <c r="TXP1" s="520"/>
      <c r="TXQ1" s="520"/>
      <c r="TXR1" s="520"/>
      <c r="TXS1" s="520"/>
      <c r="TXT1" s="520"/>
      <c r="TXU1" s="520"/>
      <c r="TXV1" s="520"/>
      <c r="TXW1" s="520"/>
      <c r="TXX1" s="520"/>
      <c r="TXY1" s="520"/>
      <c r="TXZ1" s="520"/>
      <c r="TYA1" s="520"/>
      <c r="TYB1" s="520"/>
      <c r="TYC1" s="520"/>
      <c r="TYD1" s="520"/>
      <c r="TYE1" s="520"/>
      <c r="TYF1" s="520"/>
      <c r="TYG1" s="520"/>
      <c r="TYH1" s="520"/>
      <c r="TYI1" s="520"/>
      <c r="TYJ1" s="520"/>
      <c r="TYK1" s="520"/>
      <c r="TYL1" s="520"/>
      <c r="TYM1" s="520"/>
      <c r="TYN1" s="520"/>
      <c r="TYO1" s="520"/>
      <c r="TYP1" s="520"/>
      <c r="TYQ1" s="520"/>
      <c r="TYR1" s="520"/>
      <c r="TYS1" s="520"/>
      <c r="TYT1" s="520"/>
      <c r="TYU1" s="520"/>
      <c r="TYV1" s="520"/>
      <c r="TYW1" s="520"/>
      <c r="TYX1" s="520"/>
      <c r="TYY1" s="520"/>
      <c r="TYZ1" s="520"/>
      <c r="TZA1" s="520"/>
      <c r="TZB1" s="520"/>
      <c r="TZC1" s="520"/>
      <c r="TZD1" s="520"/>
      <c r="TZE1" s="520"/>
      <c r="TZF1" s="520"/>
      <c r="TZG1" s="520"/>
      <c r="TZH1" s="520"/>
      <c r="TZI1" s="520"/>
      <c r="TZJ1" s="520"/>
      <c r="TZK1" s="520"/>
      <c r="TZL1" s="520"/>
      <c r="TZM1" s="520"/>
      <c r="TZN1" s="520"/>
      <c r="TZO1" s="520"/>
      <c r="TZP1" s="520"/>
      <c r="TZQ1" s="520"/>
      <c r="TZR1" s="520"/>
      <c r="TZS1" s="520"/>
      <c r="TZT1" s="520"/>
      <c r="TZU1" s="520"/>
      <c r="TZV1" s="520"/>
      <c r="TZW1" s="520"/>
      <c r="TZX1" s="520"/>
      <c r="TZY1" s="520"/>
      <c r="TZZ1" s="520"/>
      <c r="UAA1" s="520"/>
      <c r="UAB1" s="520"/>
      <c r="UAC1" s="520"/>
      <c r="UAD1" s="520"/>
      <c r="UAE1" s="520"/>
      <c r="UAF1" s="520"/>
      <c r="UAG1" s="520"/>
      <c r="UAH1" s="520"/>
      <c r="UAI1" s="520"/>
      <c r="UAJ1" s="520"/>
      <c r="UAK1" s="520"/>
      <c r="UAL1" s="520"/>
      <c r="UAM1" s="520"/>
      <c r="UAN1" s="520"/>
      <c r="UAO1" s="520"/>
      <c r="UAP1" s="520"/>
      <c r="UAQ1" s="520"/>
      <c r="UAR1" s="520"/>
      <c r="UAS1" s="520"/>
      <c r="UAT1" s="520"/>
      <c r="UAU1" s="520"/>
      <c r="UAV1" s="520"/>
      <c r="UAW1" s="520"/>
      <c r="UAX1" s="520"/>
      <c r="UAY1" s="520"/>
      <c r="UAZ1" s="520"/>
      <c r="UBA1" s="520"/>
      <c r="UBB1" s="520"/>
      <c r="UBC1" s="520"/>
      <c r="UBD1" s="520"/>
      <c r="UBE1" s="520"/>
      <c r="UBF1" s="520"/>
      <c r="UBG1" s="520"/>
      <c r="UBH1" s="520"/>
      <c r="UBI1" s="520"/>
      <c r="UBJ1" s="520"/>
      <c r="UBK1" s="520"/>
      <c r="UBL1" s="520"/>
      <c r="UBM1" s="520"/>
      <c r="UBN1" s="520"/>
      <c r="UBO1" s="520"/>
      <c r="UBP1" s="520"/>
      <c r="UBQ1" s="520"/>
      <c r="UBR1" s="520"/>
      <c r="UBS1" s="520"/>
      <c r="UBT1" s="520"/>
      <c r="UBU1" s="520"/>
      <c r="UBV1" s="520"/>
      <c r="UBW1" s="520"/>
      <c r="UBX1" s="520"/>
      <c r="UBY1" s="520"/>
      <c r="UBZ1" s="520"/>
      <c r="UCA1" s="520"/>
      <c r="UCB1" s="520"/>
      <c r="UCC1" s="520"/>
      <c r="UCD1" s="520"/>
      <c r="UCE1" s="520"/>
      <c r="UCF1" s="520"/>
      <c r="UCG1" s="520"/>
      <c r="UCH1" s="520"/>
      <c r="UCI1" s="520"/>
      <c r="UCJ1" s="520"/>
      <c r="UCK1" s="520"/>
      <c r="UCL1" s="520"/>
      <c r="UCM1" s="520"/>
      <c r="UCN1" s="520"/>
      <c r="UCO1" s="520"/>
      <c r="UCP1" s="520"/>
      <c r="UCQ1" s="520"/>
      <c r="UCR1" s="520"/>
      <c r="UCS1" s="520"/>
      <c r="UCT1" s="520"/>
      <c r="UCU1" s="520"/>
      <c r="UCV1" s="520"/>
      <c r="UCW1" s="520"/>
      <c r="UCX1" s="520"/>
      <c r="UCY1" s="520"/>
      <c r="UCZ1" s="520"/>
      <c r="UDA1" s="520"/>
      <c r="UDB1" s="520"/>
      <c r="UDC1" s="520"/>
      <c r="UDD1" s="520"/>
      <c r="UDE1" s="520"/>
      <c r="UDF1" s="520"/>
      <c r="UDG1" s="520"/>
      <c r="UDH1" s="520"/>
      <c r="UDI1" s="520"/>
      <c r="UDJ1" s="520"/>
      <c r="UDK1" s="520"/>
      <c r="UDL1" s="520"/>
      <c r="UDM1" s="520"/>
      <c r="UDN1" s="520"/>
      <c r="UDO1" s="520"/>
      <c r="UDP1" s="520"/>
      <c r="UDQ1" s="520"/>
      <c r="UDR1" s="520"/>
      <c r="UDS1" s="520"/>
      <c r="UDT1" s="520"/>
      <c r="UDU1" s="520"/>
      <c r="UDV1" s="520"/>
      <c r="UDW1" s="520"/>
      <c r="UDX1" s="520"/>
      <c r="UDY1" s="520"/>
      <c r="UDZ1" s="520"/>
      <c r="UEA1" s="520"/>
      <c r="UEB1" s="520"/>
      <c r="UEC1" s="520"/>
      <c r="UED1" s="520"/>
      <c r="UEE1" s="520"/>
      <c r="UEF1" s="520"/>
      <c r="UEG1" s="520"/>
      <c r="UEH1" s="520"/>
      <c r="UEI1" s="520"/>
      <c r="UEJ1" s="520"/>
      <c r="UEK1" s="520"/>
      <c r="UEL1" s="520"/>
      <c r="UEM1" s="520"/>
      <c r="UEN1" s="520"/>
      <c r="UEO1" s="520"/>
      <c r="UEP1" s="520"/>
      <c r="UEQ1" s="520"/>
      <c r="UER1" s="520"/>
      <c r="UES1" s="520"/>
      <c r="UET1" s="520"/>
      <c r="UEU1" s="520"/>
      <c r="UEV1" s="520"/>
      <c r="UEW1" s="520"/>
      <c r="UEX1" s="520"/>
      <c r="UEY1" s="520"/>
      <c r="UEZ1" s="520"/>
      <c r="UFA1" s="520"/>
      <c r="UFB1" s="520"/>
      <c r="UFC1" s="520"/>
      <c r="UFD1" s="520"/>
      <c r="UFE1" s="520"/>
      <c r="UFF1" s="520"/>
      <c r="UFG1" s="520"/>
      <c r="UFH1" s="520"/>
      <c r="UFI1" s="520"/>
      <c r="UFJ1" s="520"/>
      <c r="UFK1" s="520"/>
      <c r="UFL1" s="520"/>
      <c r="UFM1" s="520"/>
      <c r="UFN1" s="520"/>
      <c r="UFO1" s="520"/>
      <c r="UFP1" s="520"/>
      <c r="UFQ1" s="520"/>
      <c r="UFR1" s="520"/>
      <c r="UFS1" s="520"/>
      <c r="UFT1" s="520"/>
      <c r="UFU1" s="520"/>
      <c r="UFV1" s="520"/>
      <c r="UFW1" s="520"/>
      <c r="UFX1" s="520"/>
      <c r="UFY1" s="520"/>
      <c r="UFZ1" s="520"/>
      <c r="UGA1" s="520"/>
      <c r="UGB1" s="520"/>
      <c r="UGC1" s="520"/>
      <c r="UGD1" s="520"/>
      <c r="UGE1" s="520"/>
      <c r="UGF1" s="520"/>
      <c r="UGG1" s="520"/>
      <c r="UGH1" s="520"/>
      <c r="UGI1" s="520"/>
      <c r="UGJ1" s="520"/>
      <c r="UGK1" s="520"/>
      <c r="UGL1" s="520"/>
      <c r="UGM1" s="520"/>
      <c r="UGN1" s="520"/>
      <c r="UGO1" s="520"/>
      <c r="UGP1" s="520"/>
      <c r="UGQ1" s="520"/>
      <c r="UGR1" s="520"/>
      <c r="UGS1" s="520"/>
      <c r="UGT1" s="520"/>
      <c r="UGU1" s="520"/>
      <c r="UGV1" s="520"/>
      <c r="UGW1" s="520"/>
      <c r="UGX1" s="520"/>
      <c r="UGY1" s="520"/>
      <c r="UGZ1" s="520"/>
      <c r="UHA1" s="520"/>
      <c r="UHB1" s="520"/>
      <c r="UHC1" s="520"/>
      <c r="UHD1" s="520"/>
      <c r="UHE1" s="520"/>
      <c r="UHF1" s="520"/>
      <c r="UHG1" s="520"/>
      <c r="UHH1" s="520"/>
      <c r="UHI1" s="520"/>
      <c r="UHJ1" s="520"/>
      <c r="UHK1" s="520"/>
      <c r="UHL1" s="520"/>
      <c r="UHM1" s="520"/>
      <c r="UHN1" s="520"/>
      <c r="UHO1" s="520"/>
      <c r="UHP1" s="520"/>
      <c r="UHQ1" s="520"/>
      <c r="UHR1" s="520"/>
      <c r="UHS1" s="520"/>
      <c r="UHT1" s="520"/>
      <c r="UHU1" s="520"/>
      <c r="UHV1" s="520"/>
      <c r="UHW1" s="520"/>
      <c r="UHX1" s="520"/>
      <c r="UHY1" s="520"/>
      <c r="UHZ1" s="520"/>
      <c r="UIA1" s="520"/>
      <c r="UIB1" s="520"/>
      <c r="UIC1" s="520"/>
      <c r="UID1" s="520"/>
      <c r="UIE1" s="520"/>
      <c r="UIF1" s="520"/>
      <c r="UIG1" s="520"/>
      <c r="UIH1" s="520"/>
      <c r="UII1" s="520"/>
      <c r="UIJ1" s="520"/>
      <c r="UIK1" s="520"/>
      <c r="UIL1" s="520"/>
      <c r="UIM1" s="520"/>
      <c r="UIN1" s="520"/>
      <c r="UIO1" s="520"/>
      <c r="UIP1" s="520"/>
      <c r="UIQ1" s="520"/>
      <c r="UIR1" s="520"/>
      <c r="UIS1" s="520"/>
      <c r="UIT1" s="520"/>
      <c r="UIU1" s="520"/>
      <c r="UIV1" s="520"/>
      <c r="UIW1" s="520"/>
      <c r="UIX1" s="520"/>
      <c r="UIY1" s="520"/>
      <c r="UIZ1" s="520"/>
      <c r="UJA1" s="520"/>
      <c r="UJB1" s="520"/>
      <c r="UJC1" s="520"/>
      <c r="UJD1" s="520"/>
      <c r="UJE1" s="520"/>
      <c r="UJF1" s="520"/>
      <c r="UJG1" s="520"/>
      <c r="UJH1" s="520"/>
      <c r="UJI1" s="520"/>
      <c r="UJJ1" s="520"/>
      <c r="UJK1" s="520"/>
      <c r="UJL1" s="520"/>
      <c r="UJM1" s="520"/>
      <c r="UJN1" s="520"/>
      <c r="UJO1" s="520"/>
      <c r="UJP1" s="520"/>
      <c r="UJQ1" s="520"/>
      <c r="UJR1" s="520"/>
      <c r="UJS1" s="520"/>
      <c r="UJT1" s="520"/>
      <c r="UJU1" s="520"/>
      <c r="UJV1" s="520"/>
      <c r="UJW1" s="520"/>
      <c r="UJX1" s="520"/>
      <c r="UJY1" s="520"/>
      <c r="UJZ1" s="520"/>
      <c r="UKA1" s="520"/>
      <c r="UKB1" s="520"/>
      <c r="UKC1" s="520"/>
      <c r="UKD1" s="520"/>
      <c r="UKE1" s="520"/>
      <c r="UKF1" s="520"/>
      <c r="UKG1" s="520"/>
      <c r="UKH1" s="520"/>
      <c r="UKI1" s="520"/>
      <c r="UKJ1" s="520"/>
      <c r="UKK1" s="520"/>
      <c r="UKL1" s="520"/>
      <c r="UKM1" s="520"/>
      <c r="UKN1" s="520"/>
      <c r="UKO1" s="520"/>
      <c r="UKP1" s="520"/>
      <c r="UKQ1" s="520"/>
      <c r="UKR1" s="520"/>
      <c r="UKS1" s="520"/>
      <c r="UKT1" s="520"/>
      <c r="UKU1" s="520"/>
      <c r="UKV1" s="520"/>
      <c r="UKW1" s="520"/>
      <c r="UKX1" s="520"/>
      <c r="UKY1" s="520"/>
      <c r="UKZ1" s="520"/>
      <c r="ULA1" s="520"/>
      <c r="ULB1" s="520"/>
      <c r="ULC1" s="520"/>
      <c r="ULD1" s="520"/>
      <c r="ULE1" s="520"/>
      <c r="ULF1" s="520"/>
      <c r="ULG1" s="520"/>
      <c r="ULH1" s="520"/>
      <c r="ULI1" s="520"/>
      <c r="ULJ1" s="520"/>
      <c r="ULK1" s="520"/>
      <c r="ULL1" s="520"/>
      <c r="ULM1" s="520"/>
      <c r="ULN1" s="520"/>
      <c r="ULO1" s="520"/>
      <c r="ULP1" s="520"/>
      <c r="ULQ1" s="520"/>
      <c r="ULR1" s="520"/>
      <c r="ULS1" s="520"/>
      <c r="ULT1" s="520"/>
      <c r="ULU1" s="520"/>
      <c r="ULV1" s="520"/>
      <c r="ULW1" s="520"/>
      <c r="ULX1" s="520"/>
      <c r="ULY1" s="520"/>
      <c r="ULZ1" s="520"/>
      <c r="UMA1" s="520"/>
      <c r="UMB1" s="520"/>
      <c r="UMC1" s="520"/>
      <c r="UMD1" s="520"/>
      <c r="UME1" s="520"/>
      <c r="UMF1" s="520"/>
      <c r="UMG1" s="520"/>
      <c r="UMH1" s="520"/>
      <c r="UMI1" s="520"/>
      <c r="UMJ1" s="520"/>
      <c r="UMK1" s="520"/>
      <c r="UML1" s="520"/>
      <c r="UMM1" s="520"/>
      <c r="UMN1" s="520"/>
      <c r="UMO1" s="520"/>
      <c r="UMP1" s="520"/>
      <c r="UMQ1" s="520"/>
      <c r="UMR1" s="520"/>
      <c r="UMS1" s="520"/>
      <c r="UMT1" s="520"/>
      <c r="UMU1" s="520"/>
      <c r="UMV1" s="520"/>
      <c r="UMW1" s="520"/>
      <c r="UMX1" s="520"/>
      <c r="UMY1" s="520"/>
      <c r="UMZ1" s="520"/>
      <c r="UNA1" s="520"/>
      <c r="UNB1" s="520"/>
      <c r="UNC1" s="520"/>
      <c r="UND1" s="520"/>
      <c r="UNE1" s="520"/>
      <c r="UNF1" s="520"/>
      <c r="UNG1" s="520"/>
      <c r="UNH1" s="520"/>
      <c r="UNI1" s="520"/>
      <c r="UNJ1" s="520"/>
      <c r="UNK1" s="520"/>
      <c r="UNL1" s="520"/>
      <c r="UNM1" s="520"/>
      <c r="UNN1" s="520"/>
      <c r="UNO1" s="520"/>
      <c r="UNP1" s="520"/>
      <c r="UNQ1" s="520"/>
      <c r="UNR1" s="520"/>
      <c r="UNS1" s="520"/>
      <c r="UNT1" s="520"/>
      <c r="UNU1" s="520"/>
      <c r="UNV1" s="520"/>
      <c r="UNW1" s="520"/>
      <c r="UNX1" s="520"/>
      <c r="UNY1" s="520"/>
      <c r="UNZ1" s="520"/>
      <c r="UOA1" s="520"/>
      <c r="UOB1" s="520"/>
      <c r="UOC1" s="520"/>
      <c r="UOD1" s="520"/>
      <c r="UOE1" s="520"/>
      <c r="UOF1" s="520"/>
      <c r="UOG1" s="520"/>
      <c r="UOH1" s="520"/>
      <c r="UOI1" s="520"/>
      <c r="UOJ1" s="520"/>
      <c r="UOK1" s="520"/>
      <c r="UOL1" s="520"/>
      <c r="UOM1" s="520"/>
      <c r="UON1" s="520"/>
      <c r="UOO1" s="520"/>
      <c r="UOP1" s="520"/>
      <c r="UOQ1" s="520"/>
      <c r="UOR1" s="520"/>
      <c r="UOS1" s="520"/>
      <c r="UOT1" s="520"/>
      <c r="UOU1" s="520"/>
      <c r="UOV1" s="520"/>
      <c r="UOW1" s="520"/>
      <c r="UOX1" s="520"/>
      <c r="UOY1" s="520"/>
      <c r="UOZ1" s="520"/>
      <c r="UPA1" s="520"/>
      <c r="UPB1" s="520"/>
      <c r="UPC1" s="520"/>
      <c r="UPD1" s="520"/>
      <c r="UPE1" s="520"/>
      <c r="UPF1" s="520"/>
      <c r="UPG1" s="520"/>
      <c r="UPH1" s="520"/>
      <c r="UPI1" s="520"/>
      <c r="UPJ1" s="520"/>
      <c r="UPK1" s="520"/>
      <c r="UPL1" s="520"/>
      <c r="UPM1" s="520"/>
      <c r="UPN1" s="520"/>
      <c r="UPO1" s="520"/>
      <c r="UPP1" s="520"/>
      <c r="UPQ1" s="520"/>
      <c r="UPR1" s="520"/>
      <c r="UPS1" s="520"/>
      <c r="UPT1" s="520"/>
      <c r="UPU1" s="520"/>
      <c r="UPV1" s="520"/>
      <c r="UPW1" s="520"/>
      <c r="UPX1" s="520"/>
      <c r="UPY1" s="520"/>
      <c r="UPZ1" s="520"/>
      <c r="UQA1" s="520"/>
      <c r="UQB1" s="520"/>
      <c r="UQC1" s="520"/>
      <c r="UQD1" s="520"/>
      <c r="UQE1" s="520"/>
      <c r="UQF1" s="520"/>
      <c r="UQG1" s="520"/>
      <c r="UQH1" s="520"/>
      <c r="UQI1" s="520"/>
      <c r="UQJ1" s="520"/>
      <c r="UQK1" s="520"/>
      <c r="UQL1" s="520"/>
      <c r="UQM1" s="520"/>
      <c r="UQN1" s="520"/>
      <c r="UQO1" s="520"/>
      <c r="UQP1" s="520"/>
      <c r="UQQ1" s="520"/>
      <c r="UQR1" s="520"/>
      <c r="UQS1" s="520"/>
      <c r="UQT1" s="520"/>
      <c r="UQU1" s="520"/>
      <c r="UQV1" s="520"/>
      <c r="UQW1" s="520"/>
      <c r="UQX1" s="520"/>
      <c r="UQY1" s="520"/>
      <c r="UQZ1" s="520"/>
      <c r="URA1" s="520"/>
      <c r="URB1" s="520"/>
      <c r="URC1" s="520"/>
      <c r="URD1" s="520"/>
      <c r="URE1" s="520"/>
      <c r="URF1" s="520"/>
      <c r="URG1" s="520"/>
      <c r="URH1" s="520"/>
      <c r="URI1" s="520"/>
      <c r="URJ1" s="520"/>
      <c r="URK1" s="520"/>
      <c r="URL1" s="520"/>
      <c r="URM1" s="520"/>
      <c r="URN1" s="520"/>
      <c r="URO1" s="520"/>
      <c r="URP1" s="520"/>
      <c r="URQ1" s="520"/>
      <c r="URR1" s="520"/>
      <c r="URS1" s="520"/>
      <c r="URT1" s="520"/>
      <c r="URU1" s="520"/>
      <c r="URV1" s="520"/>
      <c r="URW1" s="520"/>
      <c r="URX1" s="520"/>
      <c r="URY1" s="520"/>
      <c r="URZ1" s="520"/>
      <c r="USA1" s="520"/>
      <c r="USB1" s="520"/>
      <c r="USC1" s="520"/>
      <c r="USD1" s="520"/>
      <c r="USE1" s="520"/>
      <c r="USF1" s="520"/>
      <c r="USG1" s="520"/>
      <c r="USH1" s="520"/>
      <c r="USI1" s="520"/>
      <c r="USJ1" s="520"/>
      <c r="USK1" s="520"/>
      <c r="USL1" s="520"/>
      <c r="USM1" s="520"/>
      <c r="USN1" s="520"/>
      <c r="USO1" s="520"/>
      <c r="USP1" s="520"/>
      <c r="USQ1" s="520"/>
      <c r="USR1" s="520"/>
      <c r="USS1" s="520"/>
      <c r="UST1" s="520"/>
      <c r="USU1" s="520"/>
      <c r="USV1" s="520"/>
      <c r="USW1" s="520"/>
      <c r="USX1" s="520"/>
      <c r="USY1" s="520"/>
      <c r="USZ1" s="520"/>
      <c r="UTA1" s="520"/>
      <c r="UTB1" s="520"/>
      <c r="UTC1" s="520"/>
      <c r="UTD1" s="520"/>
      <c r="UTE1" s="520"/>
      <c r="UTF1" s="520"/>
      <c r="UTG1" s="520"/>
      <c r="UTH1" s="520"/>
      <c r="UTI1" s="520"/>
      <c r="UTJ1" s="520"/>
      <c r="UTK1" s="520"/>
      <c r="UTL1" s="520"/>
      <c r="UTM1" s="520"/>
      <c r="UTN1" s="520"/>
      <c r="UTO1" s="520"/>
      <c r="UTP1" s="520"/>
      <c r="UTQ1" s="520"/>
      <c r="UTR1" s="520"/>
      <c r="UTS1" s="520"/>
      <c r="UTT1" s="520"/>
      <c r="UTU1" s="520"/>
      <c r="UTV1" s="520"/>
      <c r="UTW1" s="520"/>
      <c r="UTX1" s="520"/>
      <c r="UTY1" s="520"/>
      <c r="UTZ1" s="520"/>
      <c r="UUA1" s="520"/>
      <c r="UUB1" s="520"/>
      <c r="UUC1" s="520"/>
      <c r="UUD1" s="520"/>
      <c r="UUE1" s="520"/>
      <c r="UUF1" s="520"/>
      <c r="UUG1" s="520"/>
      <c r="UUH1" s="520"/>
      <c r="UUI1" s="520"/>
      <c r="UUJ1" s="520"/>
      <c r="UUK1" s="520"/>
      <c r="UUL1" s="520"/>
      <c r="UUM1" s="520"/>
      <c r="UUN1" s="520"/>
      <c r="UUO1" s="520"/>
      <c r="UUP1" s="520"/>
      <c r="UUQ1" s="520"/>
      <c r="UUR1" s="520"/>
      <c r="UUS1" s="520"/>
      <c r="UUT1" s="520"/>
      <c r="UUU1" s="520"/>
      <c r="UUV1" s="520"/>
      <c r="UUW1" s="520"/>
      <c r="UUX1" s="520"/>
      <c r="UUY1" s="520"/>
      <c r="UUZ1" s="520"/>
      <c r="UVA1" s="520"/>
      <c r="UVB1" s="520"/>
      <c r="UVC1" s="520"/>
      <c r="UVD1" s="520"/>
      <c r="UVE1" s="520"/>
      <c r="UVF1" s="520"/>
      <c r="UVG1" s="520"/>
      <c r="UVH1" s="520"/>
      <c r="UVI1" s="520"/>
      <c r="UVJ1" s="520"/>
      <c r="UVK1" s="520"/>
      <c r="UVL1" s="520"/>
      <c r="UVM1" s="520"/>
      <c r="UVN1" s="520"/>
      <c r="UVO1" s="520"/>
      <c r="UVP1" s="520"/>
      <c r="UVQ1" s="520"/>
      <c r="UVR1" s="520"/>
      <c r="UVS1" s="520"/>
      <c r="UVT1" s="520"/>
      <c r="UVU1" s="520"/>
      <c r="UVV1" s="520"/>
      <c r="UVW1" s="520"/>
      <c r="UVX1" s="520"/>
      <c r="UVY1" s="520"/>
      <c r="UVZ1" s="520"/>
      <c r="UWA1" s="520"/>
      <c r="UWB1" s="520"/>
      <c r="UWC1" s="520"/>
      <c r="UWD1" s="520"/>
      <c r="UWE1" s="520"/>
      <c r="UWF1" s="520"/>
      <c r="UWG1" s="520"/>
      <c r="UWH1" s="520"/>
      <c r="UWI1" s="520"/>
      <c r="UWJ1" s="520"/>
      <c r="UWK1" s="520"/>
      <c r="UWL1" s="520"/>
      <c r="UWM1" s="520"/>
      <c r="UWN1" s="520"/>
      <c r="UWO1" s="520"/>
      <c r="UWP1" s="520"/>
      <c r="UWQ1" s="520"/>
      <c r="UWR1" s="520"/>
      <c r="UWS1" s="520"/>
      <c r="UWT1" s="520"/>
      <c r="UWU1" s="520"/>
      <c r="UWV1" s="520"/>
      <c r="UWW1" s="520"/>
      <c r="UWX1" s="520"/>
      <c r="UWY1" s="520"/>
      <c r="UWZ1" s="520"/>
      <c r="UXA1" s="520"/>
      <c r="UXB1" s="520"/>
      <c r="UXC1" s="520"/>
      <c r="UXD1" s="520"/>
      <c r="UXE1" s="520"/>
      <c r="UXF1" s="520"/>
      <c r="UXG1" s="520"/>
      <c r="UXH1" s="520"/>
      <c r="UXI1" s="520"/>
      <c r="UXJ1" s="520"/>
      <c r="UXK1" s="520"/>
      <c r="UXL1" s="520"/>
      <c r="UXM1" s="520"/>
      <c r="UXN1" s="520"/>
      <c r="UXO1" s="520"/>
      <c r="UXP1" s="520"/>
      <c r="UXQ1" s="520"/>
      <c r="UXR1" s="520"/>
      <c r="UXS1" s="520"/>
      <c r="UXT1" s="520"/>
      <c r="UXU1" s="520"/>
      <c r="UXV1" s="520"/>
      <c r="UXW1" s="520"/>
      <c r="UXX1" s="520"/>
      <c r="UXY1" s="520"/>
      <c r="UXZ1" s="520"/>
      <c r="UYA1" s="520"/>
      <c r="UYB1" s="520"/>
      <c r="UYC1" s="520"/>
      <c r="UYD1" s="520"/>
      <c r="UYE1" s="520"/>
      <c r="UYF1" s="520"/>
      <c r="UYG1" s="520"/>
      <c r="UYH1" s="520"/>
      <c r="UYI1" s="520"/>
      <c r="UYJ1" s="520"/>
      <c r="UYK1" s="520"/>
      <c r="UYL1" s="520"/>
      <c r="UYM1" s="520"/>
      <c r="UYN1" s="520"/>
      <c r="UYO1" s="520"/>
      <c r="UYP1" s="520"/>
      <c r="UYQ1" s="520"/>
      <c r="UYR1" s="520"/>
      <c r="UYS1" s="520"/>
      <c r="UYT1" s="520"/>
      <c r="UYU1" s="520"/>
      <c r="UYV1" s="520"/>
      <c r="UYW1" s="520"/>
      <c r="UYX1" s="520"/>
      <c r="UYY1" s="520"/>
      <c r="UYZ1" s="520"/>
      <c r="UZA1" s="520"/>
      <c r="UZB1" s="520"/>
      <c r="UZC1" s="520"/>
      <c r="UZD1" s="520"/>
      <c r="UZE1" s="520"/>
      <c r="UZF1" s="520"/>
      <c r="UZG1" s="520"/>
      <c r="UZH1" s="520"/>
      <c r="UZI1" s="520"/>
      <c r="UZJ1" s="520"/>
      <c r="UZK1" s="520"/>
      <c r="UZL1" s="520"/>
      <c r="UZM1" s="520"/>
      <c r="UZN1" s="520"/>
      <c r="UZO1" s="520"/>
      <c r="UZP1" s="520"/>
      <c r="UZQ1" s="520"/>
      <c r="UZR1" s="520"/>
      <c r="UZS1" s="520"/>
      <c r="UZT1" s="520"/>
      <c r="UZU1" s="520"/>
      <c r="UZV1" s="520"/>
      <c r="UZW1" s="520"/>
      <c r="UZX1" s="520"/>
      <c r="UZY1" s="520"/>
      <c r="UZZ1" s="520"/>
      <c r="VAA1" s="520"/>
      <c r="VAB1" s="520"/>
      <c r="VAC1" s="520"/>
      <c r="VAD1" s="520"/>
      <c r="VAE1" s="520"/>
      <c r="VAF1" s="520"/>
      <c r="VAG1" s="520"/>
      <c r="VAH1" s="520"/>
      <c r="VAI1" s="520"/>
      <c r="VAJ1" s="520"/>
      <c r="VAK1" s="520"/>
      <c r="VAL1" s="520"/>
      <c r="VAM1" s="520"/>
      <c r="VAN1" s="520"/>
      <c r="VAO1" s="520"/>
      <c r="VAP1" s="520"/>
      <c r="VAQ1" s="520"/>
      <c r="VAR1" s="520"/>
      <c r="VAS1" s="520"/>
      <c r="VAT1" s="520"/>
      <c r="VAU1" s="520"/>
      <c r="VAV1" s="520"/>
      <c r="VAW1" s="520"/>
      <c r="VAX1" s="520"/>
      <c r="VAY1" s="520"/>
      <c r="VAZ1" s="520"/>
      <c r="VBA1" s="520"/>
      <c r="VBB1" s="520"/>
      <c r="VBC1" s="520"/>
      <c r="VBD1" s="520"/>
      <c r="VBE1" s="520"/>
      <c r="VBF1" s="520"/>
      <c r="VBG1" s="520"/>
      <c r="VBH1" s="520"/>
      <c r="VBI1" s="520"/>
      <c r="VBJ1" s="520"/>
      <c r="VBK1" s="520"/>
      <c r="VBL1" s="520"/>
      <c r="VBM1" s="520"/>
      <c r="VBN1" s="520"/>
      <c r="VBO1" s="520"/>
      <c r="VBP1" s="520"/>
      <c r="VBQ1" s="520"/>
      <c r="VBR1" s="520"/>
      <c r="VBS1" s="520"/>
      <c r="VBT1" s="520"/>
      <c r="VBU1" s="520"/>
      <c r="VBV1" s="520"/>
      <c r="VBW1" s="520"/>
      <c r="VBX1" s="520"/>
      <c r="VBY1" s="520"/>
      <c r="VBZ1" s="520"/>
      <c r="VCA1" s="520"/>
      <c r="VCB1" s="520"/>
      <c r="VCC1" s="520"/>
      <c r="VCD1" s="520"/>
      <c r="VCE1" s="520"/>
      <c r="VCF1" s="520"/>
      <c r="VCG1" s="520"/>
      <c r="VCH1" s="520"/>
      <c r="VCI1" s="520"/>
      <c r="VCJ1" s="520"/>
      <c r="VCK1" s="520"/>
      <c r="VCL1" s="520"/>
      <c r="VCM1" s="520"/>
      <c r="VCN1" s="520"/>
      <c r="VCO1" s="520"/>
      <c r="VCP1" s="520"/>
      <c r="VCQ1" s="520"/>
      <c r="VCR1" s="520"/>
      <c r="VCS1" s="520"/>
      <c r="VCT1" s="520"/>
      <c r="VCU1" s="520"/>
      <c r="VCV1" s="520"/>
      <c r="VCW1" s="520"/>
      <c r="VCX1" s="520"/>
      <c r="VCY1" s="520"/>
      <c r="VCZ1" s="520"/>
      <c r="VDA1" s="520"/>
      <c r="VDB1" s="520"/>
      <c r="VDC1" s="520"/>
      <c r="VDD1" s="520"/>
      <c r="VDE1" s="520"/>
      <c r="VDF1" s="520"/>
      <c r="VDG1" s="520"/>
      <c r="VDH1" s="520"/>
      <c r="VDI1" s="520"/>
      <c r="VDJ1" s="520"/>
      <c r="VDK1" s="520"/>
      <c r="VDL1" s="520"/>
      <c r="VDM1" s="520"/>
      <c r="VDN1" s="520"/>
      <c r="VDO1" s="520"/>
      <c r="VDP1" s="520"/>
      <c r="VDQ1" s="520"/>
      <c r="VDR1" s="520"/>
      <c r="VDS1" s="520"/>
      <c r="VDT1" s="520"/>
      <c r="VDU1" s="520"/>
      <c r="VDV1" s="520"/>
      <c r="VDW1" s="520"/>
      <c r="VDX1" s="520"/>
      <c r="VDY1" s="520"/>
      <c r="VDZ1" s="520"/>
      <c r="VEA1" s="520"/>
      <c r="VEB1" s="520"/>
      <c r="VEC1" s="520"/>
      <c r="VED1" s="520"/>
      <c r="VEE1" s="520"/>
      <c r="VEF1" s="520"/>
      <c r="VEG1" s="520"/>
      <c r="VEH1" s="520"/>
      <c r="VEI1" s="520"/>
      <c r="VEJ1" s="520"/>
      <c r="VEK1" s="520"/>
      <c r="VEL1" s="520"/>
      <c r="VEM1" s="520"/>
      <c r="VEN1" s="520"/>
      <c r="VEO1" s="520"/>
      <c r="VEP1" s="520"/>
      <c r="VEQ1" s="520"/>
      <c r="VER1" s="520"/>
      <c r="VES1" s="520"/>
      <c r="VET1" s="520"/>
      <c r="VEU1" s="520"/>
      <c r="VEV1" s="520"/>
      <c r="VEW1" s="520"/>
      <c r="VEX1" s="520"/>
      <c r="VEY1" s="520"/>
      <c r="VEZ1" s="520"/>
      <c r="VFA1" s="520"/>
      <c r="VFB1" s="520"/>
      <c r="VFC1" s="520"/>
      <c r="VFD1" s="520"/>
      <c r="VFE1" s="520"/>
      <c r="VFF1" s="520"/>
      <c r="VFG1" s="520"/>
      <c r="VFH1" s="520"/>
      <c r="VFI1" s="520"/>
      <c r="VFJ1" s="520"/>
      <c r="VFK1" s="520"/>
      <c r="VFL1" s="520"/>
      <c r="VFM1" s="520"/>
      <c r="VFN1" s="520"/>
      <c r="VFO1" s="520"/>
      <c r="VFP1" s="520"/>
      <c r="VFQ1" s="520"/>
      <c r="VFR1" s="520"/>
      <c r="VFS1" s="520"/>
      <c r="VFT1" s="520"/>
      <c r="VFU1" s="520"/>
      <c r="VFV1" s="520"/>
      <c r="VFW1" s="520"/>
      <c r="VFX1" s="520"/>
      <c r="VFY1" s="520"/>
      <c r="VFZ1" s="520"/>
      <c r="VGA1" s="520"/>
      <c r="VGB1" s="520"/>
      <c r="VGC1" s="520"/>
      <c r="VGD1" s="520"/>
      <c r="VGE1" s="520"/>
      <c r="VGF1" s="520"/>
      <c r="VGG1" s="520"/>
      <c r="VGH1" s="520"/>
      <c r="VGI1" s="520"/>
      <c r="VGJ1" s="520"/>
      <c r="VGK1" s="520"/>
      <c r="VGL1" s="520"/>
      <c r="VGM1" s="520"/>
      <c r="VGN1" s="520"/>
      <c r="VGO1" s="520"/>
      <c r="VGP1" s="520"/>
      <c r="VGQ1" s="520"/>
      <c r="VGR1" s="520"/>
      <c r="VGS1" s="520"/>
      <c r="VGT1" s="520"/>
      <c r="VGU1" s="520"/>
      <c r="VGV1" s="520"/>
      <c r="VGW1" s="520"/>
      <c r="VGX1" s="520"/>
      <c r="VGY1" s="520"/>
      <c r="VGZ1" s="520"/>
      <c r="VHA1" s="520"/>
      <c r="VHB1" s="520"/>
      <c r="VHC1" s="520"/>
      <c r="VHD1" s="520"/>
      <c r="VHE1" s="520"/>
      <c r="VHF1" s="520"/>
      <c r="VHG1" s="520"/>
      <c r="VHH1" s="520"/>
      <c r="VHI1" s="520"/>
      <c r="VHJ1" s="520"/>
      <c r="VHK1" s="520"/>
      <c r="VHL1" s="520"/>
      <c r="VHM1" s="520"/>
      <c r="VHN1" s="520"/>
      <c r="VHO1" s="520"/>
      <c r="VHP1" s="520"/>
      <c r="VHQ1" s="520"/>
      <c r="VHR1" s="520"/>
      <c r="VHS1" s="520"/>
      <c r="VHT1" s="520"/>
      <c r="VHU1" s="520"/>
      <c r="VHV1" s="520"/>
      <c r="VHW1" s="520"/>
      <c r="VHX1" s="520"/>
      <c r="VHY1" s="520"/>
      <c r="VHZ1" s="520"/>
      <c r="VIA1" s="520"/>
      <c r="VIB1" s="520"/>
      <c r="VIC1" s="520"/>
      <c r="VID1" s="520"/>
      <c r="VIE1" s="520"/>
      <c r="VIF1" s="520"/>
      <c r="VIG1" s="520"/>
      <c r="VIH1" s="520"/>
      <c r="VII1" s="520"/>
      <c r="VIJ1" s="520"/>
      <c r="VIK1" s="520"/>
      <c r="VIL1" s="520"/>
      <c r="VIM1" s="520"/>
      <c r="VIN1" s="520"/>
      <c r="VIO1" s="520"/>
      <c r="VIP1" s="520"/>
      <c r="VIQ1" s="520"/>
      <c r="VIR1" s="520"/>
      <c r="VIS1" s="520"/>
      <c r="VIT1" s="520"/>
      <c r="VIU1" s="520"/>
      <c r="VIV1" s="520"/>
      <c r="VIW1" s="520"/>
      <c r="VIX1" s="520"/>
      <c r="VIY1" s="520"/>
      <c r="VIZ1" s="520"/>
      <c r="VJA1" s="520"/>
      <c r="VJB1" s="520"/>
      <c r="VJC1" s="520"/>
      <c r="VJD1" s="520"/>
      <c r="VJE1" s="520"/>
      <c r="VJF1" s="520"/>
      <c r="VJG1" s="520"/>
      <c r="VJH1" s="520"/>
      <c r="VJI1" s="520"/>
      <c r="VJJ1" s="520"/>
      <c r="VJK1" s="520"/>
      <c r="VJL1" s="520"/>
      <c r="VJM1" s="520"/>
      <c r="VJN1" s="520"/>
      <c r="VJO1" s="520"/>
      <c r="VJP1" s="520"/>
      <c r="VJQ1" s="520"/>
      <c r="VJR1" s="520"/>
      <c r="VJS1" s="520"/>
      <c r="VJT1" s="520"/>
      <c r="VJU1" s="520"/>
      <c r="VJV1" s="520"/>
      <c r="VJW1" s="520"/>
      <c r="VJX1" s="520"/>
      <c r="VJY1" s="520"/>
      <c r="VJZ1" s="520"/>
      <c r="VKA1" s="520"/>
      <c r="VKB1" s="520"/>
      <c r="VKC1" s="520"/>
      <c r="VKD1" s="520"/>
      <c r="VKE1" s="520"/>
      <c r="VKF1" s="520"/>
      <c r="VKG1" s="520"/>
      <c r="VKH1" s="520"/>
      <c r="VKI1" s="520"/>
      <c r="VKJ1" s="520"/>
      <c r="VKK1" s="520"/>
      <c r="VKL1" s="520"/>
      <c r="VKM1" s="520"/>
      <c r="VKN1" s="520"/>
      <c r="VKO1" s="520"/>
      <c r="VKP1" s="520"/>
      <c r="VKQ1" s="520"/>
      <c r="VKR1" s="520"/>
      <c r="VKS1" s="520"/>
      <c r="VKT1" s="520"/>
      <c r="VKU1" s="520"/>
      <c r="VKV1" s="520"/>
      <c r="VKW1" s="520"/>
      <c r="VKX1" s="520"/>
      <c r="VKY1" s="520"/>
      <c r="VKZ1" s="520"/>
      <c r="VLA1" s="520"/>
      <c r="VLB1" s="520"/>
      <c r="VLC1" s="520"/>
      <c r="VLD1" s="520"/>
      <c r="VLE1" s="520"/>
      <c r="VLF1" s="520"/>
      <c r="VLG1" s="520"/>
      <c r="VLH1" s="520"/>
      <c r="VLI1" s="520"/>
      <c r="VLJ1" s="520"/>
      <c r="VLK1" s="520"/>
      <c r="VLL1" s="520"/>
      <c r="VLM1" s="520"/>
      <c r="VLN1" s="520"/>
      <c r="VLO1" s="520"/>
      <c r="VLP1" s="520"/>
      <c r="VLQ1" s="520"/>
      <c r="VLR1" s="520"/>
      <c r="VLS1" s="520"/>
      <c r="VLT1" s="520"/>
      <c r="VLU1" s="520"/>
      <c r="VLV1" s="520"/>
      <c r="VLW1" s="520"/>
      <c r="VLX1" s="520"/>
      <c r="VLY1" s="520"/>
      <c r="VLZ1" s="520"/>
      <c r="VMA1" s="520"/>
      <c r="VMB1" s="520"/>
      <c r="VMC1" s="520"/>
      <c r="VMD1" s="520"/>
      <c r="VME1" s="520"/>
      <c r="VMF1" s="520"/>
      <c r="VMG1" s="520"/>
      <c r="VMH1" s="520"/>
      <c r="VMI1" s="520"/>
      <c r="VMJ1" s="520"/>
      <c r="VMK1" s="520"/>
      <c r="VML1" s="520"/>
      <c r="VMM1" s="520"/>
      <c r="VMN1" s="520"/>
      <c r="VMO1" s="520"/>
      <c r="VMP1" s="520"/>
      <c r="VMQ1" s="520"/>
      <c r="VMR1" s="520"/>
      <c r="VMS1" s="520"/>
      <c r="VMT1" s="520"/>
      <c r="VMU1" s="520"/>
      <c r="VMV1" s="520"/>
      <c r="VMW1" s="520"/>
      <c r="VMX1" s="520"/>
      <c r="VMY1" s="520"/>
      <c r="VMZ1" s="520"/>
      <c r="VNA1" s="520"/>
      <c r="VNB1" s="520"/>
      <c r="VNC1" s="520"/>
      <c r="VND1" s="520"/>
      <c r="VNE1" s="520"/>
      <c r="VNF1" s="520"/>
      <c r="VNG1" s="520"/>
      <c r="VNH1" s="520"/>
      <c r="VNI1" s="520"/>
      <c r="VNJ1" s="520"/>
      <c r="VNK1" s="520"/>
      <c r="VNL1" s="520"/>
      <c r="VNM1" s="520"/>
      <c r="VNN1" s="520"/>
      <c r="VNO1" s="520"/>
      <c r="VNP1" s="520"/>
      <c r="VNQ1" s="520"/>
      <c r="VNR1" s="520"/>
      <c r="VNS1" s="520"/>
      <c r="VNT1" s="520"/>
      <c r="VNU1" s="520"/>
      <c r="VNV1" s="520"/>
      <c r="VNW1" s="520"/>
      <c r="VNX1" s="520"/>
      <c r="VNY1" s="520"/>
      <c r="VNZ1" s="520"/>
      <c r="VOA1" s="520"/>
      <c r="VOB1" s="520"/>
      <c r="VOC1" s="520"/>
      <c r="VOD1" s="520"/>
      <c r="VOE1" s="520"/>
      <c r="VOF1" s="520"/>
      <c r="VOG1" s="520"/>
      <c r="VOH1" s="520"/>
      <c r="VOI1" s="520"/>
      <c r="VOJ1" s="520"/>
      <c r="VOK1" s="520"/>
      <c r="VOL1" s="520"/>
      <c r="VOM1" s="520"/>
      <c r="VON1" s="520"/>
      <c r="VOO1" s="520"/>
      <c r="VOP1" s="520"/>
      <c r="VOQ1" s="520"/>
      <c r="VOR1" s="520"/>
      <c r="VOS1" s="520"/>
      <c r="VOT1" s="520"/>
      <c r="VOU1" s="520"/>
      <c r="VOV1" s="520"/>
      <c r="VOW1" s="520"/>
      <c r="VOX1" s="520"/>
      <c r="VOY1" s="520"/>
      <c r="VOZ1" s="520"/>
      <c r="VPA1" s="520"/>
      <c r="VPB1" s="520"/>
      <c r="VPC1" s="520"/>
      <c r="VPD1" s="520"/>
      <c r="VPE1" s="520"/>
      <c r="VPF1" s="520"/>
      <c r="VPG1" s="520"/>
      <c r="VPH1" s="520"/>
      <c r="VPI1" s="520"/>
      <c r="VPJ1" s="520"/>
      <c r="VPK1" s="520"/>
      <c r="VPL1" s="520"/>
      <c r="VPM1" s="520"/>
      <c r="VPN1" s="520"/>
      <c r="VPO1" s="520"/>
      <c r="VPP1" s="520"/>
      <c r="VPQ1" s="520"/>
      <c r="VPR1" s="520"/>
      <c r="VPS1" s="520"/>
      <c r="VPT1" s="520"/>
      <c r="VPU1" s="520"/>
      <c r="VPV1" s="520"/>
      <c r="VPW1" s="520"/>
      <c r="VPX1" s="520"/>
      <c r="VPY1" s="520"/>
      <c r="VPZ1" s="520"/>
      <c r="VQA1" s="520"/>
      <c r="VQB1" s="520"/>
      <c r="VQC1" s="520"/>
      <c r="VQD1" s="520"/>
      <c r="VQE1" s="520"/>
      <c r="VQF1" s="520"/>
      <c r="VQG1" s="520"/>
      <c r="VQH1" s="520"/>
      <c r="VQI1" s="520"/>
      <c r="VQJ1" s="520"/>
      <c r="VQK1" s="520"/>
      <c r="VQL1" s="520"/>
      <c r="VQM1" s="520"/>
      <c r="VQN1" s="520"/>
      <c r="VQO1" s="520"/>
      <c r="VQP1" s="520"/>
      <c r="VQQ1" s="520"/>
      <c r="VQR1" s="520"/>
      <c r="VQS1" s="520"/>
      <c r="VQT1" s="520"/>
      <c r="VQU1" s="520"/>
      <c r="VQV1" s="520"/>
      <c r="VQW1" s="520"/>
      <c r="VQX1" s="520"/>
      <c r="VQY1" s="520"/>
      <c r="VQZ1" s="520"/>
      <c r="VRA1" s="520"/>
      <c r="VRB1" s="520"/>
      <c r="VRC1" s="520"/>
      <c r="VRD1" s="520"/>
      <c r="VRE1" s="520"/>
      <c r="VRF1" s="520"/>
      <c r="VRG1" s="520"/>
      <c r="VRH1" s="520"/>
      <c r="VRI1" s="520"/>
      <c r="VRJ1" s="520"/>
      <c r="VRK1" s="520"/>
      <c r="VRL1" s="520"/>
      <c r="VRM1" s="520"/>
      <c r="VRN1" s="520"/>
      <c r="VRO1" s="520"/>
      <c r="VRP1" s="520"/>
      <c r="VRQ1" s="520"/>
      <c r="VRR1" s="520"/>
      <c r="VRS1" s="520"/>
      <c r="VRT1" s="520"/>
      <c r="VRU1" s="520"/>
      <c r="VRV1" s="520"/>
      <c r="VRW1" s="520"/>
      <c r="VRX1" s="520"/>
      <c r="VRY1" s="520"/>
      <c r="VRZ1" s="520"/>
      <c r="VSA1" s="520"/>
      <c r="VSB1" s="520"/>
      <c r="VSC1" s="520"/>
      <c r="VSD1" s="520"/>
      <c r="VSE1" s="520"/>
      <c r="VSF1" s="520"/>
      <c r="VSG1" s="520"/>
      <c r="VSH1" s="520"/>
      <c r="VSI1" s="520"/>
      <c r="VSJ1" s="520"/>
      <c r="VSK1" s="520"/>
      <c r="VSL1" s="520"/>
      <c r="VSM1" s="520"/>
      <c r="VSN1" s="520"/>
      <c r="VSO1" s="520"/>
      <c r="VSP1" s="520"/>
      <c r="VSQ1" s="520"/>
      <c r="VSR1" s="520"/>
      <c r="VSS1" s="520"/>
      <c r="VST1" s="520"/>
      <c r="VSU1" s="520"/>
      <c r="VSV1" s="520"/>
      <c r="VSW1" s="520"/>
      <c r="VSX1" s="520"/>
      <c r="VSY1" s="520"/>
      <c r="VSZ1" s="520"/>
      <c r="VTA1" s="520"/>
      <c r="VTB1" s="520"/>
      <c r="VTC1" s="520"/>
      <c r="VTD1" s="520"/>
      <c r="VTE1" s="520"/>
      <c r="VTF1" s="520"/>
      <c r="VTG1" s="520"/>
      <c r="VTH1" s="520"/>
      <c r="VTI1" s="520"/>
      <c r="VTJ1" s="520"/>
      <c r="VTK1" s="520"/>
      <c r="VTL1" s="520"/>
      <c r="VTM1" s="520"/>
      <c r="VTN1" s="520"/>
      <c r="VTO1" s="520"/>
      <c r="VTP1" s="520"/>
      <c r="VTQ1" s="520"/>
      <c r="VTR1" s="520"/>
      <c r="VTS1" s="520"/>
      <c r="VTT1" s="520"/>
      <c r="VTU1" s="520"/>
      <c r="VTV1" s="520"/>
      <c r="VTW1" s="520"/>
      <c r="VTX1" s="520"/>
      <c r="VTY1" s="520"/>
      <c r="VTZ1" s="520"/>
      <c r="VUA1" s="520"/>
      <c r="VUB1" s="520"/>
      <c r="VUC1" s="520"/>
      <c r="VUD1" s="520"/>
      <c r="VUE1" s="520"/>
      <c r="VUF1" s="520"/>
      <c r="VUG1" s="520"/>
      <c r="VUH1" s="520"/>
      <c r="VUI1" s="520"/>
      <c r="VUJ1" s="520"/>
      <c r="VUK1" s="520"/>
      <c r="VUL1" s="520"/>
      <c r="VUM1" s="520"/>
      <c r="VUN1" s="520"/>
      <c r="VUO1" s="520"/>
      <c r="VUP1" s="520"/>
      <c r="VUQ1" s="520"/>
      <c r="VUR1" s="520"/>
      <c r="VUS1" s="520"/>
      <c r="VUT1" s="520"/>
      <c r="VUU1" s="520"/>
      <c r="VUV1" s="520"/>
      <c r="VUW1" s="520"/>
      <c r="VUX1" s="520"/>
      <c r="VUY1" s="520"/>
      <c r="VUZ1" s="520"/>
      <c r="VVA1" s="520"/>
      <c r="VVB1" s="520"/>
      <c r="VVC1" s="520"/>
      <c r="VVD1" s="520"/>
      <c r="VVE1" s="520"/>
      <c r="VVF1" s="520"/>
      <c r="VVG1" s="520"/>
      <c r="VVH1" s="520"/>
      <c r="VVI1" s="520"/>
      <c r="VVJ1" s="520"/>
      <c r="VVK1" s="520"/>
      <c r="VVL1" s="520"/>
      <c r="VVM1" s="520"/>
      <c r="VVN1" s="520"/>
      <c r="VVO1" s="520"/>
      <c r="VVP1" s="520"/>
      <c r="VVQ1" s="520"/>
      <c r="VVR1" s="520"/>
      <c r="VVS1" s="520"/>
      <c r="VVT1" s="520"/>
      <c r="VVU1" s="520"/>
      <c r="VVV1" s="520"/>
      <c r="VVW1" s="520"/>
      <c r="VVX1" s="520"/>
      <c r="VVY1" s="520"/>
      <c r="VVZ1" s="520"/>
      <c r="VWA1" s="520"/>
      <c r="VWB1" s="520"/>
      <c r="VWC1" s="520"/>
      <c r="VWD1" s="520"/>
      <c r="VWE1" s="520"/>
      <c r="VWF1" s="520"/>
      <c r="VWG1" s="520"/>
      <c r="VWH1" s="520"/>
      <c r="VWI1" s="520"/>
      <c r="VWJ1" s="520"/>
      <c r="VWK1" s="520"/>
      <c r="VWL1" s="520"/>
      <c r="VWM1" s="520"/>
      <c r="VWN1" s="520"/>
      <c r="VWO1" s="520"/>
      <c r="VWP1" s="520"/>
      <c r="VWQ1" s="520"/>
      <c r="VWR1" s="520"/>
      <c r="VWS1" s="520"/>
      <c r="VWT1" s="520"/>
      <c r="VWU1" s="520"/>
      <c r="VWV1" s="520"/>
      <c r="VWW1" s="520"/>
      <c r="VWX1" s="520"/>
      <c r="VWY1" s="520"/>
      <c r="VWZ1" s="520"/>
      <c r="VXA1" s="520"/>
      <c r="VXB1" s="520"/>
      <c r="VXC1" s="520"/>
      <c r="VXD1" s="520"/>
      <c r="VXE1" s="520"/>
      <c r="VXF1" s="520"/>
      <c r="VXG1" s="520"/>
      <c r="VXH1" s="520"/>
      <c r="VXI1" s="520"/>
      <c r="VXJ1" s="520"/>
      <c r="VXK1" s="520"/>
      <c r="VXL1" s="520"/>
      <c r="VXM1" s="520"/>
      <c r="VXN1" s="520"/>
      <c r="VXO1" s="520"/>
      <c r="VXP1" s="520"/>
      <c r="VXQ1" s="520"/>
      <c r="VXR1" s="520"/>
      <c r="VXS1" s="520"/>
      <c r="VXT1" s="520"/>
      <c r="VXU1" s="520"/>
      <c r="VXV1" s="520"/>
      <c r="VXW1" s="520"/>
      <c r="VXX1" s="520"/>
      <c r="VXY1" s="520"/>
      <c r="VXZ1" s="520"/>
      <c r="VYA1" s="520"/>
      <c r="VYB1" s="520"/>
      <c r="VYC1" s="520"/>
      <c r="VYD1" s="520"/>
      <c r="VYE1" s="520"/>
      <c r="VYF1" s="520"/>
      <c r="VYG1" s="520"/>
      <c r="VYH1" s="520"/>
      <c r="VYI1" s="520"/>
      <c r="VYJ1" s="520"/>
      <c r="VYK1" s="520"/>
      <c r="VYL1" s="520"/>
      <c r="VYM1" s="520"/>
      <c r="VYN1" s="520"/>
      <c r="VYO1" s="520"/>
      <c r="VYP1" s="520"/>
      <c r="VYQ1" s="520"/>
      <c r="VYR1" s="520"/>
      <c r="VYS1" s="520"/>
      <c r="VYT1" s="520"/>
      <c r="VYU1" s="520"/>
      <c r="VYV1" s="520"/>
      <c r="VYW1" s="520"/>
      <c r="VYX1" s="520"/>
      <c r="VYY1" s="520"/>
      <c r="VYZ1" s="520"/>
      <c r="VZA1" s="520"/>
      <c r="VZB1" s="520"/>
      <c r="VZC1" s="520"/>
      <c r="VZD1" s="520"/>
      <c r="VZE1" s="520"/>
      <c r="VZF1" s="520"/>
      <c r="VZG1" s="520"/>
      <c r="VZH1" s="520"/>
      <c r="VZI1" s="520"/>
      <c r="VZJ1" s="520"/>
      <c r="VZK1" s="520"/>
      <c r="VZL1" s="520"/>
      <c r="VZM1" s="520"/>
      <c r="VZN1" s="520"/>
      <c r="VZO1" s="520"/>
      <c r="VZP1" s="520"/>
      <c r="VZQ1" s="520"/>
      <c r="VZR1" s="520"/>
      <c r="VZS1" s="520"/>
      <c r="VZT1" s="520"/>
      <c r="VZU1" s="520"/>
      <c r="VZV1" s="520"/>
      <c r="VZW1" s="520"/>
      <c r="VZX1" s="520"/>
      <c r="VZY1" s="520"/>
      <c r="VZZ1" s="520"/>
      <c r="WAA1" s="520"/>
      <c r="WAB1" s="520"/>
      <c r="WAC1" s="520"/>
      <c r="WAD1" s="520"/>
      <c r="WAE1" s="520"/>
      <c r="WAF1" s="520"/>
      <c r="WAG1" s="520"/>
      <c r="WAH1" s="520"/>
      <c r="WAI1" s="520"/>
      <c r="WAJ1" s="520"/>
      <c r="WAK1" s="520"/>
      <c r="WAL1" s="520"/>
      <c r="WAM1" s="520"/>
      <c r="WAN1" s="520"/>
      <c r="WAO1" s="520"/>
      <c r="WAP1" s="520"/>
      <c r="WAQ1" s="520"/>
      <c r="WAR1" s="520"/>
      <c r="WAS1" s="520"/>
      <c r="WAT1" s="520"/>
      <c r="WAU1" s="520"/>
      <c r="WAV1" s="520"/>
      <c r="WAW1" s="520"/>
      <c r="WAX1" s="520"/>
      <c r="WAY1" s="520"/>
      <c r="WAZ1" s="520"/>
      <c r="WBA1" s="520"/>
      <c r="WBB1" s="520"/>
      <c r="WBC1" s="520"/>
      <c r="WBD1" s="520"/>
      <c r="WBE1" s="520"/>
      <c r="WBF1" s="520"/>
      <c r="WBG1" s="520"/>
      <c r="WBH1" s="520"/>
      <c r="WBI1" s="520"/>
      <c r="WBJ1" s="520"/>
      <c r="WBK1" s="520"/>
      <c r="WBL1" s="520"/>
      <c r="WBM1" s="520"/>
      <c r="WBN1" s="520"/>
      <c r="WBO1" s="520"/>
      <c r="WBP1" s="520"/>
      <c r="WBQ1" s="520"/>
      <c r="WBR1" s="520"/>
      <c r="WBS1" s="520"/>
      <c r="WBT1" s="520"/>
      <c r="WBU1" s="520"/>
      <c r="WBV1" s="520"/>
      <c r="WBW1" s="520"/>
      <c r="WBX1" s="520"/>
      <c r="WBY1" s="520"/>
      <c r="WBZ1" s="520"/>
      <c r="WCA1" s="520"/>
      <c r="WCB1" s="520"/>
      <c r="WCC1" s="520"/>
      <c r="WCD1" s="520"/>
      <c r="WCE1" s="520"/>
      <c r="WCF1" s="520"/>
      <c r="WCG1" s="520"/>
      <c r="WCH1" s="520"/>
      <c r="WCI1" s="520"/>
      <c r="WCJ1" s="520"/>
      <c r="WCK1" s="520"/>
      <c r="WCL1" s="520"/>
      <c r="WCM1" s="520"/>
      <c r="WCN1" s="520"/>
      <c r="WCO1" s="520"/>
      <c r="WCP1" s="520"/>
      <c r="WCQ1" s="520"/>
      <c r="WCR1" s="520"/>
      <c r="WCS1" s="520"/>
      <c r="WCT1" s="520"/>
      <c r="WCU1" s="520"/>
      <c r="WCV1" s="520"/>
      <c r="WCW1" s="520"/>
      <c r="WCX1" s="520"/>
      <c r="WCY1" s="520"/>
      <c r="WCZ1" s="520"/>
      <c r="WDA1" s="520"/>
      <c r="WDB1" s="520"/>
      <c r="WDC1" s="520"/>
      <c r="WDD1" s="520"/>
      <c r="WDE1" s="520"/>
      <c r="WDF1" s="520"/>
      <c r="WDG1" s="520"/>
      <c r="WDH1" s="520"/>
      <c r="WDI1" s="520"/>
      <c r="WDJ1" s="520"/>
      <c r="WDK1" s="520"/>
      <c r="WDL1" s="520"/>
      <c r="WDM1" s="520"/>
      <c r="WDN1" s="520"/>
      <c r="WDO1" s="520"/>
      <c r="WDP1" s="520"/>
      <c r="WDQ1" s="520"/>
      <c r="WDR1" s="520"/>
      <c r="WDS1" s="520"/>
      <c r="WDT1" s="520"/>
      <c r="WDU1" s="520"/>
      <c r="WDV1" s="520"/>
      <c r="WDW1" s="520"/>
      <c r="WDX1" s="520"/>
      <c r="WDY1" s="520"/>
      <c r="WDZ1" s="520"/>
      <c r="WEA1" s="520"/>
      <c r="WEB1" s="520"/>
      <c r="WEC1" s="520"/>
      <c r="WED1" s="520"/>
      <c r="WEE1" s="520"/>
      <c r="WEF1" s="520"/>
      <c r="WEG1" s="520"/>
      <c r="WEH1" s="520"/>
      <c r="WEI1" s="520"/>
      <c r="WEJ1" s="520"/>
      <c r="WEK1" s="520"/>
      <c r="WEL1" s="520"/>
      <c r="WEM1" s="520"/>
      <c r="WEN1" s="520"/>
      <c r="WEO1" s="520"/>
      <c r="WEP1" s="520"/>
      <c r="WEQ1" s="520"/>
      <c r="WER1" s="520"/>
      <c r="WES1" s="520"/>
      <c r="WET1" s="520"/>
      <c r="WEU1" s="520"/>
      <c r="WEV1" s="520"/>
      <c r="WEW1" s="520"/>
      <c r="WEX1" s="520"/>
      <c r="WEY1" s="520"/>
      <c r="WEZ1" s="520"/>
      <c r="WFA1" s="520"/>
      <c r="WFB1" s="520"/>
      <c r="WFC1" s="520"/>
      <c r="WFD1" s="520"/>
      <c r="WFE1" s="520"/>
      <c r="WFF1" s="520"/>
      <c r="WFG1" s="520"/>
      <c r="WFH1" s="520"/>
      <c r="WFI1" s="520"/>
      <c r="WFJ1" s="520"/>
      <c r="WFK1" s="520"/>
      <c r="WFL1" s="520"/>
      <c r="WFM1" s="520"/>
      <c r="WFN1" s="520"/>
      <c r="WFO1" s="520"/>
      <c r="WFP1" s="520"/>
      <c r="WFQ1" s="520"/>
      <c r="WFR1" s="520"/>
      <c r="WFS1" s="520"/>
      <c r="WFT1" s="520"/>
      <c r="WFU1" s="520"/>
      <c r="WFV1" s="520"/>
      <c r="WFW1" s="520"/>
      <c r="WFX1" s="520"/>
      <c r="WFY1" s="520"/>
      <c r="WFZ1" s="520"/>
      <c r="WGA1" s="520"/>
      <c r="WGB1" s="520"/>
      <c r="WGC1" s="520"/>
      <c r="WGD1" s="520"/>
      <c r="WGE1" s="520"/>
      <c r="WGF1" s="520"/>
      <c r="WGG1" s="520"/>
      <c r="WGH1" s="520"/>
      <c r="WGI1" s="520"/>
      <c r="WGJ1" s="520"/>
      <c r="WGK1" s="520"/>
      <c r="WGL1" s="520"/>
      <c r="WGM1" s="520"/>
      <c r="WGN1" s="520"/>
      <c r="WGO1" s="520"/>
      <c r="WGP1" s="520"/>
      <c r="WGQ1" s="520"/>
      <c r="WGR1" s="520"/>
      <c r="WGS1" s="520"/>
      <c r="WGT1" s="520"/>
      <c r="WGU1" s="520"/>
      <c r="WGV1" s="520"/>
      <c r="WGW1" s="520"/>
      <c r="WGX1" s="520"/>
      <c r="WGY1" s="520"/>
      <c r="WGZ1" s="520"/>
      <c r="WHA1" s="520"/>
      <c r="WHB1" s="520"/>
      <c r="WHC1" s="520"/>
      <c r="WHD1" s="520"/>
      <c r="WHE1" s="520"/>
      <c r="WHF1" s="520"/>
      <c r="WHG1" s="520"/>
      <c r="WHH1" s="520"/>
      <c r="WHI1" s="520"/>
      <c r="WHJ1" s="520"/>
      <c r="WHK1" s="520"/>
      <c r="WHL1" s="520"/>
      <c r="WHM1" s="520"/>
      <c r="WHN1" s="520"/>
      <c r="WHO1" s="520"/>
      <c r="WHP1" s="520"/>
      <c r="WHQ1" s="520"/>
      <c r="WHR1" s="520"/>
      <c r="WHS1" s="520"/>
      <c r="WHT1" s="520"/>
      <c r="WHU1" s="520"/>
      <c r="WHV1" s="520"/>
      <c r="WHW1" s="520"/>
      <c r="WHX1" s="520"/>
      <c r="WHY1" s="520"/>
      <c r="WHZ1" s="520"/>
      <c r="WIA1" s="520"/>
      <c r="WIB1" s="520"/>
      <c r="WIC1" s="520"/>
      <c r="WID1" s="520"/>
      <c r="WIE1" s="520"/>
      <c r="WIF1" s="520"/>
      <c r="WIG1" s="520"/>
      <c r="WIH1" s="520"/>
      <c r="WII1" s="520"/>
      <c r="WIJ1" s="520"/>
      <c r="WIK1" s="520"/>
      <c r="WIL1" s="520"/>
      <c r="WIM1" s="520"/>
      <c r="WIN1" s="520"/>
      <c r="WIO1" s="520"/>
      <c r="WIP1" s="520"/>
      <c r="WIQ1" s="520"/>
      <c r="WIR1" s="520"/>
      <c r="WIS1" s="520"/>
      <c r="WIT1" s="520"/>
      <c r="WIU1" s="520"/>
      <c r="WIV1" s="520"/>
      <c r="WIW1" s="520"/>
      <c r="WIX1" s="520"/>
      <c r="WIY1" s="520"/>
      <c r="WIZ1" s="520"/>
      <c r="WJA1" s="520"/>
      <c r="WJB1" s="520"/>
      <c r="WJC1" s="520"/>
      <c r="WJD1" s="520"/>
      <c r="WJE1" s="520"/>
      <c r="WJF1" s="520"/>
      <c r="WJG1" s="520"/>
      <c r="WJH1" s="520"/>
      <c r="WJI1" s="520"/>
      <c r="WJJ1" s="520"/>
      <c r="WJK1" s="520"/>
      <c r="WJL1" s="520"/>
      <c r="WJM1" s="520"/>
      <c r="WJN1" s="520"/>
      <c r="WJO1" s="520"/>
      <c r="WJP1" s="520"/>
      <c r="WJQ1" s="520"/>
      <c r="WJR1" s="520"/>
      <c r="WJS1" s="520"/>
      <c r="WJT1" s="520"/>
      <c r="WJU1" s="520"/>
      <c r="WJV1" s="520"/>
      <c r="WJW1" s="520"/>
      <c r="WJX1" s="520"/>
      <c r="WJY1" s="520"/>
      <c r="WJZ1" s="520"/>
      <c r="WKA1" s="520"/>
      <c r="WKB1" s="520"/>
      <c r="WKC1" s="520"/>
      <c r="WKD1" s="520"/>
      <c r="WKE1" s="520"/>
      <c r="WKF1" s="520"/>
      <c r="WKG1" s="520"/>
      <c r="WKH1" s="520"/>
      <c r="WKI1" s="520"/>
      <c r="WKJ1" s="520"/>
      <c r="WKK1" s="520"/>
      <c r="WKL1" s="520"/>
      <c r="WKM1" s="520"/>
      <c r="WKN1" s="520"/>
      <c r="WKO1" s="520"/>
      <c r="WKP1" s="520"/>
      <c r="WKQ1" s="520"/>
      <c r="WKR1" s="520"/>
      <c r="WKS1" s="520"/>
      <c r="WKT1" s="520"/>
      <c r="WKU1" s="520"/>
      <c r="WKV1" s="520"/>
      <c r="WKW1" s="520"/>
      <c r="WKX1" s="520"/>
      <c r="WKY1" s="520"/>
      <c r="WKZ1" s="520"/>
      <c r="WLA1" s="520"/>
      <c r="WLB1" s="520"/>
      <c r="WLC1" s="520"/>
      <c r="WLD1" s="520"/>
      <c r="WLE1" s="520"/>
      <c r="WLF1" s="520"/>
      <c r="WLG1" s="520"/>
      <c r="WLH1" s="520"/>
      <c r="WLI1" s="520"/>
      <c r="WLJ1" s="520"/>
      <c r="WLK1" s="520"/>
      <c r="WLL1" s="520"/>
      <c r="WLM1" s="520"/>
      <c r="WLN1" s="520"/>
      <c r="WLO1" s="520"/>
      <c r="WLP1" s="520"/>
      <c r="WLQ1" s="520"/>
      <c r="WLR1" s="520"/>
      <c r="WLS1" s="520"/>
      <c r="WLT1" s="520"/>
      <c r="WLU1" s="520"/>
      <c r="WLV1" s="520"/>
      <c r="WLW1" s="520"/>
      <c r="WLX1" s="520"/>
      <c r="WLY1" s="520"/>
      <c r="WLZ1" s="520"/>
      <c r="WMA1" s="520"/>
      <c r="WMB1" s="520"/>
      <c r="WMC1" s="520"/>
      <c r="WMD1" s="520"/>
      <c r="WME1" s="520"/>
      <c r="WMF1" s="520"/>
      <c r="WMG1" s="520"/>
      <c r="WMH1" s="520"/>
      <c r="WMI1" s="520"/>
      <c r="WMJ1" s="520"/>
      <c r="WMK1" s="520"/>
      <c r="WML1" s="520"/>
      <c r="WMM1" s="520"/>
      <c r="WMN1" s="520"/>
      <c r="WMO1" s="520"/>
      <c r="WMP1" s="520"/>
      <c r="WMQ1" s="520"/>
      <c r="WMR1" s="520"/>
      <c r="WMS1" s="520"/>
      <c r="WMT1" s="520"/>
      <c r="WMU1" s="520"/>
      <c r="WMV1" s="520"/>
      <c r="WMW1" s="520"/>
      <c r="WMX1" s="520"/>
      <c r="WMY1" s="520"/>
      <c r="WMZ1" s="520"/>
      <c r="WNA1" s="520"/>
      <c r="WNB1" s="520"/>
      <c r="WNC1" s="520"/>
      <c r="WND1" s="520"/>
      <c r="WNE1" s="520"/>
      <c r="WNF1" s="520"/>
      <c r="WNG1" s="520"/>
      <c r="WNH1" s="520"/>
      <c r="WNI1" s="520"/>
      <c r="WNJ1" s="520"/>
      <c r="WNK1" s="520"/>
      <c r="WNL1" s="520"/>
      <c r="WNM1" s="520"/>
      <c r="WNN1" s="520"/>
      <c r="WNO1" s="520"/>
      <c r="WNP1" s="520"/>
      <c r="WNQ1" s="520"/>
      <c r="WNR1" s="520"/>
      <c r="WNS1" s="520"/>
      <c r="WNT1" s="520"/>
      <c r="WNU1" s="520"/>
      <c r="WNV1" s="520"/>
      <c r="WNW1" s="520"/>
      <c r="WNX1" s="520"/>
      <c r="WNY1" s="520"/>
      <c r="WNZ1" s="520"/>
      <c r="WOA1" s="520"/>
      <c r="WOB1" s="520"/>
      <c r="WOC1" s="520"/>
      <c r="WOD1" s="520"/>
      <c r="WOE1" s="520"/>
      <c r="WOF1" s="520"/>
      <c r="WOG1" s="520"/>
      <c r="WOH1" s="520"/>
      <c r="WOI1" s="520"/>
      <c r="WOJ1" s="520"/>
      <c r="WOK1" s="520"/>
      <c r="WOL1" s="520"/>
      <c r="WOM1" s="520"/>
      <c r="WON1" s="520"/>
      <c r="WOO1" s="520"/>
      <c r="WOP1" s="520"/>
      <c r="WOQ1" s="520"/>
      <c r="WOR1" s="520"/>
      <c r="WOS1" s="520"/>
      <c r="WOT1" s="520"/>
      <c r="WOU1" s="520"/>
      <c r="WOV1" s="520"/>
      <c r="WOW1" s="520"/>
      <c r="WOX1" s="520"/>
      <c r="WOY1" s="520"/>
      <c r="WOZ1" s="520"/>
      <c r="WPA1" s="520"/>
      <c r="WPB1" s="520"/>
      <c r="WPC1" s="520"/>
      <c r="WPD1" s="520"/>
      <c r="WPE1" s="520"/>
      <c r="WPF1" s="520"/>
      <c r="WPG1" s="520"/>
      <c r="WPH1" s="520"/>
      <c r="WPI1" s="520"/>
      <c r="WPJ1" s="520"/>
      <c r="WPK1" s="520"/>
      <c r="WPL1" s="520"/>
      <c r="WPM1" s="520"/>
      <c r="WPN1" s="520"/>
      <c r="WPO1" s="520"/>
      <c r="WPP1" s="520"/>
      <c r="WPQ1" s="520"/>
      <c r="WPR1" s="520"/>
      <c r="WPS1" s="520"/>
      <c r="WPT1" s="520"/>
      <c r="WPU1" s="520"/>
      <c r="WPV1" s="520"/>
      <c r="WPW1" s="520"/>
      <c r="WPX1" s="520"/>
      <c r="WPY1" s="520"/>
      <c r="WPZ1" s="520"/>
      <c r="WQA1" s="520"/>
      <c r="WQB1" s="520"/>
      <c r="WQC1" s="520"/>
      <c r="WQD1" s="520"/>
      <c r="WQE1" s="520"/>
      <c r="WQF1" s="520"/>
      <c r="WQG1" s="520"/>
      <c r="WQH1" s="520"/>
      <c r="WQI1" s="520"/>
      <c r="WQJ1" s="520"/>
      <c r="WQK1" s="520"/>
      <c r="WQL1" s="520"/>
      <c r="WQM1" s="520"/>
      <c r="WQN1" s="520"/>
      <c r="WQO1" s="520"/>
      <c r="WQP1" s="520"/>
      <c r="WQQ1" s="520"/>
      <c r="WQR1" s="520"/>
      <c r="WQS1" s="520"/>
      <c r="WQT1" s="520"/>
      <c r="WQU1" s="520"/>
      <c r="WQV1" s="520"/>
      <c r="WQW1" s="520"/>
      <c r="WQX1" s="520"/>
      <c r="WQY1" s="520"/>
      <c r="WQZ1" s="520"/>
      <c r="WRA1" s="520"/>
      <c r="WRB1" s="520"/>
      <c r="WRC1" s="520"/>
      <c r="WRD1" s="520"/>
      <c r="WRE1" s="520"/>
      <c r="WRF1" s="520"/>
      <c r="WRG1" s="520"/>
      <c r="WRH1" s="520"/>
      <c r="WRI1" s="520"/>
      <c r="WRJ1" s="520"/>
      <c r="WRK1" s="520"/>
      <c r="WRL1" s="520"/>
      <c r="WRM1" s="520"/>
      <c r="WRN1" s="520"/>
      <c r="WRO1" s="520"/>
      <c r="WRP1" s="520"/>
      <c r="WRQ1" s="520"/>
      <c r="WRR1" s="520"/>
      <c r="WRS1" s="520"/>
      <c r="WRT1" s="520"/>
      <c r="WRU1" s="520"/>
      <c r="WRV1" s="520"/>
      <c r="WRW1" s="520"/>
      <c r="WRX1" s="520"/>
      <c r="WRY1" s="520"/>
      <c r="WRZ1" s="520"/>
      <c r="WSA1" s="520"/>
      <c r="WSB1" s="520"/>
      <c r="WSC1" s="520"/>
      <c r="WSD1" s="520"/>
      <c r="WSE1" s="520"/>
      <c r="WSF1" s="520"/>
      <c r="WSG1" s="520"/>
      <c r="WSH1" s="520"/>
      <c r="WSI1" s="520"/>
      <c r="WSJ1" s="520"/>
      <c r="WSK1" s="520"/>
      <c r="WSL1" s="520"/>
      <c r="WSM1" s="520"/>
      <c r="WSN1" s="520"/>
      <c r="WSO1" s="520"/>
      <c r="WSP1" s="520"/>
      <c r="WSQ1" s="520"/>
      <c r="WSR1" s="520"/>
      <c r="WSS1" s="520"/>
      <c r="WST1" s="520"/>
      <c r="WSU1" s="520"/>
      <c r="WSV1" s="520"/>
      <c r="WSW1" s="520"/>
      <c r="WSX1" s="520"/>
      <c r="WSY1" s="520"/>
      <c r="WSZ1" s="520"/>
      <c r="WTA1" s="520"/>
      <c r="WTB1" s="520"/>
      <c r="WTC1" s="520"/>
      <c r="WTD1" s="520"/>
      <c r="WTE1" s="520"/>
      <c r="WTF1" s="520"/>
      <c r="WTG1" s="520"/>
      <c r="WTH1" s="520"/>
      <c r="WTI1" s="520"/>
      <c r="WTJ1" s="520"/>
      <c r="WTK1" s="520"/>
      <c r="WTL1" s="520"/>
      <c r="WTM1" s="520"/>
      <c r="WTN1" s="520"/>
      <c r="WTO1" s="520"/>
      <c r="WTP1" s="520"/>
      <c r="WTQ1" s="520"/>
      <c r="WTR1" s="520"/>
      <c r="WTS1" s="520"/>
      <c r="WTT1" s="520"/>
      <c r="WTU1" s="520"/>
      <c r="WTV1" s="520"/>
      <c r="WTW1" s="520"/>
      <c r="WTX1" s="520"/>
      <c r="WTY1" s="520"/>
      <c r="WTZ1" s="520"/>
      <c r="WUA1" s="520"/>
      <c r="WUB1" s="520"/>
      <c r="WUC1" s="520"/>
      <c r="WUD1" s="520"/>
      <c r="WUE1" s="520"/>
      <c r="WUF1" s="520"/>
      <c r="WUG1" s="520"/>
      <c r="WUH1" s="520"/>
      <c r="WUI1" s="520"/>
      <c r="WUJ1" s="520"/>
      <c r="WUK1" s="520"/>
      <c r="WUL1" s="520"/>
      <c r="WUM1" s="520"/>
      <c r="WUN1" s="520"/>
      <c r="WUO1" s="520"/>
      <c r="WUP1" s="520"/>
      <c r="WUQ1" s="520"/>
      <c r="WUR1" s="520"/>
      <c r="WUS1" s="520"/>
      <c r="WUT1" s="520"/>
      <c r="WUU1" s="520"/>
      <c r="WUV1" s="520"/>
      <c r="WUW1" s="520"/>
      <c r="WUX1" s="520"/>
      <c r="WUY1" s="520"/>
      <c r="WUZ1" s="520"/>
      <c r="WVA1" s="520"/>
      <c r="WVB1" s="520"/>
      <c r="WVC1" s="520"/>
      <c r="WVD1" s="520"/>
      <c r="WVE1" s="520"/>
      <c r="WVF1" s="520"/>
      <c r="WVG1" s="520"/>
      <c r="WVH1" s="520"/>
      <c r="WVI1" s="520"/>
      <c r="WVJ1" s="520"/>
      <c r="WVK1" s="520"/>
      <c r="WVL1" s="520"/>
      <c r="WVM1" s="520"/>
      <c r="WVN1" s="520"/>
      <c r="WVO1" s="520"/>
      <c r="WVP1" s="520"/>
      <c r="WVQ1" s="520"/>
      <c r="WVR1" s="520"/>
      <c r="WVS1" s="520"/>
      <c r="WVT1" s="520"/>
      <c r="WVU1" s="520"/>
      <c r="WVV1" s="520"/>
      <c r="WVW1" s="520"/>
      <c r="WVX1" s="520"/>
      <c r="WVY1" s="520"/>
      <c r="WVZ1" s="520"/>
      <c r="WWA1" s="520"/>
      <c r="WWB1" s="520"/>
      <c r="WWC1" s="520"/>
      <c r="WWD1" s="520"/>
      <c r="WWE1" s="520"/>
      <c r="WWF1" s="520"/>
      <c r="WWG1" s="520"/>
      <c r="WWH1" s="520"/>
      <c r="WWI1" s="520"/>
      <c r="WWJ1" s="520"/>
      <c r="WWK1" s="520"/>
      <c r="WWL1" s="520"/>
      <c r="WWM1" s="520"/>
      <c r="WWN1" s="520"/>
      <c r="WWO1" s="520"/>
      <c r="WWP1" s="520"/>
      <c r="WWQ1" s="520"/>
      <c r="WWR1" s="520"/>
      <c r="WWS1" s="520"/>
      <c r="WWT1" s="520"/>
      <c r="WWU1" s="520"/>
      <c r="WWV1" s="520"/>
      <c r="WWW1" s="520"/>
      <c r="WWX1" s="520"/>
      <c r="WWY1" s="520"/>
      <c r="WWZ1" s="520"/>
      <c r="WXA1" s="520"/>
      <c r="WXB1" s="520"/>
      <c r="WXC1" s="520"/>
      <c r="WXD1" s="520"/>
      <c r="WXE1" s="520"/>
      <c r="WXF1" s="520"/>
      <c r="WXG1" s="520"/>
      <c r="WXH1" s="520"/>
      <c r="WXI1" s="520"/>
      <c r="WXJ1" s="520"/>
      <c r="WXK1" s="520"/>
      <c r="WXL1" s="520"/>
      <c r="WXM1" s="520"/>
      <c r="WXN1" s="520"/>
      <c r="WXO1" s="520"/>
      <c r="WXP1" s="520"/>
      <c r="WXQ1" s="520"/>
      <c r="WXR1" s="520"/>
      <c r="WXS1" s="520"/>
      <c r="WXT1" s="520"/>
      <c r="WXU1" s="520"/>
      <c r="WXV1" s="520"/>
      <c r="WXW1" s="520"/>
      <c r="WXX1" s="520"/>
      <c r="WXY1" s="520"/>
      <c r="WXZ1" s="520"/>
      <c r="WYA1" s="520"/>
      <c r="WYB1" s="520"/>
      <c r="WYC1" s="520"/>
      <c r="WYD1" s="520"/>
      <c r="WYE1" s="520"/>
      <c r="WYF1" s="520"/>
      <c r="WYG1" s="520"/>
      <c r="WYH1" s="520"/>
      <c r="WYI1" s="520"/>
      <c r="WYJ1" s="520"/>
      <c r="WYK1" s="520"/>
      <c r="WYL1" s="520"/>
      <c r="WYM1" s="520"/>
      <c r="WYN1" s="520"/>
      <c r="WYO1" s="520"/>
      <c r="WYP1" s="520"/>
      <c r="WYQ1" s="520"/>
      <c r="WYR1" s="520"/>
      <c r="WYS1" s="520"/>
      <c r="WYT1" s="520"/>
      <c r="WYU1" s="520"/>
      <c r="WYV1" s="520"/>
      <c r="WYW1" s="520"/>
      <c r="WYX1" s="520"/>
      <c r="WYY1" s="520"/>
      <c r="WYZ1" s="520"/>
      <c r="WZA1" s="520"/>
      <c r="WZB1" s="520"/>
      <c r="WZC1" s="520"/>
      <c r="WZD1" s="520"/>
      <c r="WZE1" s="520"/>
      <c r="WZF1" s="520"/>
      <c r="WZG1" s="520"/>
      <c r="WZH1" s="520"/>
      <c r="WZI1" s="520"/>
      <c r="WZJ1" s="520"/>
      <c r="WZK1" s="520"/>
      <c r="WZL1" s="520"/>
      <c r="WZM1" s="520"/>
      <c r="WZN1" s="520"/>
      <c r="WZO1" s="520"/>
      <c r="WZP1" s="520"/>
      <c r="WZQ1" s="520"/>
      <c r="WZR1" s="520"/>
      <c r="WZS1" s="520"/>
      <c r="WZT1" s="520"/>
      <c r="WZU1" s="520"/>
      <c r="WZV1" s="520"/>
      <c r="WZW1" s="520"/>
      <c r="WZX1" s="520"/>
      <c r="WZY1" s="520"/>
      <c r="WZZ1" s="520"/>
      <c r="XAA1" s="520"/>
      <c r="XAB1" s="520"/>
      <c r="XAC1" s="520"/>
      <c r="XAD1" s="520"/>
      <c r="XAE1" s="520"/>
      <c r="XAF1" s="520"/>
      <c r="XAG1" s="520"/>
      <c r="XAH1" s="520"/>
      <c r="XAI1" s="520"/>
      <c r="XAJ1" s="520"/>
      <c r="XAK1" s="520"/>
      <c r="XAL1" s="520"/>
      <c r="XAM1" s="520"/>
      <c r="XAN1" s="520"/>
      <c r="XAO1" s="520"/>
      <c r="XAP1" s="520"/>
      <c r="XAQ1" s="520"/>
      <c r="XAR1" s="520"/>
      <c r="XAS1" s="520"/>
      <c r="XAT1" s="520"/>
      <c r="XAU1" s="520"/>
      <c r="XAV1" s="520"/>
      <c r="XAW1" s="520"/>
      <c r="XAX1" s="520"/>
      <c r="XAY1" s="520"/>
      <c r="XAZ1" s="520"/>
      <c r="XBA1" s="520"/>
      <c r="XBB1" s="520"/>
      <c r="XBC1" s="520"/>
      <c r="XBD1" s="520"/>
      <c r="XBE1" s="520"/>
      <c r="XBF1" s="520"/>
      <c r="XBG1" s="520"/>
      <c r="XBH1" s="520"/>
      <c r="XBI1" s="520"/>
      <c r="XBJ1" s="520"/>
      <c r="XBK1" s="520"/>
      <c r="XBL1" s="520"/>
      <c r="XBM1" s="520"/>
      <c r="XBN1" s="520"/>
      <c r="XBO1" s="520"/>
      <c r="XBP1" s="520"/>
      <c r="XBQ1" s="520"/>
      <c r="XBR1" s="520"/>
      <c r="XBS1" s="520"/>
      <c r="XBT1" s="520"/>
      <c r="XBU1" s="520"/>
      <c r="XBV1" s="520"/>
      <c r="XBW1" s="520"/>
      <c r="XBX1" s="520"/>
      <c r="XBY1" s="520"/>
      <c r="XBZ1" s="520"/>
      <c r="XCA1" s="520"/>
      <c r="XCB1" s="520"/>
      <c r="XCC1" s="520"/>
      <c r="XCD1" s="520"/>
      <c r="XCE1" s="520"/>
      <c r="XCF1" s="520"/>
      <c r="XCG1" s="520"/>
      <c r="XCH1" s="520"/>
      <c r="XCI1" s="520"/>
      <c r="XCJ1" s="520"/>
      <c r="XCK1" s="520"/>
      <c r="XCL1" s="520"/>
      <c r="XCM1" s="520"/>
      <c r="XCN1" s="520"/>
      <c r="XCO1" s="520"/>
      <c r="XCP1" s="520"/>
      <c r="XCQ1" s="520"/>
      <c r="XCR1" s="520"/>
      <c r="XCS1" s="520"/>
      <c r="XCT1" s="520"/>
      <c r="XCU1" s="520"/>
      <c r="XCV1" s="520"/>
      <c r="XCW1" s="520"/>
      <c r="XCX1" s="520"/>
      <c r="XCY1" s="520"/>
      <c r="XCZ1" s="520"/>
      <c r="XDA1" s="520"/>
      <c r="XDB1" s="520"/>
      <c r="XDC1" s="520"/>
      <c r="XDD1" s="520"/>
      <c r="XDE1" s="520"/>
      <c r="XDF1" s="520"/>
      <c r="XDG1" s="520"/>
      <c r="XDH1" s="520"/>
      <c r="XDI1" s="520"/>
      <c r="XDJ1" s="520"/>
      <c r="XDK1" s="520"/>
      <c r="XDL1" s="520"/>
      <c r="XDM1" s="520"/>
      <c r="XDN1" s="520"/>
      <c r="XDO1" s="520"/>
      <c r="XDP1" s="520"/>
      <c r="XDQ1" s="520"/>
      <c r="XDR1" s="520"/>
      <c r="XDS1" s="520"/>
      <c r="XDT1" s="520"/>
      <c r="XDU1" s="520"/>
      <c r="XDV1" s="520"/>
      <c r="XDW1" s="520"/>
      <c r="XDX1" s="520"/>
      <c r="XDY1" s="520"/>
      <c r="XDZ1" s="520"/>
      <c r="XEA1" s="520"/>
      <c r="XEB1" s="520"/>
      <c r="XEC1" s="520"/>
      <c r="XED1" s="520"/>
      <c r="XEE1" s="520"/>
      <c r="XEF1" s="520"/>
      <c r="XEG1" s="520"/>
      <c r="XEH1" s="520"/>
      <c r="XEI1" s="520"/>
      <c r="XEJ1" s="520"/>
      <c r="XEK1" s="520"/>
      <c r="XEL1" s="520"/>
      <c r="XEM1" s="520"/>
      <c r="XEN1" s="520"/>
      <c r="XEO1" s="520"/>
      <c r="XEP1" s="520"/>
      <c r="XEQ1" s="520"/>
      <c r="XER1" s="520"/>
      <c r="XES1" s="520"/>
      <c r="XET1" s="520"/>
      <c r="XEU1" s="520"/>
      <c r="XEV1" s="520"/>
      <c r="XEW1" s="520"/>
      <c r="XEX1" s="520"/>
      <c r="XEY1" s="520"/>
      <c r="XEZ1" s="520"/>
      <c r="XFA1" s="520"/>
      <c r="XFB1" s="520"/>
      <c r="XFC1" s="520"/>
    </row>
    <row r="2" spans="1:16383" s="117" customFormat="1" ht="20.45" customHeight="1" thickTop="1" x14ac:dyDescent="0.3">
      <c r="A2" s="565">
        <v>1</v>
      </c>
      <c r="B2" s="566" t="s">
        <v>2696</v>
      </c>
      <c r="C2" s="566" t="s">
        <v>3052</v>
      </c>
      <c r="D2" s="566">
        <v>10</v>
      </c>
      <c r="E2" s="567" t="s">
        <v>3225</v>
      </c>
      <c r="F2" s="567" t="s">
        <v>3053</v>
      </c>
      <c r="G2" s="566" t="s">
        <v>2703</v>
      </c>
      <c r="H2" s="568">
        <v>7</v>
      </c>
      <c r="I2" s="569">
        <v>870</v>
      </c>
      <c r="J2" s="570">
        <v>1</v>
      </c>
      <c r="K2" s="568" t="s">
        <v>3054</v>
      </c>
      <c r="L2" s="568">
        <v>0</v>
      </c>
      <c r="M2" s="568" t="s">
        <v>2673</v>
      </c>
      <c r="N2" s="568" t="s">
        <v>2672</v>
      </c>
      <c r="O2" s="571" t="s">
        <v>155</v>
      </c>
      <c r="P2" s="566" t="s">
        <v>156</v>
      </c>
      <c r="Q2" s="572">
        <v>44679</v>
      </c>
      <c r="R2" s="124"/>
    </row>
    <row r="3" spans="1:16383" s="117" customFormat="1" ht="20.45" customHeight="1" x14ac:dyDescent="0.3">
      <c r="A3" s="332">
        <v>2</v>
      </c>
      <c r="B3" s="130" t="s">
        <v>3055</v>
      </c>
      <c r="C3" s="130" t="s">
        <v>3056</v>
      </c>
      <c r="D3" s="130">
        <v>37</v>
      </c>
      <c r="E3" s="36" t="s">
        <v>3226</v>
      </c>
      <c r="F3" s="36" t="s">
        <v>1710</v>
      </c>
      <c r="G3" s="130" t="s">
        <v>3057</v>
      </c>
      <c r="H3" s="118">
        <v>6</v>
      </c>
      <c r="I3" s="138">
        <v>431</v>
      </c>
      <c r="J3" s="89">
        <v>0</v>
      </c>
      <c r="K3" s="118" t="s">
        <v>336</v>
      </c>
      <c r="L3" s="118">
        <v>0</v>
      </c>
      <c r="M3" s="118" t="s">
        <v>1513</v>
      </c>
      <c r="N3" s="118" t="s">
        <v>2672</v>
      </c>
      <c r="O3" s="70" t="s">
        <v>155</v>
      </c>
      <c r="P3" s="130" t="s">
        <v>156</v>
      </c>
      <c r="Q3" s="52">
        <v>44566</v>
      </c>
      <c r="R3" s="36"/>
    </row>
    <row r="4" spans="1:16383" s="538" customFormat="1" ht="20.45" customHeight="1" x14ac:dyDescent="0.3">
      <c r="A4" s="332">
        <v>3</v>
      </c>
      <c r="B4" s="130" t="s">
        <v>3058</v>
      </c>
      <c r="C4" s="130" t="s">
        <v>1793</v>
      </c>
      <c r="D4" s="130">
        <v>55</v>
      </c>
      <c r="E4" s="63" t="s">
        <v>3059</v>
      </c>
      <c r="F4" s="63" t="s">
        <v>3060</v>
      </c>
      <c r="G4" s="130" t="s">
        <v>2703</v>
      </c>
      <c r="H4" s="118">
        <v>7</v>
      </c>
      <c r="I4" s="138">
        <v>1034</v>
      </c>
      <c r="J4" s="89">
        <v>2</v>
      </c>
      <c r="K4" s="118" t="s">
        <v>3061</v>
      </c>
      <c r="L4" s="118">
        <v>0</v>
      </c>
      <c r="M4" s="118" t="s">
        <v>1513</v>
      </c>
      <c r="N4" s="118" t="s">
        <v>1495</v>
      </c>
      <c r="O4" s="130" t="s">
        <v>159</v>
      </c>
      <c r="P4" s="130" t="s">
        <v>160</v>
      </c>
      <c r="Q4" s="52">
        <v>44681</v>
      </c>
      <c r="R4" s="36"/>
    </row>
    <row r="5" spans="1:16383" s="538" customFormat="1" ht="20.45" customHeight="1" x14ac:dyDescent="0.3">
      <c r="A5" s="332">
        <v>4</v>
      </c>
      <c r="B5" s="130" t="s">
        <v>3062</v>
      </c>
      <c r="C5" s="130" t="s">
        <v>1856</v>
      </c>
      <c r="D5" s="130">
        <v>72</v>
      </c>
      <c r="E5" s="36" t="s">
        <v>3227</v>
      </c>
      <c r="F5" s="36" t="s">
        <v>1858</v>
      </c>
      <c r="G5" s="130" t="s">
        <v>3057</v>
      </c>
      <c r="H5" s="118">
        <v>6</v>
      </c>
      <c r="I5" s="138">
        <v>412</v>
      </c>
      <c r="J5" s="89">
        <v>0</v>
      </c>
      <c r="K5" s="118" t="s">
        <v>336</v>
      </c>
      <c r="L5" s="118">
        <v>0</v>
      </c>
      <c r="M5" s="118" t="s">
        <v>2673</v>
      </c>
      <c r="N5" s="118" t="s">
        <v>3063</v>
      </c>
      <c r="O5" s="70" t="s">
        <v>155</v>
      </c>
      <c r="P5" s="130" t="s">
        <v>156</v>
      </c>
      <c r="Q5" s="52">
        <v>44574</v>
      </c>
      <c r="R5" s="36"/>
    </row>
    <row r="6" spans="1:16383" s="44" customFormat="1" ht="20.45" customHeight="1" x14ac:dyDescent="0.3">
      <c r="A6" s="332">
        <v>5</v>
      </c>
      <c r="B6" s="130" t="s">
        <v>608</v>
      </c>
      <c r="C6" s="130" t="s">
        <v>53</v>
      </c>
      <c r="D6" s="130">
        <v>76</v>
      </c>
      <c r="E6" s="63" t="s">
        <v>1888</v>
      </c>
      <c r="F6" s="63" t="s">
        <v>1889</v>
      </c>
      <c r="G6" s="130" t="s">
        <v>3057</v>
      </c>
      <c r="H6" s="118">
        <v>5</v>
      </c>
      <c r="I6" s="138">
        <v>459</v>
      </c>
      <c r="J6" s="89">
        <v>0</v>
      </c>
      <c r="K6" s="118" t="s">
        <v>336</v>
      </c>
      <c r="L6" s="118">
        <v>0</v>
      </c>
      <c r="M6" s="118" t="s">
        <v>2673</v>
      </c>
      <c r="N6" s="118" t="s">
        <v>1495</v>
      </c>
      <c r="O6" s="130" t="s">
        <v>161</v>
      </c>
      <c r="P6" s="130" t="s">
        <v>162</v>
      </c>
      <c r="Q6" s="52">
        <v>44706</v>
      </c>
      <c r="R6" s="6"/>
    </row>
    <row r="7" spans="1:16383" s="117" customFormat="1" ht="20.45" customHeight="1" x14ac:dyDescent="0.3">
      <c r="A7" s="332">
        <v>6</v>
      </c>
      <c r="B7" s="332" t="s">
        <v>3064</v>
      </c>
      <c r="C7" s="332" t="s">
        <v>1942</v>
      </c>
      <c r="D7" s="332">
        <v>90</v>
      </c>
      <c r="E7" s="573" t="s">
        <v>1943</v>
      </c>
      <c r="F7" s="573" t="s">
        <v>1944</v>
      </c>
      <c r="G7" s="332" t="s">
        <v>2703</v>
      </c>
      <c r="H7" s="118">
        <v>6</v>
      </c>
      <c r="I7" s="118">
        <v>800</v>
      </c>
      <c r="J7" s="89">
        <v>0</v>
      </c>
      <c r="K7" s="118" t="s">
        <v>336</v>
      </c>
      <c r="L7" s="118">
        <v>0</v>
      </c>
      <c r="M7" s="118" t="s">
        <v>1513</v>
      </c>
      <c r="N7" s="118" t="s">
        <v>1495</v>
      </c>
      <c r="O7" s="130" t="s">
        <v>161</v>
      </c>
      <c r="P7" s="130" t="s">
        <v>162</v>
      </c>
      <c r="Q7" s="52">
        <v>44747</v>
      </c>
      <c r="R7" s="332"/>
    </row>
    <row r="8" spans="1:16383" s="117" customFormat="1" ht="20.45" customHeight="1" x14ac:dyDescent="0.3">
      <c r="A8" s="332">
        <v>7</v>
      </c>
      <c r="B8" s="130" t="s">
        <v>1882</v>
      </c>
      <c r="C8" s="130" t="s">
        <v>1942</v>
      </c>
      <c r="D8" s="130">
        <v>90</v>
      </c>
      <c r="E8" s="36" t="s">
        <v>3228</v>
      </c>
      <c r="F8" s="36" t="s">
        <v>2915</v>
      </c>
      <c r="G8" s="130" t="s">
        <v>3057</v>
      </c>
      <c r="H8" s="118">
        <v>5</v>
      </c>
      <c r="I8" s="138">
        <v>374</v>
      </c>
      <c r="J8" s="89">
        <v>0</v>
      </c>
      <c r="K8" s="118" t="s">
        <v>1513</v>
      </c>
      <c r="L8" s="118">
        <v>0</v>
      </c>
      <c r="M8" s="118" t="s">
        <v>1513</v>
      </c>
      <c r="N8" s="118" t="s">
        <v>2672</v>
      </c>
      <c r="O8" s="70" t="s">
        <v>155</v>
      </c>
      <c r="P8" s="130" t="s">
        <v>156</v>
      </c>
      <c r="Q8" s="52">
        <v>44684</v>
      </c>
      <c r="R8" s="36"/>
    </row>
    <row r="9" spans="1:16383" s="117" customFormat="1" ht="20.45" customHeight="1" x14ac:dyDescent="0.3">
      <c r="A9" s="332">
        <v>8</v>
      </c>
      <c r="B9" s="130" t="s">
        <v>1882</v>
      </c>
      <c r="C9" s="130" t="s">
        <v>3065</v>
      </c>
      <c r="D9" s="130">
        <v>91</v>
      </c>
      <c r="E9" s="63" t="s">
        <v>3229</v>
      </c>
      <c r="F9" s="63" t="s">
        <v>1958</v>
      </c>
      <c r="G9" s="130" t="s">
        <v>1553</v>
      </c>
      <c r="H9" s="118">
        <v>8</v>
      </c>
      <c r="I9" s="138">
        <v>516</v>
      </c>
      <c r="J9" s="89">
        <v>0</v>
      </c>
      <c r="K9" s="574" t="s">
        <v>336</v>
      </c>
      <c r="L9" s="118">
        <v>0</v>
      </c>
      <c r="M9" s="118" t="s">
        <v>1513</v>
      </c>
      <c r="N9" s="118" t="s">
        <v>1495</v>
      </c>
      <c r="O9" s="70" t="s">
        <v>155</v>
      </c>
      <c r="P9" s="130" t="s">
        <v>156</v>
      </c>
      <c r="Q9" s="52">
        <v>44575</v>
      </c>
      <c r="R9" s="119"/>
    </row>
    <row r="10" spans="1:16383" s="117" customFormat="1" ht="20.45" customHeight="1" x14ac:dyDescent="0.3">
      <c r="A10" s="332">
        <v>9</v>
      </c>
      <c r="B10" s="130" t="s">
        <v>1882</v>
      </c>
      <c r="C10" s="130" t="s">
        <v>1980</v>
      </c>
      <c r="D10" s="130">
        <v>96</v>
      </c>
      <c r="E10" s="36" t="s">
        <v>1990</v>
      </c>
      <c r="F10" s="36" t="s">
        <v>1991</v>
      </c>
      <c r="G10" s="130" t="s">
        <v>1513</v>
      </c>
      <c r="H10" s="118">
        <v>1</v>
      </c>
      <c r="I10" s="138">
        <v>16</v>
      </c>
      <c r="J10" s="89">
        <v>0</v>
      </c>
      <c r="K10" s="118" t="s">
        <v>336</v>
      </c>
      <c r="L10" s="118">
        <v>0</v>
      </c>
      <c r="M10" s="118" t="s">
        <v>1513</v>
      </c>
      <c r="N10" s="118" t="s">
        <v>1495</v>
      </c>
      <c r="O10" s="70" t="s">
        <v>1992</v>
      </c>
      <c r="P10" s="575" t="s">
        <v>1993</v>
      </c>
      <c r="Q10" s="52">
        <v>44832</v>
      </c>
      <c r="R10" s="123"/>
    </row>
    <row r="11" spans="1:16383" s="116" customFormat="1" ht="20.45" customHeight="1" x14ac:dyDescent="0.3">
      <c r="A11" s="332">
        <v>10</v>
      </c>
      <c r="B11" s="70" t="s">
        <v>1882</v>
      </c>
      <c r="C11" s="70" t="s">
        <v>1996</v>
      </c>
      <c r="D11" s="130">
        <v>102</v>
      </c>
      <c r="E11" s="6" t="s">
        <v>3230</v>
      </c>
      <c r="F11" s="6" t="s">
        <v>2930</v>
      </c>
      <c r="G11" s="70" t="s">
        <v>3057</v>
      </c>
      <c r="H11" s="118">
        <v>10</v>
      </c>
      <c r="I11" s="138">
        <v>862</v>
      </c>
      <c r="J11" s="89">
        <v>0</v>
      </c>
      <c r="K11" s="118" t="s">
        <v>336</v>
      </c>
      <c r="L11" s="118">
        <v>0</v>
      </c>
      <c r="M11" s="118" t="s">
        <v>3066</v>
      </c>
      <c r="N11" s="118" t="s">
        <v>1495</v>
      </c>
      <c r="O11" s="70" t="s">
        <v>155</v>
      </c>
      <c r="P11" s="130" t="s">
        <v>156</v>
      </c>
      <c r="Q11" s="52">
        <v>44874</v>
      </c>
      <c r="R11" s="36"/>
    </row>
    <row r="12" spans="1:16383" s="117" customFormat="1" ht="20.45" customHeight="1" x14ac:dyDescent="0.3">
      <c r="A12" s="332">
        <v>11</v>
      </c>
      <c r="B12" s="130" t="s">
        <v>1882</v>
      </c>
      <c r="C12" s="130" t="s">
        <v>2023</v>
      </c>
      <c r="D12" s="130">
        <v>105</v>
      </c>
      <c r="E12" s="63" t="s">
        <v>2024</v>
      </c>
      <c r="F12" s="63" t="s">
        <v>2025</v>
      </c>
      <c r="G12" s="130" t="s">
        <v>1538</v>
      </c>
      <c r="H12" s="118">
        <v>7</v>
      </c>
      <c r="I12" s="138">
        <v>613</v>
      </c>
      <c r="J12" s="89">
        <v>7</v>
      </c>
      <c r="K12" s="118" t="s">
        <v>3067</v>
      </c>
      <c r="L12" s="118">
        <v>0</v>
      </c>
      <c r="M12" s="118" t="s">
        <v>1513</v>
      </c>
      <c r="N12" s="118" t="s">
        <v>1495</v>
      </c>
      <c r="O12" s="130" t="s">
        <v>161</v>
      </c>
      <c r="P12" s="130" t="s">
        <v>162</v>
      </c>
      <c r="Q12" s="52">
        <v>44755</v>
      </c>
      <c r="R12" s="36"/>
    </row>
    <row r="13" spans="1:16383" s="117" customFormat="1" ht="20.45" customHeight="1" x14ac:dyDescent="0.3">
      <c r="A13" s="332">
        <v>12</v>
      </c>
      <c r="B13" s="130" t="s">
        <v>1882</v>
      </c>
      <c r="C13" s="130" t="s">
        <v>2076</v>
      </c>
      <c r="D13" s="130">
        <v>116</v>
      </c>
      <c r="E13" s="36" t="s">
        <v>2080</v>
      </c>
      <c r="F13" s="36" t="s">
        <v>2081</v>
      </c>
      <c r="G13" s="130" t="s">
        <v>1513</v>
      </c>
      <c r="H13" s="118">
        <v>1</v>
      </c>
      <c r="I13" s="138">
        <v>40</v>
      </c>
      <c r="J13" s="89">
        <v>0</v>
      </c>
      <c r="K13" s="118" t="s">
        <v>336</v>
      </c>
      <c r="L13" s="118">
        <v>0</v>
      </c>
      <c r="M13" s="118" t="s">
        <v>1513</v>
      </c>
      <c r="N13" s="118" t="s">
        <v>1495</v>
      </c>
      <c r="O13" s="70" t="s">
        <v>2082</v>
      </c>
      <c r="P13" s="130" t="s">
        <v>2083</v>
      </c>
      <c r="Q13" s="52">
        <v>44631</v>
      </c>
      <c r="R13" s="6"/>
    </row>
    <row r="14" spans="1:16383" s="538" customFormat="1" ht="20.45" customHeight="1" x14ac:dyDescent="0.3">
      <c r="A14" s="332">
        <v>13</v>
      </c>
      <c r="B14" s="130" t="s">
        <v>3064</v>
      </c>
      <c r="C14" s="130" t="s">
        <v>2076</v>
      </c>
      <c r="D14" s="130">
        <v>116</v>
      </c>
      <c r="E14" s="36" t="s">
        <v>2091</v>
      </c>
      <c r="F14" s="36" t="s">
        <v>2092</v>
      </c>
      <c r="G14" s="130" t="s">
        <v>1513</v>
      </c>
      <c r="H14" s="118">
        <v>2</v>
      </c>
      <c r="I14" s="138">
        <v>150</v>
      </c>
      <c r="J14" s="89">
        <v>0</v>
      </c>
      <c r="K14" s="118" t="s">
        <v>2673</v>
      </c>
      <c r="L14" s="118">
        <v>0</v>
      </c>
      <c r="M14" s="118" t="s">
        <v>1513</v>
      </c>
      <c r="N14" s="118" t="s">
        <v>3068</v>
      </c>
      <c r="O14" s="70" t="s">
        <v>2093</v>
      </c>
      <c r="P14" s="130" t="s">
        <v>2094</v>
      </c>
      <c r="Q14" s="52">
        <v>44901</v>
      </c>
      <c r="R14" s="6"/>
    </row>
    <row r="15" spans="1:16383" s="117" customFormat="1" ht="20.45" customHeight="1" x14ac:dyDescent="0.3">
      <c r="A15" s="332">
        <v>14</v>
      </c>
      <c r="B15" s="130" t="s">
        <v>1882</v>
      </c>
      <c r="C15" s="130" t="s">
        <v>2109</v>
      </c>
      <c r="D15" s="130">
        <v>122</v>
      </c>
      <c r="E15" s="63" t="s">
        <v>2953</v>
      </c>
      <c r="F15" s="63" t="s">
        <v>2111</v>
      </c>
      <c r="G15" s="130" t="s">
        <v>1513</v>
      </c>
      <c r="H15" s="118">
        <v>2</v>
      </c>
      <c r="I15" s="138">
        <v>99</v>
      </c>
      <c r="J15" s="89">
        <v>0</v>
      </c>
      <c r="K15" s="118" t="s">
        <v>1513</v>
      </c>
      <c r="L15" s="118">
        <v>0</v>
      </c>
      <c r="M15" s="118" t="s">
        <v>1513</v>
      </c>
      <c r="N15" s="118" t="s">
        <v>1802</v>
      </c>
      <c r="O15" s="130" t="s">
        <v>3069</v>
      </c>
      <c r="P15" s="130" t="s">
        <v>2113</v>
      </c>
      <c r="Q15" s="52">
        <v>44562</v>
      </c>
      <c r="R15" s="120"/>
    </row>
    <row r="16" spans="1:16383" s="117" customFormat="1" ht="20.45" customHeight="1" x14ac:dyDescent="0.3">
      <c r="A16" s="332">
        <v>15</v>
      </c>
      <c r="B16" s="130" t="s">
        <v>78</v>
      </c>
      <c r="C16" s="130" t="s">
        <v>79</v>
      </c>
      <c r="D16" s="130">
        <v>124</v>
      </c>
      <c r="E16" s="63" t="s">
        <v>2124</v>
      </c>
      <c r="F16" s="63" t="s">
        <v>2125</v>
      </c>
      <c r="G16" s="130" t="s">
        <v>1538</v>
      </c>
      <c r="H16" s="118">
        <v>6</v>
      </c>
      <c r="I16" s="138">
        <v>987</v>
      </c>
      <c r="J16" s="89">
        <v>0</v>
      </c>
      <c r="K16" s="118" t="s">
        <v>336</v>
      </c>
      <c r="L16" s="118">
        <v>0</v>
      </c>
      <c r="M16" s="118" t="s">
        <v>1513</v>
      </c>
      <c r="N16" s="118" t="s">
        <v>2672</v>
      </c>
      <c r="O16" s="130" t="s">
        <v>161</v>
      </c>
      <c r="P16" s="130" t="s">
        <v>162</v>
      </c>
      <c r="Q16" s="52">
        <v>44742</v>
      </c>
      <c r="R16" s="36"/>
    </row>
    <row r="17" spans="1:18" s="117" customFormat="1" ht="20.45" customHeight="1" x14ac:dyDescent="0.3">
      <c r="A17" s="332">
        <v>16</v>
      </c>
      <c r="B17" s="527" t="s">
        <v>2138</v>
      </c>
      <c r="C17" s="527" t="s">
        <v>2198</v>
      </c>
      <c r="D17" s="527">
        <v>139</v>
      </c>
      <c r="E17" s="573" t="s">
        <v>3231</v>
      </c>
      <c r="F17" s="573" t="s">
        <v>3070</v>
      </c>
      <c r="G17" s="332" t="s">
        <v>1553</v>
      </c>
      <c r="H17" s="118">
        <v>1</v>
      </c>
      <c r="I17" s="118">
        <v>92</v>
      </c>
      <c r="J17" s="332">
        <v>0</v>
      </c>
      <c r="K17" s="332" t="s">
        <v>1513</v>
      </c>
      <c r="L17" s="332">
        <v>0</v>
      </c>
      <c r="M17" s="332" t="s">
        <v>1513</v>
      </c>
      <c r="N17" s="332" t="s">
        <v>1495</v>
      </c>
      <c r="O17" s="70" t="s">
        <v>155</v>
      </c>
      <c r="P17" s="130" t="s">
        <v>156</v>
      </c>
      <c r="Q17" s="52">
        <v>44617</v>
      </c>
      <c r="R17" s="573"/>
    </row>
    <row r="18" spans="1:18" s="117" customFormat="1" ht="20.45" customHeight="1" x14ac:dyDescent="0.3">
      <c r="A18" s="332">
        <v>17</v>
      </c>
      <c r="B18" s="130" t="s">
        <v>2138</v>
      </c>
      <c r="C18" s="130" t="s">
        <v>2204</v>
      </c>
      <c r="D18" s="130">
        <v>140</v>
      </c>
      <c r="E18" s="63" t="s">
        <v>3071</v>
      </c>
      <c r="F18" s="36" t="s">
        <v>2206</v>
      </c>
      <c r="G18" s="130" t="s">
        <v>1513</v>
      </c>
      <c r="H18" s="118">
        <v>2</v>
      </c>
      <c r="I18" s="138">
        <v>97</v>
      </c>
      <c r="J18" s="89">
        <v>0</v>
      </c>
      <c r="K18" s="118" t="s">
        <v>1513</v>
      </c>
      <c r="L18" s="118">
        <v>0</v>
      </c>
      <c r="M18" s="118" t="s">
        <v>1513</v>
      </c>
      <c r="N18" s="118" t="s">
        <v>2674</v>
      </c>
      <c r="O18" s="70" t="s">
        <v>2207</v>
      </c>
      <c r="P18" s="576" t="s">
        <v>2208</v>
      </c>
      <c r="Q18" s="52">
        <v>44568</v>
      </c>
      <c r="R18" s="6"/>
    </row>
    <row r="19" spans="1:18" ht="20.45" customHeight="1" x14ac:dyDescent="0.3">
      <c r="A19" s="332">
        <v>18</v>
      </c>
      <c r="B19" s="527" t="s">
        <v>2215</v>
      </c>
      <c r="C19" s="527" t="s">
        <v>2226</v>
      </c>
      <c r="D19" s="527">
        <v>148</v>
      </c>
      <c r="E19" s="573" t="s">
        <v>3232</v>
      </c>
      <c r="F19" s="573" t="s">
        <v>2996</v>
      </c>
      <c r="G19" s="332" t="s">
        <v>1553</v>
      </c>
      <c r="H19" s="118">
        <v>6</v>
      </c>
      <c r="I19" s="118">
        <v>642</v>
      </c>
      <c r="J19" s="89">
        <v>0</v>
      </c>
      <c r="K19" s="118" t="s">
        <v>336</v>
      </c>
      <c r="L19" s="118">
        <v>0</v>
      </c>
      <c r="M19" s="118" t="s">
        <v>1513</v>
      </c>
      <c r="N19" s="118" t="s">
        <v>1495</v>
      </c>
      <c r="O19" s="70" t="s">
        <v>155</v>
      </c>
      <c r="P19" s="130" t="s">
        <v>156</v>
      </c>
      <c r="Q19" s="52">
        <v>44684</v>
      </c>
      <c r="R19" s="332"/>
    </row>
    <row r="20" spans="1:18" s="117" customFormat="1" ht="20.45" customHeight="1" x14ac:dyDescent="0.3">
      <c r="A20" s="332">
        <v>19</v>
      </c>
      <c r="B20" s="130" t="s">
        <v>2233</v>
      </c>
      <c r="C20" s="130" t="s">
        <v>2251</v>
      </c>
      <c r="D20" s="130">
        <v>155</v>
      </c>
      <c r="E20" s="63" t="s">
        <v>2254</v>
      </c>
      <c r="F20" s="63" t="s">
        <v>2255</v>
      </c>
      <c r="G20" s="130" t="s">
        <v>1513</v>
      </c>
      <c r="H20" s="118">
        <v>2</v>
      </c>
      <c r="I20" s="138">
        <v>94</v>
      </c>
      <c r="J20" s="89">
        <v>0</v>
      </c>
      <c r="K20" s="118" t="s">
        <v>1502</v>
      </c>
      <c r="L20" s="118">
        <v>0</v>
      </c>
      <c r="M20" s="118" t="s">
        <v>1513</v>
      </c>
      <c r="N20" s="118" t="s">
        <v>1802</v>
      </c>
      <c r="O20" s="130" t="s">
        <v>2256</v>
      </c>
      <c r="P20" s="515" t="s">
        <v>2257</v>
      </c>
      <c r="Q20" s="52">
        <v>44701</v>
      </c>
      <c r="R20" s="63"/>
    </row>
    <row r="21" spans="1:18" ht="20.45" customHeight="1" x14ac:dyDescent="0.3">
      <c r="A21" s="332">
        <v>20</v>
      </c>
      <c r="B21" s="130" t="s">
        <v>2275</v>
      </c>
      <c r="C21" s="130" t="s">
        <v>2276</v>
      </c>
      <c r="D21" s="130">
        <v>158</v>
      </c>
      <c r="E21" s="63" t="s">
        <v>2280</v>
      </c>
      <c r="F21" s="63" t="s">
        <v>2281</v>
      </c>
      <c r="G21" s="130" t="s">
        <v>1553</v>
      </c>
      <c r="H21" s="118">
        <v>6</v>
      </c>
      <c r="I21" s="138">
        <v>639</v>
      </c>
      <c r="J21" s="89">
        <v>0</v>
      </c>
      <c r="K21" s="118" t="s">
        <v>1513</v>
      </c>
      <c r="L21" s="118">
        <v>0</v>
      </c>
      <c r="M21" s="118" t="s">
        <v>1513</v>
      </c>
      <c r="N21" s="118" t="s">
        <v>1495</v>
      </c>
      <c r="O21" s="130" t="s">
        <v>159</v>
      </c>
      <c r="P21" s="515" t="s">
        <v>160</v>
      </c>
      <c r="Q21" s="52">
        <v>44918</v>
      </c>
      <c r="R21" s="36"/>
    </row>
    <row r="22" spans="1:18" ht="20.45" customHeight="1" x14ac:dyDescent="0.3">
      <c r="A22" s="332">
        <v>21</v>
      </c>
      <c r="B22" s="130" t="s">
        <v>2342</v>
      </c>
      <c r="C22" s="130" t="s">
        <v>2404</v>
      </c>
      <c r="D22" s="130">
        <v>186</v>
      </c>
      <c r="E22" s="63" t="s">
        <v>2405</v>
      </c>
      <c r="F22" s="63" t="s">
        <v>2406</v>
      </c>
      <c r="G22" s="130" t="s">
        <v>1513</v>
      </c>
      <c r="H22" s="118">
        <v>2</v>
      </c>
      <c r="I22" s="138">
        <v>94</v>
      </c>
      <c r="J22" s="89">
        <v>0</v>
      </c>
      <c r="K22" s="118" t="s">
        <v>336</v>
      </c>
      <c r="L22" s="118">
        <v>0</v>
      </c>
      <c r="M22" s="118" t="s">
        <v>1513</v>
      </c>
      <c r="N22" s="118" t="s">
        <v>1802</v>
      </c>
      <c r="O22" s="130" t="s">
        <v>2407</v>
      </c>
      <c r="P22" s="509" t="s">
        <v>2408</v>
      </c>
      <c r="Q22" s="52">
        <v>44900</v>
      </c>
      <c r="R22" s="36"/>
    </row>
    <row r="23" spans="1:18" ht="20.45" customHeight="1" x14ac:dyDescent="0.3">
      <c r="A23" s="332">
        <v>22</v>
      </c>
      <c r="B23" s="130" t="s">
        <v>2435</v>
      </c>
      <c r="C23" s="130" t="s">
        <v>2475</v>
      </c>
      <c r="D23" s="130">
        <v>204</v>
      </c>
      <c r="E23" s="36" t="s">
        <v>2476</v>
      </c>
      <c r="F23" s="36" t="s">
        <v>2477</v>
      </c>
      <c r="G23" s="130" t="s">
        <v>1513</v>
      </c>
      <c r="H23" s="118">
        <v>2</v>
      </c>
      <c r="I23" s="138">
        <v>93</v>
      </c>
      <c r="J23" s="89">
        <v>0</v>
      </c>
      <c r="K23" s="118" t="s">
        <v>1502</v>
      </c>
      <c r="L23" s="118">
        <v>0</v>
      </c>
      <c r="M23" s="118" t="s">
        <v>1513</v>
      </c>
      <c r="N23" s="118" t="s">
        <v>1802</v>
      </c>
      <c r="O23" s="130" t="s">
        <v>2478</v>
      </c>
      <c r="P23" s="130" t="s">
        <v>2479</v>
      </c>
      <c r="Q23" s="52">
        <v>44916</v>
      </c>
      <c r="R23" s="36"/>
    </row>
    <row r="24" spans="1:18" ht="20.45" customHeight="1" x14ac:dyDescent="0.3">
      <c r="A24" s="332">
        <v>23</v>
      </c>
      <c r="B24" s="70" t="s">
        <v>127</v>
      </c>
      <c r="C24" s="70" t="s">
        <v>128</v>
      </c>
      <c r="D24" s="130">
        <v>212</v>
      </c>
      <c r="E24" s="6" t="s">
        <v>2497</v>
      </c>
      <c r="F24" s="6" t="s">
        <v>2498</v>
      </c>
      <c r="G24" s="70" t="s">
        <v>1538</v>
      </c>
      <c r="H24" s="118">
        <v>7</v>
      </c>
      <c r="I24" s="138">
        <v>868</v>
      </c>
      <c r="J24" s="89">
        <v>7</v>
      </c>
      <c r="K24" s="118" t="s">
        <v>2499</v>
      </c>
      <c r="L24" s="118">
        <v>0</v>
      </c>
      <c r="M24" s="118" t="s">
        <v>1513</v>
      </c>
      <c r="N24" s="118" t="s">
        <v>1495</v>
      </c>
      <c r="O24" s="130" t="s">
        <v>161</v>
      </c>
      <c r="P24" s="130" t="s">
        <v>162</v>
      </c>
      <c r="Q24" s="52">
        <v>44905</v>
      </c>
      <c r="R24" s="6"/>
    </row>
    <row r="25" spans="1:18" ht="20.45" customHeight="1" x14ac:dyDescent="0.3">
      <c r="A25" s="332">
        <v>24</v>
      </c>
      <c r="B25" s="70" t="s">
        <v>2508</v>
      </c>
      <c r="C25" s="130" t="s">
        <v>2509</v>
      </c>
      <c r="D25" s="130">
        <v>215</v>
      </c>
      <c r="E25" s="63" t="s">
        <v>2510</v>
      </c>
      <c r="F25" s="63" t="s">
        <v>2511</v>
      </c>
      <c r="G25" s="130" t="s">
        <v>1553</v>
      </c>
      <c r="H25" s="118">
        <v>3</v>
      </c>
      <c r="I25" s="138">
        <v>359</v>
      </c>
      <c r="J25" s="89">
        <v>1</v>
      </c>
      <c r="K25" s="118" t="s">
        <v>2512</v>
      </c>
      <c r="L25" s="118">
        <v>0</v>
      </c>
      <c r="M25" s="118" t="s">
        <v>1513</v>
      </c>
      <c r="N25" s="118" t="s">
        <v>1495</v>
      </c>
      <c r="O25" s="130" t="s">
        <v>161</v>
      </c>
      <c r="P25" s="130" t="s">
        <v>162</v>
      </c>
      <c r="Q25" s="52">
        <v>44905</v>
      </c>
      <c r="R25" s="63" t="s">
        <v>2513</v>
      </c>
    </row>
    <row r="26" spans="1:18" ht="20.45" customHeight="1" x14ac:dyDescent="0.3">
      <c r="A26" s="332">
        <v>25</v>
      </c>
      <c r="B26" s="130" t="s">
        <v>2508</v>
      </c>
      <c r="C26" s="130" t="s">
        <v>2556</v>
      </c>
      <c r="D26" s="130">
        <v>231</v>
      </c>
      <c r="E26" s="63" t="s">
        <v>2557</v>
      </c>
      <c r="F26" s="63" t="s">
        <v>2558</v>
      </c>
      <c r="G26" s="130" t="s">
        <v>1513</v>
      </c>
      <c r="H26" s="118">
        <v>2</v>
      </c>
      <c r="I26" s="138">
        <v>98</v>
      </c>
      <c r="J26" s="89">
        <v>0</v>
      </c>
      <c r="K26" s="118" t="s">
        <v>1502</v>
      </c>
      <c r="L26" s="118">
        <v>0</v>
      </c>
      <c r="M26" s="118" t="s">
        <v>1513</v>
      </c>
      <c r="N26" s="118" t="s">
        <v>1802</v>
      </c>
      <c r="O26" s="130" t="s">
        <v>2559</v>
      </c>
      <c r="P26" s="332" t="s">
        <v>2560</v>
      </c>
      <c r="Q26" s="52">
        <v>44918</v>
      </c>
      <c r="R26" s="36"/>
    </row>
    <row r="27" spans="1:18" ht="20.45" customHeight="1" x14ac:dyDescent="0.3">
      <c r="A27" s="332">
        <v>26</v>
      </c>
      <c r="B27" s="130" t="s">
        <v>2588</v>
      </c>
      <c r="C27" s="130" t="s">
        <v>2615</v>
      </c>
      <c r="D27" s="130">
        <v>249</v>
      </c>
      <c r="E27" s="63" t="s">
        <v>2616</v>
      </c>
      <c r="F27" s="6" t="s">
        <v>2617</v>
      </c>
      <c r="G27" s="130" t="s">
        <v>1513</v>
      </c>
      <c r="H27" s="118">
        <v>1</v>
      </c>
      <c r="I27" s="138">
        <v>108</v>
      </c>
      <c r="J27" s="89">
        <v>0</v>
      </c>
      <c r="K27" s="118" t="s">
        <v>336</v>
      </c>
      <c r="L27" s="118">
        <v>0</v>
      </c>
      <c r="M27" s="118" t="s">
        <v>1513</v>
      </c>
      <c r="N27" s="118" t="s">
        <v>1495</v>
      </c>
      <c r="O27" s="130" t="s">
        <v>2618</v>
      </c>
      <c r="P27" s="70" t="s">
        <v>2619</v>
      </c>
      <c r="Q27" s="52">
        <v>44588</v>
      </c>
      <c r="R27" s="6"/>
    </row>
    <row r="28" spans="1:18" ht="20.45" customHeight="1" x14ac:dyDescent="0.3">
      <c r="A28" s="577">
        <v>27</v>
      </c>
      <c r="B28" s="130" t="s">
        <v>3442</v>
      </c>
      <c r="C28" s="130" t="s">
        <v>3443</v>
      </c>
      <c r="D28" s="130">
        <v>260</v>
      </c>
      <c r="E28" s="63" t="s">
        <v>2655</v>
      </c>
      <c r="F28" s="63" t="s">
        <v>3444</v>
      </c>
      <c r="G28" s="130" t="s">
        <v>2703</v>
      </c>
      <c r="H28" s="118">
        <v>6</v>
      </c>
      <c r="I28" s="138">
        <v>755</v>
      </c>
      <c r="J28" s="89">
        <v>2</v>
      </c>
      <c r="K28" s="118" t="s">
        <v>3061</v>
      </c>
      <c r="L28" s="118">
        <v>0</v>
      </c>
      <c r="M28" s="118" t="s">
        <v>1513</v>
      </c>
      <c r="N28" s="118" t="s">
        <v>2672</v>
      </c>
      <c r="O28" s="130" t="s">
        <v>159</v>
      </c>
      <c r="P28" s="130" t="s">
        <v>160</v>
      </c>
      <c r="Q28" s="52">
        <v>44904</v>
      </c>
      <c r="R28" s="36"/>
    </row>
    <row r="29" spans="1:18" s="581" customFormat="1" ht="20.45" customHeight="1" x14ac:dyDescent="0.3">
      <c r="A29" s="527"/>
      <c r="B29" s="527"/>
      <c r="C29" s="527"/>
      <c r="D29" s="527"/>
      <c r="E29" s="578" t="s">
        <v>2667</v>
      </c>
      <c r="F29" s="579"/>
      <c r="G29" s="527"/>
      <c r="H29" s="330">
        <f>SUM(H2:H28)</f>
        <v>119</v>
      </c>
      <c r="I29" s="330">
        <f>SUM(I2:I28)</f>
        <v>11602</v>
      </c>
      <c r="J29" s="330">
        <f>SUM(J2:J28)</f>
        <v>20</v>
      </c>
      <c r="K29" s="336"/>
      <c r="L29" s="330">
        <f>SUM(L2:L28)</f>
        <v>0</v>
      </c>
      <c r="M29" s="336"/>
      <c r="N29" s="334">
        <f>+COUNTIF(N2:N28,"Y")</f>
        <v>7</v>
      </c>
      <c r="O29" s="336"/>
      <c r="P29" s="527"/>
      <c r="Q29" s="580"/>
      <c r="R29" s="527"/>
    </row>
    <row r="31" spans="1:18" s="172" customFormat="1" ht="18.600000000000001" customHeight="1" x14ac:dyDescent="0.3">
      <c r="A31" s="172" t="s">
        <v>3150</v>
      </c>
    </row>
    <row r="32" spans="1:18" s="172" customFormat="1" ht="18.600000000000001" customHeight="1" x14ac:dyDescent="0.3">
      <c r="A32" s="172" t="s">
        <v>3149</v>
      </c>
    </row>
    <row r="33" spans="1:1" s="172" customFormat="1" ht="18.600000000000001" customHeight="1" x14ac:dyDescent="0.3">
      <c r="A33" s="172" t="s">
        <v>3437</v>
      </c>
    </row>
  </sheetData>
  <sortState ref="A2:R34">
    <sortCondition ref="D2:D34"/>
    <sortCondition ref="F2:F34"/>
  </sortState>
  <phoneticPr fontId="2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XFD31"/>
  <sheetViews>
    <sheetView zoomScale="85" zoomScaleNormal="8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L25" sqref="L25"/>
    </sheetView>
  </sheetViews>
  <sheetFormatPr defaultRowHeight="18.600000000000001" customHeight="1" x14ac:dyDescent="0.3"/>
  <cols>
    <col min="1" max="1" width="8.75" style="516"/>
    <col min="2" max="2" width="8.75" style="559"/>
    <col min="3" max="4" width="8.75" style="516"/>
    <col min="5" max="5" width="13.125" style="516" hidden="1" customWidth="1"/>
    <col min="6" max="6" width="17.875" style="170" bestFit="1" customWidth="1"/>
    <col min="7" max="7" width="32.125" style="170" bestFit="1" customWidth="1"/>
    <col min="8" max="8" width="9" style="170"/>
    <col min="9" max="9" width="8.75" style="516"/>
    <col min="10" max="10" width="8.75" style="560"/>
    <col min="11" max="11" width="9" style="170"/>
    <col min="12" max="12" width="17.375" style="170" bestFit="1" customWidth="1"/>
    <col min="13" max="13" width="12.5" style="170" customWidth="1"/>
    <col min="14" max="14" width="23.125" style="170" bestFit="1" customWidth="1"/>
    <col min="15" max="15" width="9" style="170"/>
    <col min="16" max="16" width="12.25" style="170" bestFit="1" customWidth="1"/>
    <col min="17" max="17" width="25.75" style="170" bestFit="1" customWidth="1"/>
    <col min="18" max="18" width="10.5" style="170" bestFit="1" customWidth="1"/>
    <col min="19" max="19" width="42.25" style="170" customWidth="1"/>
    <col min="20" max="16384" width="9" style="170"/>
  </cols>
  <sheetData>
    <row r="1" spans="1:19" s="520" customFormat="1" ht="29.45" customHeight="1" thickBot="1" x14ac:dyDescent="0.35">
      <c r="A1" s="464" t="s">
        <v>327</v>
      </c>
      <c r="B1" s="464" t="s">
        <v>3072</v>
      </c>
      <c r="C1" s="464" t="s">
        <v>210</v>
      </c>
      <c r="D1" s="464" t="s">
        <v>211</v>
      </c>
      <c r="E1" s="464" t="s">
        <v>3073</v>
      </c>
      <c r="F1" s="464" t="s">
        <v>1</v>
      </c>
      <c r="G1" s="464" t="s">
        <v>0</v>
      </c>
      <c r="H1" s="517" t="s">
        <v>1483</v>
      </c>
      <c r="I1" s="487" t="s">
        <v>3445</v>
      </c>
      <c r="J1" s="518" t="s">
        <v>328</v>
      </c>
      <c r="K1" s="487" t="s">
        <v>3465</v>
      </c>
      <c r="L1" s="519" t="s">
        <v>3074</v>
      </c>
      <c r="M1" s="495" t="s">
        <v>1484</v>
      </c>
      <c r="N1" s="495" t="s">
        <v>2670</v>
      </c>
      <c r="O1" s="495" t="s">
        <v>1485</v>
      </c>
      <c r="P1" s="464" t="s">
        <v>3075</v>
      </c>
      <c r="Q1" s="464" t="s">
        <v>2</v>
      </c>
      <c r="R1" s="464" t="s">
        <v>212</v>
      </c>
      <c r="S1" s="464" t="s">
        <v>213</v>
      </c>
    </row>
    <row r="2" spans="1:19" s="117" customFormat="1" ht="18.600000000000001" customHeight="1" thickTop="1" x14ac:dyDescent="0.3">
      <c r="A2" s="508">
        <v>1</v>
      </c>
      <c r="B2" s="521" t="s">
        <v>1294</v>
      </c>
      <c r="C2" s="522" t="s">
        <v>380</v>
      </c>
      <c r="D2" s="522" t="s">
        <v>1515</v>
      </c>
      <c r="E2" s="508">
        <v>2</v>
      </c>
      <c r="F2" s="465" t="s">
        <v>3082</v>
      </c>
      <c r="G2" s="465" t="s">
        <v>436</v>
      </c>
      <c r="H2" s="522" t="s">
        <v>1502</v>
      </c>
      <c r="I2" s="523">
        <v>1</v>
      </c>
      <c r="J2" s="524">
        <v>200</v>
      </c>
      <c r="K2" s="525">
        <v>0</v>
      </c>
      <c r="L2" s="523" t="s">
        <v>1502</v>
      </c>
      <c r="M2" s="523">
        <v>0</v>
      </c>
      <c r="N2" s="523" t="s">
        <v>1513</v>
      </c>
      <c r="O2" s="523" t="s">
        <v>1495</v>
      </c>
      <c r="P2" s="522" t="s">
        <v>3083</v>
      </c>
      <c r="Q2" s="508"/>
      <c r="R2" s="526">
        <v>42439</v>
      </c>
      <c r="S2" s="465" t="s">
        <v>3084</v>
      </c>
    </row>
    <row r="3" spans="1:19" s="506" customFormat="1" ht="18.600000000000001" customHeight="1" x14ac:dyDescent="0.3">
      <c r="A3" s="332">
        <v>2</v>
      </c>
      <c r="B3" s="130" t="s">
        <v>3081</v>
      </c>
      <c r="C3" s="130" t="s">
        <v>1534</v>
      </c>
      <c r="D3" s="130" t="s">
        <v>3085</v>
      </c>
      <c r="E3" s="130">
        <v>20</v>
      </c>
      <c r="F3" s="63" t="s">
        <v>3086</v>
      </c>
      <c r="G3" s="63" t="s">
        <v>3087</v>
      </c>
      <c r="H3" s="130" t="s">
        <v>1538</v>
      </c>
      <c r="I3" s="118">
        <v>6</v>
      </c>
      <c r="J3" s="138">
        <v>533</v>
      </c>
      <c r="K3" s="89">
        <v>0</v>
      </c>
      <c r="L3" s="118" t="s">
        <v>336</v>
      </c>
      <c r="M3" s="118">
        <v>0</v>
      </c>
      <c r="N3" s="118" t="s">
        <v>1513</v>
      </c>
      <c r="O3" s="118" t="s">
        <v>1495</v>
      </c>
      <c r="P3" s="130" t="s">
        <v>159</v>
      </c>
      <c r="Q3" s="130" t="s">
        <v>160</v>
      </c>
      <c r="R3" s="52">
        <v>44771</v>
      </c>
      <c r="S3" s="36" t="s">
        <v>3088</v>
      </c>
    </row>
    <row r="4" spans="1:19" s="506" customFormat="1" ht="18.600000000000001" customHeight="1" x14ac:dyDescent="0.3">
      <c r="A4" s="130">
        <v>3</v>
      </c>
      <c r="B4" s="527" t="s">
        <v>3081</v>
      </c>
      <c r="C4" s="70" t="s">
        <v>1681</v>
      </c>
      <c r="D4" s="130" t="s">
        <v>3089</v>
      </c>
      <c r="E4" s="130">
        <v>41</v>
      </c>
      <c r="F4" s="63" t="s">
        <v>3090</v>
      </c>
      <c r="G4" s="63" t="s">
        <v>3091</v>
      </c>
      <c r="H4" s="130" t="s">
        <v>1513</v>
      </c>
      <c r="I4" s="118">
        <v>1</v>
      </c>
      <c r="J4" s="138">
        <v>74</v>
      </c>
      <c r="K4" s="89">
        <v>0</v>
      </c>
      <c r="L4" s="118" t="s">
        <v>336</v>
      </c>
      <c r="M4" s="118">
        <v>0</v>
      </c>
      <c r="N4" s="118" t="s">
        <v>1513</v>
      </c>
      <c r="O4" s="118" t="s">
        <v>1495</v>
      </c>
      <c r="P4" s="130" t="s">
        <v>3092</v>
      </c>
      <c r="Q4" s="509" t="s">
        <v>1993</v>
      </c>
      <c r="R4" s="52">
        <v>44431</v>
      </c>
      <c r="S4" s="63" t="s">
        <v>3146</v>
      </c>
    </row>
    <row r="5" spans="1:19" s="117" customFormat="1" ht="18.600000000000001" customHeight="1" x14ac:dyDescent="0.3">
      <c r="A5" s="130">
        <v>4</v>
      </c>
      <c r="B5" s="130" t="s">
        <v>3081</v>
      </c>
      <c r="C5" s="130" t="s">
        <v>218</v>
      </c>
      <c r="D5" s="130" t="s">
        <v>5</v>
      </c>
      <c r="E5" s="130">
        <v>42</v>
      </c>
      <c r="F5" s="63" t="s">
        <v>226</v>
      </c>
      <c r="G5" s="63" t="s">
        <v>3093</v>
      </c>
      <c r="H5" s="130" t="s">
        <v>336</v>
      </c>
      <c r="I5" s="118">
        <v>1</v>
      </c>
      <c r="J5" s="138">
        <v>126</v>
      </c>
      <c r="K5" s="89">
        <v>0</v>
      </c>
      <c r="L5" s="118" t="s">
        <v>336</v>
      </c>
      <c r="M5" s="118">
        <v>1</v>
      </c>
      <c r="N5" s="118" t="s">
        <v>1508</v>
      </c>
      <c r="O5" s="118" t="s">
        <v>1495</v>
      </c>
      <c r="P5" s="130" t="s">
        <v>3094</v>
      </c>
      <c r="Q5" s="130" t="s">
        <v>876</v>
      </c>
      <c r="R5" s="52">
        <v>33878</v>
      </c>
      <c r="S5" s="119" t="s">
        <v>3095</v>
      </c>
    </row>
    <row r="6" spans="1:19" s="528" customFormat="1" ht="18.600000000000001" customHeight="1" x14ac:dyDescent="0.3">
      <c r="A6" s="332">
        <v>5</v>
      </c>
      <c r="B6" s="515" t="s">
        <v>3081</v>
      </c>
      <c r="C6" s="130" t="s">
        <v>215</v>
      </c>
      <c r="D6" s="130" t="s">
        <v>1766</v>
      </c>
      <c r="E6" s="509">
        <v>52</v>
      </c>
      <c r="F6" s="36" t="s">
        <v>3219</v>
      </c>
      <c r="G6" s="36" t="s">
        <v>3096</v>
      </c>
      <c r="H6" s="130" t="s">
        <v>444</v>
      </c>
      <c r="I6" s="89">
        <v>7</v>
      </c>
      <c r="J6" s="138">
        <v>921</v>
      </c>
      <c r="K6" s="89">
        <v>0</v>
      </c>
      <c r="L6" s="118" t="s">
        <v>336</v>
      </c>
      <c r="M6" s="118">
        <v>0</v>
      </c>
      <c r="N6" s="118" t="s">
        <v>1513</v>
      </c>
      <c r="O6" s="118" t="s">
        <v>1495</v>
      </c>
      <c r="P6" s="70" t="s">
        <v>155</v>
      </c>
      <c r="Q6" s="130" t="s">
        <v>156</v>
      </c>
      <c r="R6" s="52">
        <v>41887</v>
      </c>
      <c r="S6" s="36" t="s">
        <v>3097</v>
      </c>
    </row>
    <row r="7" spans="1:19" s="117" customFormat="1" ht="18.600000000000001" customHeight="1" x14ac:dyDescent="0.3">
      <c r="A7" s="130">
        <v>6</v>
      </c>
      <c r="B7" s="130" t="s">
        <v>1294</v>
      </c>
      <c r="C7" s="130" t="s">
        <v>219</v>
      </c>
      <c r="D7" s="130" t="s">
        <v>30</v>
      </c>
      <c r="E7" s="130">
        <v>65</v>
      </c>
      <c r="F7" s="63" t="s">
        <v>3076</v>
      </c>
      <c r="G7" s="63" t="s">
        <v>3077</v>
      </c>
      <c r="H7" s="130" t="s">
        <v>336</v>
      </c>
      <c r="I7" s="118">
        <v>1</v>
      </c>
      <c r="J7" s="138">
        <v>138</v>
      </c>
      <c r="K7" s="89">
        <v>0</v>
      </c>
      <c r="L7" s="118" t="s">
        <v>336</v>
      </c>
      <c r="M7" s="118">
        <v>1</v>
      </c>
      <c r="N7" s="118" t="s">
        <v>2675</v>
      </c>
      <c r="O7" s="118" t="s">
        <v>3078</v>
      </c>
      <c r="P7" s="130" t="s">
        <v>3079</v>
      </c>
      <c r="Q7" s="130" t="s">
        <v>556</v>
      </c>
      <c r="R7" s="52">
        <v>38808</v>
      </c>
      <c r="S7" s="6" t="s">
        <v>3080</v>
      </c>
    </row>
    <row r="8" spans="1:19" s="117" customFormat="1" ht="18.600000000000001" customHeight="1" x14ac:dyDescent="0.3">
      <c r="A8" s="130">
        <v>7</v>
      </c>
      <c r="B8" s="130" t="s">
        <v>3081</v>
      </c>
      <c r="C8" s="130" t="s">
        <v>52</v>
      </c>
      <c r="D8" s="130" t="s">
        <v>54</v>
      </c>
      <c r="E8" s="130">
        <v>81</v>
      </c>
      <c r="F8" s="36" t="s">
        <v>3220</v>
      </c>
      <c r="G8" s="36" t="s">
        <v>1219</v>
      </c>
      <c r="H8" s="130" t="s">
        <v>154</v>
      </c>
      <c r="I8" s="118">
        <v>10</v>
      </c>
      <c r="J8" s="138">
        <v>1570</v>
      </c>
      <c r="K8" s="89">
        <v>2</v>
      </c>
      <c r="L8" s="118" t="s">
        <v>3098</v>
      </c>
      <c r="M8" s="118">
        <v>1</v>
      </c>
      <c r="N8" s="118" t="s">
        <v>424</v>
      </c>
      <c r="O8" s="118" t="s">
        <v>1495</v>
      </c>
      <c r="P8" s="70" t="s">
        <v>155</v>
      </c>
      <c r="Q8" s="130" t="s">
        <v>156</v>
      </c>
      <c r="R8" s="52">
        <v>36617</v>
      </c>
      <c r="S8" s="36" t="s">
        <v>3099</v>
      </c>
    </row>
    <row r="9" spans="1:19" s="529" customFormat="1" ht="18.600000000000001" customHeight="1" x14ac:dyDescent="0.3">
      <c r="A9" s="332">
        <v>8</v>
      </c>
      <c r="B9" s="527" t="s">
        <v>3081</v>
      </c>
      <c r="C9" s="130" t="s">
        <v>1882</v>
      </c>
      <c r="D9" s="130" t="s">
        <v>2026</v>
      </c>
      <c r="E9" s="130">
        <v>107</v>
      </c>
      <c r="F9" s="63" t="s">
        <v>3100</v>
      </c>
      <c r="G9" s="63" t="s">
        <v>3101</v>
      </c>
      <c r="H9" s="130" t="s">
        <v>1513</v>
      </c>
      <c r="I9" s="118">
        <v>3</v>
      </c>
      <c r="J9" s="138">
        <v>12</v>
      </c>
      <c r="K9" s="89">
        <v>0</v>
      </c>
      <c r="L9" s="118" t="s">
        <v>336</v>
      </c>
      <c r="M9" s="118">
        <v>0</v>
      </c>
      <c r="N9" s="118" t="s">
        <v>1513</v>
      </c>
      <c r="O9" s="118" t="s">
        <v>1495</v>
      </c>
      <c r="P9" s="130" t="s">
        <v>3102</v>
      </c>
      <c r="Q9" s="509" t="s">
        <v>3103</v>
      </c>
      <c r="R9" s="52">
        <v>44470</v>
      </c>
      <c r="S9" s="123" t="s">
        <v>3104</v>
      </c>
    </row>
    <row r="10" spans="1:19" s="117" customFormat="1" ht="18.600000000000001" customHeight="1" x14ac:dyDescent="0.3">
      <c r="A10" s="130">
        <v>9</v>
      </c>
      <c r="B10" s="332" t="s">
        <v>3081</v>
      </c>
      <c r="C10" s="130" t="s">
        <v>52</v>
      </c>
      <c r="D10" s="130" t="s">
        <v>69</v>
      </c>
      <c r="E10" s="130">
        <v>108</v>
      </c>
      <c r="F10" s="36" t="s">
        <v>3221</v>
      </c>
      <c r="G10" s="36" t="s">
        <v>1228</v>
      </c>
      <c r="H10" s="130" t="s">
        <v>154</v>
      </c>
      <c r="I10" s="118">
        <v>8</v>
      </c>
      <c r="J10" s="138">
        <v>1890</v>
      </c>
      <c r="K10" s="89">
        <v>2</v>
      </c>
      <c r="L10" s="118" t="s">
        <v>1270</v>
      </c>
      <c r="M10" s="118">
        <v>0</v>
      </c>
      <c r="N10" s="118" t="s">
        <v>1513</v>
      </c>
      <c r="O10" s="118" t="s">
        <v>1495</v>
      </c>
      <c r="P10" s="70" t="s">
        <v>155</v>
      </c>
      <c r="Q10" s="130" t="s">
        <v>156</v>
      </c>
      <c r="R10" s="52">
        <v>39163</v>
      </c>
      <c r="S10" s="6" t="s">
        <v>3105</v>
      </c>
    </row>
    <row r="11" spans="1:19" s="117" customFormat="1" ht="18.600000000000001" customHeight="1" x14ac:dyDescent="0.3">
      <c r="A11" s="130">
        <v>10</v>
      </c>
      <c r="B11" s="332" t="s">
        <v>3081</v>
      </c>
      <c r="C11" s="130" t="s">
        <v>52</v>
      </c>
      <c r="D11" s="130" t="s">
        <v>76</v>
      </c>
      <c r="E11" s="130">
        <v>118</v>
      </c>
      <c r="F11" s="63" t="s">
        <v>261</v>
      </c>
      <c r="G11" s="63" t="s">
        <v>672</v>
      </c>
      <c r="H11" s="130" t="s">
        <v>164</v>
      </c>
      <c r="I11" s="89">
        <v>3</v>
      </c>
      <c r="J11" s="138">
        <v>339</v>
      </c>
      <c r="K11" s="89">
        <v>0</v>
      </c>
      <c r="L11" s="118" t="s">
        <v>336</v>
      </c>
      <c r="M11" s="118">
        <v>0</v>
      </c>
      <c r="N11" s="118" t="s">
        <v>1513</v>
      </c>
      <c r="O11" s="118" t="s">
        <v>1495</v>
      </c>
      <c r="P11" s="130" t="s">
        <v>159</v>
      </c>
      <c r="Q11" s="130" t="s">
        <v>160</v>
      </c>
      <c r="R11" s="52">
        <v>41018</v>
      </c>
      <c r="S11" s="36" t="s">
        <v>1297</v>
      </c>
    </row>
    <row r="12" spans="1:19" s="529" customFormat="1" ht="18.600000000000001" customHeight="1" x14ac:dyDescent="0.3">
      <c r="A12" s="332">
        <v>11</v>
      </c>
      <c r="B12" s="527" t="s">
        <v>3081</v>
      </c>
      <c r="C12" s="130" t="s">
        <v>89</v>
      </c>
      <c r="D12" s="130" t="s">
        <v>91</v>
      </c>
      <c r="E12" s="130">
        <v>147</v>
      </c>
      <c r="F12" s="63" t="s">
        <v>744</v>
      </c>
      <c r="G12" s="63" t="s">
        <v>745</v>
      </c>
      <c r="H12" s="130" t="s">
        <v>444</v>
      </c>
      <c r="I12" s="118">
        <v>8</v>
      </c>
      <c r="J12" s="138">
        <v>1191</v>
      </c>
      <c r="K12" s="89">
        <v>0</v>
      </c>
      <c r="L12" s="118" t="s">
        <v>336</v>
      </c>
      <c r="M12" s="118">
        <v>0</v>
      </c>
      <c r="N12" s="118" t="s">
        <v>1513</v>
      </c>
      <c r="O12" s="118" t="s">
        <v>1495</v>
      </c>
      <c r="P12" s="130" t="s">
        <v>189</v>
      </c>
      <c r="Q12" s="332" t="s">
        <v>190</v>
      </c>
      <c r="R12" s="52">
        <v>43266</v>
      </c>
      <c r="S12" s="63" t="s">
        <v>3106</v>
      </c>
    </row>
    <row r="13" spans="1:19" s="529" customFormat="1" ht="18.600000000000001" customHeight="1" x14ac:dyDescent="0.3">
      <c r="A13" s="130">
        <v>12</v>
      </c>
      <c r="B13" s="527" t="s">
        <v>3081</v>
      </c>
      <c r="C13" s="130" t="s">
        <v>108</v>
      </c>
      <c r="D13" s="130" t="s">
        <v>116</v>
      </c>
      <c r="E13" s="130">
        <v>185</v>
      </c>
      <c r="F13" s="63" t="s">
        <v>3107</v>
      </c>
      <c r="G13" s="63" t="s">
        <v>3108</v>
      </c>
      <c r="H13" s="130" t="s">
        <v>336</v>
      </c>
      <c r="I13" s="118">
        <v>2</v>
      </c>
      <c r="J13" s="138">
        <v>90</v>
      </c>
      <c r="K13" s="89">
        <v>0</v>
      </c>
      <c r="L13" s="118" t="s">
        <v>336</v>
      </c>
      <c r="M13" s="118">
        <v>0</v>
      </c>
      <c r="N13" s="118" t="s">
        <v>1513</v>
      </c>
      <c r="O13" s="118" t="s">
        <v>1802</v>
      </c>
      <c r="P13" s="130" t="s">
        <v>3109</v>
      </c>
      <c r="Q13" s="509" t="s">
        <v>1952</v>
      </c>
      <c r="R13" s="52">
        <v>40507</v>
      </c>
      <c r="S13" s="36" t="s">
        <v>3110</v>
      </c>
    </row>
    <row r="14" spans="1:19" s="117" customFormat="1" ht="18.600000000000001" customHeight="1" x14ac:dyDescent="0.3">
      <c r="A14" s="130">
        <v>13</v>
      </c>
      <c r="B14" s="527" t="s">
        <v>3081</v>
      </c>
      <c r="C14" s="130" t="s">
        <v>2435</v>
      </c>
      <c r="D14" s="130" t="s">
        <v>3111</v>
      </c>
      <c r="E14" s="130">
        <v>190</v>
      </c>
      <c r="F14" s="63" t="s">
        <v>3112</v>
      </c>
      <c r="G14" s="63" t="s">
        <v>3113</v>
      </c>
      <c r="H14" s="130" t="s">
        <v>1502</v>
      </c>
      <c r="I14" s="118">
        <v>2</v>
      </c>
      <c r="J14" s="138">
        <v>328</v>
      </c>
      <c r="K14" s="89">
        <v>0</v>
      </c>
      <c r="L14" s="118" t="s">
        <v>1502</v>
      </c>
      <c r="M14" s="118">
        <v>0</v>
      </c>
      <c r="N14" s="118" t="s">
        <v>1513</v>
      </c>
      <c r="O14" s="118" t="s">
        <v>1495</v>
      </c>
      <c r="P14" s="130" t="s">
        <v>3114</v>
      </c>
      <c r="Q14" s="509" t="s">
        <v>1952</v>
      </c>
      <c r="R14" s="52">
        <v>44386</v>
      </c>
      <c r="S14" s="63" t="s">
        <v>3433</v>
      </c>
    </row>
    <row r="15" spans="1:19" s="44" customFormat="1" ht="18.600000000000001" customHeight="1" x14ac:dyDescent="0.3">
      <c r="A15" s="511">
        <v>1</v>
      </c>
      <c r="B15" s="511" t="s">
        <v>3115</v>
      </c>
      <c r="C15" s="530" t="s">
        <v>215</v>
      </c>
      <c r="D15" s="511" t="s">
        <v>5</v>
      </c>
      <c r="E15" s="510">
        <v>50</v>
      </c>
      <c r="F15" s="333" t="s">
        <v>3222</v>
      </c>
      <c r="G15" s="333" t="s">
        <v>529</v>
      </c>
      <c r="H15" s="511" t="s">
        <v>154</v>
      </c>
      <c r="I15" s="531">
        <v>2</v>
      </c>
      <c r="J15" s="532">
        <v>245</v>
      </c>
      <c r="K15" s="531">
        <v>0</v>
      </c>
      <c r="L15" s="533" t="s">
        <v>336</v>
      </c>
      <c r="M15" s="533">
        <v>0</v>
      </c>
      <c r="N15" s="533" t="s">
        <v>1513</v>
      </c>
      <c r="O15" s="533" t="s">
        <v>1495</v>
      </c>
      <c r="P15" s="534" t="s">
        <v>155</v>
      </c>
      <c r="Q15" s="511" t="s">
        <v>156</v>
      </c>
      <c r="R15" s="535">
        <v>40924</v>
      </c>
      <c r="S15" s="333" t="s">
        <v>3116</v>
      </c>
    </row>
    <row r="16" spans="1:19" s="538" customFormat="1" ht="18.600000000000001" customHeight="1" x14ac:dyDescent="0.3">
      <c r="A16" s="536">
        <v>2</v>
      </c>
      <c r="B16" s="536" t="s">
        <v>3115</v>
      </c>
      <c r="C16" s="530" t="s">
        <v>2259</v>
      </c>
      <c r="D16" s="511" t="s">
        <v>3117</v>
      </c>
      <c r="E16" s="511">
        <v>166</v>
      </c>
      <c r="F16" s="537" t="s">
        <v>3118</v>
      </c>
      <c r="G16" s="333" t="s">
        <v>3119</v>
      </c>
      <c r="H16" s="511" t="s">
        <v>1502</v>
      </c>
      <c r="I16" s="533">
        <v>1</v>
      </c>
      <c r="J16" s="532">
        <v>106</v>
      </c>
      <c r="K16" s="531">
        <v>0</v>
      </c>
      <c r="L16" s="533" t="s">
        <v>1502</v>
      </c>
      <c r="M16" s="533">
        <v>0</v>
      </c>
      <c r="N16" s="533" t="s">
        <v>1513</v>
      </c>
      <c r="O16" s="533" t="s">
        <v>1495</v>
      </c>
      <c r="P16" s="511" t="s">
        <v>3120</v>
      </c>
      <c r="Q16" s="534"/>
      <c r="R16" s="535">
        <v>42005</v>
      </c>
      <c r="S16" s="333" t="s">
        <v>3121</v>
      </c>
    </row>
    <row r="17" spans="1:16384" s="506" customFormat="1" ht="18.600000000000001" customHeight="1" x14ac:dyDescent="0.3">
      <c r="A17" s="511">
        <v>3</v>
      </c>
      <c r="B17" s="536" t="s">
        <v>3115</v>
      </c>
      <c r="C17" s="530" t="s">
        <v>2259</v>
      </c>
      <c r="D17" s="511" t="s">
        <v>3117</v>
      </c>
      <c r="E17" s="511">
        <v>166</v>
      </c>
      <c r="F17" s="537" t="s">
        <v>3122</v>
      </c>
      <c r="G17" s="333" t="s">
        <v>3123</v>
      </c>
      <c r="H17" s="511" t="s">
        <v>1502</v>
      </c>
      <c r="I17" s="533">
        <v>1</v>
      </c>
      <c r="J17" s="532">
        <v>153</v>
      </c>
      <c r="K17" s="531">
        <v>0</v>
      </c>
      <c r="L17" s="533" t="s">
        <v>1502</v>
      </c>
      <c r="M17" s="533">
        <v>0</v>
      </c>
      <c r="N17" s="533" t="s">
        <v>1513</v>
      </c>
      <c r="O17" s="533" t="s">
        <v>1495</v>
      </c>
      <c r="P17" s="511" t="s">
        <v>3120</v>
      </c>
      <c r="Q17" s="534"/>
      <c r="R17" s="535">
        <v>42621</v>
      </c>
      <c r="S17" s="333" t="s">
        <v>3124</v>
      </c>
    </row>
    <row r="18" spans="1:16384" s="117" customFormat="1" ht="18.600000000000001" customHeight="1" x14ac:dyDescent="0.3">
      <c r="A18" s="536">
        <v>4</v>
      </c>
      <c r="B18" s="511" t="s">
        <v>3115</v>
      </c>
      <c r="C18" s="530" t="s">
        <v>127</v>
      </c>
      <c r="D18" s="511" t="s">
        <v>128</v>
      </c>
      <c r="E18" s="511">
        <v>212</v>
      </c>
      <c r="F18" s="333" t="s">
        <v>3223</v>
      </c>
      <c r="G18" s="333" t="s">
        <v>821</v>
      </c>
      <c r="H18" s="511" t="s">
        <v>154</v>
      </c>
      <c r="I18" s="533">
        <v>7</v>
      </c>
      <c r="J18" s="532">
        <v>1361</v>
      </c>
      <c r="K18" s="531">
        <v>1</v>
      </c>
      <c r="L18" s="533" t="s">
        <v>216</v>
      </c>
      <c r="M18" s="533">
        <v>0</v>
      </c>
      <c r="N18" s="533" t="s">
        <v>1513</v>
      </c>
      <c r="O18" s="533" t="s">
        <v>1495</v>
      </c>
      <c r="P18" s="534" t="s">
        <v>155</v>
      </c>
      <c r="Q18" s="511" t="s">
        <v>156</v>
      </c>
      <c r="R18" s="535">
        <v>39324</v>
      </c>
      <c r="S18" s="333" t="s">
        <v>3125</v>
      </c>
    </row>
    <row r="19" spans="1:16384" s="117" customFormat="1" ht="18.600000000000001" customHeight="1" x14ac:dyDescent="0.3">
      <c r="A19" s="511">
        <v>5</v>
      </c>
      <c r="B19" s="511" t="s">
        <v>3115</v>
      </c>
      <c r="C19" s="539" t="s">
        <v>127</v>
      </c>
      <c r="D19" s="534" t="s">
        <v>135</v>
      </c>
      <c r="E19" s="511">
        <v>223</v>
      </c>
      <c r="F19" s="462" t="s">
        <v>227</v>
      </c>
      <c r="G19" s="540" t="s">
        <v>795</v>
      </c>
      <c r="H19" s="534" t="s">
        <v>154</v>
      </c>
      <c r="I19" s="533">
        <v>8</v>
      </c>
      <c r="J19" s="532">
        <v>1164</v>
      </c>
      <c r="K19" s="531">
        <v>0</v>
      </c>
      <c r="L19" s="533" t="s">
        <v>336</v>
      </c>
      <c r="M19" s="533">
        <v>0</v>
      </c>
      <c r="N19" s="533" t="s">
        <v>1513</v>
      </c>
      <c r="O19" s="533" t="s">
        <v>1495</v>
      </c>
      <c r="P19" s="511" t="s">
        <v>159</v>
      </c>
      <c r="Q19" s="511" t="s">
        <v>160</v>
      </c>
      <c r="R19" s="535">
        <v>41241</v>
      </c>
      <c r="S19" s="462" t="s">
        <v>3126</v>
      </c>
    </row>
    <row r="20" spans="1:16384" s="538" customFormat="1" ht="18.600000000000001" customHeight="1" x14ac:dyDescent="0.3">
      <c r="A20" s="536">
        <v>6</v>
      </c>
      <c r="B20" s="511" t="s">
        <v>3115</v>
      </c>
      <c r="C20" s="530" t="s">
        <v>139</v>
      </c>
      <c r="D20" s="511" t="s">
        <v>142</v>
      </c>
      <c r="E20" s="511">
        <v>244</v>
      </c>
      <c r="F20" s="333" t="s">
        <v>3224</v>
      </c>
      <c r="G20" s="333" t="s">
        <v>854</v>
      </c>
      <c r="H20" s="511" t="s">
        <v>164</v>
      </c>
      <c r="I20" s="533">
        <v>6</v>
      </c>
      <c r="J20" s="532">
        <v>346</v>
      </c>
      <c r="K20" s="531">
        <v>0</v>
      </c>
      <c r="L20" s="533" t="s">
        <v>1513</v>
      </c>
      <c r="M20" s="533">
        <v>0</v>
      </c>
      <c r="N20" s="533" t="s">
        <v>1513</v>
      </c>
      <c r="O20" s="533" t="s">
        <v>1495</v>
      </c>
      <c r="P20" s="534" t="s">
        <v>155</v>
      </c>
      <c r="Q20" s="511" t="s">
        <v>156</v>
      </c>
      <c r="R20" s="535">
        <v>42949</v>
      </c>
      <c r="S20" s="462" t="s">
        <v>3127</v>
      </c>
    </row>
    <row r="21" spans="1:16384" s="538" customFormat="1" ht="18.600000000000001" customHeight="1" x14ac:dyDescent="0.3">
      <c r="A21" s="541"/>
      <c r="B21" s="542" t="s">
        <v>3129</v>
      </c>
      <c r="C21" s="543" t="s">
        <v>214</v>
      </c>
      <c r="D21" s="543" t="s">
        <v>8</v>
      </c>
      <c r="E21" s="512">
        <v>5</v>
      </c>
      <c r="F21" s="544" t="s">
        <v>163</v>
      </c>
      <c r="G21" s="476" t="s">
        <v>365</v>
      </c>
      <c r="H21" s="543" t="s">
        <v>154</v>
      </c>
      <c r="I21" s="513">
        <v>1</v>
      </c>
      <c r="J21" s="512">
        <v>43</v>
      </c>
      <c r="K21" s="512">
        <v>0</v>
      </c>
      <c r="L21" s="545" t="s">
        <v>336</v>
      </c>
      <c r="M21" s="545">
        <v>1</v>
      </c>
      <c r="N21" s="543" t="s">
        <v>2741</v>
      </c>
      <c r="O21" s="543" t="s">
        <v>1495</v>
      </c>
      <c r="P21" s="513" t="s">
        <v>159</v>
      </c>
      <c r="Q21" s="513" t="s">
        <v>160</v>
      </c>
      <c r="R21" s="546">
        <v>39109</v>
      </c>
      <c r="S21" s="547" t="s">
        <v>3434</v>
      </c>
    </row>
    <row r="22" spans="1:16384" s="538" customFormat="1" ht="18.600000000000001" customHeight="1" x14ac:dyDescent="0.3">
      <c r="A22" s="513"/>
      <c r="B22" s="513" t="s">
        <v>3129</v>
      </c>
      <c r="C22" s="548" t="s">
        <v>1534</v>
      </c>
      <c r="D22" s="513" t="s">
        <v>1706</v>
      </c>
      <c r="E22" s="513">
        <v>16</v>
      </c>
      <c r="F22" s="476" t="s">
        <v>1629</v>
      </c>
      <c r="G22" s="476" t="s">
        <v>2771</v>
      </c>
      <c r="H22" s="513" t="s">
        <v>1538</v>
      </c>
      <c r="I22" s="545">
        <v>2</v>
      </c>
      <c r="J22" s="549">
        <v>283</v>
      </c>
      <c r="K22" s="512">
        <v>0</v>
      </c>
      <c r="L22" s="545" t="s">
        <v>336</v>
      </c>
      <c r="M22" s="545">
        <v>0</v>
      </c>
      <c r="N22" s="545" t="s">
        <v>1513</v>
      </c>
      <c r="O22" s="545" t="s">
        <v>1495</v>
      </c>
      <c r="P22" s="543" t="s">
        <v>155</v>
      </c>
      <c r="Q22" s="513" t="s">
        <v>156</v>
      </c>
      <c r="R22" s="546">
        <v>43495</v>
      </c>
      <c r="S22" s="477" t="s">
        <v>3435</v>
      </c>
    </row>
    <row r="23" spans="1:16384" s="506" customFormat="1" ht="36.6" customHeight="1" x14ac:dyDescent="0.3">
      <c r="A23" s="513"/>
      <c r="B23" s="550" t="s">
        <v>3128</v>
      </c>
      <c r="C23" s="468" t="s">
        <v>52</v>
      </c>
      <c r="D23" s="469" t="s">
        <v>58</v>
      </c>
      <c r="E23" s="514">
        <v>90</v>
      </c>
      <c r="F23" s="470" t="s">
        <v>1950</v>
      </c>
      <c r="G23" s="470" t="s">
        <v>598</v>
      </c>
      <c r="H23" s="469" t="s">
        <v>1513</v>
      </c>
      <c r="I23" s="471">
        <v>4</v>
      </c>
      <c r="J23" s="472">
        <v>237</v>
      </c>
      <c r="K23" s="473">
        <v>0</v>
      </c>
      <c r="L23" s="471" t="s">
        <v>336</v>
      </c>
      <c r="M23" s="471">
        <v>0</v>
      </c>
      <c r="N23" s="471" t="s">
        <v>1513</v>
      </c>
      <c r="O23" s="471" t="s">
        <v>1495</v>
      </c>
      <c r="P23" s="469" t="s">
        <v>1951</v>
      </c>
      <c r="Q23" s="551" t="s">
        <v>1952</v>
      </c>
      <c r="R23" s="474">
        <v>44321</v>
      </c>
      <c r="S23" s="475" t="s">
        <v>1953</v>
      </c>
      <c r="T23" s="538"/>
      <c r="U23" s="538"/>
      <c r="V23" s="538"/>
      <c r="W23" s="538"/>
      <c r="X23" s="538"/>
      <c r="Y23" s="538"/>
      <c r="Z23" s="538"/>
      <c r="AA23" s="538"/>
      <c r="AB23" s="538"/>
      <c r="AC23" s="538"/>
      <c r="AD23" s="538"/>
      <c r="AE23" s="538"/>
      <c r="AF23" s="538"/>
      <c r="AG23" s="538"/>
      <c r="AH23" s="538"/>
      <c r="AI23" s="538"/>
      <c r="AJ23" s="538"/>
      <c r="AK23" s="538"/>
      <c r="AL23" s="538"/>
      <c r="AM23" s="538"/>
      <c r="AN23" s="538"/>
      <c r="AO23" s="538"/>
      <c r="AP23" s="538"/>
      <c r="AQ23" s="538"/>
      <c r="AR23" s="538"/>
      <c r="AS23" s="538"/>
      <c r="AT23" s="538"/>
      <c r="AU23" s="538"/>
      <c r="AV23" s="538"/>
      <c r="AW23" s="538"/>
      <c r="AX23" s="538"/>
      <c r="AY23" s="538"/>
      <c r="AZ23" s="538"/>
      <c r="BA23" s="538"/>
      <c r="BB23" s="538"/>
      <c r="BC23" s="538"/>
      <c r="BD23" s="538"/>
      <c r="BE23" s="538"/>
      <c r="BF23" s="538"/>
      <c r="BG23" s="538"/>
      <c r="BH23" s="538"/>
      <c r="BI23" s="538"/>
      <c r="BJ23" s="538"/>
      <c r="BK23" s="538"/>
      <c r="BL23" s="538"/>
      <c r="BM23" s="538"/>
      <c r="BN23" s="538"/>
      <c r="BO23" s="538"/>
      <c r="BP23" s="538"/>
      <c r="BQ23" s="538"/>
      <c r="BR23" s="538"/>
      <c r="BS23" s="538"/>
      <c r="BT23" s="538"/>
      <c r="BU23" s="538"/>
      <c r="BV23" s="538"/>
      <c r="BW23" s="538"/>
      <c r="BX23" s="538"/>
      <c r="BY23" s="538"/>
      <c r="BZ23" s="538"/>
      <c r="CA23" s="538"/>
      <c r="CB23" s="538"/>
      <c r="CC23" s="538"/>
      <c r="CD23" s="538"/>
      <c r="CE23" s="538"/>
      <c r="CF23" s="538"/>
      <c r="CG23" s="538"/>
      <c r="CH23" s="538"/>
      <c r="CI23" s="538"/>
      <c r="CJ23" s="538"/>
      <c r="CK23" s="538"/>
      <c r="CL23" s="538"/>
      <c r="CM23" s="538"/>
      <c r="CN23" s="538"/>
      <c r="CO23" s="538"/>
      <c r="CP23" s="538"/>
      <c r="CQ23" s="538"/>
      <c r="CR23" s="538"/>
      <c r="CS23" s="538"/>
      <c r="CT23" s="538"/>
      <c r="CU23" s="538"/>
      <c r="CV23" s="538"/>
      <c r="CW23" s="538"/>
      <c r="CX23" s="538"/>
      <c r="CY23" s="538"/>
      <c r="CZ23" s="538"/>
      <c r="DA23" s="538"/>
      <c r="DB23" s="538"/>
      <c r="DC23" s="538"/>
      <c r="DD23" s="538"/>
      <c r="DE23" s="538"/>
      <c r="DF23" s="538"/>
      <c r="DG23" s="538"/>
      <c r="DH23" s="538"/>
      <c r="DI23" s="538"/>
      <c r="DJ23" s="538"/>
      <c r="DK23" s="538"/>
      <c r="DL23" s="538"/>
      <c r="DM23" s="538"/>
      <c r="DN23" s="538"/>
      <c r="DO23" s="538"/>
      <c r="DP23" s="538"/>
      <c r="DQ23" s="538"/>
      <c r="DR23" s="538"/>
      <c r="DS23" s="538"/>
      <c r="DT23" s="538"/>
      <c r="DU23" s="538"/>
      <c r="DV23" s="538"/>
      <c r="DW23" s="538"/>
      <c r="DX23" s="538"/>
      <c r="DY23" s="538"/>
      <c r="DZ23" s="538"/>
      <c r="EA23" s="538"/>
      <c r="EB23" s="538"/>
      <c r="EC23" s="538"/>
      <c r="ED23" s="538"/>
      <c r="EE23" s="538"/>
      <c r="EF23" s="538"/>
      <c r="EG23" s="538"/>
      <c r="EH23" s="538"/>
      <c r="EI23" s="538"/>
      <c r="EJ23" s="538"/>
      <c r="EK23" s="538"/>
      <c r="EL23" s="538"/>
      <c r="EM23" s="538"/>
      <c r="EN23" s="538"/>
      <c r="EO23" s="538"/>
      <c r="EP23" s="538"/>
      <c r="EQ23" s="538"/>
      <c r="ER23" s="538"/>
      <c r="ES23" s="538"/>
      <c r="ET23" s="538"/>
      <c r="EU23" s="538"/>
      <c r="EV23" s="538"/>
      <c r="EW23" s="538"/>
      <c r="EX23" s="538"/>
      <c r="EY23" s="538"/>
      <c r="EZ23" s="538"/>
      <c r="FA23" s="538"/>
      <c r="FB23" s="538"/>
      <c r="FC23" s="538"/>
      <c r="FD23" s="538"/>
      <c r="FE23" s="538"/>
      <c r="FF23" s="538"/>
      <c r="FG23" s="538"/>
      <c r="FH23" s="538"/>
      <c r="FI23" s="538"/>
      <c r="FJ23" s="538"/>
      <c r="FK23" s="538"/>
      <c r="FL23" s="538"/>
      <c r="FM23" s="538"/>
      <c r="FN23" s="538"/>
      <c r="FO23" s="538"/>
      <c r="FP23" s="538"/>
      <c r="FQ23" s="538"/>
      <c r="FR23" s="538"/>
      <c r="FS23" s="538"/>
      <c r="FT23" s="538"/>
      <c r="FU23" s="538"/>
      <c r="FV23" s="538"/>
      <c r="FW23" s="538"/>
      <c r="FX23" s="538"/>
      <c r="FY23" s="538"/>
      <c r="FZ23" s="538"/>
      <c r="GA23" s="538"/>
      <c r="GB23" s="538"/>
      <c r="GC23" s="538"/>
      <c r="GD23" s="538"/>
      <c r="GE23" s="538"/>
      <c r="GF23" s="538"/>
      <c r="GG23" s="538"/>
      <c r="GH23" s="538"/>
      <c r="GI23" s="538"/>
      <c r="GJ23" s="538"/>
      <c r="GK23" s="538"/>
      <c r="GL23" s="538"/>
      <c r="GM23" s="538"/>
      <c r="GN23" s="538"/>
      <c r="GO23" s="538"/>
      <c r="GP23" s="538"/>
      <c r="GQ23" s="538"/>
      <c r="GR23" s="538"/>
      <c r="GS23" s="538"/>
      <c r="GT23" s="538"/>
      <c r="GU23" s="538"/>
      <c r="GV23" s="538"/>
      <c r="GW23" s="538"/>
      <c r="GX23" s="538"/>
      <c r="GY23" s="538"/>
      <c r="GZ23" s="538"/>
      <c r="HA23" s="538"/>
      <c r="HB23" s="538"/>
      <c r="HC23" s="538"/>
      <c r="HD23" s="538"/>
      <c r="HE23" s="538"/>
      <c r="HF23" s="538"/>
      <c r="HG23" s="538"/>
      <c r="HH23" s="538"/>
      <c r="HI23" s="538"/>
      <c r="HJ23" s="538"/>
      <c r="HK23" s="538"/>
      <c r="HL23" s="538"/>
      <c r="HM23" s="538"/>
      <c r="HN23" s="538"/>
      <c r="HO23" s="538"/>
      <c r="HP23" s="538"/>
      <c r="HQ23" s="538"/>
      <c r="HR23" s="538"/>
      <c r="HS23" s="538"/>
      <c r="HT23" s="538"/>
      <c r="HU23" s="538"/>
      <c r="HV23" s="538"/>
      <c r="HW23" s="538"/>
      <c r="HX23" s="538"/>
      <c r="HY23" s="538"/>
      <c r="HZ23" s="538"/>
      <c r="IA23" s="538"/>
      <c r="IB23" s="538"/>
      <c r="IC23" s="538"/>
      <c r="ID23" s="538"/>
      <c r="IE23" s="538"/>
      <c r="IF23" s="538"/>
      <c r="IG23" s="538"/>
      <c r="IH23" s="538"/>
      <c r="II23" s="538"/>
      <c r="IJ23" s="538"/>
      <c r="IK23" s="538"/>
      <c r="IL23" s="538"/>
      <c r="IM23" s="538"/>
      <c r="IN23" s="538"/>
      <c r="IO23" s="538"/>
      <c r="IP23" s="538"/>
      <c r="IQ23" s="538"/>
      <c r="IR23" s="538"/>
      <c r="IS23" s="538"/>
      <c r="IT23" s="538"/>
      <c r="IU23" s="538"/>
      <c r="IV23" s="538"/>
      <c r="IW23" s="538"/>
      <c r="IX23" s="538"/>
      <c r="IY23" s="538"/>
      <c r="IZ23" s="538"/>
      <c r="JA23" s="538"/>
      <c r="JB23" s="538"/>
      <c r="JC23" s="538"/>
      <c r="JD23" s="538"/>
      <c r="JE23" s="538"/>
      <c r="JF23" s="538"/>
      <c r="JG23" s="538"/>
      <c r="JH23" s="538"/>
      <c r="JI23" s="538"/>
      <c r="JJ23" s="538"/>
      <c r="JK23" s="538"/>
      <c r="JL23" s="538"/>
      <c r="JM23" s="538"/>
      <c r="JN23" s="538"/>
      <c r="JO23" s="538"/>
      <c r="JP23" s="538"/>
      <c r="JQ23" s="538"/>
      <c r="JR23" s="538"/>
      <c r="JS23" s="538"/>
      <c r="JT23" s="538"/>
      <c r="JU23" s="538"/>
      <c r="JV23" s="538"/>
      <c r="JW23" s="538"/>
      <c r="JX23" s="538"/>
      <c r="JY23" s="538"/>
      <c r="JZ23" s="538"/>
      <c r="KA23" s="538"/>
      <c r="KB23" s="538"/>
      <c r="KC23" s="538"/>
      <c r="KD23" s="538"/>
      <c r="KE23" s="538"/>
      <c r="KF23" s="538"/>
      <c r="KG23" s="538"/>
      <c r="KH23" s="538"/>
      <c r="KI23" s="538"/>
      <c r="KJ23" s="538"/>
      <c r="KK23" s="538"/>
      <c r="KL23" s="538"/>
      <c r="KM23" s="538"/>
      <c r="KN23" s="538"/>
      <c r="KO23" s="538"/>
      <c r="KP23" s="538"/>
      <c r="KQ23" s="538"/>
      <c r="KR23" s="538"/>
      <c r="KS23" s="538"/>
      <c r="KT23" s="538"/>
      <c r="KU23" s="538"/>
      <c r="KV23" s="538"/>
      <c r="KW23" s="538"/>
      <c r="KX23" s="538"/>
      <c r="KY23" s="538"/>
      <c r="KZ23" s="538"/>
      <c r="LA23" s="538"/>
      <c r="LB23" s="538"/>
      <c r="LC23" s="538"/>
      <c r="LD23" s="538"/>
      <c r="LE23" s="538"/>
      <c r="LF23" s="538"/>
      <c r="LG23" s="538"/>
      <c r="LH23" s="538"/>
      <c r="LI23" s="538"/>
      <c r="LJ23" s="538"/>
      <c r="LK23" s="538"/>
      <c r="LL23" s="538"/>
      <c r="LM23" s="538"/>
      <c r="LN23" s="538"/>
      <c r="LO23" s="538"/>
      <c r="LP23" s="538"/>
      <c r="LQ23" s="538"/>
      <c r="LR23" s="538"/>
      <c r="LS23" s="538"/>
      <c r="LT23" s="538"/>
      <c r="LU23" s="538"/>
      <c r="LV23" s="538"/>
      <c r="LW23" s="538"/>
      <c r="LX23" s="538"/>
      <c r="LY23" s="538"/>
      <c r="LZ23" s="538"/>
      <c r="MA23" s="538"/>
      <c r="MB23" s="538"/>
      <c r="MC23" s="538"/>
      <c r="MD23" s="538"/>
      <c r="ME23" s="538"/>
      <c r="MF23" s="538"/>
      <c r="MG23" s="538"/>
      <c r="MH23" s="538"/>
      <c r="MI23" s="538"/>
      <c r="MJ23" s="538"/>
      <c r="MK23" s="538"/>
      <c r="ML23" s="538"/>
      <c r="MM23" s="538"/>
      <c r="MN23" s="538"/>
      <c r="MO23" s="538"/>
      <c r="MP23" s="538"/>
      <c r="MQ23" s="538"/>
      <c r="MR23" s="538"/>
      <c r="MS23" s="538"/>
      <c r="MT23" s="538"/>
      <c r="MU23" s="538"/>
      <c r="MV23" s="538"/>
      <c r="MW23" s="538"/>
      <c r="MX23" s="538"/>
      <c r="MY23" s="538"/>
      <c r="MZ23" s="538"/>
      <c r="NA23" s="538"/>
      <c r="NB23" s="538"/>
      <c r="NC23" s="538"/>
      <c r="ND23" s="538"/>
      <c r="NE23" s="538"/>
      <c r="NF23" s="538"/>
      <c r="NG23" s="538"/>
      <c r="NH23" s="538"/>
      <c r="NI23" s="538"/>
      <c r="NJ23" s="538"/>
      <c r="NK23" s="538"/>
      <c r="NL23" s="538"/>
      <c r="NM23" s="538"/>
      <c r="NN23" s="538"/>
      <c r="NO23" s="538"/>
      <c r="NP23" s="538"/>
      <c r="NQ23" s="538"/>
      <c r="NR23" s="538"/>
      <c r="NS23" s="538"/>
      <c r="NT23" s="538"/>
      <c r="NU23" s="538"/>
      <c r="NV23" s="538"/>
      <c r="NW23" s="538"/>
      <c r="NX23" s="538"/>
      <c r="NY23" s="538"/>
      <c r="NZ23" s="538"/>
      <c r="OA23" s="538"/>
      <c r="OB23" s="538"/>
      <c r="OC23" s="538"/>
      <c r="OD23" s="538"/>
      <c r="OE23" s="538"/>
      <c r="OF23" s="538"/>
      <c r="OG23" s="538"/>
      <c r="OH23" s="538"/>
      <c r="OI23" s="538"/>
      <c r="OJ23" s="538"/>
      <c r="OK23" s="538"/>
      <c r="OL23" s="538"/>
      <c r="OM23" s="538"/>
      <c r="ON23" s="538"/>
      <c r="OO23" s="538"/>
      <c r="OP23" s="538"/>
      <c r="OQ23" s="538"/>
      <c r="OR23" s="538"/>
      <c r="OS23" s="538"/>
      <c r="OT23" s="538"/>
      <c r="OU23" s="538"/>
      <c r="OV23" s="538"/>
      <c r="OW23" s="538"/>
      <c r="OX23" s="538"/>
      <c r="OY23" s="538"/>
      <c r="OZ23" s="538"/>
      <c r="PA23" s="538"/>
      <c r="PB23" s="538"/>
      <c r="PC23" s="538"/>
      <c r="PD23" s="538"/>
      <c r="PE23" s="538"/>
      <c r="PF23" s="538"/>
      <c r="PG23" s="538"/>
      <c r="PH23" s="538"/>
      <c r="PI23" s="538"/>
      <c r="PJ23" s="538"/>
      <c r="PK23" s="538"/>
      <c r="PL23" s="538"/>
      <c r="PM23" s="538"/>
      <c r="PN23" s="538"/>
      <c r="PO23" s="538"/>
      <c r="PP23" s="538"/>
      <c r="PQ23" s="538"/>
      <c r="PR23" s="538"/>
      <c r="PS23" s="538"/>
      <c r="PT23" s="538"/>
      <c r="PU23" s="538"/>
      <c r="PV23" s="538"/>
      <c r="PW23" s="538"/>
      <c r="PX23" s="538"/>
      <c r="PY23" s="538"/>
      <c r="PZ23" s="538"/>
      <c r="QA23" s="538"/>
      <c r="QB23" s="538"/>
      <c r="QC23" s="538"/>
      <c r="QD23" s="538"/>
      <c r="QE23" s="538"/>
      <c r="QF23" s="538"/>
      <c r="QG23" s="538"/>
      <c r="QH23" s="538"/>
      <c r="QI23" s="538"/>
      <c r="QJ23" s="538"/>
      <c r="QK23" s="538"/>
      <c r="QL23" s="538"/>
      <c r="QM23" s="538"/>
      <c r="QN23" s="538"/>
      <c r="QO23" s="538"/>
      <c r="QP23" s="538"/>
      <c r="QQ23" s="538"/>
      <c r="QR23" s="538"/>
      <c r="QS23" s="538"/>
      <c r="QT23" s="538"/>
      <c r="QU23" s="538"/>
      <c r="QV23" s="538"/>
      <c r="QW23" s="538"/>
      <c r="QX23" s="538"/>
      <c r="QY23" s="538"/>
      <c r="QZ23" s="538"/>
      <c r="RA23" s="538"/>
      <c r="RB23" s="538"/>
      <c r="RC23" s="538"/>
      <c r="RD23" s="538"/>
      <c r="RE23" s="538"/>
      <c r="RF23" s="538"/>
      <c r="RG23" s="538"/>
      <c r="RH23" s="538"/>
      <c r="RI23" s="538"/>
      <c r="RJ23" s="538"/>
      <c r="RK23" s="538"/>
      <c r="RL23" s="538"/>
      <c r="RM23" s="538"/>
      <c r="RN23" s="538"/>
      <c r="RO23" s="538"/>
      <c r="RP23" s="538"/>
      <c r="RQ23" s="538"/>
      <c r="RR23" s="538"/>
      <c r="RS23" s="538"/>
      <c r="RT23" s="538"/>
      <c r="RU23" s="538"/>
      <c r="RV23" s="538"/>
      <c r="RW23" s="538"/>
      <c r="RX23" s="538"/>
      <c r="RY23" s="538"/>
      <c r="RZ23" s="538"/>
      <c r="SA23" s="538"/>
      <c r="SB23" s="538"/>
      <c r="SC23" s="538"/>
      <c r="SD23" s="538"/>
      <c r="SE23" s="538"/>
      <c r="SF23" s="538"/>
      <c r="SG23" s="538"/>
      <c r="SH23" s="538"/>
      <c r="SI23" s="538"/>
      <c r="SJ23" s="538"/>
      <c r="SK23" s="538"/>
      <c r="SL23" s="538"/>
      <c r="SM23" s="538"/>
      <c r="SN23" s="538"/>
      <c r="SO23" s="538"/>
      <c r="SP23" s="538"/>
      <c r="SQ23" s="538"/>
      <c r="SR23" s="538"/>
      <c r="SS23" s="538"/>
      <c r="ST23" s="538"/>
      <c r="SU23" s="538"/>
      <c r="SV23" s="538"/>
      <c r="SW23" s="538"/>
      <c r="SX23" s="538"/>
      <c r="SY23" s="538"/>
      <c r="SZ23" s="538"/>
      <c r="TA23" s="538"/>
      <c r="TB23" s="538"/>
      <c r="TC23" s="538"/>
      <c r="TD23" s="538"/>
      <c r="TE23" s="538"/>
      <c r="TF23" s="538"/>
      <c r="TG23" s="538"/>
      <c r="TH23" s="538"/>
      <c r="TI23" s="538"/>
      <c r="TJ23" s="538"/>
      <c r="TK23" s="538"/>
      <c r="TL23" s="538"/>
      <c r="TM23" s="538"/>
      <c r="TN23" s="538"/>
      <c r="TO23" s="538"/>
      <c r="TP23" s="538"/>
      <c r="TQ23" s="538"/>
      <c r="TR23" s="538"/>
      <c r="TS23" s="538"/>
      <c r="TT23" s="538"/>
      <c r="TU23" s="538"/>
      <c r="TV23" s="538"/>
      <c r="TW23" s="538"/>
      <c r="TX23" s="538"/>
      <c r="TY23" s="538"/>
      <c r="TZ23" s="538"/>
      <c r="UA23" s="538"/>
      <c r="UB23" s="538"/>
      <c r="UC23" s="538"/>
      <c r="UD23" s="538"/>
      <c r="UE23" s="538"/>
      <c r="UF23" s="538"/>
      <c r="UG23" s="538"/>
      <c r="UH23" s="538"/>
      <c r="UI23" s="538"/>
      <c r="UJ23" s="538"/>
      <c r="UK23" s="538"/>
      <c r="UL23" s="538"/>
      <c r="UM23" s="538"/>
      <c r="UN23" s="538"/>
      <c r="UO23" s="538"/>
      <c r="UP23" s="538"/>
      <c r="UQ23" s="538"/>
      <c r="UR23" s="538"/>
      <c r="US23" s="538"/>
      <c r="UT23" s="538"/>
      <c r="UU23" s="538"/>
      <c r="UV23" s="538"/>
      <c r="UW23" s="538"/>
      <c r="UX23" s="538"/>
      <c r="UY23" s="538"/>
      <c r="UZ23" s="538"/>
      <c r="VA23" s="538"/>
      <c r="VB23" s="538"/>
      <c r="VC23" s="538"/>
      <c r="VD23" s="538"/>
      <c r="VE23" s="538"/>
      <c r="VF23" s="538"/>
      <c r="VG23" s="538"/>
      <c r="VH23" s="538"/>
      <c r="VI23" s="538"/>
      <c r="VJ23" s="538"/>
      <c r="VK23" s="538"/>
      <c r="VL23" s="538"/>
      <c r="VM23" s="538"/>
      <c r="VN23" s="538"/>
      <c r="VO23" s="538"/>
      <c r="VP23" s="538"/>
      <c r="VQ23" s="538"/>
      <c r="VR23" s="538"/>
      <c r="VS23" s="538"/>
      <c r="VT23" s="538"/>
      <c r="VU23" s="538"/>
      <c r="VV23" s="538"/>
      <c r="VW23" s="538"/>
      <c r="VX23" s="538"/>
      <c r="VY23" s="538"/>
      <c r="VZ23" s="538"/>
      <c r="WA23" s="538"/>
      <c r="WB23" s="538"/>
      <c r="WC23" s="538"/>
      <c r="WD23" s="538"/>
      <c r="WE23" s="538"/>
      <c r="WF23" s="538"/>
      <c r="WG23" s="538"/>
      <c r="WH23" s="538"/>
      <c r="WI23" s="538"/>
      <c r="WJ23" s="538"/>
      <c r="WK23" s="538"/>
      <c r="WL23" s="538"/>
      <c r="WM23" s="538"/>
      <c r="WN23" s="538"/>
      <c r="WO23" s="538"/>
      <c r="WP23" s="538"/>
      <c r="WQ23" s="538"/>
      <c r="WR23" s="538"/>
      <c r="WS23" s="538"/>
      <c r="WT23" s="538"/>
      <c r="WU23" s="538"/>
      <c r="WV23" s="538"/>
      <c r="WW23" s="538"/>
      <c r="WX23" s="538"/>
      <c r="WY23" s="538"/>
      <c r="WZ23" s="538"/>
      <c r="XA23" s="538"/>
      <c r="XB23" s="538"/>
      <c r="XC23" s="538"/>
      <c r="XD23" s="538"/>
      <c r="XE23" s="538"/>
      <c r="XF23" s="538"/>
      <c r="XG23" s="538"/>
      <c r="XH23" s="538"/>
      <c r="XI23" s="538"/>
      <c r="XJ23" s="538"/>
      <c r="XK23" s="538"/>
      <c r="XL23" s="538"/>
      <c r="XM23" s="538"/>
      <c r="XN23" s="538"/>
      <c r="XO23" s="538"/>
      <c r="XP23" s="538"/>
      <c r="XQ23" s="538"/>
      <c r="XR23" s="538"/>
      <c r="XS23" s="538"/>
      <c r="XT23" s="538"/>
      <c r="XU23" s="538"/>
      <c r="XV23" s="538"/>
      <c r="XW23" s="538"/>
      <c r="XX23" s="538"/>
      <c r="XY23" s="538"/>
      <c r="XZ23" s="538"/>
      <c r="YA23" s="538"/>
      <c r="YB23" s="538"/>
      <c r="YC23" s="538"/>
      <c r="YD23" s="538"/>
      <c r="YE23" s="538"/>
      <c r="YF23" s="538"/>
      <c r="YG23" s="538"/>
      <c r="YH23" s="538"/>
      <c r="YI23" s="538"/>
      <c r="YJ23" s="538"/>
      <c r="YK23" s="538"/>
      <c r="YL23" s="538"/>
      <c r="YM23" s="538"/>
      <c r="YN23" s="538"/>
      <c r="YO23" s="538"/>
      <c r="YP23" s="538"/>
      <c r="YQ23" s="538"/>
      <c r="YR23" s="538"/>
      <c r="YS23" s="538"/>
      <c r="YT23" s="538"/>
      <c r="YU23" s="538"/>
      <c r="YV23" s="538"/>
      <c r="YW23" s="538"/>
      <c r="YX23" s="538"/>
      <c r="YY23" s="538"/>
      <c r="YZ23" s="538"/>
      <c r="ZA23" s="538"/>
      <c r="ZB23" s="538"/>
      <c r="ZC23" s="538"/>
      <c r="ZD23" s="538"/>
      <c r="ZE23" s="538"/>
      <c r="ZF23" s="538"/>
      <c r="ZG23" s="538"/>
      <c r="ZH23" s="538"/>
      <c r="ZI23" s="538"/>
      <c r="ZJ23" s="538"/>
      <c r="ZK23" s="538"/>
      <c r="ZL23" s="538"/>
      <c r="ZM23" s="538"/>
      <c r="ZN23" s="538"/>
      <c r="ZO23" s="538"/>
      <c r="ZP23" s="538"/>
      <c r="ZQ23" s="538"/>
      <c r="ZR23" s="538"/>
      <c r="ZS23" s="538"/>
      <c r="ZT23" s="538"/>
      <c r="ZU23" s="538"/>
      <c r="ZV23" s="538"/>
      <c r="ZW23" s="538"/>
      <c r="ZX23" s="538"/>
      <c r="ZY23" s="538"/>
      <c r="ZZ23" s="538"/>
      <c r="AAA23" s="538"/>
      <c r="AAB23" s="538"/>
      <c r="AAC23" s="538"/>
      <c r="AAD23" s="538"/>
      <c r="AAE23" s="538"/>
      <c r="AAF23" s="538"/>
      <c r="AAG23" s="538"/>
      <c r="AAH23" s="538"/>
      <c r="AAI23" s="538"/>
      <c r="AAJ23" s="538"/>
      <c r="AAK23" s="538"/>
      <c r="AAL23" s="538"/>
      <c r="AAM23" s="538"/>
      <c r="AAN23" s="538"/>
      <c r="AAO23" s="538"/>
      <c r="AAP23" s="538"/>
      <c r="AAQ23" s="538"/>
      <c r="AAR23" s="538"/>
      <c r="AAS23" s="538"/>
      <c r="AAT23" s="538"/>
      <c r="AAU23" s="538"/>
      <c r="AAV23" s="538"/>
      <c r="AAW23" s="538"/>
      <c r="AAX23" s="538"/>
      <c r="AAY23" s="538"/>
      <c r="AAZ23" s="538"/>
      <c r="ABA23" s="538"/>
      <c r="ABB23" s="538"/>
      <c r="ABC23" s="538"/>
      <c r="ABD23" s="538"/>
      <c r="ABE23" s="538"/>
      <c r="ABF23" s="538"/>
      <c r="ABG23" s="538"/>
      <c r="ABH23" s="538"/>
      <c r="ABI23" s="538"/>
      <c r="ABJ23" s="538"/>
      <c r="ABK23" s="538"/>
      <c r="ABL23" s="538"/>
      <c r="ABM23" s="538"/>
      <c r="ABN23" s="538"/>
      <c r="ABO23" s="538"/>
      <c r="ABP23" s="538"/>
      <c r="ABQ23" s="538"/>
      <c r="ABR23" s="538"/>
      <c r="ABS23" s="538"/>
      <c r="ABT23" s="538"/>
      <c r="ABU23" s="538"/>
      <c r="ABV23" s="538"/>
      <c r="ABW23" s="538"/>
      <c r="ABX23" s="538"/>
      <c r="ABY23" s="538"/>
      <c r="ABZ23" s="538"/>
      <c r="ACA23" s="538"/>
      <c r="ACB23" s="538"/>
      <c r="ACC23" s="538"/>
      <c r="ACD23" s="538"/>
      <c r="ACE23" s="538"/>
      <c r="ACF23" s="538"/>
      <c r="ACG23" s="538"/>
      <c r="ACH23" s="538"/>
      <c r="ACI23" s="538"/>
      <c r="ACJ23" s="538"/>
      <c r="ACK23" s="538"/>
      <c r="ACL23" s="538"/>
      <c r="ACM23" s="538"/>
      <c r="ACN23" s="538"/>
      <c r="ACO23" s="538"/>
      <c r="ACP23" s="538"/>
      <c r="ACQ23" s="538"/>
      <c r="ACR23" s="538"/>
      <c r="ACS23" s="538"/>
      <c r="ACT23" s="538"/>
      <c r="ACU23" s="538"/>
      <c r="ACV23" s="538"/>
      <c r="ACW23" s="538"/>
      <c r="ACX23" s="538"/>
      <c r="ACY23" s="538"/>
      <c r="ACZ23" s="538"/>
      <c r="ADA23" s="538"/>
      <c r="ADB23" s="538"/>
      <c r="ADC23" s="538"/>
      <c r="ADD23" s="538"/>
      <c r="ADE23" s="538"/>
      <c r="ADF23" s="538"/>
      <c r="ADG23" s="538"/>
      <c r="ADH23" s="538"/>
      <c r="ADI23" s="538"/>
      <c r="ADJ23" s="538"/>
      <c r="ADK23" s="538"/>
      <c r="ADL23" s="538"/>
      <c r="ADM23" s="538"/>
      <c r="ADN23" s="538"/>
      <c r="ADO23" s="538"/>
      <c r="ADP23" s="538"/>
      <c r="ADQ23" s="538"/>
      <c r="ADR23" s="538"/>
      <c r="ADS23" s="538"/>
      <c r="ADT23" s="538"/>
      <c r="ADU23" s="538"/>
      <c r="ADV23" s="538"/>
      <c r="ADW23" s="538"/>
      <c r="ADX23" s="538"/>
      <c r="ADY23" s="538"/>
      <c r="ADZ23" s="538"/>
      <c r="AEA23" s="538"/>
      <c r="AEB23" s="538"/>
      <c r="AEC23" s="538"/>
      <c r="AED23" s="538"/>
      <c r="AEE23" s="538"/>
      <c r="AEF23" s="538"/>
      <c r="AEG23" s="538"/>
      <c r="AEH23" s="538"/>
      <c r="AEI23" s="538"/>
      <c r="AEJ23" s="538"/>
      <c r="AEK23" s="538"/>
      <c r="AEL23" s="538"/>
      <c r="AEM23" s="538"/>
      <c r="AEN23" s="538"/>
      <c r="AEO23" s="538"/>
      <c r="AEP23" s="538"/>
      <c r="AEQ23" s="538"/>
      <c r="AER23" s="538"/>
      <c r="AES23" s="538"/>
      <c r="AET23" s="538"/>
      <c r="AEU23" s="538"/>
      <c r="AEV23" s="538"/>
      <c r="AEW23" s="538"/>
      <c r="AEX23" s="538"/>
      <c r="AEY23" s="538"/>
      <c r="AEZ23" s="538"/>
      <c r="AFA23" s="538"/>
      <c r="AFB23" s="538"/>
      <c r="AFC23" s="538"/>
      <c r="AFD23" s="538"/>
      <c r="AFE23" s="538"/>
      <c r="AFF23" s="538"/>
      <c r="AFG23" s="538"/>
      <c r="AFH23" s="538"/>
      <c r="AFI23" s="538"/>
      <c r="AFJ23" s="538"/>
      <c r="AFK23" s="538"/>
      <c r="AFL23" s="538"/>
      <c r="AFM23" s="538"/>
      <c r="AFN23" s="538"/>
      <c r="AFO23" s="538"/>
      <c r="AFP23" s="538"/>
      <c r="AFQ23" s="538"/>
      <c r="AFR23" s="538"/>
      <c r="AFS23" s="538"/>
      <c r="AFT23" s="538"/>
      <c r="AFU23" s="538"/>
      <c r="AFV23" s="538"/>
      <c r="AFW23" s="538"/>
      <c r="AFX23" s="538"/>
      <c r="AFY23" s="538"/>
      <c r="AFZ23" s="538"/>
      <c r="AGA23" s="538"/>
      <c r="AGB23" s="538"/>
      <c r="AGC23" s="538"/>
      <c r="AGD23" s="538"/>
      <c r="AGE23" s="538"/>
      <c r="AGF23" s="538"/>
      <c r="AGG23" s="538"/>
      <c r="AGH23" s="538"/>
      <c r="AGI23" s="538"/>
      <c r="AGJ23" s="538"/>
      <c r="AGK23" s="538"/>
      <c r="AGL23" s="538"/>
      <c r="AGM23" s="538"/>
      <c r="AGN23" s="538"/>
      <c r="AGO23" s="538"/>
      <c r="AGP23" s="538"/>
      <c r="AGQ23" s="538"/>
      <c r="AGR23" s="538"/>
      <c r="AGS23" s="538"/>
      <c r="AGT23" s="538"/>
      <c r="AGU23" s="538"/>
      <c r="AGV23" s="538"/>
      <c r="AGW23" s="538"/>
      <c r="AGX23" s="538"/>
      <c r="AGY23" s="538"/>
      <c r="AGZ23" s="538"/>
      <c r="AHA23" s="538"/>
      <c r="AHB23" s="538"/>
      <c r="AHC23" s="538"/>
      <c r="AHD23" s="538"/>
      <c r="AHE23" s="538"/>
      <c r="AHF23" s="538"/>
      <c r="AHG23" s="538"/>
      <c r="AHH23" s="538"/>
      <c r="AHI23" s="538"/>
      <c r="AHJ23" s="538"/>
      <c r="AHK23" s="538"/>
      <c r="AHL23" s="538"/>
      <c r="AHM23" s="538"/>
      <c r="AHN23" s="538"/>
      <c r="AHO23" s="538"/>
      <c r="AHP23" s="538"/>
      <c r="AHQ23" s="538"/>
      <c r="AHR23" s="538"/>
      <c r="AHS23" s="538"/>
      <c r="AHT23" s="538"/>
      <c r="AHU23" s="538"/>
      <c r="AHV23" s="538"/>
      <c r="AHW23" s="538"/>
      <c r="AHX23" s="538"/>
      <c r="AHY23" s="538"/>
      <c r="AHZ23" s="538"/>
      <c r="AIA23" s="538"/>
      <c r="AIB23" s="538"/>
      <c r="AIC23" s="538"/>
      <c r="AID23" s="538"/>
      <c r="AIE23" s="538"/>
      <c r="AIF23" s="538"/>
      <c r="AIG23" s="538"/>
      <c r="AIH23" s="538"/>
      <c r="AII23" s="538"/>
      <c r="AIJ23" s="538"/>
      <c r="AIK23" s="538"/>
      <c r="AIL23" s="538"/>
      <c r="AIM23" s="538"/>
      <c r="AIN23" s="538"/>
      <c r="AIO23" s="538"/>
      <c r="AIP23" s="538"/>
      <c r="AIQ23" s="538"/>
      <c r="AIR23" s="538"/>
      <c r="AIS23" s="538"/>
      <c r="AIT23" s="538"/>
      <c r="AIU23" s="538"/>
      <c r="AIV23" s="538"/>
      <c r="AIW23" s="538"/>
      <c r="AIX23" s="538"/>
      <c r="AIY23" s="538"/>
      <c r="AIZ23" s="538"/>
      <c r="AJA23" s="538"/>
      <c r="AJB23" s="538"/>
      <c r="AJC23" s="538"/>
      <c r="AJD23" s="538"/>
      <c r="AJE23" s="538"/>
      <c r="AJF23" s="538"/>
      <c r="AJG23" s="538"/>
      <c r="AJH23" s="538"/>
      <c r="AJI23" s="538"/>
      <c r="AJJ23" s="538"/>
      <c r="AJK23" s="538"/>
      <c r="AJL23" s="538"/>
      <c r="AJM23" s="538"/>
      <c r="AJN23" s="538"/>
      <c r="AJO23" s="538"/>
      <c r="AJP23" s="538"/>
      <c r="AJQ23" s="538"/>
      <c r="AJR23" s="538"/>
      <c r="AJS23" s="538"/>
      <c r="AJT23" s="538"/>
      <c r="AJU23" s="538"/>
      <c r="AJV23" s="538"/>
      <c r="AJW23" s="538"/>
      <c r="AJX23" s="538"/>
      <c r="AJY23" s="538"/>
      <c r="AJZ23" s="538"/>
      <c r="AKA23" s="538"/>
      <c r="AKB23" s="538"/>
      <c r="AKC23" s="538"/>
      <c r="AKD23" s="538"/>
      <c r="AKE23" s="538"/>
      <c r="AKF23" s="538"/>
      <c r="AKG23" s="538"/>
      <c r="AKH23" s="538"/>
      <c r="AKI23" s="538"/>
      <c r="AKJ23" s="538"/>
      <c r="AKK23" s="538"/>
      <c r="AKL23" s="538"/>
      <c r="AKM23" s="538"/>
      <c r="AKN23" s="538"/>
      <c r="AKO23" s="538"/>
      <c r="AKP23" s="538"/>
      <c r="AKQ23" s="538"/>
      <c r="AKR23" s="538"/>
      <c r="AKS23" s="538"/>
      <c r="AKT23" s="538"/>
      <c r="AKU23" s="538"/>
      <c r="AKV23" s="538"/>
      <c r="AKW23" s="538"/>
      <c r="AKX23" s="538"/>
      <c r="AKY23" s="538"/>
      <c r="AKZ23" s="538"/>
      <c r="ALA23" s="538"/>
      <c r="ALB23" s="538"/>
      <c r="ALC23" s="538"/>
      <c r="ALD23" s="538"/>
      <c r="ALE23" s="538"/>
      <c r="ALF23" s="538"/>
      <c r="ALG23" s="538"/>
      <c r="ALH23" s="538"/>
      <c r="ALI23" s="538"/>
      <c r="ALJ23" s="538"/>
      <c r="ALK23" s="538"/>
      <c r="ALL23" s="538"/>
      <c r="ALM23" s="538"/>
      <c r="ALN23" s="538"/>
      <c r="ALO23" s="538"/>
      <c r="ALP23" s="538"/>
      <c r="ALQ23" s="538"/>
      <c r="ALR23" s="538"/>
      <c r="ALS23" s="538"/>
      <c r="ALT23" s="538"/>
      <c r="ALU23" s="538"/>
      <c r="ALV23" s="538"/>
      <c r="ALW23" s="538"/>
      <c r="ALX23" s="538"/>
      <c r="ALY23" s="538"/>
      <c r="ALZ23" s="538"/>
      <c r="AMA23" s="538"/>
      <c r="AMB23" s="538"/>
      <c r="AMC23" s="538"/>
      <c r="AMD23" s="538"/>
      <c r="AME23" s="538"/>
      <c r="AMF23" s="538"/>
      <c r="AMG23" s="538"/>
      <c r="AMH23" s="538"/>
      <c r="AMI23" s="538"/>
      <c r="AMJ23" s="538"/>
      <c r="AMK23" s="538"/>
      <c r="AML23" s="538"/>
      <c r="AMM23" s="538"/>
      <c r="AMN23" s="538"/>
      <c r="AMO23" s="538"/>
      <c r="AMP23" s="538"/>
      <c r="AMQ23" s="538"/>
      <c r="AMR23" s="538"/>
      <c r="AMS23" s="538"/>
      <c r="AMT23" s="538"/>
      <c r="AMU23" s="538"/>
      <c r="AMV23" s="538"/>
      <c r="AMW23" s="538"/>
      <c r="AMX23" s="538"/>
      <c r="AMY23" s="538"/>
      <c r="AMZ23" s="538"/>
      <c r="ANA23" s="538"/>
      <c r="ANB23" s="538"/>
      <c r="ANC23" s="538"/>
      <c r="AND23" s="538"/>
      <c r="ANE23" s="538"/>
      <c r="ANF23" s="538"/>
      <c r="ANG23" s="538"/>
      <c r="ANH23" s="538"/>
      <c r="ANI23" s="538"/>
      <c r="ANJ23" s="538"/>
      <c r="ANK23" s="538"/>
      <c r="ANL23" s="538"/>
      <c r="ANM23" s="538"/>
      <c r="ANN23" s="538"/>
      <c r="ANO23" s="538"/>
      <c r="ANP23" s="538"/>
      <c r="ANQ23" s="538"/>
      <c r="ANR23" s="538"/>
      <c r="ANS23" s="538"/>
      <c r="ANT23" s="538"/>
      <c r="ANU23" s="538"/>
      <c r="ANV23" s="538"/>
      <c r="ANW23" s="538"/>
      <c r="ANX23" s="538"/>
      <c r="ANY23" s="538"/>
      <c r="ANZ23" s="538"/>
      <c r="AOA23" s="538"/>
      <c r="AOB23" s="538"/>
      <c r="AOC23" s="538"/>
      <c r="AOD23" s="538"/>
      <c r="AOE23" s="538"/>
      <c r="AOF23" s="538"/>
      <c r="AOG23" s="538"/>
      <c r="AOH23" s="538"/>
      <c r="AOI23" s="538"/>
      <c r="AOJ23" s="538"/>
      <c r="AOK23" s="538"/>
      <c r="AOL23" s="538"/>
      <c r="AOM23" s="538"/>
      <c r="AON23" s="538"/>
      <c r="AOO23" s="538"/>
      <c r="AOP23" s="538"/>
      <c r="AOQ23" s="538"/>
      <c r="AOR23" s="538"/>
      <c r="AOS23" s="538"/>
      <c r="AOT23" s="538"/>
      <c r="AOU23" s="538"/>
      <c r="AOV23" s="538"/>
      <c r="AOW23" s="538"/>
      <c r="AOX23" s="538"/>
      <c r="AOY23" s="538"/>
      <c r="AOZ23" s="538"/>
      <c r="APA23" s="538"/>
      <c r="APB23" s="538"/>
      <c r="APC23" s="538"/>
      <c r="APD23" s="538"/>
      <c r="APE23" s="538"/>
      <c r="APF23" s="538"/>
      <c r="APG23" s="538"/>
      <c r="APH23" s="538"/>
      <c r="API23" s="538"/>
      <c r="APJ23" s="538"/>
      <c r="APK23" s="538"/>
      <c r="APL23" s="538"/>
      <c r="APM23" s="538"/>
      <c r="APN23" s="538"/>
      <c r="APO23" s="538"/>
      <c r="APP23" s="538"/>
      <c r="APQ23" s="538"/>
      <c r="APR23" s="538"/>
      <c r="APS23" s="538"/>
      <c r="APT23" s="538"/>
      <c r="APU23" s="538"/>
      <c r="APV23" s="538"/>
      <c r="APW23" s="538"/>
      <c r="APX23" s="538"/>
      <c r="APY23" s="538"/>
      <c r="APZ23" s="538"/>
      <c r="AQA23" s="538"/>
      <c r="AQB23" s="538"/>
      <c r="AQC23" s="538"/>
      <c r="AQD23" s="538"/>
      <c r="AQE23" s="538"/>
      <c r="AQF23" s="538"/>
      <c r="AQG23" s="538"/>
      <c r="AQH23" s="538"/>
      <c r="AQI23" s="538"/>
      <c r="AQJ23" s="538"/>
      <c r="AQK23" s="538"/>
      <c r="AQL23" s="538"/>
      <c r="AQM23" s="538"/>
      <c r="AQN23" s="538"/>
      <c r="AQO23" s="538"/>
      <c r="AQP23" s="538"/>
      <c r="AQQ23" s="538"/>
      <c r="AQR23" s="538"/>
      <c r="AQS23" s="538"/>
      <c r="AQT23" s="538"/>
      <c r="AQU23" s="538"/>
      <c r="AQV23" s="538"/>
      <c r="AQW23" s="538"/>
      <c r="AQX23" s="538"/>
      <c r="AQY23" s="538"/>
      <c r="AQZ23" s="538"/>
      <c r="ARA23" s="538"/>
      <c r="ARB23" s="538"/>
      <c r="ARC23" s="538"/>
      <c r="ARD23" s="538"/>
      <c r="ARE23" s="538"/>
      <c r="ARF23" s="538"/>
      <c r="ARG23" s="538"/>
      <c r="ARH23" s="538"/>
      <c r="ARI23" s="538"/>
      <c r="ARJ23" s="538"/>
      <c r="ARK23" s="538"/>
      <c r="ARL23" s="538"/>
      <c r="ARM23" s="538"/>
      <c r="ARN23" s="538"/>
      <c r="ARO23" s="538"/>
      <c r="ARP23" s="538"/>
      <c r="ARQ23" s="538"/>
      <c r="ARR23" s="538"/>
      <c r="ARS23" s="538"/>
      <c r="ART23" s="538"/>
      <c r="ARU23" s="538"/>
      <c r="ARV23" s="538"/>
      <c r="ARW23" s="538"/>
      <c r="ARX23" s="538"/>
      <c r="ARY23" s="538"/>
      <c r="ARZ23" s="538"/>
      <c r="ASA23" s="538"/>
      <c r="ASB23" s="538"/>
      <c r="ASC23" s="538"/>
      <c r="ASD23" s="538"/>
      <c r="ASE23" s="538"/>
      <c r="ASF23" s="538"/>
      <c r="ASG23" s="538"/>
      <c r="ASH23" s="538"/>
      <c r="ASI23" s="538"/>
      <c r="ASJ23" s="538"/>
      <c r="ASK23" s="538"/>
      <c r="ASL23" s="538"/>
      <c r="ASM23" s="538"/>
      <c r="ASN23" s="538"/>
      <c r="ASO23" s="538"/>
      <c r="ASP23" s="538"/>
      <c r="ASQ23" s="538"/>
      <c r="ASR23" s="538"/>
      <c r="ASS23" s="538"/>
      <c r="AST23" s="538"/>
      <c r="ASU23" s="538"/>
      <c r="ASV23" s="538"/>
      <c r="ASW23" s="538"/>
      <c r="ASX23" s="538"/>
      <c r="ASY23" s="538"/>
      <c r="ASZ23" s="538"/>
      <c r="ATA23" s="538"/>
      <c r="ATB23" s="538"/>
      <c r="ATC23" s="538"/>
      <c r="ATD23" s="538"/>
      <c r="ATE23" s="538"/>
      <c r="ATF23" s="538"/>
      <c r="ATG23" s="538"/>
      <c r="ATH23" s="538"/>
      <c r="ATI23" s="538"/>
      <c r="ATJ23" s="538"/>
      <c r="ATK23" s="538"/>
      <c r="ATL23" s="538"/>
      <c r="ATM23" s="538"/>
      <c r="ATN23" s="538"/>
      <c r="ATO23" s="538"/>
      <c r="ATP23" s="538"/>
      <c r="ATQ23" s="538"/>
      <c r="ATR23" s="538"/>
      <c r="ATS23" s="538"/>
      <c r="ATT23" s="538"/>
      <c r="ATU23" s="538"/>
      <c r="ATV23" s="538"/>
      <c r="ATW23" s="538"/>
      <c r="ATX23" s="538"/>
      <c r="ATY23" s="538"/>
      <c r="ATZ23" s="538"/>
      <c r="AUA23" s="538"/>
      <c r="AUB23" s="538"/>
      <c r="AUC23" s="538"/>
      <c r="AUD23" s="538"/>
      <c r="AUE23" s="538"/>
      <c r="AUF23" s="538"/>
      <c r="AUG23" s="538"/>
      <c r="AUH23" s="538"/>
      <c r="AUI23" s="538"/>
      <c r="AUJ23" s="538"/>
      <c r="AUK23" s="538"/>
      <c r="AUL23" s="538"/>
      <c r="AUM23" s="538"/>
      <c r="AUN23" s="538"/>
      <c r="AUO23" s="538"/>
      <c r="AUP23" s="538"/>
      <c r="AUQ23" s="538"/>
      <c r="AUR23" s="538"/>
      <c r="AUS23" s="538"/>
      <c r="AUT23" s="538"/>
      <c r="AUU23" s="538"/>
      <c r="AUV23" s="538"/>
      <c r="AUW23" s="538"/>
      <c r="AUX23" s="538"/>
      <c r="AUY23" s="538"/>
      <c r="AUZ23" s="538"/>
      <c r="AVA23" s="538"/>
      <c r="AVB23" s="538"/>
      <c r="AVC23" s="538"/>
      <c r="AVD23" s="538"/>
      <c r="AVE23" s="538"/>
      <c r="AVF23" s="538"/>
      <c r="AVG23" s="538"/>
      <c r="AVH23" s="538"/>
      <c r="AVI23" s="538"/>
      <c r="AVJ23" s="538"/>
      <c r="AVK23" s="538"/>
      <c r="AVL23" s="538"/>
      <c r="AVM23" s="538"/>
      <c r="AVN23" s="538"/>
      <c r="AVO23" s="538"/>
      <c r="AVP23" s="538"/>
      <c r="AVQ23" s="538"/>
      <c r="AVR23" s="538"/>
      <c r="AVS23" s="538"/>
      <c r="AVT23" s="538"/>
      <c r="AVU23" s="538"/>
      <c r="AVV23" s="538"/>
      <c r="AVW23" s="538"/>
      <c r="AVX23" s="538"/>
      <c r="AVY23" s="538"/>
      <c r="AVZ23" s="538"/>
      <c r="AWA23" s="538"/>
      <c r="AWB23" s="538"/>
      <c r="AWC23" s="538"/>
      <c r="AWD23" s="538"/>
      <c r="AWE23" s="538"/>
      <c r="AWF23" s="538"/>
      <c r="AWG23" s="538"/>
      <c r="AWH23" s="538"/>
      <c r="AWI23" s="538"/>
      <c r="AWJ23" s="538"/>
      <c r="AWK23" s="538"/>
      <c r="AWL23" s="538"/>
      <c r="AWM23" s="538"/>
      <c r="AWN23" s="538"/>
      <c r="AWO23" s="538"/>
      <c r="AWP23" s="538"/>
      <c r="AWQ23" s="538"/>
      <c r="AWR23" s="538"/>
      <c r="AWS23" s="538"/>
      <c r="AWT23" s="538"/>
      <c r="AWU23" s="538"/>
      <c r="AWV23" s="538"/>
      <c r="AWW23" s="538"/>
      <c r="AWX23" s="538"/>
      <c r="AWY23" s="538"/>
      <c r="AWZ23" s="538"/>
      <c r="AXA23" s="538"/>
      <c r="AXB23" s="538"/>
      <c r="AXC23" s="538"/>
      <c r="AXD23" s="538"/>
      <c r="AXE23" s="538"/>
      <c r="AXF23" s="538"/>
      <c r="AXG23" s="538"/>
      <c r="AXH23" s="538"/>
      <c r="AXI23" s="538"/>
      <c r="AXJ23" s="538"/>
      <c r="AXK23" s="538"/>
      <c r="AXL23" s="538"/>
      <c r="AXM23" s="538"/>
      <c r="AXN23" s="538"/>
      <c r="AXO23" s="538"/>
      <c r="AXP23" s="538"/>
      <c r="AXQ23" s="538"/>
      <c r="AXR23" s="538"/>
      <c r="AXS23" s="538"/>
      <c r="AXT23" s="538"/>
      <c r="AXU23" s="538"/>
      <c r="AXV23" s="538"/>
      <c r="AXW23" s="538"/>
      <c r="AXX23" s="538"/>
      <c r="AXY23" s="538"/>
      <c r="AXZ23" s="538"/>
      <c r="AYA23" s="538"/>
      <c r="AYB23" s="538"/>
      <c r="AYC23" s="538"/>
      <c r="AYD23" s="538"/>
      <c r="AYE23" s="538"/>
      <c r="AYF23" s="538"/>
      <c r="AYG23" s="538"/>
      <c r="AYH23" s="538"/>
      <c r="AYI23" s="538"/>
      <c r="AYJ23" s="538"/>
      <c r="AYK23" s="538"/>
      <c r="AYL23" s="538"/>
      <c r="AYM23" s="538"/>
      <c r="AYN23" s="538"/>
      <c r="AYO23" s="538"/>
      <c r="AYP23" s="538"/>
      <c r="AYQ23" s="538"/>
      <c r="AYR23" s="538"/>
      <c r="AYS23" s="538"/>
      <c r="AYT23" s="538"/>
      <c r="AYU23" s="538"/>
      <c r="AYV23" s="538"/>
      <c r="AYW23" s="538"/>
      <c r="AYX23" s="538"/>
      <c r="AYY23" s="538"/>
      <c r="AYZ23" s="538"/>
      <c r="AZA23" s="538"/>
      <c r="AZB23" s="538"/>
      <c r="AZC23" s="538"/>
      <c r="AZD23" s="538"/>
      <c r="AZE23" s="538"/>
      <c r="AZF23" s="538"/>
      <c r="AZG23" s="538"/>
      <c r="AZH23" s="538"/>
      <c r="AZI23" s="538"/>
      <c r="AZJ23" s="538"/>
      <c r="AZK23" s="538"/>
      <c r="AZL23" s="538"/>
      <c r="AZM23" s="538"/>
      <c r="AZN23" s="538"/>
      <c r="AZO23" s="538"/>
      <c r="AZP23" s="538"/>
      <c r="AZQ23" s="538"/>
      <c r="AZR23" s="538"/>
      <c r="AZS23" s="538"/>
      <c r="AZT23" s="538"/>
      <c r="AZU23" s="538"/>
      <c r="AZV23" s="538"/>
      <c r="AZW23" s="538"/>
      <c r="AZX23" s="538"/>
      <c r="AZY23" s="538"/>
      <c r="AZZ23" s="538"/>
      <c r="BAA23" s="538"/>
      <c r="BAB23" s="538"/>
      <c r="BAC23" s="538"/>
      <c r="BAD23" s="538"/>
      <c r="BAE23" s="538"/>
      <c r="BAF23" s="538"/>
      <c r="BAG23" s="538"/>
      <c r="BAH23" s="538"/>
      <c r="BAI23" s="538"/>
      <c r="BAJ23" s="538"/>
      <c r="BAK23" s="538"/>
      <c r="BAL23" s="538"/>
      <c r="BAM23" s="538"/>
      <c r="BAN23" s="538"/>
      <c r="BAO23" s="538"/>
      <c r="BAP23" s="538"/>
      <c r="BAQ23" s="538"/>
      <c r="BAR23" s="538"/>
      <c r="BAS23" s="538"/>
      <c r="BAT23" s="538"/>
      <c r="BAU23" s="538"/>
      <c r="BAV23" s="538"/>
      <c r="BAW23" s="538"/>
      <c r="BAX23" s="538"/>
      <c r="BAY23" s="538"/>
      <c r="BAZ23" s="538"/>
      <c r="BBA23" s="538"/>
      <c r="BBB23" s="538"/>
      <c r="BBC23" s="538"/>
      <c r="BBD23" s="538"/>
      <c r="BBE23" s="538"/>
      <c r="BBF23" s="538"/>
      <c r="BBG23" s="538"/>
      <c r="BBH23" s="538"/>
      <c r="BBI23" s="538"/>
      <c r="BBJ23" s="538"/>
      <c r="BBK23" s="538"/>
      <c r="BBL23" s="538"/>
      <c r="BBM23" s="538"/>
      <c r="BBN23" s="538"/>
      <c r="BBO23" s="538"/>
      <c r="BBP23" s="538"/>
      <c r="BBQ23" s="538"/>
      <c r="BBR23" s="538"/>
      <c r="BBS23" s="538"/>
      <c r="BBT23" s="538"/>
      <c r="BBU23" s="538"/>
      <c r="BBV23" s="538"/>
      <c r="BBW23" s="538"/>
      <c r="BBX23" s="538"/>
      <c r="BBY23" s="538"/>
      <c r="BBZ23" s="538"/>
      <c r="BCA23" s="538"/>
      <c r="BCB23" s="538"/>
      <c r="BCC23" s="538"/>
      <c r="BCD23" s="538"/>
      <c r="BCE23" s="538"/>
      <c r="BCF23" s="538"/>
      <c r="BCG23" s="538"/>
      <c r="BCH23" s="538"/>
      <c r="BCI23" s="538"/>
      <c r="BCJ23" s="538"/>
      <c r="BCK23" s="538"/>
      <c r="BCL23" s="538"/>
      <c r="BCM23" s="538"/>
      <c r="BCN23" s="538"/>
      <c r="BCO23" s="538"/>
      <c r="BCP23" s="538"/>
      <c r="BCQ23" s="538"/>
      <c r="BCR23" s="538"/>
      <c r="BCS23" s="538"/>
      <c r="BCT23" s="538"/>
      <c r="BCU23" s="538"/>
      <c r="BCV23" s="538"/>
      <c r="BCW23" s="538"/>
      <c r="BCX23" s="538"/>
      <c r="BCY23" s="538"/>
      <c r="BCZ23" s="538"/>
      <c r="BDA23" s="538"/>
      <c r="BDB23" s="538"/>
      <c r="BDC23" s="538"/>
      <c r="BDD23" s="538"/>
      <c r="BDE23" s="538"/>
      <c r="BDF23" s="538"/>
      <c r="BDG23" s="538"/>
      <c r="BDH23" s="538"/>
      <c r="BDI23" s="538"/>
      <c r="BDJ23" s="538"/>
      <c r="BDK23" s="538"/>
      <c r="BDL23" s="538"/>
      <c r="BDM23" s="538"/>
      <c r="BDN23" s="538"/>
      <c r="BDO23" s="538"/>
      <c r="BDP23" s="538"/>
      <c r="BDQ23" s="538"/>
      <c r="BDR23" s="538"/>
      <c r="BDS23" s="538"/>
      <c r="BDT23" s="538"/>
      <c r="BDU23" s="538"/>
      <c r="BDV23" s="538"/>
      <c r="BDW23" s="538"/>
      <c r="BDX23" s="538"/>
      <c r="BDY23" s="538"/>
      <c r="BDZ23" s="538"/>
      <c r="BEA23" s="538"/>
      <c r="BEB23" s="538"/>
      <c r="BEC23" s="538"/>
      <c r="BED23" s="538"/>
      <c r="BEE23" s="538"/>
      <c r="BEF23" s="538"/>
      <c r="BEG23" s="538"/>
      <c r="BEH23" s="538"/>
      <c r="BEI23" s="538"/>
      <c r="BEJ23" s="538"/>
      <c r="BEK23" s="538"/>
      <c r="BEL23" s="538"/>
      <c r="BEM23" s="538"/>
      <c r="BEN23" s="538"/>
      <c r="BEO23" s="538"/>
      <c r="BEP23" s="538"/>
      <c r="BEQ23" s="538"/>
      <c r="BER23" s="538"/>
      <c r="BES23" s="538"/>
      <c r="BET23" s="538"/>
      <c r="BEU23" s="538"/>
      <c r="BEV23" s="538"/>
      <c r="BEW23" s="538"/>
      <c r="BEX23" s="538"/>
      <c r="BEY23" s="538"/>
      <c r="BEZ23" s="538"/>
      <c r="BFA23" s="538"/>
      <c r="BFB23" s="538"/>
      <c r="BFC23" s="538"/>
      <c r="BFD23" s="538"/>
      <c r="BFE23" s="538"/>
      <c r="BFF23" s="538"/>
      <c r="BFG23" s="538"/>
      <c r="BFH23" s="538"/>
      <c r="BFI23" s="538"/>
      <c r="BFJ23" s="538"/>
      <c r="BFK23" s="538"/>
      <c r="BFL23" s="538"/>
      <c r="BFM23" s="538"/>
      <c r="BFN23" s="538"/>
      <c r="BFO23" s="538"/>
      <c r="BFP23" s="538"/>
      <c r="BFQ23" s="538"/>
      <c r="BFR23" s="538"/>
      <c r="BFS23" s="538"/>
      <c r="BFT23" s="538"/>
      <c r="BFU23" s="538"/>
      <c r="BFV23" s="538"/>
      <c r="BFW23" s="538"/>
      <c r="BFX23" s="538"/>
      <c r="BFY23" s="538"/>
      <c r="BFZ23" s="538"/>
      <c r="BGA23" s="538"/>
      <c r="BGB23" s="538"/>
      <c r="BGC23" s="538"/>
      <c r="BGD23" s="538"/>
      <c r="BGE23" s="538"/>
      <c r="BGF23" s="538"/>
      <c r="BGG23" s="538"/>
      <c r="BGH23" s="538"/>
      <c r="BGI23" s="538"/>
      <c r="BGJ23" s="538"/>
      <c r="BGK23" s="538"/>
      <c r="BGL23" s="538"/>
      <c r="BGM23" s="538"/>
      <c r="BGN23" s="538"/>
      <c r="BGO23" s="538"/>
      <c r="BGP23" s="538"/>
      <c r="BGQ23" s="538"/>
      <c r="BGR23" s="538"/>
      <c r="BGS23" s="538"/>
      <c r="BGT23" s="538"/>
      <c r="BGU23" s="538"/>
      <c r="BGV23" s="538"/>
      <c r="BGW23" s="538"/>
      <c r="BGX23" s="538"/>
      <c r="BGY23" s="538"/>
      <c r="BGZ23" s="538"/>
      <c r="BHA23" s="538"/>
      <c r="BHB23" s="538"/>
      <c r="BHC23" s="538"/>
      <c r="BHD23" s="538"/>
      <c r="BHE23" s="538"/>
      <c r="BHF23" s="538"/>
      <c r="BHG23" s="538"/>
      <c r="BHH23" s="538"/>
      <c r="BHI23" s="538"/>
      <c r="BHJ23" s="538"/>
      <c r="BHK23" s="538"/>
      <c r="BHL23" s="538"/>
      <c r="BHM23" s="538"/>
      <c r="BHN23" s="538"/>
      <c r="BHO23" s="538"/>
      <c r="BHP23" s="538"/>
      <c r="BHQ23" s="538"/>
      <c r="BHR23" s="538"/>
      <c r="BHS23" s="538"/>
      <c r="BHT23" s="538"/>
      <c r="BHU23" s="538"/>
      <c r="BHV23" s="538"/>
      <c r="BHW23" s="538"/>
      <c r="BHX23" s="538"/>
      <c r="BHY23" s="538"/>
      <c r="BHZ23" s="538"/>
      <c r="BIA23" s="538"/>
      <c r="BIB23" s="538"/>
      <c r="BIC23" s="538"/>
      <c r="BID23" s="538"/>
      <c r="BIE23" s="538"/>
      <c r="BIF23" s="538"/>
      <c r="BIG23" s="538"/>
      <c r="BIH23" s="538"/>
      <c r="BII23" s="538"/>
      <c r="BIJ23" s="538"/>
      <c r="BIK23" s="538"/>
      <c r="BIL23" s="538"/>
      <c r="BIM23" s="538"/>
      <c r="BIN23" s="538"/>
      <c r="BIO23" s="538"/>
      <c r="BIP23" s="538"/>
      <c r="BIQ23" s="538"/>
      <c r="BIR23" s="538"/>
      <c r="BIS23" s="538"/>
      <c r="BIT23" s="538"/>
      <c r="BIU23" s="538"/>
      <c r="BIV23" s="538"/>
      <c r="BIW23" s="538"/>
      <c r="BIX23" s="538"/>
      <c r="BIY23" s="538"/>
      <c r="BIZ23" s="538"/>
      <c r="BJA23" s="538"/>
      <c r="BJB23" s="538"/>
      <c r="BJC23" s="538"/>
      <c r="BJD23" s="538"/>
      <c r="BJE23" s="538"/>
      <c r="BJF23" s="538"/>
      <c r="BJG23" s="538"/>
      <c r="BJH23" s="538"/>
      <c r="BJI23" s="538"/>
      <c r="BJJ23" s="538"/>
      <c r="BJK23" s="538"/>
      <c r="BJL23" s="538"/>
      <c r="BJM23" s="538"/>
      <c r="BJN23" s="538"/>
      <c r="BJO23" s="538"/>
      <c r="BJP23" s="538"/>
      <c r="BJQ23" s="538"/>
      <c r="BJR23" s="538"/>
      <c r="BJS23" s="538"/>
      <c r="BJT23" s="538"/>
      <c r="BJU23" s="538"/>
      <c r="BJV23" s="538"/>
      <c r="BJW23" s="538"/>
      <c r="BJX23" s="538"/>
      <c r="BJY23" s="538"/>
      <c r="BJZ23" s="538"/>
      <c r="BKA23" s="538"/>
      <c r="BKB23" s="538"/>
      <c r="BKC23" s="538"/>
      <c r="BKD23" s="538"/>
      <c r="BKE23" s="538"/>
      <c r="BKF23" s="538"/>
      <c r="BKG23" s="538"/>
      <c r="BKH23" s="538"/>
      <c r="BKI23" s="538"/>
      <c r="BKJ23" s="538"/>
      <c r="BKK23" s="538"/>
      <c r="BKL23" s="538"/>
      <c r="BKM23" s="538"/>
      <c r="BKN23" s="538"/>
      <c r="BKO23" s="538"/>
      <c r="BKP23" s="538"/>
      <c r="BKQ23" s="538"/>
      <c r="BKR23" s="538"/>
      <c r="BKS23" s="538"/>
      <c r="BKT23" s="538"/>
      <c r="BKU23" s="538"/>
      <c r="BKV23" s="538"/>
      <c r="BKW23" s="538"/>
      <c r="BKX23" s="538"/>
      <c r="BKY23" s="538"/>
      <c r="BKZ23" s="538"/>
      <c r="BLA23" s="538"/>
      <c r="BLB23" s="538"/>
      <c r="BLC23" s="538"/>
      <c r="BLD23" s="538"/>
      <c r="BLE23" s="538"/>
      <c r="BLF23" s="538"/>
      <c r="BLG23" s="538"/>
      <c r="BLH23" s="538"/>
      <c r="BLI23" s="538"/>
      <c r="BLJ23" s="538"/>
      <c r="BLK23" s="538"/>
      <c r="BLL23" s="538"/>
      <c r="BLM23" s="538"/>
      <c r="BLN23" s="538"/>
      <c r="BLO23" s="538"/>
      <c r="BLP23" s="538"/>
      <c r="BLQ23" s="538"/>
      <c r="BLR23" s="538"/>
      <c r="BLS23" s="538"/>
      <c r="BLT23" s="538"/>
      <c r="BLU23" s="538"/>
      <c r="BLV23" s="538"/>
      <c r="BLW23" s="538"/>
      <c r="BLX23" s="538"/>
      <c r="BLY23" s="538"/>
      <c r="BLZ23" s="538"/>
      <c r="BMA23" s="538"/>
      <c r="BMB23" s="538"/>
      <c r="BMC23" s="538"/>
      <c r="BMD23" s="538"/>
      <c r="BME23" s="538"/>
      <c r="BMF23" s="538"/>
      <c r="BMG23" s="538"/>
      <c r="BMH23" s="538"/>
      <c r="BMI23" s="538"/>
      <c r="BMJ23" s="538"/>
      <c r="BMK23" s="538"/>
      <c r="BML23" s="538"/>
      <c r="BMM23" s="538"/>
      <c r="BMN23" s="538"/>
      <c r="BMO23" s="538"/>
      <c r="BMP23" s="538"/>
      <c r="BMQ23" s="538"/>
      <c r="BMR23" s="538"/>
      <c r="BMS23" s="538"/>
      <c r="BMT23" s="538"/>
      <c r="BMU23" s="538"/>
      <c r="BMV23" s="538"/>
      <c r="BMW23" s="538"/>
      <c r="BMX23" s="538"/>
      <c r="BMY23" s="538"/>
      <c r="BMZ23" s="538"/>
      <c r="BNA23" s="538"/>
      <c r="BNB23" s="538"/>
      <c r="BNC23" s="538"/>
      <c r="BND23" s="538"/>
      <c r="BNE23" s="538"/>
      <c r="BNF23" s="538"/>
      <c r="BNG23" s="538"/>
      <c r="BNH23" s="538"/>
      <c r="BNI23" s="538"/>
      <c r="BNJ23" s="538"/>
      <c r="BNK23" s="538"/>
      <c r="BNL23" s="538"/>
      <c r="BNM23" s="538"/>
      <c r="BNN23" s="538"/>
      <c r="BNO23" s="538"/>
      <c r="BNP23" s="538"/>
      <c r="BNQ23" s="538"/>
      <c r="BNR23" s="538"/>
      <c r="BNS23" s="538"/>
      <c r="BNT23" s="538"/>
      <c r="BNU23" s="538"/>
      <c r="BNV23" s="538"/>
      <c r="BNW23" s="538"/>
      <c r="BNX23" s="538"/>
      <c r="BNY23" s="538"/>
      <c r="BNZ23" s="538"/>
      <c r="BOA23" s="538"/>
      <c r="BOB23" s="538"/>
      <c r="BOC23" s="538"/>
      <c r="BOD23" s="538"/>
      <c r="BOE23" s="538"/>
      <c r="BOF23" s="538"/>
      <c r="BOG23" s="538"/>
      <c r="BOH23" s="538"/>
      <c r="BOI23" s="538"/>
      <c r="BOJ23" s="538"/>
      <c r="BOK23" s="538"/>
      <c r="BOL23" s="538"/>
      <c r="BOM23" s="538"/>
      <c r="BON23" s="538"/>
      <c r="BOO23" s="538"/>
      <c r="BOP23" s="538"/>
      <c r="BOQ23" s="538"/>
      <c r="BOR23" s="538"/>
      <c r="BOS23" s="538"/>
      <c r="BOT23" s="538"/>
      <c r="BOU23" s="538"/>
      <c r="BOV23" s="538"/>
      <c r="BOW23" s="538"/>
      <c r="BOX23" s="538"/>
      <c r="BOY23" s="538"/>
      <c r="BOZ23" s="538"/>
      <c r="BPA23" s="538"/>
      <c r="BPB23" s="538"/>
      <c r="BPC23" s="538"/>
      <c r="BPD23" s="538"/>
      <c r="BPE23" s="538"/>
      <c r="BPF23" s="538"/>
      <c r="BPG23" s="538"/>
      <c r="BPH23" s="538"/>
      <c r="BPI23" s="538"/>
      <c r="BPJ23" s="538"/>
      <c r="BPK23" s="538"/>
      <c r="BPL23" s="538"/>
      <c r="BPM23" s="538"/>
      <c r="BPN23" s="538"/>
      <c r="BPO23" s="538"/>
      <c r="BPP23" s="538"/>
      <c r="BPQ23" s="538"/>
      <c r="BPR23" s="538"/>
      <c r="BPS23" s="538"/>
      <c r="BPT23" s="538"/>
      <c r="BPU23" s="538"/>
      <c r="BPV23" s="538"/>
      <c r="BPW23" s="538"/>
      <c r="BPX23" s="538"/>
      <c r="BPY23" s="538"/>
      <c r="BPZ23" s="538"/>
      <c r="BQA23" s="538"/>
      <c r="BQB23" s="538"/>
      <c r="BQC23" s="538"/>
      <c r="BQD23" s="538"/>
      <c r="BQE23" s="538"/>
      <c r="BQF23" s="538"/>
      <c r="BQG23" s="538"/>
      <c r="BQH23" s="538"/>
      <c r="BQI23" s="538"/>
      <c r="BQJ23" s="538"/>
      <c r="BQK23" s="538"/>
      <c r="BQL23" s="538"/>
      <c r="BQM23" s="538"/>
      <c r="BQN23" s="538"/>
      <c r="BQO23" s="538"/>
      <c r="BQP23" s="538"/>
      <c r="BQQ23" s="538"/>
      <c r="BQR23" s="538"/>
      <c r="BQS23" s="538"/>
      <c r="BQT23" s="538"/>
      <c r="BQU23" s="538"/>
      <c r="BQV23" s="538"/>
      <c r="BQW23" s="538"/>
      <c r="BQX23" s="538"/>
      <c r="BQY23" s="538"/>
      <c r="BQZ23" s="538"/>
      <c r="BRA23" s="538"/>
      <c r="BRB23" s="538"/>
      <c r="BRC23" s="538"/>
      <c r="BRD23" s="538"/>
      <c r="BRE23" s="538"/>
      <c r="BRF23" s="538"/>
      <c r="BRG23" s="538"/>
      <c r="BRH23" s="538"/>
      <c r="BRI23" s="538"/>
      <c r="BRJ23" s="538"/>
      <c r="BRK23" s="538"/>
      <c r="BRL23" s="538"/>
      <c r="BRM23" s="538"/>
      <c r="BRN23" s="538"/>
      <c r="BRO23" s="538"/>
      <c r="BRP23" s="538"/>
      <c r="BRQ23" s="538"/>
      <c r="BRR23" s="538"/>
      <c r="BRS23" s="538"/>
      <c r="BRT23" s="538"/>
      <c r="BRU23" s="538"/>
      <c r="BRV23" s="538"/>
      <c r="BRW23" s="538"/>
      <c r="BRX23" s="538"/>
      <c r="BRY23" s="538"/>
      <c r="BRZ23" s="538"/>
      <c r="BSA23" s="538"/>
      <c r="BSB23" s="538"/>
      <c r="BSC23" s="538"/>
      <c r="BSD23" s="538"/>
      <c r="BSE23" s="538"/>
      <c r="BSF23" s="538"/>
      <c r="BSG23" s="538"/>
      <c r="BSH23" s="538"/>
      <c r="BSI23" s="538"/>
      <c r="BSJ23" s="538"/>
      <c r="BSK23" s="538"/>
      <c r="BSL23" s="538"/>
      <c r="BSM23" s="538"/>
      <c r="BSN23" s="538"/>
      <c r="BSO23" s="538"/>
      <c r="BSP23" s="538"/>
      <c r="BSQ23" s="538"/>
      <c r="BSR23" s="538"/>
      <c r="BSS23" s="538"/>
      <c r="BST23" s="538"/>
      <c r="BSU23" s="538"/>
      <c r="BSV23" s="538"/>
      <c r="BSW23" s="538"/>
      <c r="BSX23" s="538"/>
      <c r="BSY23" s="538"/>
      <c r="BSZ23" s="538"/>
      <c r="BTA23" s="538"/>
      <c r="BTB23" s="538"/>
      <c r="BTC23" s="538"/>
      <c r="BTD23" s="538"/>
      <c r="BTE23" s="538"/>
      <c r="BTF23" s="538"/>
      <c r="BTG23" s="538"/>
      <c r="BTH23" s="538"/>
      <c r="BTI23" s="538"/>
      <c r="BTJ23" s="538"/>
      <c r="BTK23" s="538"/>
      <c r="BTL23" s="538"/>
      <c r="BTM23" s="538"/>
      <c r="BTN23" s="538"/>
      <c r="BTO23" s="538"/>
      <c r="BTP23" s="538"/>
      <c r="BTQ23" s="538"/>
      <c r="BTR23" s="538"/>
      <c r="BTS23" s="538"/>
      <c r="BTT23" s="538"/>
      <c r="BTU23" s="538"/>
      <c r="BTV23" s="538"/>
      <c r="BTW23" s="538"/>
      <c r="BTX23" s="538"/>
      <c r="BTY23" s="538"/>
      <c r="BTZ23" s="538"/>
      <c r="BUA23" s="538"/>
      <c r="BUB23" s="538"/>
      <c r="BUC23" s="538"/>
      <c r="BUD23" s="538"/>
      <c r="BUE23" s="538"/>
      <c r="BUF23" s="538"/>
      <c r="BUG23" s="538"/>
      <c r="BUH23" s="538"/>
      <c r="BUI23" s="538"/>
      <c r="BUJ23" s="538"/>
      <c r="BUK23" s="538"/>
      <c r="BUL23" s="538"/>
      <c r="BUM23" s="538"/>
      <c r="BUN23" s="538"/>
      <c r="BUO23" s="538"/>
      <c r="BUP23" s="538"/>
      <c r="BUQ23" s="538"/>
      <c r="BUR23" s="538"/>
      <c r="BUS23" s="538"/>
      <c r="BUT23" s="538"/>
      <c r="BUU23" s="538"/>
      <c r="BUV23" s="538"/>
      <c r="BUW23" s="538"/>
      <c r="BUX23" s="538"/>
      <c r="BUY23" s="538"/>
      <c r="BUZ23" s="538"/>
      <c r="BVA23" s="538"/>
      <c r="BVB23" s="538"/>
      <c r="BVC23" s="538"/>
      <c r="BVD23" s="538"/>
      <c r="BVE23" s="538"/>
      <c r="BVF23" s="538"/>
      <c r="BVG23" s="538"/>
      <c r="BVH23" s="538"/>
      <c r="BVI23" s="538"/>
      <c r="BVJ23" s="538"/>
      <c r="BVK23" s="538"/>
      <c r="BVL23" s="538"/>
      <c r="BVM23" s="538"/>
      <c r="BVN23" s="538"/>
      <c r="BVO23" s="538"/>
      <c r="BVP23" s="538"/>
      <c r="BVQ23" s="538"/>
      <c r="BVR23" s="538"/>
      <c r="BVS23" s="538"/>
      <c r="BVT23" s="538"/>
      <c r="BVU23" s="538"/>
      <c r="BVV23" s="538"/>
      <c r="BVW23" s="538"/>
      <c r="BVX23" s="538"/>
      <c r="BVY23" s="538"/>
      <c r="BVZ23" s="538"/>
      <c r="BWA23" s="538"/>
      <c r="BWB23" s="538"/>
      <c r="BWC23" s="538"/>
      <c r="BWD23" s="538"/>
      <c r="BWE23" s="538"/>
      <c r="BWF23" s="538"/>
      <c r="BWG23" s="538"/>
      <c r="BWH23" s="538"/>
      <c r="BWI23" s="538"/>
      <c r="BWJ23" s="538"/>
      <c r="BWK23" s="538"/>
      <c r="BWL23" s="538"/>
      <c r="BWM23" s="538"/>
      <c r="BWN23" s="538"/>
      <c r="BWO23" s="538"/>
      <c r="BWP23" s="538"/>
      <c r="BWQ23" s="538"/>
      <c r="BWR23" s="538"/>
      <c r="BWS23" s="538"/>
      <c r="BWT23" s="538"/>
      <c r="BWU23" s="538"/>
      <c r="BWV23" s="538"/>
      <c r="BWW23" s="538"/>
      <c r="BWX23" s="538"/>
      <c r="BWY23" s="538"/>
      <c r="BWZ23" s="538"/>
      <c r="BXA23" s="538"/>
      <c r="BXB23" s="538"/>
      <c r="BXC23" s="538"/>
      <c r="BXD23" s="538"/>
      <c r="BXE23" s="538"/>
      <c r="BXF23" s="538"/>
      <c r="BXG23" s="538"/>
      <c r="BXH23" s="538"/>
      <c r="BXI23" s="538"/>
      <c r="BXJ23" s="538"/>
      <c r="BXK23" s="538"/>
      <c r="BXL23" s="538"/>
      <c r="BXM23" s="538"/>
      <c r="BXN23" s="538"/>
      <c r="BXO23" s="538"/>
      <c r="BXP23" s="538"/>
      <c r="BXQ23" s="538"/>
      <c r="BXR23" s="538"/>
      <c r="BXS23" s="538"/>
      <c r="BXT23" s="538"/>
      <c r="BXU23" s="538"/>
      <c r="BXV23" s="538"/>
      <c r="BXW23" s="538"/>
      <c r="BXX23" s="538"/>
      <c r="BXY23" s="538"/>
      <c r="BXZ23" s="538"/>
      <c r="BYA23" s="538"/>
      <c r="BYB23" s="538"/>
      <c r="BYC23" s="538"/>
      <c r="BYD23" s="538"/>
      <c r="BYE23" s="538"/>
      <c r="BYF23" s="538"/>
      <c r="BYG23" s="538"/>
      <c r="BYH23" s="538"/>
      <c r="BYI23" s="538"/>
      <c r="BYJ23" s="538"/>
      <c r="BYK23" s="538"/>
      <c r="BYL23" s="538"/>
      <c r="BYM23" s="538"/>
      <c r="BYN23" s="538"/>
      <c r="BYO23" s="538"/>
      <c r="BYP23" s="538"/>
      <c r="BYQ23" s="538"/>
      <c r="BYR23" s="538"/>
      <c r="BYS23" s="538"/>
      <c r="BYT23" s="538"/>
      <c r="BYU23" s="538"/>
      <c r="BYV23" s="538"/>
      <c r="BYW23" s="538"/>
      <c r="BYX23" s="538"/>
      <c r="BYY23" s="538"/>
      <c r="BYZ23" s="538"/>
      <c r="BZA23" s="538"/>
      <c r="BZB23" s="538"/>
      <c r="BZC23" s="538"/>
      <c r="BZD23" s="538"/>
      <c r="BZE23" s="538"/>
      <c r="BZF23" s="538"/>
      <c r="BZG23" s="538"/>
      <c r="BZH23" s="538"/>
      <c r="BZI23" s="538"/>
      <c r="BZJ23" s="538"/>
      <c r="BZK23" s="538"/>
      <c r="BZL23" s="538"/>
      <c r="BZM23" s="538"/>
      <c r="BZN23" s="538"/>
      <c r="BZO23" s="538"/>
      <c r="BZP23" s="538"/>
      <c r="BZQ23" s="538"/>
      <c r="BZR23" s="538"/>
      <c r="BZS23" s="538"/>
      <c r="BZT23" s="538"/>
      <c r="BZU23" s="538"/>
      <c r="BZV23" s="538"/>
      <c r="BZW23" s="538"/>
      <c r="BZX23" s="538"/>
      <c r="BZY23" s="538"/>
      <c r="BZZ23" s="538"/>
      <c r="CAA23" s="538"/>
      <c r="CAB23" s="538"/>
      <c r="CAC23" s="538"/>
      <c r="CAD23" s="538"/>
      <c r="CAE23" s="538"/>
      <c r="CAF23" s="538"/>
      <c r="CAG23" s="538"/>
      <c r="CAH23" s="538"/>
      <c r="CAI23" s="538"/>
      <c r="CAJ23" s="538"/>
      <c r="CAK23" s="538"/>
      <c r="CAL23" s="538"/>
      <c r="CAM23" s="538"/>
      <c r="CAN23" s="538"/>
      <c r="CAO23" s="538"/>
      <c r="CAP23" s="538"/>
      <c r="CAQ23" s="538"/>
      <c r="CAR23" s="538"/>
      <c r="CAS23" s="538"/>
      <c r="CAT23" s="538"/>
      <c r="CAU23" s="538"/>
      <c r="CAV23" s="538"/>
      <c r="CAW23" s="538"/>
      <c r="CAX23" s="538"/>
      <c r="CAY23" s="538"/>
      <c r="CAZ23" s="538"/>
      <c r="CBA23" s="538"/>
      <c r="CBB23" s="538"/>
      <c r="CBC23" s="538"/>
      <c r="CBD23" s="538"/>
      <c r="CBE23" s="538"/>
      <c r="CBF23" s="538"/>
      <c r="CBG23" s="538"/>
      <c r="CBH23" s="538"/>
      <c r="CBI23" s="538"/>
      <c r="CBJ23" s="538"/>
      <c r="CBK23" s="538"/>
      <c r="CBL23" s="538"/>
      <c r="CBM23" s="538"/>
      <c r="CBN23" s="538"/>
      <c r="CBO23" s="538"/>
      <c r="CBP23" s="538"/>
      <c r="CBQ23" s="538"/>
      <c r="CBR23" s="538"/>
      <c r="CBS23" s="538"/>
      <c r="CBT23" s="538"/>
      <c r="CBU23" s="538"/>
      <c r="CBV23" s="538"/>
      <c r="CBW23" s="538"/>
      <c r="CBX23" s="538"/>
      <c r="CBY23" s="538"/>
      <c r="CBZ23" s="538"/>
      <c r="CCA23" s="538"/>
      <c r="CCB23" s="538"/>
      <c r="CCC23" s="538"/>
      <c r="CCD23" s="538"/>
      <c r="CCE23" s="538"/>
      <c r="CCF23" s="538"/>
      <c r="CCG23" s="538"/>
      <c r="CCH23" s="538"/>
      <c r="CCI23" s="538"/>
      <c r="CCJ23" s="538"/>
      <c r="CCK23" s="538"/>
      <c r="CCL23" s="538"/>
      <c r="CCM23" s="538"/>
      <c r="CCN23" s="538"/>
      <c r="CCO23" s="538"/>
      <c r="CCP23" s="538"/>
      <c r="CCQ23" s="538"/>
      <c r="CCR23" s="538"/>
      <c r="CCS23" s="538"/>
      <c r="CCT23" s="538"/>
      <c r="CCU23" s="538"/>
      <c r="CCV23" s="538"/>
      <c r="CCW23" s="538"/>
      <c r="CCX23" s="538"/>
      <c r="CCY23" s="538"/>
      <c r="CCZ23" s="538"/>
      <c r="CDA23" s="538"/>
      <c r="CDB23" s="538"/>
      <c r="CDC23" s="538"/>
      <c r="CDD23" s="538"/>
      <c r="CDE23" s="538"/>
      <c r="CDF23" s="538"/>
      <c r="CDG23" s="538"/>
      <c r="CDH23" s="538"/>
      <c r="CDI23" s="538"/>
      <c r="CDJ23" s="538"/>
      <c r="CDK23" s="538"/>
      <c r="CDL23" s="538"/>
      <c r="CDM23" s="538"/>
      <c r="CDN23" s="538"/>
      <c r="CDO23" s="538"/>
      <c r="CDP23" s="538"/>
      <c r="CDQ23" s="538"/>
      <c r="CDR23" s="538"/>
      <c r="CDS23" s="538"/>
      <c r="CDT23" s="538"/>
      <c r="CDU23" s="538"/>
      <c r="CDV23" s="538"/>
      <c r="CDW23" s="538"/>
      <c r="CDX23" s="538"/>
      <c r="CDY23" s="538"/>
      <c r="CDZ23" s="538"/>
      <c r="CEA23" s="538"/>
      <c r="CEB23" s="538"/>
      <c r="CEC23" s="538"/>
      <c r="CED23" s="538"/>
      <c r="CEE23" s="538"/>
      <c r="CEF23" s="538"/>
      <c r="CEG23" s="538"/>
      <c r="CEH23" s="538"/>
      <c r="CEI23" s="538"/>
      <c r="CEJ23" s="538"/>
      <c r="CEK23" s="538"/>
      <c r="CEL23" s="538"/>
      <c r="CEM23" s="538"/>
      <c r="CEN23" s="538"/>
      <c r="CEO23" s="538"/>
      <c r="CEP23" s="538"/>
      <c r="CEQ23" s="538"/>
      <c r="CER23" s="538"/>
      <c r="CES23" s="538"/>
      <c r="CET23" s="538"/>
      <c r="CEU23" s="538"/>
      <c r="CEV23" s="538"/>
      <c r="CEW23" s="538"/>
      <c r="CEX23" s="538"/>
      <c r="CEY23" s="538"/>
      <c r="CEZ23" s="538"/>
      <c r="CFA23" s="538"/>
      <c r="CFB23" s="538"/>
      <c r="CFC23" s="538"/>
      <c r="CFD23" s="538"/>
      <c r="CFE23" s="538"/>
      <c r="CFF23" s="538"/>
      <c r="CFG23" s="538"/>
      <c r="CFH23" s="538"/>
      <c r="CFI23" s="538"/>
      <c r="CFJ23" s="538"/>
      <c r="CFK23" s="538"/>
      <c r="CFL23" s="538"/>
      <c r="CFM23" s="538"/>
      <c r="CFN23" s="538"/>
      <c r="CFO23" s="538"/>
      <c r="CFP23" s="538"/>
      <c r="CFQ23" s="538"/>
      <c r="CFR23" s="538"/>
      <c r="CFS23" s="538"/>
      <c r="CFT23" s="538"/>
      <c r="CFU23" s="538"/>
      <c r="CFV23" s="538"/>
      <c r="CFW23" s="538"/>
      <c r="CFX23" s="538"/>
      <c r="CFY23" s="538"/>
      <c r="CFZ23" s="538"/>
      <c r="CGA23" s="538"/>
      <c r="CGB23" s="538"/>
      <c r="CGC23" s="538"/>
      <c r="CGD23" s="538"/>
      <c r="CGE23" s="538"/>
      <c r="CGF23" s="538"/>
      <c r="CGG23" s="538"/>
      <c r="CGH23" s="538"/>
      <c r="CGI23" s="538"/>
      <c r="CGJ23" s="538"/>
      <c r="CGK23" s="538"/>
      <c r="CGL23" s="538"/>
      <c r="CGM23" s="538"/>
      <c r="CGN23" s="538"/>
      <c r="CGO23" s="538"/>
      <c r="CGP23" s="538"/>
      <c r="CGQ23" s="538"/>
      <c r="CGR23" s="538"/>
      <c r="CGS23" s="538"/>
      <c r="CGT23" s="538"/>
      <c r="CGU23" s="538"/>
      <c r="CGV23" s="538"/>
      <c r="CGW23" s="538"/>
      <c r="CGX23" s="538"/>
      <c r="CGY23" s="538"/>
      <c r="CGZ23" s="538"/>
      <c r="CHA23" s="538"/>
      <c r="CHB23" s="538"/>
      <c r="CHC23" s="538"/>
      <c r="CHD23" s="538"/>
      <c r="CHE23" s="538"/>
      <c r="CHF23" s="538"/>
      <c r="CHG23" s="538"/>
      <c r="CHH23" s="538"/>
      <c r="CHI23" s="538"/>
      <c r="CHJ23" s="538"/>
      <c r="CHK23" s="538"/>
      <c r="CHL23" s="538"/>
      <c r="CHM23" s="538"/>
      <c r="CHN23" s="538"/>
      <c r="CHO23" s="538"/>
      <c r="CHP23" s="538"/>
      <c r="CHQ23" s="538"/>
      <c r="CHR23" s="538"/>
      <c r="CHS23" s="538"/>
      <c r="CHT23" s="538"/>
      <c r="CHU23" s="538"/>
      <c r="CHV23" s="538"/>
      <c r="CHW23" s="538"/>
      <c r="CHX23" s="538"/>
      <c r="CHY23" s="538"/>
      <c r="CHZ23" s="538"/>
      <c r="CIA23" s="538"/>
      <c r="CIB23" s="538"/>
      <c r="CIC23" s="538"/>
      <c r="CID23" s="538"/>
      <c r="CIE23" s="538"/>
      <c r="CIF23" s="538"/>
      <c r="CIG23" s="538"/>
      <c r="CIH23" s="538"/>
      <c r="CII23" s="538"/>
      <c r="CIJ23" s="538"/>
      <c r="CIK23" s="538"/>
      <c r="CIL23" s="538"/>
      <c r="CIM23" s="538"/>
      <c r="CIN23" s="538"/>
      <c r="CIO23" s="538"/>
      <c r="CIP23" s="538"/>
      <c r="CIQ23" s="538"/>
      <c r="CIR23" s="538"/>
      <c r="CIS23" s="538"/>
      <c r="CIT23" s="538"/>
      <c r="CIU23" s="538"/>
      <c r="CIV23" s="538"/>
      <c r="CIW23" s="538"/>
      <c r="CIX23" s="538"/>
      <c r="CIY23" s="538"/>
      <c r="CIZ23" s="538"/>
      <c r="CJA23" s="538"/>
      <c r="CJB23" s="538"/>
      <c r="CJC23" s="538"/>
      <c r="CJD23" s="538"/>
      <c r="CJE23" s="538"/>
      <c r="CJF23" s="538"/>
      <c r="CJG23" s="538"/>
      <c r="CJH23" s="538"/>
      <c r="CJI23" s="538"/>
      <c r="CJJ23" s="538"/>
      <c r="CJK23" s="538"/>
      <c r="CJL23" s="538"/>
      <c r="CJM23" s="538"/>
      <c r="CJN23" s="538"/>
      <c r="CJO23" s="538"/>
      <c r="CJP23" s="538"/>
      <c r="CJQ23" s="538"/>
      <c r="CJR23" s="538"/>
      <c r="CJS23" s="538"/>
      <c r="CJT23" s="538"/>
      <c r="CJU23" s="538"/>
      <c r="CJV23" s="538"/>
      <c r="CJW23" s="538"/>
      <c r="CJX23" s="538"/>
      <c r="CJY23" s="538"/>
      <c r="CJZ23" s="538"/>
      <c r="CKA23" s="538"/>
      <c r="CKB23" s="538"/>
      <c r="CKC23" s="538"/>
      <c r="CKD23" s="538"/>
      <c r="CKE23" s="538"/>
      <c r="CKF23" s="538"/>
      <c r="CKG23" s="538"/>
      <c r="CKH23" s="538"/>
      <c r="CKI23" s="538"/>
      <c r="CKJ23" s="538"/>
      <c r="CKK23" s="538"/>
      <c r="CKL23" s="538"/>
      <c r="CKM23" s="538"/>
      <c r="CKN23" s="538"/>
      <c r="CKO23" s="538"/>
      <c r="CKP23" s="538"/>
      <c r="CKQ23" s="538"/>
      <c r="CKR23" s="538"/>
      <c r="CKS23" s="538"/>
      <c r="CKT23" s="538"/>
      <c r="CKU23" s="538"/>
      <c r="CKV23" s="538"/>
      <c r="CKW23" s="538"/>
      <c r="CKX23" s="538"/>
      <c r="CKY23" s="538"/>
      <c r="CKZ23" s="538"/>
      <c r="CLA23" s="538"/>
      <c r="CLB23" s="538"/>
      <c r="CLC23" s="538"/>
      <c r="CLD23" s="538"/>
      <c r="CLE23" s="538"/>
      <c r="CLF23" s="538"/>
      <c r="CLG23" s="538"/>
      <c r="CLH23" s="538"/>
      <c r="CLI23" s="538"/>
      <c r="CLJ23" s="538"/>
      <c r="CLK23" s="538"/>
      <c r="CLL23" s="538"/>
      <c r="CLM23" s="538"/>
      <c r="CLN23" s="538"/>
      <c r="CLO23" s="538"/>
      <c r="CLP23" s="538"/>
      <c r="CLQ23" s="538"/>
      <c r="CLR23" s="538"/>
      <c r="CLS23" s="538"/>
      <c r="CLT23" s="538"/>
      <c r="CLU23" s="538"/>
      <c r="CLV23" s="538"/>
      <c r="CLW23" s="538"/>
      <c r="CLX23" s="538"/>
      <c r="CLY23" s="538"/>
      <c r="CLZ23" s="538"/>
      <c r="CMA23" s="538"/>
      <c r="CMB23" s="538"/>
      <c r="CMC23" s="538"/>
      <c r="CMD23" s="538"/>
      <c r="CME23" s="538"/>
      <c r="CMF23" s="538"/>
      <c r="CMG23" s="538"/>
      <c r="CMH23" s="538"/>
      <c r="CMI23" s="538"/>
      <c r="CMJ23" s="538"/>
      <c r="CMK23" s="538"/>
      <c r="CML23" s="538"/>
      <c r="CMM23" s="538"/>
      <c r="CMN23" s="538"/>
      <c r="CMO23" s="538"/>
      <c r="CMP23" s="538"/>
      <c r="CMQ23" s="538"/>
      <c r="CMR23" s="538"/>
      <c r="CMS23" s="538"/>
      <c r="CMT23" s="538"/>
      <c r="CMU23" s="538"/>
      <c r="CMV23" s="538"/>
      <c r="CMW23" s="538"/>
      <c r="CMX23" s="538"/>
      <c r="CMY23" s="538"/>
      <c r="CMZ23" s="538"/>
      <c r="CNA23" s="538"/>
      <c r="CNB23" s="538"/>
      <c r="CNC23" s="538"/>
      <c r="CND23" s="538"/>
      <c r="CNE23" s="538"/>
      <c r="CNF23" s="538"/>
      <c r="CNG23" s="538"/>
      <c r="CNH23" s="538"/>
      <c r="CNI23" s="538"/>
      <c r="CNJ23" s="538"/>
      <c r="CNK23" s="538"/>
      <c r="CNL23" s="538"/>
      <c r="CNM23" s="538"/>
      <c r="CNN23" s="538"/>
      <c r="CNO23" s="538"/>
      <c r="CNP23" s="538"/>
      <c r="CNQ23" s="538"/>
      <c r="CNR23" s="538"/>
      <c r="CNS23" s="538"/>
      <c r="CNT23" s="538"/>
      <c r="CNU23" s="538"/>
      <c r="CNV23" s="538"/>
      <c r="CNW23" s="538"/>
      <c r="CNX23" s="538"/>
      <c r="CNY23" s="538"/>
      <c r="CNZ23" s="538"/>
      <c r="COA23" s="538"/>
      <c r="COB23" s="538"/>
      <c r="COC23" s="538"/>
      <c r="COD23" s="538"/>
      <c r="COE23" s="538"/>
      <c r="COF23" s="538"/>
      <c r="COG23" s="538"/>
      <c r="COH23" s="538"/>
      <c r="COI23" s="538"/>
      <c r="COJ23" s="538"/>
      <c r="COK23" s="538"/>
      <c r="COL23" s="538"/>
      <c r="COM23" s="538"/>
      <c r="CON23" s="538"/>
      <c r="COO23" s="538"/>
      <c r="COP23" s="538"/>
      <c r="COQ23" s="538"/>
      <c r="COR23" s="538"/>
      <c r="COS23" s="538"/>
      <c r="COT23" s="538"/>
      <c r="COU23" s="538"/>
      <c r="COV23" s="538"/>
      <c r="COW23" s="538"/>
      <c r="COX23" s="538"/>
      <c r="COY23" s="538"/>
      <c r="COZ23" s="538"/>
      <c r="CPA23" s="538"/>
      <c r="CPB23" s="538"/>
      <c r="CPC23" s="538"/>
      <c r="CPD23" s="538"/>
      <c r="CPE23" s="538"/>
      <c r="CPF23" s="538"/>
      <c r="CPG23" s="538"/>
      <c r="CPH23" s="538"/>
      <c r="CPI23" s="538"/>
      <c r="CPJ23" s="538"/>
      <c r="CPK23" s="538"/>
      <c r="CPL23" s="538"/>
      <c r="CPM23" s="538"/>
      <c r="CPN23" s="538"/>
      <c r="CPO23" s="538"/>
      <c r="CPP23" s="538"/>
      <c r="CPQ23" s="538"/>
      <c r="CPR23" s="538"/>
      <c r="CPS23" s="538"/>
      <c r="CPT23" s="538"/>
      <c r="CPU23" s="538"/>
      <c r="CPV23" s="538"/>
      <c r="CPW23" s="538"/>
      <c r="CPX23" s="538"/>
      <c r="CPY23" s="538"/>
      <c r="CPZ23" s="538"/>
      <c r="CQA23" s="538"/>
      <c r="CQB23" s="538"/>
      <c r="CQC23" s="538"/>
      <c r="CQD23" s="538"/>
      <c r="CQE23" s="538"/>
      <c r="CQF23" s="538"/>
      <c r="CQG23" s="538"/>
      <c r="CQH23" s="538"/>
      <c r="CQI23" s="538"/>
      <c r="CQJ23" s="538"/>
      <c r="CQK23" s="538"/>
      <c r="CQL23" s="538"/>
      <c r="CQM23" s="538"/>
      <c r="CQN23" s="538"/>
      <c r="CQO23" s="538"/>
      <c r="CQP23" s="538"/>
      <c r="CQQ23" s="538"/>
      <c r="CQR23" s="538"/>
      <c r="CQS23" s="538"/>
      <c r="CQT23" s="538"/>
      <c r="CQU23" s="538"/>
      <c r="CQV23" s="538"/>
      <c r="CQW23" s="538"/>
      <c r="CQX23" s="538"/>
      <c r="CQY23" s="538"/>
      <c r="CQZ23" s="538"/>
      <c r="CRA23" s="538"/>
      <c r="CRB23" s="538"/>
      <c r="CRC23" s="538"/>
      <c r="CRD23" s="538"/>
      <c r="CRE23" s="538"/>
      <c r="CRF23" s="538"/>
      <c r="CRG23" s="538"/>
      <c r="CRH23" s="538"/>
      <c r="CRI23" s="538"/>
      <c r="CRJ23" s="538"/>
      <c r="CRK23" s="538"/>
      <c r="CRL23" s="538"/>
      <c r="CRM23" s="538"/>
      <c r="CRN23" s="538"/>
      <c r="CRO23" s="538"/>
      <c r="CRP23" s="538"/>
      <c r="CRQ23" s="538"/>
      <c r="CRR23" s="538"/>
      <c r="CRS23" s="538"/>
      <c r="CRT23" s="538"/>
      <c r="CRU23" s="538"/>
      <c r="CRV23" s="538"/>
      <c r="CRW23" s="538"/>
      <c r="CRX23" s="538"/>
      <c r="CRY23" s="538"/>
      <c r="CRZ23" s="538"/>
      <c r="CSA23" s="538"/>
      <c r="CSB23" s="538"/>
      <c r="CSC23" s="538"/>
      <c r="CSD23" s="538"/>
      <c r="CSE23" s="538"/>
      <c r="CSF23" s="538"/>
      <c r="CSG23" s="538"/>
      <c r="CSH23" s="538"/>
      <c r="CSI23" s="538"/>
      <c r="CSJ23" s="538"/>
      <c r="CSK23" s="538"/>
      <c r="CSL23" s="538"/>
      <c r="CSM23" s="538"/>
      <c r="CSN23" s="538"/>
      <c r="CSO23" s="538"/>
      <c r="CSP23" s="538"/>
      <c r="CSQ23" s="538"/>
      <c r="CSR23" s="538"/>
      <c r="CSS23" s="538"/>
      <c r="CST23" s="538"/>
      <c r="CSU23" s="538"/>
      <c r="CSV23" s="538"/>
      <c r="CSW23" s="538"/>
      <c r="CSX23" s="538"/>
      <c r="CSY23" s="538"/>
      <c r="CSZ23" s="538"/>
      <c r="CTA23" s="538"/>
      <c r="CTB23" s="538"/>
      <c r="CTC23" s="538"/>
      <c r="CTD23" s="538"/>
      <c r="CTE23" s="538"/>
      <c r="CTF23" s="538"/>
      <c r="CTG23" s="538"/>
      <c r="CTH23" s="538"/>
      <c r="CTI23" s="538"/>
      <c r="CTJ23" s="538"/>
      <c r="CTK23" s="538"/>
      <c r="CTL23" s="538"/>
      <c r="CTM23" s="538"/>
      <c r="CTN23" s="538"/>
      <c r="CTO23" s="538"/>
      <c r="CTP23" s="538"/>
      <c r="CTQ23" s="538"/>
      <c r="CTR23" s="538"/>
      <c r="CTS23" s="538"/>
      <c r="CTT23" s="538"/>
      <c r="CTU23" s="538"/>
      <c r="CTV23" s="538"/>
      <c r="CTW23" s="538"/>
      <c r="CTX23" s="538"/>
      <c r="CTY23" s="538"/>
      <c r="CTZ23" s="538"/>
      <c r="CUA23" s="538"/>
      <c r="CUB23" s="538"/>
      <c r="CUC23" s="538"/>
      <c r="CUD23" s="538"/>
      <c r="CUE23" s="538"/>
      <c r="CUF23" s="538"/>
      <c r="CUG23" s="538"/>
      <c r="CUH23" s="538"/>
      <c r="CUI23" s="538"/>
      <c r="CUJ23" s="538"/>
      <c r="CUK23" s="538"/>
      <c r="CUL23" s="538"/>
      <c r="CUM23" s="538"/>
      <c r="CUN23" s="538"/>
      <c r="CUO23" s="538"/>
      <c r="CUP23" s="538"/>
      <c r="CUQ23" s="538"/>
      <c r="CUR23" s="538"/>
      <c r="CUS23" s="538"/>
      <c r="CUT23" s="538"/>
      <c r="CUU23" s="538"/>
      <c r="CUV23" s="538"/>
      <c r="CUW23" s="538"/>
      <c r="CUX23" s="538"/>
      <c r="CUY23" s="538"/>
      <c r="CUZ23" s="538"/>
      <c r="CVA23" s="538"/>
      <c r="CVB23" s="538"/>
      <c r="CVC23" s="538"/>
      <c r="CVD23" s="538"/>
      <c r="CVE23" s="538"/>
      <c r="CVF23" s="538"/>
      <c r="CVG23" s="538"/>
      <c r="CVH23" s="538"/>
      <c r="CVI23" s="538"/>
      <c r="CVJ23" s="538"/>
      <c r="CVK23" s="538"/>
      <c r="CVL23" s="538"/>
      <c r="CVM23" s="538"/>
      <c r="CVN23" s="538"/>
      <c r="CVO23" s="538"/>
      <c r="CVP23" s="538"/>
      <c r="CVQ23" s="538"/>
      <c r="CVR23" s="538"/>
      <c r="CVS23" s="538"/>
      <c r="CVT23" s="538"/>
      <c r="CVU23" s="538"/>
      <c r="CVV23" s="538"/>
      <c r="CVW23" s="538"/>
      <c r="CVX23" s="538"/>
      <c r="CVY23" s="538"/>
      <c r="CVZ23" s="538"/>
      <c r="CWA23" s="538"/>
      <c r="CWB23" s="538"/>
      <c r="CWC23" s="538"/>
      <c r="CWD23" s="538"/>
      <c r="CWE23" s="538"/>
      <c r="CWF23" s="538"/>
      <c r="CWG23" s="538"/>
      <c r="CWH23" s="538"/>
      <c r="CWI23" s="538"/>
      <c r="CWJ23" s="538"/>
      <c r="CWK23" s="538"/>
      <c r="CWL23" s="538"/>
      <c r="CWM23" s="538"/>
      <c r="CWN23" s="538"/>
      <c r="CWO23" s="538"/>
      <c r="CWP23" s="538"/>
      <c r="CWQ23" s="538"/>
      <c r="CWR23" s="538"/>
      <c r="CWS23" s="538"/>
      <c r="CWT23" s="538"/>
      <c r="CWU23" s="538"/>
      <c r="CWV23" s="538"/>
      <c r="CWW23" s="538"/>
      <c r="CWX23" s="538"/>
      <c r="CWY23" s="538"/>
      <c r="CWZ23" s="538"/>
      <c r="CXA23" s="538"/>
      <c r="CXB23" s="538"/>
      <c r="CXC23" s="538"/>
      <c r="CXD23" s="538"/>
      <c r="CXE23" s="538"/>
      <c r="CXF23" s="538"/>
      <c r="CXG23" s="538"/>
      <c r="CXH23" s="538"/>
      <c r="CXI23" s="538"/>
      <c r="CXJ23" s="538"/>
      <c r="CXK23" s="538"/>
      <c r="CXL23" s="538"/>
      <c r="CXM23" s="538"/>
      <c r="CXN23" s="538"/>
      <c r="CXO23" s="538"/>
      <c r="CXP23" s="538"/>
      <c r="CXQ23" s="538"/>
      <c r="CXR23" s="538"/>
      <c r="CXS23" s="538"/>
      <c r="CXT23" s="538"/>
      <c r="CXU23" s="538"/>
      <c r="CXV23" s="538"/>
      <c r="CXW23" s="538"/>
      <c r="CXX23" s="538"/>
      <c r="CXY23" s="538"/>
      <c r="CXZ23" s="538"/>
      <c r="CYA23" s="538"/>
      <c r="CYB23" s="538"/>
      <c r="CYC23" s="538"/>
      <c r="CYD23" s="538"/>
      <c r="CYE23" s="538"/>
      <c r="CYF23" s="538"/>
      <c r="CYG23" s="538"/>
      <c r="CYH23" s="538"/>
      <c r="CYI23" s="538"/>
      <c r="CYJ23" s="538"/>
      <c r="CYK23" s="538"/>
      <c r="CYL23" s="538"/>
      <c r="CYM23" s="538"/>
      <c r="CYN23" s="538"/>
      <c r="CYO23" s="538"/>
      <c r="CYP23" s="538"/>
      <c r="CYQ23" s="538"/>
      <c r="CYR23" s="538"/>
      <c r="CYS23" s="538"/>
      <c r="CYT23" s="538"/>
      <c r="CYU23" s="538"/>
      <c r="CYV23" s="538"/>
      <c r="CYW23" s="538"/>
      <c r="CYX23" s="538"/>
      <c r="CYY23" s="538"/>
      <c r="CYZ23" s="538"/>
      <c r="CZA23" s="538"/>
      <c r="CZB23" s="538"/>
      <c r="CZC23" s="538"/>
      <c r="CZD23" s="538"/>
      <c r="CZE23" s="538"/>
      <c r="CZF23" s="538"/>
      <c r="CZG23" s="538"/>
      <c r="CZH23" s="538"/>
      <c r="CZI23" s="538"/>
      <c r="CZJ23" s="538"/>
      <c r="CZK23" s="538"/>
      <c r="CZL23" s="538"/>
      <c r="CZM23" s="538"/>
      <c r="CZN23" s="538"/>
      <c r="CZO23" s="538"/>
      <c r="CZP23" s="538"/>
      <c r="CZQ23" s="538"/>
      <c r="CZR23" s="538"/>
      <c r="CZS23" s="538"/>
      <c r="CZT23" s="538"/>
      <c r="CZU23" s="538"/>
      <c r="CZV23" s="538"/>
      <c r="CZW23" s="538"/>
      <c r="CZX23" s="538"/>
      <c r="CZY23" s="538"/>
      <c r="CZZ23" s="538"/>
      <c r="DAA23" s="538"/>
      <c r="DAB23" s="538"/>
      <c r="DAC23" s="538"/>
      <c r="DAD23" s="538"/>
      <c r="DAE23" s="538"/>
      <c r="DAF23" s="538"/>
      <c r="DAG23" s="538"/>
      <c r="DAH23" s="538"/>
      <c r="DAI23" s="538"/>
      <c r="DAJ23" s="538"/>
      <c r="DAK23" s="538"/>
      <c r="DAL23" s="538"/>
      <c r="DAM23" s="538"/>
      <c r="DAN23" s="538"/>
      <c r="DAO23" s="538"/>
      <c r="DAP23" s="538"/>
      <c r="DAQ23" s="538"/>
      <c r="DAR23" s="538"/>
      <c r="DAS23" s="538"/>
      <c r="DAT23" s="538"/>
      <c r="DAU23" s="538"/>
      <c r="DAV23" s="538"/>
      <c r="DAW23" s="538"/>
      <c r="DAX23" s="538"/>
      <c r="DAY23" s="538"/>
      <c r="DAZ23" s="538"/>
      <c r="DBA23" s="538"/>
      <c r="DBB23" s="538"/>
      <c r="DBC23" s="538"/>
      <c r="DBD23" s="538"/>
      <c r="DBE23" s="538"/>
      <c r="DBF23" s="538"/>
      <c r="DBG23" s="538"/>
      <c r="DBH23" s="538"/>
      <c r="DBI23" s="538"/>
      <c r="DBJ23" s="538"/>
      <c r="DBK23" s="538"/>
      <c r="DBL23" s="538"/>
      <c r="DBM23" s="538"/>
      <c r="DBN23" s="538"/>
      <c r="DBO23" s="538"/>
      <c r="DBP23" s="538"/>
      <c r="DBQ23" s="538"/>
      <c r="DBR23" s="538"/>
      <c r="DBS23" s="538"/>
      <c r="DBT23" s="538"/>
      <c r="DBU23" s="538"/>
      <c r="DBV23" s="538"/>
      <c r="DBW23" s="538"/>
      <c r="DBX23" s="538"/>
      <c r="DBY23" s="538"/>
      <c r="DBZ23" s="538"/>
      <c r="DCA23" s="538"/>
      <c r="DCB23" s="538"/>
      <c r="DCC23" s="538"/>
      <c r="DCD23" s="538"/>
      <c r="DCE23" s="538"/>
      <c r="DCF23" s="538"/>
      <c r="DCG23" s="538"/>
      <c r="DCH23" s="538"/>
      <c r="DCI23" s="538"/>
      <c r="DCJ23" s="538"/>
      <c r="DCK23" s="538"/>
      <c r="DCL23" s="538"/>
      <c r="DCM23" s="538"/>
      <c r="DCN23" s="538"/>
      <c r="DCO23" s="538"/>
      <c r="DCP23" s="538"/>
      <c r="DCQ23" s="538"/>
      <c r="DCR23" s="538"/>
      <c r="DCS23" s="538"/>
      <c r="DCT23" s="538"/>
      <c r="DCU23" s="538"/>
      <c r="DCV23" s="538"/>
      <c r="DCW23" s="538"/>
      <c r="DCX23" s="538"/>
      <c r="DCY23" s="538"/>
      <c r="DCZ23" s="538"/>
      <c r="DDA23" s="538"/>
      <c r="DDB23" s="538"/>
      <c r="DDC23" s="538"/>
      <c r="DDD23" s="538"/>
      <c r="DDE23" s="538"/>
      <c r="DDF23" s="538"/>
      <c r="DDG23" s="538"/>
      <c r="DDH23" s="538"/>
      <c r="DDI23" s="538"/>
      <c r="DDJ23" s="538"/>
      <c r="DDK23" s="538"/>
      <c r="DDL23" s="538"/>
      <c r="DDM23" s="538"/>
      <c r="DDN23" s="538"/>
      <c r="DDO23" s="538"/>
      <c r="DDP23" s="538"/>
      <c r="DDQ23" s="538"/>
      <c r="DDR23" s="538"/>
      <c r="DDS23" s="538"/>
      <c r="DDT23" s="538"/>
      <c r="DDU23" s="538"/>
      <c r="DDV23" s="538"/>
      <c r="DDW23" s="538"/>
      <c r="DDX23" s="538"/>
      <c r="DDY23" s="538"/>
      <c r="DDZ23" s="538"/>
      <c r="DEA23" s="538"/>
      <c r="DEB23" s="538"/>
      <c r="DEC23" s="538"/>
      <c r="DED23" s="538"/>
      <c r="DEE23" s="538"/>
      <c r="DEF23" s="538"/>
      <c r="DEG23" s="538"/>
      <c r="DEH23" s="538"/>
      <c r="DEI23" s="538"/>
      <c r="DEJ23" s="538"/>
      <c r="DEK23" s="538"/>
      <c r="DEL23" s="538"/>
      <c r="DEM23" s="538"/>
      <c r="DEN23" s="538"/>
      <c r="DEO23" s="538"/>
      <c r="DEP23" s="538"/>
      <c r="DEQ23" s="538"/>
      <c r="DER23" s="538"/>
      <c r="DES23" s="538"/>
      <c r="DET23" s="538"/>
      <c r="DEU23" s="538"/>
      <c r="DEV23" s="538"/>
      <c r="DEW23" s="538"/>
      <c r="DEX23" s="538"/>
      <c r="DEY23" s="538"/>
      <c r="DEZ23" s="538"/>
      <c r="DFA23" s="538"/>
      <c r="DFB23" s="538"/>
      <c r="DFC23" s="538"/>
      <c r="DFD23" s="538"/>
      <c r="DFE23" s="538"/>
      <c r="DFF23" s="538"/>
      <c r="DFG23" s="538"/>
      <c r="DFH23" s="538"/>
      <c r="DFI23" s="538"/>
      <c r="DFJ23" s="538"/>
      <c r="DFK23" s="538"/>
      <c r="DFL23" s="538"/>
      <c r="DFM23" s="538"/>
      <c r="DFN23" s="538"/>
      <c r="DFO23" s="538"/>
      <c r="DFP23" s="538"/>
      <c r="DFQ23" s="538"/>
      <c r="DFR23" s="538"/>
      <c r="DFS23" s="538"/>
      <c r="DFT23" s="538"/>
      <c r="DFU23" s="538"/>
      <c r="DFV23" s="538"/>
      <c r="DFW23" s="538"/>
      <c r="DFX23" s="538"/>
      <c r="DFY23" s="538"/>
      <c r="DFZ23" s="538"/>
      <c r="DGA23" s="538"/>
      <c r="DGB23" s="538"/>
      <c r="DGC23" s="538"/>
      <c r="DGD23" s="538"/>
      <c r="DGE23" s="538"/>
      <c r="DGF23" s="538"/>
      <c r="DGG23" s="538"/>
      <c r="DGH23" s="538"/>
      <c r="DGI23" s="538"/>
      <c r="DGJ23" s="538"/>
      <c r="DGK23" s="538"/>
      <c r="DGL23" s="538"/>
      <c r="DGM23" s="538"/>
      <c r="DGN23" s="538"/>
      <c r="DGO23" s="538"/>
      <c r="DGP23" s="538"/>
      <c r="DGQ23" s="538"/>
      <c r="DGR23" s="538"/>
      <c r="DGS23" s="538"/>
      <c r="DGT23" s="538"/>
      <c r="DGU23" s="538"/>
      <c r="DGV23" s="538"/>
      <c r="DGW23" s="538"/>
      <c r="DGX23" s="538"/>
      <c r="DGY23" s="538"/>
      <c r="DGZ23" s="538"/>
      <c r="DHA23" s="538"/>
      <c r="DHB23" s="538"/>
      <c r="DHC23" s="538"/>
      <c r="DHD23" s="538"/>
      <c r="DHE23" s="538"/>
      <c r="DHF23" s="538"/>
      <c r="DHG23" s="538"/>
      <c r="DHH23" s="538"/>
      <c r="DHI23" s="538"/>
      <c r="DHJ23" s="538"/>
      <c r="DHK23" s="538"/>
      <c r="DHL23" s="538"/>
      <c r="DHM23" s="538"/>
      <c r="DHN23" s="538"/>
      <c r="DHO23" s="538"/>
      <c r="DHP23" s="538"/>
      <c r="DHQ23" s="538"/>
      <c r="DHR23" s="538"/>
      <c r="DHS23" s="538"/>
      <c r="DHT23" s="538"/>
      <c r="DHU23" s="538"/>
      <c r="DHV23" s="538"/>
      <c r="DHW23" s="538"/>
      <c r="DHX23" s="538"/>
      <c r="DHY23" s="538"/>
      <c r="DHZ23" s="538"/>
      <c r="DIA23" s="538"/>
      <c r="DIB23" s="538"/>
      <c r="DIC23" s="538"/>
      <c r="DID23" s="538"/>
      <c r="DIE23" s="538"/>
      <c r="DIF23" s="538"/>
      <c r="DIG23" s="538"/>
      <c r="DIH23" s="538"/>
      <c r="DII23" s="538"/>
      <c r="DIJ23" s="538"/>
      <c r="DIK23" s="538"/>
      <c r="DIL23" s="538"/>
      <c r="DIM23" s="538"/>
      <c r="DIN23" s="538"/>
      <c r="DIO23" s="538"/>
      <c r="DIP23" s="538"/>
      <c r="DIQ23" s="538"/>
      <c r="DIR23" s="538"/>
      <c r="DIS23" s="538"/>
      <c r="DIT23" s="538"/>
      <c r="DIU23" s="538"/>
      <c r="DIV23" s="538"/>
      <c r="DIW23" s="538"/>
      <c r="DIX23" s="538"/>
      <c r="DIY23" s="538"/>
      <c r="DIZ23" s="538"/>
      <c r="DJA23" s="538"/>
      <c r="DJB23" s="538"/>
      <c r="DJC23" s="538"/>
      <c r="DJD23" s="538"/>
      <c r="DJE23" s="538"/>
      <c r="DJF23" s="538"/>
      <c r="DJG23" s="538"/>
      <c r="DJH23" s="538"/>
      <c r="DJI23" s="538"/>
      <c r="DJJ23" s="538"/>
      <c r="DJK23" s="538"/>
      <c r="DJL23" s="538"/>
      <c r="DJM23" s="538"/>
      <c r="DJN23" s="538"/>
      <c r="DJO23" s="538"/>
      <c r="DJP23" s="538"/>
      <c r="DJQ23" s="538"/>
      <c r="DJR23" s="538"/>
      <c r="DJS23" s="538"/>
      <c r="DJT23" s="538"/>
      <c r="DJU23" s="538"/>
      <c r="DJV23" s="538"/>
      <c r="DJW23" s="538"/>
      <c r="DJX23" s="538"/>
      <c r="DJY23" s="538"/>
      <c r="DJZ23" s="538"/>
      <c r="DKA23" s="538"/>
      <c r="DKB23" s="538"/>
      <c r="DKC23" s="538"/>
      <c r="DKD23" s="538"/>
      <c r="DKE23" s="538"/>
      <c r="DKF23" s="538"/>
      <c r="DKG23" s="538"/>
      <c r="DKH23" s="538"/>
      <c r="DKI23" s="538"/>
      <c r="DKJ23" s="538"/>
      <c r="DKK23" s="538"/>
      <c r="DKL23" s="538"/>
      <c r="DKM23" s="538"/>
      <c r="DKN23" s="538"/>
      <c r="DKO23" s="538"/>
      <c r="DKP23" s="538"/>
      <c r="DKQ23" s="538"/>
      <c r="DKR23" s="538"/>
      <c r="DKS23" s="538"/>
      <c r="DKT23" s="538"/>
      <c r="DKU23" s="538"/>
      <c r="DKV23" s="538"/>
      <c r="DKW23" s="538"/>
      <c r="DKX23" s="538"/>
      <c r="DKY23" s="538"/>
      <c r="DKZ23" s="538"/>
      <c r="DLA23" s="538"/>
      <c r="DLB23" s="538"/>
      <c r="DLC23" s="538"/>
      <c r="DLD23" s="538"/>
      <c r="DLE23" s="538"/>
      <c r="DLF23" s="538"/>
      <c r="DLG23" s="538"/>
      <c r="DLH23" s="538"/>
      <c r="DLI23" s="538"/>
      <c r="DLJ23" s="538"/>
      <c r="DLK23" s="538"/>
      <c r="DLL23" s="538"/>
      <c r="DLM23" s="538"/>
      <c r="DLN23" s="538"/>
      <c r="DLO23" s="538"/>
      <c r="DLP23" s="538"/>
      <c r="DLQ23" s="538"/>
      <c r="DLR23" s="538"/>
      <c r="DLS23" s="538"/>
      <c r="DLT23" s="538"/>
      <c r="DLU23" s="538"/>
      <c r="DLV23" s="538"/>
      <c r="DLW23" s="538"/>
      <c r="DLX23" s="538"/>
      <c r="DLY23" s="538"/>
      <c r="DLZ23" s="538"/>
      <c r="DMA23" s="538"/>
      <c r="DMB23" s="538"/>
      <c r="DMC23" s="538"/>
      <c r="DMD23" s="538"/>
      <c r="DME23" s="538"/>
      <c r="DMF23" s="538"/>
      <c r="DMG23" s="538"/>
      <c r="DMH23" s="538"/>
      <c r="DMI23" s="538"/>
      <c r="DMJ23" s="538"/>
      <c r="DMK23" s="538"/>
      <c r="DML23" s="538"/>
      <c r="DMM23" s="538"/>
      <c r="DMN23" s="538"/>
      <c r="DMO23" s="538"/>
      <c r="DMP23" s="538"/>
      <c r="DMQ23" s="538"/>
      <c r="DMR23" s="538"/>
      <c r="DMS23" s="538"/>
      <c r="DMT23" s="538"/>
      <c r="DMU23" s="538"/>
      <c r="DMV23" s="538"/>
      <c r="DMW23" s="538"/>
      <c r="DMX23" s="538"/>
      <c r="DMY23" s="538"/>
      <c r="DMZ23" s="538"/>
      <c r="DNA23" s="538"/>
      <c r="DNB23" s="538"/>
      <c r="DNC23" s="538"/>
      <c r="DND23" s="538"/>
      <c r="DNE23" s="538"/>
      <c r="DNF23" s="538"/>
      <c r="DNG23" s="538"/>
      <c r="DNH23" s="538"/>
      <c r="DNI23" s="538"/>
      <c r="DNJ23" s="538"/>
      <c r="DNK23" s="538"/>
      <c r="DNL23" s="538"/>
      <c r="DNM23" s="538"/>
      <c r="DNN23" s="538"/>
      <c r="DNO23" s="538"/>
      <c r="DNP23" s="538"/>
      <c r="DNQ23" s="538"/>
      <c r="DNR23" s="538"/>
      <c r="DNS23" s="538"/>
      <c r="DNT23" s="538"/>
      <c r="DNU23" s="538"/>
      <c r="DNV23" s="538"/>
      <c r="DNW23" s="538"/>
      <c r="DNX23" s="538"/>
      <c r="DNY23" s="538"/>
      <c r="DNZ23" s="538"/>
      <c r="DOA23" s="538"/>
      <c r="DOB23" s="538"/>
      <c r="DOC23" s="538"/>
      <c r="DOD23" s="538"/>
      <c r="DOE23" s="538"/>
      <c r="DOF23" s="538"/>
      <c r="DOG23" s="538"/>
      <c r="DOH23" s="538"/>
      <c r="DOI23" s="538"/>
      <c r="DOJ23" s="538"/>
      <c r="DOK23" s="538"/>
      <c r="DOL23" s="538"/>
      <c r="DOM23" s="538"/>
      <c r="DON23" s="538"/>
      <c r="DOO23" s="538"/>
      <c r="DOP23" s="538"/>
      <c r="DOQ23" s="538"/>
      <c r="DOR23" s="538"/>
      <c r="DOS23" s="538"/>
      <c r="DOT23" s="538"/>
      <c r="DOU23" s="538"/>
      <c r="DOV23" s="538"/>
      <c r="DOW23" s="538"/>
      <c r="DOX23" s="538"/>
      <c r="DOY23" s="538"/>
      <c r="DOZ23" s="538"/>
      <c r="DPA23" s="538"/>
      <c r="DPB23" s="538"/>
      <c r="DPC23" s="538"/>
      <c r="DPD23" s="538"/>
      <c r="DPE23" s="538"/>
      <c r="DPF23" s="538"/>
      <c r="DPG23" s="538"/>
      <c r="DPH23" s="538"/>
      <c r="DPI23" s="538"/>
      <c r="DPJ23" s="538"/>
      <c r="DPK23" s="538"/>
      <c r="DPL23" s="538"/>
      <c r="DPM23" s="538"/>
      <c r="DPN23" s="538"/>
      <c r="DPO23" s="538"/>
      <c r="DPP23" s="538"/>
      <c r="DPQ23" s="538"/>
      <c r="DPR23" s="538"/>
      <c r="DPS23" s="538"/>
      <c r="DPT23" s="538"/>
      <c r="DPU23" s="538"/>
      <c r="DPV23" s="538"/>
      <c r="DPW23" s="538"/>
      <c r="DPX23" s="538"/>
      <c r="DPY23" s="538"/>
      <c r="DPZ23" s="538"/>
      <c r="DQA23" s="538"/>
      <c r="DQB23" s="538"/>
      <c r="DQC23" s="538"/>
      <c r="DQD23" s="538"/>
      <c r="DQE23" s="538"/>
      <c r="DQF23" s="538"/>
      <c r="DQG23" s="538"/>
      <c r="DQH23" s="538"/>
      <c r="DQI23" s="538"/>
      <c r="DQJ23" s="538"/>
      <c r="DQK23" s="538"/>
      <c r="DQL23" s="538"/>
      <c r="DQM23" s="538"/>
      <c r="DQN23" s="538"/>
      <c r="DQO23" s="538"/>
      <c r="DQP23" s="538"/>
      <c r="DQQ23" s="538"/>
      <c r="DQR23" s="538"/>
      <c r="DQS23" s="538"/>
      <c r="DQT23" s="538"/>
      <c r="DQU23" s="538"/>
      <c r="DQV23" s="538"/>
      <c r="DQW23" s="538"/>
      <c r="DQX23" s="538"/>
      <c r="DQY23" s="538"/>
      <c r="DQZ23" s="538"/>
      <c r="DRA23" s="538"/>
      <c r="DRB23" s="538"/>
      <c r="DRC23" s="538"/>
      <c r="DRD23" s="538"/>
      <c r="DRE23" s="538"/>
      <c r="DRF23" s="538"/>
      <c r="DRG23" s="538"/>
      <c r="DRH23" s="538"/>
      <c r="DRI23" s="538"/>
      <c r="DRJ23" s="538"/>
      <c r="DRK23" s="538"/>
      <c r="DRL23" s="538"/>
      <c r="DRM23" s="538"/>
      <c r="DRN23" s="538"/>
      <c r="DRO23" s="538"/>
      <c r="DRP23" s="538"/>
      <c r="DRQ23" s="538"/>
      <c r="DRR23" s="538"/>
      <c r="DRS23" s="538"/>
      <c r="DRT23" s="538"/>
      <c r="DRU23" s="538"/>
      <c r="DRV23" s="538"/>
      <c r="DRW23" s="538"/>
      <c r="DRX23" s="538"/>
      <c r="DRY23" s="538"/>
      <c r="DRZ23" s="538"/>
      <c r="DSA23" s="538"/>
      <c r="DSB23" s="538"/>
      <c r="DSC23" s="538"/>
      <c r="DSD23" s="538"/>
      <c r="DSE23" s="538"/>
      <c r="DSF23" s="538"/>
      <c r="DSG23" s="538"/>
      <c r="DSH23" s="538"/>
      <c r="DSI23" s="538"/>
      <c r="DSJ23" s="538"/>
      <c r="DSK23" s="538"/>
      <c r="DSL23" s="538"/>
      <c r="DSM23" s="538"/>
      <c r="DSN23" s="538"/>
      <c r="DSO23" s="538"/>
      <c r="DSP23" s="538"/>
      <c r="DSQ23" s="538"/>
      <c r="DSR23" s="538"/>
      <c r="DSS23" s="538"/>
      <c r="DST23" s="538"/>
      <c r="DSU23" s="538"/>
      <c r="DSV23" s="538"/>
      <c r="DSW23" s="538"/>
      <c r="DSX23" s="538"/>
      <c r="DSY23" s="538"/>
      <c r="DSZ23" s="538"/>
      <c r="DTA23" s="538"/>
      <c r="DTB23" s="538"/>
      <c r="DTC23" s="538"/>
      <c r="DTD23" s="538"/>
      <c r="DTE23" s="538"/>
      <c r="DTF23" s="538"/>
      <c r="DTG23" s="538"/>
      <c r="DTH23" s="538"/>
      <c r="DTI23" s="538"/>
      <c r="DTJ23" s="538"/>
      <c r="DTK23" s="538"/>
      <c r="DTL23" s="538"/>
      <c r="DTM23" s="538"/>
      <c r="DTN23" s="538"/>
      <c r="DTO23" s="538"/>
      <c r="DTP23" s="538"/>
      <c r="DTQ23" s="538"/>
      <c r="DTR23" s="538"/>
      <c r="DTS23" s="538"/>
      <c r="DTT23" s="538"/>
      <c r="DTU23" s="538"/>
      <c r="DTV23" s="538"/>
      <c r="DTW23" s="538"/>
      <c r="DTX23" s="538"/>
      <c r="DTY23" s="538"/>
      <c r="DTZ23" s="538"/>
      <c r="DUA23" s="538"/>
      <c r="DUB23" s="538"/>
      <c r="DUC23" s="538"/>
      <c r="DUD23" s="538"/>
      <c r="DUE23" s="538"/>
      <c r="DUF23" s="538"/>
      <c r="DUG23" s="538"/>
      <c r="DUH23" s="538"/>
      <c r="DUI23" s="538"/>
      <c r="DUJ23" s="538"/>
      <c r="DUK23" s="538"/>
      <c r="DUL23" s="538"/>
      <c r="DUM23" s="538"/>
      <c r="DUN23" s="538"/>
      <c r="DUO23" s="538"/>
      <c r="DUP23" s="538"/>
      <c r="DUQ23" s="538"/>
      <c r="DUR23" s="538"/>
      <c r="DUS23" s="538"/>
      <c r="DUT23" s="538"/>
      <c r="DUU23" s="538"/>
      <c r="DUV23" s="538"/>
      <c r="DUW23" s="538"/>
      <c r="DUX23" s="538"/>
      <c r="DUY23" s="538"/>
      <c r="DUZ23" s="538"/>
      <c r="DVA23" s="538"/>
      <c r="DVB23" s="538"/>
      <c r="DVC23" s="538"/>
      <c r="DVD23" s="538"/>
      <c r="DVE23" s="538"/>
      <c r="DVF23" s="538"/>
      <c r="DVG23" s="538"/>
      <c r="DVH23" s="538"/>
      <c r="DVI23" s="538"/>
      <c r="DVJ23" s="538"/>
      <c r="DVK23" s="538"/>
      <c r="DVL23" s="538"/>
      <c r="DVM23" s="538"/>
      <c r="DVN23" s="538"/>
      <c r="DVO23" s="538"/>
      <c r="DVP23" s="538"/>
      <c r="DVQ23" s="538"/>
      <c r="DVR23" s="538"/>
      <c r="DVS23" s="538"/>
      <c r="DVT23" s="538"/>
      <c r="DVU23" s="538"/>
      <c r="DVV23" s="538"/>
      <c r="DVW23" s="538"/>
      <c r="DVX23" s="538"/>
      <c r="DVY23" s="538"/>
      <c r="DVZ23" s="538"/>
      <c r="DWA23" s="538"/>
      <c r="DWB23" s="538"/>
      <c r="DWC23" s="538"/>
      <c r="DWD23" s="538"/>
      <c r="DWE23" s="538"/>
      <c r="DWF23" s="538"/>
      <c r="DWG23" s="538"/>
      <c r="DWH23" s="538"/>
      <c r="DWI23" s="538"/>
      <c r="DWJ23" s="538"/>
      <c r="DWK23" s="538"/>
      <c r="DWL23" s="538"/>
      <c r="DWM23" s="538"/>
      <c r="DWN23" s="538"/>
      <c r="DWO23" s="538"/>
      <c r="DWP23" s="538"/>
      <c r="DWQ23" s="538"/>
      <c r="DWR23" s="538"/>
      <c r="DWS23" s="538"/>
      <c r="DWT23" s="538"/>
      <c r="DWU23" s="538"/>
      <c r="DWV23" s="538"/>
      <c r="DWW23" s="538"/>
      <c r="DWX23" s="538"/>
      <c r="DWY23" s="538"/>
      <c r="DWZ23" s="538"/>
      <c r="DXA23" s="538"/>
      <c r="DXB23" s="538"/>
      <c r="DXC23" s="538"/>
      <c r="DXD23" s="538"/>
      <c r="DXE23" s="538"/>
      <c r="DXF23" s="538"/>
      <c r="DXG23" s="538"/>
      <c r="DXH23" s="538"/>
      <c r="DXI23" s="538"/>
      <c r="DXJ23" s="538"/>
      <c r="DXK23" s="538"/>
      <c r="DXL23" s="538"/>
      <c r="DXM23" s="538"/>
      <c r="DXN23" s="538"/>
      <c r="DXO23" s="538"/>
      <c r="DXP23" s="538"/>
      <c r="DXQ23" s="538"/>
      <c r="DXR23" s="538"/>
      <c r="DXS23" s="538"/>
      <c r="DXT23" s="538"/>
      <c r="DXU23" s="538"/>
      <c r="DXV23" s="538"/>
      <c r="DXW23" s="538"/>
      <c r="DXX23" s="538"/>
      <c r="DXY23" s="538"/>
      <c r="DXZ23" s="538"/>
      <c r="DYA23" s="538"/>
      <c r="DYB23" s="538"/>
      <c r="DYC23" s="538"/>
      <c r="DYD23" s="538"/>
      <c r="DYE23" s="538"/>
      <c r="DYF23" s="538"/>
      <c r="DYG23" s="538"/>
      <c r="DYH23" s="538"/>
      <c r="DYI23" s="538"/>
      <c r="DYJ23" s="538"/>
      <c r="DYK23" s="538"/>
      <c r="DYL23" s="538"/>
      <c r="DYM23" s="538"/>
      <c r="DYN23" s="538"/>
      <c r="DYO23" s="538"/>
      <c r="DYP23" s="538"/>
      <c r="DYQ23" s="538"/>
      <c r="DYR23" s="538"/>
      <c r="DYS23" s="538"/>
      <c r="DYT23" s="538"/>
      <c r="DYU23" s="538"/>
      <c r="DYV23" s="538"/>
      <c r="DYW23" s="538"/>
      <c r="DYX23" s="538"/>
      <c r="DYY23" s="538"/>
      <c r="DYZ23" s="538"/>
      <c r="DZA23" s="538"/>
      <c r="DZB23" s="538"/>
      <c r="DZC23" s="538"/>
      <c r="DZD23" s="538"/>
      <c r="DZE23" s="538"/>
      <c r="DZF23" s="538"/>
      <c r="DZG23" s="538"/>
      <c r="DZH23" s="538"/>
      <c r="DZI23" s="538"/>
      <c r="DZJ23" s="538"/>
      <c r="DZK23" s="538"/>
      <c r="DZL23" s="538"/>
      <c r="DZM23" s="538"/>
      <c r="DZN23" s="538"/>
      <c r="DZO23" s="538"/>
      <c r="DZP23" s="538"/>
      <c r="DZQ23" s="538"/>
      <c r="DZR23" s="538"/>
      <c r="DZS23" s="538"/>
      <c r="DZT23" s="538"/>
      <c r="DZU23" s="538"/>
      <c r="DZV23" s="538"/>
      <c r="DZW23" s="538"/>
      <c r="DZX23" s="538"/>
      <c r="DZY23" s="538"/>
      <c r="DZZ23" s="538"/>
      <c r="EAA23" s="538"/>
      <c r="EAB23" s="538"/>
      <c r="EAC23" s="538"/>
      <c r="EAD23" s="538"/>
      <c r="EAE23" s="538"/>
      <c r="EAF23" s="538"/>
      <c r="EAG23" s="538"/>
      <c r="EAH23" s="538"/>
      <c r="EAI23" s="538"/>
      <c r="EAJ23" s="538"/>
      <c r="EAK23" s="538"/>
      <c r="EAL23" s="538"/>
      <c r="EAM23" s="538"/>
      <c r="EAN23" s="538"/>
      <c r="EAO23" s="538"/>
      <c r="EAP23" s="538"/>
      <c r="EAQ23" s="538"/>
      <c r="EAR23" s="538"/>
      <c r="EAS23" s="538"/>
      <c r="EAT23" s="538"/>
      <c r="EAU23" s="538"/>
      <c r="EAV23" s="538"/>
      <c r="EAW23" s="538"/>
      <c r="EAX23" s="538"/>
      <c r="EAY23" s="538"/>
      <c r="EAZ23" s="538"/>
      <c r="EBA23" s="538"/>
      <c r="EBB23" s="538"/>
      <c r="EBC23" s="538"/>
      <c r="EBD23" s="538"/>
      <c r="EBE23" s="538"/>
      <c r="EBF23" s="538"/>
      <c r="EBG23" s="538"/>
      <c r="EBH23" s="538"/>
      <c r="EBI23" s="538"/>
      <c r="EBJ23" s="538"/>
      <c r="EBK23" s="538"/>
      <c r="EBL23" s="538"/>
      <c r="EBM23" s="538"/>
      <c r="EBN23" s="538"/>
      <c r="EBO23" s="538"/>
      <c r="EBP23" s="538"/>
      <c r="EBQ23" s="538"/>
      <c r="EBR23" s="538"/>
      <c r="EBS23" s="538"/>
      <c r="EBT23" s="538"/>
      <c r="EBU23" s="538"/>
      <c r="EBV23" s="538"/>
      <c r="EBW23" s="538"/>
      <c r="EBX23" s="538"/>
      <c r="EBY23" s="538"/>
      <c r="EBZ23" s="538"/>
      <c r="ECA23" s="538"/>
      <c r="ECB23" s="538"/>
      <c r="ECC23" s="538"/>
      <c r="ECD23" s="538"/>
      <c r="ECE23" s="538"/>
      <c r="ECF23" s="538"/>
      <c r="ECG23" s="538"/>
      <c r="ECH23" s="538"/>
      <c r="ECI23" s="538"/>
      <c r="ECJ23" s="538"/>
      <c r="ECK23" s="538"/>
      <c r="ECL23" s="538"/>
      <c r="ECM23" s="538"/>
      <c r="ECN23" s="538"/>
      <c r="ECO23" s="538"/>
      <c r="ECP23" s="538"/>
      <c r="ECQ23" s="538"/>
      <c r="ECR23" s="538"/>
      <c r="ECS23" s="538"/>
      <c r="ECT23" s="538"/>
      <c r="ECU23" s="538"/>
      <c r="ECV23" s="538"/>
      <c r="ECW23" s="538"/>
      <c r="ECX23" s="538"/>
      <c r="ECY23" s="538"/>
      <c r="ECZ23" s="538"/>
      <c r="EDA23" s="538"/>
      <c r="EDB23" s="538"/>
      <c r="EDC23" s="538"/>
      <c r="EDD23" s="538"/>
      <c r="EDE23" s="538"/>
      <c r="EDF23" s="538"/>
      <c r="EDG23" s="538"/>
      <c r="EDH23" s="538"/>
      <c r="EDI23" s="538"/>
      <c r="EDJ23" s="538"/>
      <c r="EDK23" s="538"/>
      <c r="EDL23" s="538"/>
      <c r="EDM23" s="538"/>
      <c r="EDN23" s="538"/>
      <c r="EDO23" s="538"/>
      <c r="EDP23" s="538"/>
      <c r="EDQ23" s="538"/>
      <c r="EDR23" s="538"/>
      <c r="EDS23" s="538"/>
      <c r="EDT23" s="538"/>
      <c r="EDU23" s="538"/>
      <c r="EDV23" s="538"/>
      <c r="EDW23" s="538"/>
      <c r="EDX23" s="538"/>
      <c r="EDY23" s="538"/>
      <c r="EDZ23" s="538"/>
      <c r="EEA23" s="538"/>
      <c r="EEB23" s="538"/>
      <c r="EEC23" s="538"/>
      <c r="EED23" s="538"/>
      <c r="EEE23" s="538"/>
      <c r="EEF23" s="538"/>
      <c r="EEG23" s="538"/>
      <c r="EEH23" s="538"/>
      <c r="EEI23" s="538"/>
      <c r="EEJ23" s="538"/>
      <c r="EEK23" s="538"/>
      <c r="EEL23" s="538"/>
      <c r="EEM23" s="538"/>
      <c r="EEN23" s="538"/>
      <c r="EEO23" s="538"/>
      <c r="EEP23" s="538"/>
      <c r="EEQ23" s="538"/>
      <c r="EER23" s="538"/>
      <c r="EES23" s="538"/>
      <c r="EET23" s="538"/>
      <c r="EEU23" s="538"/>
      <c r="EEV23" s="538"/>
      <c r="EEW23" s="538"/>
      <c r="EEX23" s="538"/>
      <c r="EEY23" s="538"/>
      <c r="EEZ23" s="538"/>
      <c r="EFA23" s="538"/>
      <c r="EFB23" s="538"/>
      <c r="EFC23" s="538"/>
      <c r="EFD23" s="538"/>
      <c r="EFE23" s="538"/>
      <c r="EFF23" s="538"/>
      <c r="EFG23" s="538"/>
      <c r="EFH23" s="538"/>
      <c r="EFI23" s="538"/>
      <c r="EFJ23" s="538"/>
      <c r="EFK23" s="538"/>
      <c r="EFL23" s="538"/>
      <c r="EFM23" s="538"/>
      <c r="EFN23" s="538"/>
      <c r="EFO23" s="538"/>
      <c r="EFP23" s="538"/>
      <c r="EFQ23" s="538"/>
      <c r="EFR23" s="538"/>
      <c r="EFS23" s="538"/>
      <c r="EFT23" s="538"/>
      <c r="EFU23" s="538"/>
      <c r="EFV23" s="538"/>
      <c r="EFW23" s="538"/>
      <c r="EFX23" s="538"/>
      <c r="EFY23" s="538"/>
      <c r="EFZ23" s="538"/>
      <c r="EGA23" s="538"/>
      <c r="EGB23" s="538"/>
      <c r="EGC23" s="538"/>
      <c r="EGD23" s="538"/>
      <c r="EGE23" s="538"/>
      <c r="EGF23" s="538"/>
      <c r="EGG23" s="538"/>
      <c r="EGH23" s="538"/>
      <c r="EGI23" s="538"/>
      <c r="EGJ23" s="538"/>
      <c r="EGK23" s="538"/>
      <c r="EGL23" s="538"/>
      <c r="EGM23" s="538"/>
      <c r="EGN23" s="538"/>
      <c r="EGO23" s="538"/>
      <c r="EGP23" s="538"/>
      <c r="EGQ23" s="538"/>
      <c r="EGR23" s="538"/>
      <c r="EGS23" s="538"/>
      <c r="EGT23" s="538"/>
      <c r="EGU23" s="538"/>
      <c r="EGV23" s="538"/>
      <c r="EGW23" s="538"/>
      <c r="EGX23" s="538"/>
      <c r="EGY23" s="538"/>
      <c r="EGZ23" s="538"/>
      <c r="EHA23" s="538"/>
      <c r="EHB23" s="538"/>
      <c r="EHC23" s="538"/>
      <c r="EHD23" s="538"/>
      <c r="EHE23" s="538"/>
      <c r="EHF23" s="538"/>
      <c r="EHG23" s="538"/>
      <c r="EHH23" s="538"/>
      <c r="EHI23" s="538"/>
      <c r="EHJ23" s="538"/>
      <c r="EHK23" s="538"/>
      <c r="EHL23" s="538"/>
      <c r="EHM23" s="538"/>
      <c r="EHN23" s="538"/>
      <c r="EHO23" s="538"/>
      <c r="EHP23" s="538"/>
      <c r="EHQ23" s="538"/>
      <c r="EHR23" s="538"/>
      <c r="EHS23" s="538"/>
      <c r="EHT23" s="538"/>
      <c r="EHU23" s="538"/>
      <c r="EHV23" s="538"/>
      <c r="EHW23" s="538"/>
      <c r="EHX23" s="538"/>
      <c r="EHY23" s="538"/>
      <c r="EHZ23" s="538"/>
      <c r="EIA23" s="538"/>
      <c r="EIB23" s="538"/>
      <c r="EIC23" s="538"/>
      <c r="EID23" s="538"/>
      <c r="EIE23" s="538"/>
      <c r="EIF23" s="538"/>
      <c r="EIG23" s="538"/>
      <c r="EIH23" s="538"/>
      <c r="EII23" s="538"/>
      <c r="EIJ23" s="538"/>
      <c r="EIK23" s="538"/>
      <c r="EIL23" s="538"/>
      <c r="EIM23" s="538"/>
      <c r="EIN23" s="538"/>
      <c r="EIO23" s="538"/>
      <c r="EIP23" s="538"/>
      <c r="EIQ23" s="538"/>
      <c r="EIR23" s="538"/>
      <c r="EIS23" s="538"/>
      <c r="EIT23" s="538"/>
      <c r="EIU23" s="538"/>
      <c r="EIV23" s="538"/>
      <c r="EIW23" s="538"/>
      <c r="EIX23" s="538"/>
      <c r="EIY23" s="538"/>
      <c r="EIZ23" s="538"/>
      <c r="EJA23" s="538"/>
      <c r="EJB23" s="538"/>
      <c r="EJC23" s="538"/>
      <c r="EJD23" s="538"/>
      <c r="EJE23" s="538"/>
      <c r="EJF23" s="538"/>
      <c r="EJG23" s="538"/>
      <c r="EJH23" s="538"/>
      <c r="EJI23" s="538"/>
      <c r="EJJ23" s="538"/>
      <c r="EJK23" s="538"/>
      <c r="EJL23" s="538"/>
      <c r="EJM23" s="538"/>
      <c r="EJN23" s="538"/>
      <c r="EJO23" s="538"/>
      <c r="EJP23" s="538"/>
      <c r="EJQ23" s="538"/>
      <c r="EJR23" s="538"/>
      <c r="EJS23" s="538"/>
      <c r="EJT23" s="538"/>
      <c r="EJU23" s="538"/>
      <c r="EJV23" s="538"/>
      <c r="EJW23" s="538"/>
      <c r="EJX23" s="538"/>
      <c r="EJY23" s="538"/>
      <c r="EJZ23" s="538"/>
      <c r="EKA23" s="538"/>
      <c r="EKB23" s="538"/>
      <c r="EKC23" s="538"/>
      <c r="EKD23" s="538"/>
      <c r="EKE23" s="538"/>
      <c r="EKF23" s="538"/>
      <c r="EKG23" s="538"/>
      <c r="EKH23" s="538"/>
      <c r="EKI23" s="538"/>
      <c r="EKJ23" s="538"/>
      <c r="EKK23" s="538"/>
      <c r="EKL23" s="538"/>
      <c r="EKM23" s="538"/>
      <c r="EKN23" s="538"/>
      <c r="EKO23" s="538"/>
      <c r="EKP23" s="538"/>
      <c r="EKQ23" s="538"/>
      <c r="EKR23" s="538"/>
      <c r="EKS23" s="538"/>
      <c r="EKT23" s="538"/>
      <c r="EKU23" s="538"/>
      <c r="EKV23" s="538"/>
      <c r="EKW23" s="538"/>
      <c r="EKX23" s="538"/>
      <c r="EKY23" s="538"/>
      <c r="EKZ23" s="538"/>
      <c r="ELA23" s="538"/>
      <c r="ELB23" s="538"/>
      <c r="ELC23" s="538"/>
      <c r="ELD23" s="538"/>
      <c r="ELE23" s="538"/>
      <c r="ELF23" s="538"/>
      <c r="ELG23" s="538"/>
      <c r="ELH23" s="538"/>
      <c r="ELI23" s="538"/>
      <c r="ELJ23" s="538"/>
      <c r="ELK23" s="538"/>
      <c r="ELL23" s="538"/>
      <c r="ELM23" s="538"/>
      <c r="ELN23" s="538"/>
      <c r="ELO23" s="538"/>
      <c r="ELP23" s="538"/>
      <c r="ELQ23" s="538"/>
      <c r="ELR23" s="538"/>
      <c r="ELS23" s="538"/>
      <c r="ELT23" s="538"/>
      <c r="ELU23" s="538"/>
      <c r="ELV23" s="538"/>
      <c r="ELW23" s="538"/>
      <c r="ELX23" s="538"/>
      <c r="ELY23" s="538"/>
      <c r="ELZ23" s="538"/>
      <c r="EMA23" s="538"/>
      <c r="EMB23" s="538"/>
      <c r="EMC23" s="538"/>
      <c r="EMD23" s="538"/>
      <c r="EME23" s="538"/>
      <c r="EMF23" s="538"/>
      <c r="EMG23" s="538"/>
      <c r="EMH23" s="538"/>
      <c r="EMI23" s="538"/>
      <c r="EMJ23" s="538"/>
      <c r="EMK23" s="538"/>
      <c r="EML23" s="538"/>
      <c r="EMM23" s="538"/>
      <c r="EMN23" s="538"/>
      <c r="EMO23" s="538"/>
      <c r="EMP23" s="538"/>
      <c r="EMQ23" s="538"/>
      <c r="EMR23" s="538"/>
      <c r="EMS23" s="538"/>
      <c r="EMT23" s="538"/>
      <c r="EMU23" s="538"/>
      <c r="EMV23" s="538"/>
      <c r="EMW23" s="538"/>
      <c r="EMX23" s="538"/>
      <c r="EMY23" s="538"/>
      <c r="EMZ23" s="538"/>
      <c r="ENA23" s="538"/>
      <c r="ENB23" s="538"/>
      <c r="ENC23" s="538"/>
      <c r="END23" s="538"/>
      <c r="ENE23" s="538"/>
      <c r="ENF23" s="538"/>
      <c r="ENG23" s="538"/>
      <c r="ENH23" s="538"/>
      <c r="ENI23" s="538"/>
      <c r="ENJ23" s="538"/>
      <c r="ENK23" s="538"/>
      <c r="ENL23" s="538"/>
      <c r="ENM23" s="538"/>
      <c r="ENN23" s="538"/>
      <c r="ENO23" s="538"/>
      <c r="ENP23" s="538"/>
      <c r="ENQ23" s="538"/>
      <c r="ENR23" s="538"/>
      <c r="ENS23" s="538"/>
      <c r="ENT23" s="538"/>
      <c r="ENU23" s="538"/>
      <c r="ENV23" s="538"/>
      <c r="ENW23" s="538"/>
      <c r="ENX23" s="538"/>
      <c r="ENY23" s="538"/>
      <c r="ENZ23" s="538"/>
      <c r="EOA23" s="538"/>
      <c r="EOB23" s="538"/>
      <c r="EOC23" s="538"/>
      <c r="EOD23" s="538"/>
      <c r="EOE23" s="538"/>
      <c r="EOF23" s="538"/>
      <c r="EOG23" s="538"/>
      <c r="EOH23" s="538"/>
      <c r="EOI23" s="538"/>
      <c r="EOJ23" s="538"/>
      <c r="EOK23" s="538"/>
      <c r="EOL23" s="538"/>
      <c r="EOM23" s="538"/>
      <c r="EON23" s="538"/>
      <c r="EOO23" s="538"/>
      <c r="EOP23" s="538"/>
      <c r="EOQ23" s="538"/>
      <c r="EOR23" s="538"/>
      <c r="EOS23" s="538"/>
      <c r="EOT23" s="538"/>
      <c r="EOU23" s="538"/>
      <c r="EOV23" s="538"/>
      <c r="EOW23" s="538"/>
      <c r="EOX23" s="538"/>
      <c r="EOY23" s="538"/>
      <c r="EOZ23" s="538"/>
      <c r="EPA23" s="538"/>
      <c r="EPB23" s="538"/>
      <c r="EPC23" s="538"/>
      <c r="EPD23" s="538"/>
      <c r="EPE23" s="538"/>
      <c r="EPF23" s="538"/>
      <c r="EPG23" s="538"/>
      <c r="EPH23" s="538"/>
      <c r="EPI23" s="538"/>
      <c r="EPJ23" s="538"/>
      <c r="EPK23" s="538"/>
      <c r="EPL23" s="538"/>
      <c r="EPM23" s="538"/>
      <c r="EPN23" s="538"/>
      <c r="EPO23" s="538"/>
      <c r="EPP23" s="538"/>
      <c r="EPQ23" s="538"/>
      <c r="EPR23" s="538"/>
      <c r="EPS23" s="538"/>
      <c r="EPT23" s="538"/>
      <c r="EPU23" s="538"/>
      <c r="EPV23" s="538"/>
      <c r="EPW23" s="538"/>
      <c r="EPX23" s="538"/>
      <c r="EPY23" s="538"/>
      <c r="EPZ23" s="538"/>
      <c r="EQA23" s="538"/>
      <c r="EQB23" s="538"/>
      <c r="EQC23" s="538"/>
      <c r="EQD23" s="538"/>
      <c r="EQE23" s="538"/>
      <c r="EQF23" s="538"/>
      <c r="EQG23" s="538"/>
      <c r="EQH23" s="538"/>
      <c r="EQI23" s="538"/>
      <c r="EQJ23" s="538"/>
      <c r="EQK23" s="538"/>
      <c r="EQL23" s="538"/>
      <c r="EQM23" s="538"/>
      <c r="EQN23" s="538"/>
      <c r="EQO23" s="538"/>
      <c r="EQP23" s="538"/>
      <c r="EQQ23" s="538"/>
      <c r="EQR23" s="538"/>
      <c r="EQS23" s="538"/>
      <c r="EQT23" s="538"/>
      <c r="EQU23" s="538"/>
      <c r="EQV23" s="538"/>
      <c r="EQW23" s="538"/>
      <c r="EQX23" s="538"/>
      <c r="EQY23" s="538"/>
      <c r="EQZ23" s="538"/>
      <c r="ERA23" s="538"/>
      <c r="ERB23" s="538"/>
      <c r="ERC23" s="538"/>
      <c r="ERD23" s="538"/>
      <c r="ERE23" s="538"/>
      <c r="ERF23" s="538"/>
      <c r="ERG23" s="538"/>
      <c r="ERH23" s="538"/>
      <c r="ERI23" s="538"/>
      <c r="ERJ23" s="538"/>
      <c r="ERK23" s="538"/>
      <c r="ERL23" s="538"/>
      <c r="ERM23" s="538"/>
      <c r="ERN23" s="538"/>
      <c r="ERO23" s="538"/>
      <c r="ERP23" s="538"/>
      <c r="ERQ23" s="538"/>
      <c r="ERR23" s="538"/>
      <c r="ERS23" s="538"/>
      <c r="ERT23" s="538"/>
      <c r="ERU23" s="538"/>
      <c r="ERV23" s="538"/>
      <c r="ERW23" s="538"/>
      <c r="ERX23" s="538"/>
      <c r="ERY23" s="538"/>
      <c r="ERZ23" s="538"/>
      <c r="ESA23" s="538"/>
      <c r="ESB23" s="538"/>
      <c r="ESC23" s="538"/>
      <c r="ESD23" s="538"/>
      <c r="ESE23" s="538"/>
      <c r="ESF23" s="538"/>
      <c r="ESG23" s="538"/>
      <c r="ESH23" s="538"/>
      <c r="ESI23" s="538"/>
      <c r="ESJ23" s="538"/>
      <c r="ESK23" s="538"/>
      <c r="ESL23" s="538"/>
      <c r="ESM23" s="538"/>
      <c r="ESN23" s="538"/>
      <c r="ESO23" s="538"/>
      <c r="ESP23" s="538"/>
      <c r="ESQ23" s="538"/>
      <c r="ESR23" s="538"/>
      <c r="ESS23" s="538"/>
      <c r="EST23" s="538"/>
      <c r="ESU23" s="538"/>
      <c r="ESV23" s="538"/>
      <c r="ESW23" s="538"/>
      <c r="ESX23" s="538"/>
      <c r="ESY23" s="538"/>
      <c r="ESZ23" s="538"/>
      <c r="ETA23" s="538"/>
      <c r="ETB23" s="538"/>
      <c r="ETC23" s="538"/>
      <c r="ETD23" s="538"/>
      <c r="ETE23" s="538"/>
      <c r="ETF23" s="538"/>
      <c r="ETG23" s="538"/>
      <c r="ETH23" s="538"/>
      <c r="ETI23" s="538"/>
      <c r="ETJ23" s="538"/>
      <c r="ETK23" s="538"/>
      <c r="ETL23" s="538"/>
      <c r="ETM23" s="538"/>
      <c r="ETN23" s="538"/>
      <c r="ETO23" s="538"/>
      <c r="ETP23" s="538"/>
      <c r="ETQ23" s="538"/>
      <c r="ETR23" s="538"/>
      <c r="ETS23" s="538"/>
      <c r="ETT23" s="538"/>
      <c r="ETU23" s="538"/>
      <c r="ETV23" s="538"/>
      <c r="ETW23" s="538"/>
      <c r="ETX23" s="538"/>
      <c r="ETY23" s="538"/>
      <c r="ETZ23" s="538"/>
      <c r="EUA23" s="538"/>
      <c r="EUB23" s="538"/>
      <c r="EUC23" s="538"/>
      <c r="EUD23" s="538"/>
      <c r="EUE23" s="538"/>
      <c r="EUF23" s="538"/>
      <c r="EUG23" s="538"/>
      <c r="EUH23" s="538"/>
      <c r="EUI23" s="538"/>
      <c r="EUJ23" s="538"/>
      <c r="EUK23" s="538"/>
      <c r="EUL23" s="538"/>
      <c r="EUM23" s="538"/>
      <c r="EUN23" s="538"/>
      <c r="EUO23" s="538"/>
      <c r="EUP23" s="538"/>
      <c r="EUQ23" s="538"/>
      <c r="EUR23" s="538"/>
      <c r="EUS23" s="538"/>
      <c r="EUT23" s="538"/>
      <c r="EUU23" s="538"/>
      <c r="EUV23" s="538"/>
      <c r="EUW23" s="538"/>
      <c r="EUX23" s="538"/>
      <c r="EUY23" s="538"/>
      <c r="EUZ23" s="538"/>
      <c r="EVA23" s="538"/>
      <c r="EVB23" s="538"/>
      <c r="EVC23" s="538"/>
      <c r="EVD23" s="538"/>
      <c r="EVE23" s="538"/>
      <c r="EVF23" s="538"/>
      <c r="EVG23" s="538"/>
      <c r="EVH23" s="538"/>
      <c r="EVI23" s="538"/>
      <c r="EVJ23" s="538"/>
      <c r="EVK23" s="538"/>
      <c r="EVL23" s="538"/>
      <c r="EVM23" s="538"/>
      <c r="EVN23" s="538"/>
      <c r="EVO23" s="538"/>
      <c r="EVP23" s="538"/>
      <c r="EVQ23" s="538"/>
      <c r="EVR23" s="538"/>
      <c r="EVS23" s="538"/>
      <c r="EVT23" s="538"/>
      <c r="EVU23" s="538"/>
      <c r="EVV23" s="538"/>
      <c r="EVW23" s="538"/>
      <c r="EVX23" s="538"/>
      <c r="EVY23" s="538"/>
      <c r="EVZ23" s="538"/>
      <c r="EWA23" s="538"/>
      <c r="EWB23" s="538"/>
      <c r="EWC23" s="538"/>
      <c r="EWD23" s="538"/>
      <c r="EWE23" s="538"/>
      <c r="EWF23" s="538"/>
      <c r="EWG23" s="538"/>
      <c r="EWH23" s="538"/>
      <c r="EWI23" s="538"/>
      <c r="EWJ23" s="538"/>
      <c r="EWK23" s="538"/>
      <c r="EWL23" s="538"/>
      <c r="EWM23" s="538"/>
      <c r="EWN23" s="538"/>
      <c r="EWO23" s="538"/>
      <c r="EWP23" s="538"/>
      <c r="EWQ23" s="538"/>
      <c r="EWR23" s="538"/>
      <c r="EWS23" s="538"/>
      <c r="EWT23" s="538"/>
      <c r="EWU23" s="538"/>
      <c r="EWV23" s="538"/>
      <c r="EWW23" s="538"/>
      <c r="EWX23" s="538"/>
      <c r="EWY23" s="538"/>
      <c r="EWZ23" s="538"/>
      <c r="EXA23" s="538"/>
      <c r="EXB23" s="538"/>
      <c r="EXC23" s="538"/>
      <c r="EXD23" s="538"/>
      <c r="EXE23" s="538"/>
      <c r="EXF23" s="538"/>
      <c r="EXG23" s="538"/>
      <c r="EXH23" s="538"/>
      <c r="EXI23" s="538"/>
      <c r="EXJ23" s="538"/>
      <c r="EXK23" s="538"/>
      <c r="EXL23" s="538"/>
      <c r="EXM23" s="538"/>
      <c r="EXN23" s="538"/>
      <c r="EXO23" s="538"/>
      <c r="EXP23" s="538"/>
      <c r="EXQ23" s="538"/>
      <c r="EXR23" s="538"/>
      <c r="EXS23" s="538"/>
      <c r="EXT23" s="538"/>
      <c r="EXU23" s="538"/>
      <c r="EXV23" s="538"/>
      <c r="EXW23" s="538"/>
      <c r="EXX23" s="538"/>
      <c r="EXY23" s="538"/>
      <c r="EXZ23" s="538"/>
      <c r="EYA23" s="538"/>
      <c r="EYB23" s="538"/>
      <c r="EYC23" s="538"/>
      <c r="EYD23" s="538"/>
      <c r="EYE23" s="538"/>
      <c r="EYF23" s="538"/>
      <c r="EYG23" s="538"/>
      <c r="EYH23" s="538"/>
      <c r="EYI23" s="538"/>
      <c r="EYJ23" s="538"/>
      <c r="EYK23" s="538"/>
      <c r="EYL23" s="538"/>
      <c r="EYM23" s="538"/>
      <c r="EYN23" s="538"/>
      <c r="EYO23" s="538"/>
      <c r="EYP23" s="538"/>
      <c r="EYQ23" s="538"/>
      <c r="EYR23" s="538"/>
      <c r="EYS23" s="538"/>
      <c r="EYT23" s="538"/>
      <c r="EYU23" s="538"/>
      <c r="EYV23" s="538"/>
      <c r="EYW23" s="538"/>
      <c r="EYX23" s="538"/>
      <c r="EYY23" s="538"/>
      <c r="EYZ23" s="538"/>
      <c r="EZA23" s="538"/>
      <c r="EZB23" s="538"/>
      <c r="EZC23" s="538"/>
      <c r="EZD23" s="538"/>
      <c r="EZE23" s="538"/>
      <c r="EZF23" s="538"/>
      <c r="EZG23" s="538"/>
      <c r="EZH23" s="538"/>
      <c r="EZI23" s="538"/>
      <c r="EZJ23" s="538"/>
      <c r="EZK23" s="538"/>
      <c r="EZL23" s="538"/>
      <c r="EZM23" s="538"/>
      <c r="EZN23" s="538"/>
      <c r="EZO23" s="538"/>
      <c r="EZP23" s="538"/>
      <c r="EZQ23" s="538"/>
      <c r="EZR23" s="538"/>
      <c r="EZS23" s="538"/>
      <c r="EZT23" s="538"/>
      <c r="EZU23" s="538"/>
      <c r="EZV23" s="538"/>
      <c r="EZW23" s="538"/>
      <c r="EZX23" s="538"/>
      <c r="EZY23" s="538"/>
      <c r="EZZ23" s="538"/>
      <c r="FAA23" s="538"/>
      <c r="FAB23" s="538"/>
      <c r="FAC23" s="538"/>
      <c r="FAD23" s="538"/>
      <c r="FAE23" s="538"/>
      <c r="FAF23" s="538"/>
      <c r="FAG23" s="538"/>
      <c r="FAH23" s="538"/>
      <c r="FAI23" s="538"/>
      <c r="FAJ23" s="538"/>
      <c r="FAK23" s="538"/>
      <c r="FAL23" s="538"/>
      <c r="FAM23" s="538"/>
      <c r="FAN23" s="538"/>
      <c r="FAO23" s="538"/>
      <c r="FAP23" s="538"/>
      <c r="FAQ23" s="538"/>
      <c r="FAR23" s="538"/>
      <c r="FAS23" s="538"/>
      <c r="FAT23" s="538"/>
      <c r="FAU23" s="538"/>
      <c r="FAV23" s="538"/>
      <c r="FAW23" s="538"/>
      <c r="FAX23" s="538"/>
      <c r="FAY23" s="538"/>
      <c r="FAZ23" s="538"/>
      <c r="FBA23" s="538"/>
      <c r="FBB23" s="538"/>
      <c r="FBC23" s="538"/>
      <c r="FBD23" s="538"/>
      <c r="FBE23" s="538"/>
      <c r="FBF23" s="538"/>
      <c r="FBG23" s="538"/>
      <c r="FBH23" s="538"/>
      <c r="FBI23" s="538"/>
      <c r="FBJ23" s="538"/>
      <c r="FBK23" s="538"/>
      <c r="FBL23" s="538"/>
      <c r="FBM23" s="538"/>
      <c r="FBN23" s="538"/>
      <c r="FBO23" s="538"/>
      <c r="FBP23" s="538"/>
      <c r="FBQ23" s="538"/>
      <c r="FBR23" s="538"/>
      <c r="FBS23" s="538"/>
      <c r="FBT23" s="538"/>
      <c r="FBU23" s="538"/>
      <c r="FBV23" s="538"/>
      <c r="FBW23" s="538"/>
      <c r="FBX23" s="538"/>
      <c r="FBY23" s="538"/>
      <c r="FBZ23" s="538"/>
      <c r="FCA23" s="538"/>
      <c r="FCB23" s="538"/>
      <c r="FCC23" s="538"/>
      <c r="FCD23" s="538"/>
      <c r="FCE23" s="538"/>
      <c r="FCF23" s="538"/>
      <c r="FCG23" s="538"/>
      <c r="FCH23" s="538"/>
      <c r="FCI23" s="538"/>
      <c r="FCJ23" s="538"/>
      <c r="FCK23" s="538"/>
      <c r="FCL23" s="538"/>
      <c r="FCM23" s="538"/>
      <c r="FCN23" s="538"/>
      <c r="FCO23" s="538"/>
      <c r="FCP23" s="538"/>
      <c r="FCQ23" s="538"/>
      <c r="FCR23" s="538"/>
      <c r="FCS23" s="538"/>
      <c r="FCT23" s="538"/>
      <c r="FCU23" s="538"/>
      <c r="FCV23" s="538"/>
      <c r="FCW23" s="538"/>
      <c r="FCX23" s="538"/>
      <c r="FCY23" s="538"/>
      <c r="FCZ23" s="538"/>
      <c r="FDA23" s="538"/>
      <c r="FDB23" s="538"/>
      <c r="FDC23" s="538"/>
      <c r="FDD23" s="538"/>
      <c r="FDE23" s="538"/>
      <c r="FDF23" s="538"/>
      <c r="FDG23" s="538"/>
      <c r="FDH23" s="538"/>
      <c r="FDI23" s="538"/>
      <c r="FDJ23" s="538"/>
      <c r="FDK23" s="538"/>
      <c r="FDL23" s="538"/>
      <c r="FDM23" s="538"/>
      <c r="FDN23" s="538"/>
      <c r="FDO23" s="538"/>
      <c r="FDP23" s="538"/>
      <c r="FDQ23" s="538"/>
      <c r="FDR23" s="538"/>
      <c r="FDS23" s="538"/>
      <c r="FDT23" s="538"/>
      <c r="FDU23" s="538"/>
      <c r="FDV23" s="538"/>
      <c r="FDW23" s="538"/>
      <c r="FDX23" s="538"/>
      <c r="FDY23" s="538"/>
      <c r="FDZ23" s="538"/>
      <c r="FEA23" s="538"/>
      <c r="FEB23" s="538"/>
      <c r="FEC23" s="538"/>
      <c r="FED23" s="538"/>
      <c r="FEE23" s="538"/>
      <c r="FEF23" s="538"/>
      <c r="FEG23" s="538"/>
      <c r="FEH23" s="538"/>
      <c r="FEI23" s="538"/>
      <c r="FEJ23" s="538"/>
      <c r="FEK23" s="538"/>
      <c r="FEL23" s="538"/>
      <c r="FEM23" s="538"/>
      <c r="FEN23" s="538"/>
      <c r="FEO23" s="538"/>
      <c r="FEP23" s="538"/>
      <c r="FEQ23" s="538"/>
      <c r="FER23" s="538"/>
      <c r="FES23" s="538"/>
      <c r="FET23" s="538"/>
      <c r="FEU23" s="538"/>
      <c r="FEV23" s="538"/>
      <c r="FEW23" s="538"/>
      <c r="FEX23" s="538"/>
      <c r="FEY23" s="538"/>
      <c r="FEZ23" s="538"/>
      <c r="FFA23" s="538"/>
      <c r="FFB23" s="538"/>
      <c r="FFC23" s="538"/>
      <c r="FFD23" s="538"/>
      <c r="FFE23" s="538"/>
      <c r="FFF23" s="538"/>
      <c r="FFG23" s="538"/>
      <c r="FFH23" s="538"/>
      <c r="FFI23" s="538"/>
      <c r="FFJ23" s="538"/>
      <c r="FFK23" s="538"/>
      <c r="FFL23" s="538"/>
      <c r="FFM23" s="538"/>
      <c r="FFN23" s="538"/>
      <c r="FFO23" s="538"/>
      <c r="FFP23" s="538"/>
      <c r="FFQ23" s="538"/>
      <c r="FFR23" s="538"/>
      <c r="FFS23" s="538"/>
      <c r="FFT23" s="538"/>
      <c r="FFU23" s="538"/>
      <c r="FFV23" s="538"/>
      <c r="FFW23" s="538"/>
      <c r="FFX23" s="538"/>
      <c r="FFY23" s="538"/>
      <c r="FFZ23" s="538"/>
      <c r="FGA23" s="538"/>
      <c r="FGB23" s="538"/>
      <c r="FGC23" s="538"/>
      <c r="FGD23" s="538"/>
      <c r="FGE23" s="538"/>
      <c r="FGF23" s="538"/>
      <c r="FGG23" s="538"/>
      <c r="FGH23" s="538"/>
      <c r="FGI23" s="538"/>
      <c r="FGJ23" s="538"/>
      <c r="FGK23" s="538"/>
      <c r="FGL23" s="538"/>
      <c r="FGM23" s="538"/>
      <c r="FGN23" s="538"/>
      <c r="FGO23" s="538"/>
      <c r="FGP23" s="538"/>
      <c r="FGQ23" s="538"/>
      <c r="FGR23" s="538"/>
      <c r="FGS23" s="538"/>
      <c r="FGT23" s="538"/>
      <c r="FGU23" s="538"/>
      <c r="FGV23" s="538"/>
      <c r="FGW23" s="538"/>
      <c r="FGX23" s="538"/>
      <c r="FGY23" s="538"/>
      <c r="FGZ23" s="538"/>
      <c r="FHA23" s="538"/>
      <c r="FHB23" s="538"/>
      <c r="FHC23" s="538"/>
      <c r="FHD23" s="538"/>
      <c r="FHE23" s="538"/>
      <c r="FHF23" s="538"/>
      <c r="FHG23" s="538"/>
      <c r="FHH23" s="538"/>
      <c r="FHI23" s="538"/>
      <c r="FHJ23" s="538"/>
      <c r="FHK23" s="538"/>
      <c r="FHL23" s="538"/>
      <c r="FHM23" s="538"/>
      <c r="FHN23" s="538"/>
      <c r="FHO23" s="538"/>
      <c r="FHP23" s="538"/>
      <c r="FHQ23" s="538"/>
      <c r="FHR23" s="538"/>
      <c r="FHS23" s="538"/>
      <c r="FHT23" s="538"/>
      <c r="FHU23" s="538"/>
      <c r="FHV23" s="538"/>
      <c r="FHW23" s="538"/>
      <c r="FHX23" s="538"/>
      <c r="FHY23" s="538"/>
      <c r="FHZ23" s="538"/>
      <c r="FIA23" s="538"/>
      <c r="FIB23" s="538"/>
      <c r="FIC23" s="538"/>
      <c r="FID23" s="538"/>
      <c r="FIE23" s="538"/>
      <c r="FIF23" s="538"/>
      <c r="FIG23" s="538"/>
      <c r="FIH23" s="538"/>
      <c r="FII23" s="538"/>
      <c r="FIJ23" s="538"/>
      <c r="FIK23" s="538"/>
      <c r="FIL23" s="538"/>
      <c r="FIM23" s="538"/>
      <c r="FIN23" s="538"/>
      <c r="FIO23" s="538"/>
      <c r="FIP23" s="538"/>
      <c r="FIQ23" s="538"/>
      <c r="FIR23" s="538"/>
      <c r="FIS23" s="538"/>
      <c r="FIT23" s="538"/>
      <c r="FIU23" s="538"/>
      <c r="FIV23" s="538"/>
      <c r="FIW23" s="538"/>
      <c r="FIX23" s="538"/>
      <c r="FIY23" s="538"/>
      <c r="FIZ23" s="538"/>
      <c r="FJA23" s="538"/>
      <c r="FJB23" s="538"/>
      <c r="FJC23" s="538"/>
      <c r="FJD23" s="538"/>
      <c r="FJE23" s="538"/>
      <c r="FJF23" s="538"/>
      <c r="FJG23" s="538"/>
      <c r="FJH23" s="538"/>
      <c r="FJI23" s="538"/>
      <c r="FJJ23" s="538"/>
      <c r="FJK23" s="538"/>
      <c r="FJL23" s="538"/>
      <c r="FJM23" s="538"/>
      <c r="FJN23" s="538"/>
      <c r="FJO23" s="538"/>
      <c r="FJP23" s="538"/>
      <c r="FJQ23" s="538"/>
      <c r="FJR23" s="538"/>
      <c r="FJS23" s="538"/>
      <c r="FJT23" s="538"/>
      <c r="FJU23" s="538"/>
      <c r="FJV23" s="538"/>
      <c r="FJW23" s="538"/>
      <c r="FJX23" s="538"/>
      <c r="FJY23" s="538"/>
      <c r="FJZ23" s="538"/>
      <c r="FKA23" s="538"/>
      <c r="FKB23" s="538"/>
      <c r="FKC23" s="538"/>
      <c r="FKD23" s="538"/>
      <c r="FKE23" s="538"/>
      <c r="FKF23" s="538"/>
      <c r="FKG23" s="538"/>
      <c r="FKH23" s="538"/>
      <c r="FKI23" s="538"/>
      <c r="FKJ23" s="538"/>
      <c r="FKK23" s="538"/>
      <c r="FKL23" s="538"/>
      <c r="FKM23" s="538"/>
      <c r="FKN23" s="538"/>
      <c r="FKO23" s="538"/>
      <c r="FKP23" s="538"/>
      <c r="FKQ23" s="538"/>
      <c r="FKR23" s="538"/>
      <c r="FKS23" s="538"/>
      <c r="FKT23" s="538"/>
      <c r="FKU23" s="538"/>
      <c r="FKV23" s="538"/>
      <c r="FKW23" s="538"/>
      <c r="FKX23" s="538"/>
      <c r="FKY23" s="538"/>
      <c r="FKZ23" s="538"/>
      <c r="FLA23" s="538"/>
      <c r="FLB23" s="538"/>
      <c r="FLC23" s="538"/>
      <c r="FLD23" s="538"/>
      <c r="FLE23" s="538"/>
      <c r="FLF23" s="538"/>
      <c r="FLG23" s="538"/>
      <c r="FLH23" s="538"/>
      <c r="FLI23" s="538"/>
      <c r="FLJ23" s="538"/>
      <c r="FLK23" s="538"/>
      <c r="FLL23" s="538"/>
      <c r="FLM23" s="538"/>
      <c r="FLN23" s="538"/>
      <c r="FLO23" s="538"/>
      <c r="FLP23" s="538"/>
      <c r="FLQ23" s="538"/>
      <c r="FLR23" s="538"/>
      <c r="FLS23" s="538"/>
      <c r="FLT23" s="538"/>
      <c r="FLU23" s="538"/>
      <c r="FLV23" s="538"/>
      <c r="FLW23" s="538"/>
      <c r="FLX23" s="538"/>
      <c r="FLY23" s="538"/>
      <c r="FLZ23" s="538"/>
      <c r="FMA23" s="538"/>
      <c r="FMB23" s="538"/>
      <c r="FMC23" s="538"/>
      <c r="FMD23" s="538"/>
      <c r="FME23" s="538"/>
      <c r="FMF23" s="538"/>
      <c r="FMG23" s="538"/>
      <c r="FMH23" s="538"/>
      <c r="FMI23" s="538"/>
      <c r="FMJ23" s="538"/>
      <c r="FMK23" s="538"/>
      <c r="FML23" s="538"/>
      <c r="FMM23" s="538"/>
      <c r="FMN23" s="538"/>
      <c r="FMO23" s="538"/>
      <c r="FMP23" s="538"/>
      <c r="FMQ23" s="538"/>
      <c r="FMR23" s="538"/>
      <c r="FMS23" s="538"/>
      <c r="FMT23" s="538"/>
      <c r="FMU23" s="538"/>
      <c r="FMV23" s="538"/>
      <c r="FMW23" s="538"/>
      <c r="FMX23" s="538"/>
      <c r="FMY23" s="538"/>
      <c r="FMZ23" s="538"/>
      <c r="FNA23" s="538"/>
      <c r="FNB23" s="538"/>
      <c r="FNC23" s="538"/>
      <c r="FND23" s="538"/>
      <c r="FNE23" s="538"/>
      <c r="FNF23" s="538"/>
      <c r="FNG23" s="538"/>
      <c r="FNH23" s="538"/>
      <c r="FNI23" s="538"/>
      <c r="FNJ23" s="538"/>
      <c r="FNK23" s="538"/>
      <c r="FNL23" s="538"/>
      <c r="FNM23" s="538"/>
      <c r="FNN23" s="538"/>
      <c r="FNO23" s="538"/>
      <c r="FNP23" s="538"/>
      <c r="FNQ23" s="538"/>
      <c r="FNR23" s="538"/>
      <c r="FNS23" s="538"/>
      <c r="FNT23" s="538"/>
      <c r="FNU23" s="538"/>
      <c r="FNV23" s="538"/>
      <c r="FNW23" s="538"/>
      <c r="FNX23" s="538"/>
      <c r="FNY23" s="538"/>
      <c r="FNZ23" s="538"/>
      <c r="FOA23" s="538"/>
      <c r="FOB23" s="538"/>
      <c r="FOC23" s="538"/>
      <c r="FOD23" s="538"/>
      <c r="FOE23" s="538"/>
      <c r="FOF23" s="538"/>
      <c r="FOG23" s="538"/>
      <c r="FOH23" s="538"/>
      <c r="FOI23" s="538"/>
      <c r="FOJ23" s="538"/>
      <c r="FOK23" s="538"/>
      <c r="FOL23" s="538"/>
      <c r="FOM23" s="538"/>
      <c r="FON23" s="538"/>
      <c r="FOO23" s="538"/>
      <c r="FOP23" s="538"/>
      <c r="FOQ23" s="538"/>
      <c r="FOR23" s="538"/>
      <c r="FOS23" s="538"/>
      <c r="FOT23" s="538"/>
      <c r="FOU23" s="538"/>
      <c r="FOV23" s="538"/>
      <c r="FOW23" s="538"/>
      <c r="FOX23" s="538"/>
      <c r="FOY23" s="538"/>
      <c r="FOZ23" s="538"/>
      <c r="FPA23" s="538"/>
      <c r="FPB23" s="538"/>
      <c r="FPC23" s="538"/>
      <c r="FPD23" s="538"/>
      <c r="FPE23" s="538"/>
      <c r="FPF23" s="538"/>
      <c r="FPG23" s="538"/>
      <c r="FPH23" s="538"/>
      <c r="FPI23" s="538"/>
      <c r="FPJ23" s="538"/>
      <c r="FPK23" s="538"/>
      <c r="FPL23" s="538"/>
      <c r="FPM23" s="538"/>
      <c r="FPN23" s="538"/>
      <c r="FPO23" s="538"/>
      <c r="FPP23" s="538"/>
      <c r="FPQ23" s="538"/>
      <c r="FPR23" s="538"/>
      <c r="FPS23" s="538"/>
      <c r="FPT23" s="538"/>
      <c r="FPU23" s="538"/>
      <c r="FPV23" s="538"/>
      <c r="FPW23" s="538"/>
      <c r="FPX23" s="538"/>
      <c r="FPY23" s="538"/>
      <c r="FPZ23" s="538"/>
      <c r="FQA23" s="538"/>
      <c r="FQB23" s="538"/>
      <c r="FQC23" s="538"/>
      <c r="FQD23" s="538"/>
      <c r="FQE23" s="538"/>
      <c r="FQF23" s="538"/>
      <c r="FQG23" s="538"/>
      <c r="FQH23" s="538"/>
      <c r="FQI23" s="538"/>
      <c r="FQJ23" s="538"/>
      <c r="FQK23" s="538"/>
      <c r="FQL23" s="538"/>
      <c r="FQM23" s="538"/>
      <c r="FQN23" s="538"/>
      <c r="FQO23" s="538"/>
      <c r="FQP23" s="538"/>
      <c r="FQQ23" s="538"/>
      <c r="FQR23" s="538"/>
      <c r="FQS23" s="538"/>
      <c r="FQT23" s="538"/>
      <c r="FQU23" s="538"/>
      <c r="FQV23" s="538"/>
      <c r="FQW23" s="538"/>
      <c r="FQX23" s="538"/>
      <c r="FQY23" s="538"/>
      <c r="FQZ23" s="538"/>
      <c r="FRA23" s="538"/>
      <c r="FRB23" s="538"/>
      <c r="FRC23" s="538"/>
      <c r="FRD23" s="538"/>
      <c r="FRE23" s="538"/>
      <c r="FRF23" s="538"/>
      <c r="FRG23" s="538"/>
      <c r="FRH23" s="538"/>
      <c r="FRI23" s="538"/>
      <c r="FRJ23" s="538"/>
      <c r="FRK23" s="538"/>
      <c r="FRL23" s="538"/>
      <c r="FRM23" s="538"/>
      <c r="FRN23" s="538"/>
      <c r="FRO23" s="538"/>
      <c r="FRP23" s="538"/>
      <c r="FRQ23" s="538"/>
      <c r="FRR23" s="538"/>
      <c r="FRS23" s="538"/>
      <c r="FRT23" s="538"/>
      <c r="FRU23" s="538"/>
      <c r="FRV23" s="538"/>
      <c r="FRW23" s="538"/>
      <c r="FRX23" s="538"/>
      <c r="FRY23" s="538"/>
      <c r="FRZ23" s="538"/>
      <c r="FSA23" s="538"/>
      <c r="FSB23" s="538"/>
      <c r="FSC23" s="538"/>
      <c r="FSD23" s="538"/>
      <c r="FSE23" s="538"/>
      <c r="FSF23" s="538"/>
      <c r="FSG23" s="538"/>
      <c r="FSH23" s="538"/>
      <c r="FSI23" s="538"/>
      <c r="FSJ23" s="538"/>
      <c r="FSK23" s="538"/>
      <c r="FSL23" s="538"/>
      <c r="FSM23" s="538"/>
      <c r="FSN23" s="538"/>
      <c r="FSO23" s="538"/>
      <c r="FSP23" s="538"/>
      <c r="FSQ23" s="538"/>
      <c r="FSR23" s="538"/>
      <c r="FSS23" s="538"/>
      <c r="FST23" s="538"/>
      <c r="FSU23" s="538"/>
      <c r="FSV23" s="538"/>
      <c r="FSW23" s="538"/>
      <c r="FSX23" s="538"/>
      <c r="FSY23" s="538"/>
      <c r="FSZ23" s="538"/>
      <c r="FTA23" s="538"/>
      <c r="FTB23" s="538"/>
      <c r="FTC23" s="538"/>
      <c r="FTD23" s="538"/>
      <c r="FTE23" s="538"/>
      <c r="FTF23" s="538"/>
      <c r="FTG23" s="538"/>
      <c r="FTH23" s="538"/>
      <c r="FTI23" s="538"/>
      <c r="FTJ23" s="538"/>
      <c r="FTK23" s="538"/>
      <c r="FTL23" s="538"/>
      <c r="FTM23" s="538"/>
      <c r="FTN23" s="538"/>
      <c r="FTO23" s="538"/>
      <c r="FTP23" s="538"/>
      <c r="FTQ23" s="538"/>
      <c r="FTR23" s="538"/>
      <c r="FTS23" s="538"/>
      <c r="FTT23" s="538"/>
      <c r="FTU23" s="538"/>
      <c r="FTV23" s="538"/>
      <c r="FTW23" s="538"/>
      <c r="FTX23" s="538"/>
      <c r="FTY23" s="538"/>
      <c r="FTZ23" s="538"/>
      <c r="FUA23" s="538"/>
      <c r="FUB23" s="538"/>
      <c r="FUC23" s="538"/>
      <c r="FUD23" s="538"/>
      <c r="FUE23" s="538"/>
      <c r="FUF23" s="538"/>
      <c r="FUG23" s="538"/>
      <c r="FUH23" s="538"/>
      <c r="FUI23" s="538"/>
      <c r="FUJ23" s="538"/>
      <c r="FUK23" s="538"/>
      <c r="FUL23" s="538"/>
      <c r="FUM23" s="538"/>
      <c r="FUN23" s="538"/>
      <c r="FUO23" s="538"/>
      <c r="FUP23" s="538"/>
      <c r="FUQ23" s="538"/>
      <c r="FUR23" s="538"/>
      <c r="FUS23" s="538"/>
      <c r="FUT23" s="538"/>
      <c r="FUU23" s="538"/>
      <c r="FUV23" s="538"/>
      <c r="FUW23" s="538"/>
      <c r="FUX23" s="538"/>
      <c r="FUY23" s="538"/>
      <c r="FUZ23" s="538"/>
      <c r="FVA23" s="538"/>
      <c r="FVB23" s="538"/>
      <c r="FVC23" s="538"/>
      <c r="FVD23" s="538"/>
      <c r="FVE23" s="538"/>
      <c r="FVF23" s="538"/>
      <c r="FVG23" s="538"/>
      <c r="FVH23" s="538"/>
      <c r="FVI23" s="538"/>
      <c r="FVJ23" s="538"/>
      <c r="FVK23" s="538"/>
      <c r="FVL23" s="538"/>
      <c r="FVM23" s="538"/>
      <c r="FVN23" s="538"/>
      <c r="FVO23" s="538"/>
      <c r="FVP23" s="538"/>
      <c r="FVQ23" s="538"/>
      <c r="FVR23" s="538"/>
      <c r="FVS23" s="538"/>
      <c r="FVT23" s="538"/>
      <c r="FVU23" s="538"/>
      <c r="FVV23" s="538"/>
      <c r="FVW23" s="538"/>
      <c r="FVX23" s="538"/>
      <c r="FVY23" s="538"/>
      <c r="FVZ23" s="538"/>
      <c r="FWA23" s="538"/>
      <c r="FWB23" s="538"/>
      <c r="FWC23" s="538"/>
      <c r="FWD23" s="538"/>
      <c r="FWE23" s="538"/>
      <c r="FWF23" s="538"/>
      <c r="FWG23" s="538"/>
      <c r="FWH23" s="538"/>
      <c r="FWI23" s="538"/>
      <c r="FWJ23" s="538"/>
      <c r="FWK23" s="538"/>
      <c r="FWL23" s="538"/>
      <c r="FWM23" s="538"/>
      <c r="FWN23" s="538"/>
      <c r="FWO23" s="538"/>
      <c r="FWP23" s="538"/>
      <c r="FWQ23" s="538"/>
      <c r="FWR23" s="538"/>
      <c r="FWS23" s="538"/>
      <c r="FWT23" s="538"/>
      <c r="FWU23" s="538"/>
      <c r="FWV23" s="538"/>
      <c r="FWW23" s="538"/>
      <c r="FWX23" s="538"/>
      <c r="FWY23" s="538"/>
      <c r="FWZ23" s="538"/>
      <c r="FXA23" s="538"/>
      <c r="FXB23" s="538"/>
      <c r="FXC23" s="538"/>
      <c r="FXD23" s="538"/>
      <c r="FXE23" s="538"/>
      <c r="FXF23" s="538"/>
      <c r="FXG23" s="538"/>
      <c r="FXH23" s="538"/>
      <c r="FXI23" s="538"/>
      <c r="FXJ23" s="538"/>
      <c r="FXK23" s="538"/>
      <c r="FXL23" s="538"/>
      <c r="FXM23" s="538"/>
      <c r="FXN23" s="538"/>
      <c r="FXO23" s="538"/>
      <c r="FXP23" s="538"/>
      <c r="FXQ23" s="538"/>
      <c r="FXR23" s="538"/>
      <c r="FXS23" s="538"/>
      <c r="FXT23" s="538"/>
      <c r="FXU23" s="538"/>
      <c r="FXV23" s="538"/>
      <c r="FXW23" s="538"/>
      <c r="FXX23" s="538"/>
      <c r="FXY23" s="538"/>
      <c r="FXZ23" s="538"/>
      <c r="FYA23" s="538"/>
      <c r="FYB23" s="538"/>
      <c r="FYC23" s="538"/>
      <c r="FYD23" s="538"/>
      <c r="FYE23" s="538"/>
      <c r="FYF23" s="538"/>
      <c r="FYG23" s="538"/>
      <c r="FYH23" s="538"/>
      <c r="FYI23" s="538"/>
      <c r="FYJ23" s="538"/>
      <c r="FYK23" s="538"/>
      <c r="FYL23" s="538"/>
      <c r="FYM23" s="538"/>
      <c r="FYN23" s="538"/>
      <c r="FYO23" s="538"/>
      <c r="FYP23" s="538"/>
      <c r="FYQ23" s="538"/>
      <c r="FYR23" s="538"/>
      <c r="FYS23" s="538"/>
      <c r="FYT23" s="538"/>
      <c r="FYU23" s="538"/>
      <c r="FYV23" s="538"/>
      <c r="FYW23" s="538"/>
      <c r="FYX23" s="538"/>
      <c r="FYY23" s="538"/>
      <c r="FYZ23" s="538"/>
      <c r="FZA23" s="538"/>
      <c r="FZB23" s="538"/>
      <c r="FZC23" s="538"/>
      <c r="FZD23" s="538"/>
      <c r="FZE23" s="538"/>
      <c r="FZF23" s="538"/>
      <c r="FZG23" s="538"/>
      <c r="FZH23" s="538"/>
      <c r="FZI23" s="538"/>
      <c r="FZJ23" s="538"/>
      <c r="FZK23" s="538"/>
      <c r="FZL23" s="538"/>
      <c r="FZM23" s="538"/>
      <c r="FZN23" s="538"/>
      <c r="FZO23" s="538"/>
      <c r="FZP23" s="538"/>
      <c r="FZQ23" s="538"/>
      <c r="FZR23" s="538"/>
      <c r="FZS23" s="538"/>
      <c r="FZT23" s="538"/>
      <c r="FZU23" s="538"/>
      <c r="FZV23" s="538"/>
      <c r="FZW23" s="538"/>
      <c r="FZX23" s="538"/>
      <c r="FZY23" s="538"/>
      <c r="FZZ23" s="538"/>
      <c r="GAA23" s="538"/>
      <c r="GAB23" s="538"/>
      <c r="GAC23" s="538"/>
      <c r="GAD23" s="538"/>
      <c r="GAE23" s="538"/>
      <c r="GAF23" s="538"/>
      <c r="GAG23" s="538"/>
      <c r="GAH23" s="538"/>
      <c r="GAI23" s="538"/>
      <c r="GAJ23" s="538"/>
      <c r="GAK23" s="538"/>
      <c r="GAL23" s="538"/>
      <c r="GAM23" s="538"/>
      <c r="GAN23" s="538"/>
      <c r="GAO23" s="538"/>
      <c r="GAP23" s="538"/>
      <c r="GAQ23" s="538"/>
      <c r="GAR23" s="538"/>
      <c r="GAS23" s="538"/>
      <c r="GAT23" s="538"/>
      <c r="GAU23" s="538"/>
      <c r="GAV23" s="538"/>
      <c r="GAW23" s="538"/>
      <c r="GAX23" s="538"/>
      <c r="GAY23" s="538"/>
      <c r="GAZ23" s="538"/>
      <c r="GBA23" s="538"/>
      <c r="GBB23" s="538"/>
      <c r="GBC23" s="538"/>
      <c r="GBD23" s="538"/>
      <c r="GBE23" s="538"/>
      <c r="GBF23" s="538"/>
      <c r="GBG23" s="538"/>
      <c r="GBH23" s="538"/>
      <c r="GBI23" s="538"/>
      <c r="GBJ23" s="538"/>
      <c r="GBK23" s="538"/>
      <c r="GBL23" s="538"/>
      <c r="GBM23" s="538"/>
      <c r="GBN23" s="538"/>
      <c r="GBO23" s="538"/>
      <c r="GBP23" s="538"/>
      <c r="GBQ23" s="538"/>
      <c r="GBR23" s="538"/>
      <c r="GBS23" s="538"/>
      <c r="GBT23" s="538"/>
      <c r="GBU23" s="538"/>
      <c r="GBV23" s="538"/>
      <c r="GBW23" s="538"/>
      <c r="GBX23" s="538"/>
      <c r="GBY23" s="538"/>
      <c r="GBZ23" s="538"/>
      <c r="GCA23" s="538"/>
      <c r="GCB23" s="538"/>
      <c r="GCC23" s="538"/>
      <c r="GCD23" s="538"/>
      <c r="GCE23" s="538"/>
      <c r="GCF23" s="538"/>
      <c r="GCG23" s="538"/>
      <c r="GCH23" s="538"/>
      <c r="GCI23" s="538"/>
      <c r="GCJ23" s="538"/>
      <c r="GCK23" s="538"/>
      <c r="GCL23" s="538"/>
      <c r="GCM23" s="538"/>
      <c r="GCN23" s="538"/>
      <c r="GCO23" s="538"/>
      <c r="GCP23" s="538"/>
      <c r="GCQ23" s="538"/>
      <c r="GCR23" s="538"/>
      <c r="GCS23" s="538"/>
      <c r="GCT23" s="538"/>
      <c r="GCU23" s="538"/>
      <c r="GCV23" s="538"/>
      <c r="GCW23" s="538"/>
      <c r="GCX23" s="538"/>
      <c r="GCY23" s="538"/>
      <c r="GCZ23" s="538"/>
      <c r="GDA23" s="538"/>
      <c r="GDB23" s="538"/>
      <c r="GDC23" s="538"/>
      <c r="GDD23" s="538"/>
      <c r="GDE23" s="538"/>
      <c r="GDF23" s="538"/>
      <c r="GDG23" s="538"/>
      <c r="GDH23" s="538"/>
      <c r="GDI23" s="538"/>
      <c r="GDJ23" s="538"/>
      <c r="GDK23" s="538"/>
      <c r="GDL23" s="538"/>
      <c r="GDM23" s="538"/>
      <c r="GDN23" s="538"/>
      <c r="GDO23" s="538"/>
      <c r="GDP23" s="538"/>
      <c r="GDQ23" s="538"/>
      <c r="GDR23" s="538"/>
      <c r="GDS23" s="538"/>
      <c r="GDT23" s="538"/>
      <c r="GDU23" s="538"/>
      <c r="GDV23" s="538"/>
      <c r="GDW23" s="538"/>
      <c r="GDX23" s="538"/>
      <c r="GDY23" s="538"/>
      <c r="GDZ23" s="538"/>
      <c r="GEA23" s="538"/>
      <c r="GEB23" s="538"/>
      <c r="GEC23" s="538"/>
      <c r="GED23" s="538"/>
      <c r="GEE23" s="538"/>
      <c r="GEF23" s="538"/>
      <c r="GEG23" s="538"/>
      <c r="GEH23" s="538"/>
      <c r="GEI23" s="538"/>
      <c r="GEJ23" s="538"/>
      <c r="GEK23" s="538"/>
      <c r="GEL23" s="538"/>
      <c r="GEM23" s="538"/>
      <c r="GEN23" s="538"/>
      <c r="GEO23" s="538"/>
      <c r="GEP23" s="538"/>
      <c r="GEQ23" s="538"/>
      <c r="GER23" s="538"/>
      <c r="GES23" s="538"/>
      <c r="GET23" s="538"/>
      <c r="GEU23" s="538"/>
      <c r="GEV23" s="538"/>
      <c r="GEW23" s="538"/>
      <c r="GEX23" s="538"/>
      <c r="GEY23" s="538"/>
      <c r="GEZ23" s="538"/>
      <c r="GFA23" s="538"/>
      <c r="GFB23" s="538"/>
      <c r="GFC23" s="538"/>
      <c r="GFD23" s="538"/>
      <c r="GFE23" s="538"/>
      <c r="GFF23" s="538"/>
      <c r="GFG23" s="538"/>
      <c r="GFH23" s="538"/>
      <c r="GFI23" s="538"/>
      <c r="GFJ23" s="538"/>
      <c r="GFK23" s="538"/>
      <c r="GFL23" s="538"/>
      <c r="GFM23" s="538"/>
      <c r="GFN23" s="538"/>
      <c r="GFO23" s="538"/>
      <c r="GFP23" s="538"/>
      <c r="GFQ23" s="538"/>
      <c r="GFR23" s="538"/>
      <c r="GFS23" s="538"/>
      <c r="GFT23" s="538"/>
      <c r="GFU23" s="538"/>
      <c r="GFV23" s="538"/>
      <c r="GFW23" s="538"/>
      <c r="GFX23" s="538"/>
      <c r="GFY23" s="538"/>
      <c r="GFZ23" s="538"/>
      <c r="GGA23" s="538"/>
      <c r="GGB23" s="538"/>
      <c r="GGC23" s="538"/>
      <c r="GGD23" s="538"/>
      <c r="GGE23" s="538"/>
      <c r="GGF23" s="538"/>
      <c r="GGG23" s="538"/>
      <c r="GGH23" s="538"/>
      <c r="GGI23" s="538"/>
      <c r="GGJ23" s="538"/>
      <c r="GGK23" s="538"/>
      <c r="GGL23" s="538"/>
      <c r="GGM23" s="538"/>
      <c r="GGN23" s="538"/>
      <c r="GGO23" s="538"/>
      <c r="GGP23" s="538"/>
      <c r="GGQ23" s="538"/>
      <c r="GGR23" s="538"/>
      <c r="GGS23" s="538"/>
      <c r="GGT23" s="538"/>
      <c r="GGU23" s="538"/>
      <c r="GGV23" s="538"/>
      <c r="GGW23" s="538"/>
      <c r="GGX23" s="538"/>
      <c r="GGY23" s="538"/>
      <c r="GGZ23" s="538"/>
      <c r="GHA23" s="538"/>
      <c r="GHB23" s="538"/>
      <c r="GHC23" s="538"/>
      <c r="GHD23" s="538"/>
      <c r="GHE23" s="538"/>
      <c r="GHF23" s="538"/>
      <c r="GHG23" s="538"/>
      <c r="GHH23" s="538"/>
      <c r="GHI23" s="538"/>
      <c r="GHJ23" s="538"/>
      <c r="GHK23" s="538"/>
      <c r="GHL23" s="538"/>
      <c r="GHM23" s="538"/>
      <c r="GHN23" s="538"/>
      <c r="GHO23" s="538"/>
      <c r="GHP23" s="538"/>
      <c r="GHQ23" s="538"/>
      <c r="GHR23" s="538"/>
      <c r="GHS23" s="538"/>
      <c r="GHT23" s="538"/>
      <c r="GHU23" s="538"/>
      <c r="GHV23" s="538"/>
      <c r="GHW23" s="538"/>
      <c r="GHX23" s="538"/>
      <c r="GHY23" s="538"/>
      <c r="GHZ23" s="538"/>
      <c r="GIA23" s="538"/>
      <c r="GIB23" s="538"/>
      <c r="GIC23" s="538"/>
      <c r="GID23" s="538"/>
      <c r="GIE23" s="538"/>
      <c r="GIF23" s="538"/>
      <c r="GIG23" s="538"/>
      <c r="GIH23" s="538"/>
      <c r="GII23" s="538"/>
      <c r="GIJ23" s="538"/>
      <c r="GIK23" s="538"/>
      <c r="GIL23" s="538"/>
      <c r="GIM23" s="538"/>
      <c r="GIN23" s="538"/>
      <c r="GIO23" s="538"/>
      <c r="GIP23" s="538"/>
      <c r="GIQ23" s="538"/>
      <c r="GIR23" s="538"/>
      <c r="GIS23" s="538"/>
      <c r="GIT23" s="538"/>
      <c r="GIU23" s="538"/>
      <c r="GIV23" s="538"/>
      <c r="GIW23" s="538"/>
      <c r="GIX23" s="538"/>
      <c r="GIY23" s="538"/>
      <c r="GIZ23" s="538"/>
      <c r="GJA23" s="538"/>
      <c r="GJB23" s="538"/>
      <c r="GJC23" s="538"/>
      <c r="GJD23" s="538"/>
      <c r="GJE23" s="538"/>
      <c r="GJF23" s="538"/>
      <c r="GJG23" s="538"/>
      <c r="GJH23" s="538"/>
      <c r="GJI23" s="538"/>
      <c r="GJJ23" s="538"/>
      <c r="GJK23" s="538"/>
      <c r="GJL23" s="538"/>
      <c r="GJM23" s="538"/>
      <c r="GJN23" s="538"/>
      <c r="GJO23" s="538"/>
      <c r="GJP23" s="538"/>
      <c r="GJQ23" s="538"/>
      <c r="GJR23" s="538"/>
      <c r="GJS23" s="538"/>
      <c r="GJT23" s="538"/>
      <c r="GJU23" s="538"/>
      <c r="GJV23" s="538"/>
      <c r="GJW23" s="538"/>
      <c r="GJX23" s="538"/>
      <c r="GJY23" s="538"/>
      <c r="GJZ23" s="538"/>
      <c r="GKA23" s="538"/>
      <c r="GKB23" s="538"/>
      <c r="GKC23" s="538"/>
      <c r="GKD23" s="538"/>
      <c r="GKE23" s="538"/>
      <c r="GKF23" s="538"/>
      <c r="GKG23" s="538"/>
      <c r="GKH23" s="538"/>
      <c r="GKI23" s="538"/>
      <c r="GKJ23" s="538"/>
      <c r="GKK23" s="538"/>
      <c r="GKL23" s="538"/>
      <c r="GKM23" s="538"/>
      <c r="GKN23" s="538"/>
      <c r="GKO23" s="538"/>
      <c r="GKP23" s="538"/>
      <c r="GKQ23" s="538"/>
      <c r="GKR23" s="538"/>
      <c r="GKS23" s="538"/>
      <c r="GKT23" s="538"/>
      <c r="GKU23" s="538"/>
      <c r="GKV23" s="538"/>
      <c r="GKW23" s="538"/>
      <c r="GKX23" s="538"/>
      <c r="GKY23" s="538"/>
      <c r="GKZ23" s="538"/>
      <c r="GLA23" s="538"/>
      <c r="GLB23" s="538"/>
      <c r="GLC23" s="538"/>
      <c r="GLD23" s="538"/>
      <c r="GLE23" s="538"/>
      <c r="GLF23" s="538"/>
      <c r="GLG23" s="538"/>
      <c r="GLH23" s="538"/>
      <c r="GLI23" s="538"/>
      <c r="GLJ23" s="538"/>
      <c r="GLK23" s="538"/>
      <c r="GLL23" s="538"/>
      <c r="GLM23" s="538"/>
      <c r="GLN23" s="538"/>
      <c r="GLO23" s="538"/>
      <c r="GLP23" s="538"/>
      <c r="GLQ23" s="538"/>
      <c r="GLR23" s="538"/>
      <c r="GLS23" s="538"/>
      <c r="GLT23" s="538"/>
      <c r="GLU23" s="538"/>
      <c r="GLV23" s="538"/>
      <c r="GLW23" s="538"/>
      <c r="GLX23" s="538"/>
      <c r="GLY23" s="538"/>
      <c r="GLZ23" s="538"/>
      <c r="GMA23" s="538"/>
      <c r="GMB23" s="538"/>
      <c r="GMC23" s="538"/>
      <c r="GMD23" s="538"/>
      <c r="GME23" s="538"/>
      <c r="GMF23" s="538"/>
      <c r="GMG23" s="538"/>
      <c r="GMH23" s="538"/>
      <c r="GMI23" s="538"/>
      <c r="GMJ23" s="538"/>
      <c r="GMK23" s="538"/>
      <c r="GML23" s="538"/>
      <c r="GMM23" s="538"/>
      <c r="GMN23" s="538"/>
      <c r="GMO23" s="538"/>
      <c r="GMP23" s="538"/>
      <c r="GMQ23" s="538"/>
      <c r="GMR23" s="538"/>
      <c r="GMS23" s="538"/>
      <c r="GMT23" s="538"/>
      <c r="GMU23" s="538"/>
      <c r="GMV23" s="538"/>
      <c r="GMW23" s="538"/>
      <c r="GMX23" s="538"/>
      <c r="GMY23" s="538"/>
      <c r="GMZ23" s="538"/>
      <c r="GNA23" s="538"/>
      <c r="GNB23" s="538"/>
      <c r="GNC23" s="538"/>
      <c r="GND23" s="538"/>
      <c r="GNE23" s="538"/>
      <c r="GNF23" s="538"/>
      <c r="GNG23" s="538"/>
      <c r="GNH23" s="538"/>
      <c r="GNI23" s="538"/>
      <c r="GNJ23" s="538"/>
      <c r="GNK23" s="538"/>
      <c r="GNL23" s="538"/>
      <c r="GNM23" s="538"/>
      <c r="GNN23" s="538"/>
      <c r="GNO23" s="538"/>
      <c r="GNP23" s="538"/>
      <c r="GNQ23" s="538"/>
      <c r="GNR23" s="538"/>
      <c r="GNS23" s="538"/>
      <c r="GNT23" s="538"/>
      <c r="GNU23" s="538"/>
      <c r="GNV23" s="538"/>
      <c r="GNW23" s="538"/>
      <c r="GNX23" s="538"/>
      <c r="GNY23" s="538"/>
      <c r="GNZ23" s="538"/>
      <c r="GOA23" s="538"/>
      <c r="GOB23" s="538"/>
      <c r="GOC23" s="538"/>
      <c r="GOD23" s="538"/>
      <c r="GOE23" s="538"/>
      <c r="GOF23" s="538"/>
      <c r="GOG23" s="538"/>
      <c r="GOH23" s="538"/>
      <c r="GOI23" s="538"/>
      <c r="GOJ23" s="538"/>
      <c r="GOK23" s="538"/>
      <c r="GOL23" s="538"/>
      <c r="GOM23" s="538"/>
      <c r="GON23" s="538"/>
      <c r="GOO23" s="538"/>
      <c r="GOP23" s="538"/>
      <c r="GOQ23" s="538"/>
      <c r="GOR23" s="538"/>
      <c r="GOS23" s="538"/>
      <c r="GOT23" s="538"/>
      <c r="GOU23" s="538"/>
      <c r="GOV23" s="538"/>
      <c r="GOW23" s="538"/>
      <c r="GOX23" s="538"/>
      <c r="GOY23" s="538"/>
      <c r="GOZ23" s="538"/>
      <c r="GPA23" s="538"/>
      <c r="GPB23" s="538"/>
      <c r="GPC23" s="538"/>
      <c r="GPD23" s="538"/>
      <c r="GPE23" s="538"/>
      <c r="GPF23" s="538"/>
      <c r="GPG23" s="538"/>
      <c r="GPH23" s="538"/>
      <c r="GPI23" s="538"/>
      <c r="GPJ23" s="538"/>
      <c r="GPK23" s="538"/>
      <c r="GPL23" s="538"/>
      <c r="GPM23" s="538"/>
      <c r="GPN23" s="538"/>
      <c r="GPO23" s="538"/>
      <c r="GPP23" s="538"/>
      <c r="GPQ23" s="538"/>
      <c r="GPR23" s="538"/>
      <c r="GPS23" s="538"/>
      <c r="GPT23" s="538"/>
      <c r="GPU23" s="538"/>
      <c r="GPV23" s="538"/>
      <c r="GPW23" s="538"/>
      <c r="GPX23" s="538"/>
      <c r="GPY23" s="538"/>
      <c r="GPZ23" s="538"/>
      <c r="GQA23" s="538"/>
      <c r="GQB23" s="538"/>
      <c r="GQC23" s="538"/>
      <c r="GQD23" s="538"/>
      <c r="GQE23" s="538"/>
      <c r="GQF23" s="538"/>
      <c r="GQG23" s="538"/>
      <c r="GQH23" s="538"/>
      <c r="GQI23" s="538"/>
      <c r="GQJ23" s="538"/>
      <c r="GQK23" s="538"/>
      <c r="GQL23" s="538"/>
      <c r="GQM23" s="538"/>
      <c r="GQN23" s="538"/>
      <c r="GQO23" s="538"/>
      <c r="GQP23" s="538"/>
      <c r="GQQ23" s="538"/>
      <c r="GQR23" s="538"/>
      <c r="GQS23" s="538"/>
      <c r="GQT23" s="538"/>
      <c r="GQU23" s="538"/>
      <c r="GQV23" s="538"/>
      <c r="GQW23" s="538"/>
      <c r="GQX23" s="538"/>
      <c r="GQY23" s="538"/>
      <c r="GQZ23" s="538"/>
      <c r="GRA23" s="538"/>
      <c r="GRB23" s="538"/>
      <c r="GRC23" s="538"/>
      <c r="GRD23" s="538"/>
      <c r="GRE23" s="538"/>
      <c r="GRF23" s="538"/>
      <c r="GRG23" s="538"/>
      <c r="GRH23" s="538"/>
      <c r="GRI23" s="538"/>
      <c r="GRJ23" s="538"/>
      <c r="GRK23" s="538"/>
      <c r="GRL23" s="538"/>
      <c r="GRM23" s="538"/>
      <c r="GRN23" s="538"/>
      <c r="GRO23" s="538"/>
      <c r="GRP23" s="538"/>
      <c r="GRQ23" s="538"/>
      <c r="GRR23" s="538"/>
      <c r="GRS23" s="538"/>
      <c r="GRT23" s="538"/>
      <c r="GRU23" s="538"/>
      <c r="GRV23" s="538"/>
      <c r="GRW23" s="538"/>
      <c r="GRX23" s="538"/>
      <c r="GRY23" s="538"/>
      <c r="GRZ23" s="538"/>
      <c r="GSA23" s="538"/>
      <c r="GSB23" s="538"/>
      <c r="GSC23" s="538"/>
      <c r="GSD23" s="538"/>
      <c r="GSE23" s="538"/>
      <c r="GSF23" s="538"/>
      <c r="GSG23" s="538"/>
      <c r="GSH23" s="538"/>
      <c r="GSI23" s="538"/>
      <c r="GSJ23" s="538"/>
      <c r="GSK23" s="538"/>
      <c r="GSL23" s="538"/>
      <c r="GSM23" s="538"/>
      <c r="GSN23" s="538"/>
      <c r="GSO23" s="538"/>
      <c r="GSP23" s="538"/>
      <c r="GSQ23" s="538"/>
      <c r="GSR23" s="538"/>
      <c r="GSS23" s="538"/>
      <c r="GST23" s="538"/>
      <c r="GSU23" s="538"/>
      <c r="GSV23" s="538"/>
      <c r="GSW23" s="538"/>
      <c r="GSX23" s="538"/>
      <c r="GSY23" s="538"/>
      <c r="GSZ23" s="538"/>
      <c r="GTA23" s="538"/>
      <c r="GTB23" s="538"/>
      <c r="GTC23" s="538"/>
      <c r="GTD23" s="538"/>
      <c r="GTE23" s="538"/>
      <c r="GTF23" s="538"/>
      <c r="GTG23" s="538"/>
      <c r="GTH23" s="538"/>
      <c r="GTI23" s="538"/>
      <c r="GTJ23" s="538"/>
      <c r="GTK23" s="538"/>
      <c r="GTL23" s="538"/>
      <c r="GTM23" s="538"/>
      <c r="GTN23" s="538"/>
      <c r="GTO23" s="538"/>
      <c r="GTP23" s="538"/>
      <c r="GTQ23" s="538"/>
      <c r="GTR23" s="538"/>
      <c r="GTS23" s="538"/>
      <c r="GTT23" s="538"/>
      <c r="GTU23" s="538"/>
      <c r="GTV23" s="538"/>
      <c r="GTW23" s="538"/>
      <c r="GTX23" s="538"/>
      <c r="GTY23" s="538"/>
      <c r="GTZ23" s="538"/>
      <c r="GUA23" s="538"/>
      <c r="GUB23" s="538"/>
      <c r="GUC23" s="538"/>
      <c r="GUD23" s="538"/>
      <c r="GUE23" s="538"/>
      <c r="GUF23" s="538"/>
      <c r="GUG23" s="538"/>
      <c r="GUH23" s="538"/>
      <c r="GUI23" s="538"/>
      <c r="GUJ23" s="538"/>
      <c r="GUK23" s="538"/>
      <c r="GUL23" s="538"/>
      <c r="GUM23" s="538"/>
      <c r="GUN23" s="538"/>
      <c r="GUO23" s="538"/>
      <c r="GUP23" s="538"/>
      <c r="GUQ23" s="538"/>
      <c r="GUR23" s="538"/>
      <c r="GUS23" s="538"/>
      <c r="GUT23" s="538"/>
      <c r="GUU23" s="538"/>
      <c r="GUV23" s="538"/>
      <c r="GUW23" s="538"/>
      <c r="GUX23" s="538"/>
      <c r="GUY23" s="538"/>
      <c r="GUZ23" s="538"/>
      <c r="GVA23" s="538"/>
      <c r="GVB23" s="538"/>
      <c r="GVC23" s="538"/>
      <c r="GVD23" s="538"/>
      <c r="GVE23" s="538"/>
      <c r="GVF23" s="538"/>
      <c r="GVG23" s="538"/>
      <c r="GVH23" s="538"/>
      <c r="GVI23" s="538"/>
      <c r="GVJ23" s="538"/>
      <c r="GVK23" s="538"/>
      <c r="GVL23" s="538"/>
      <c r="GVM23" s="538"/>
      <c r="GVN23" s="538"/>
      <c r="GVO23" s="538"/>
      <c r="GVP23" s="538"/>
      <c r="GVQ23" s="538"/>
      <c r="GVR23" s="538"/>
      <c r="GVS23" s="538"/>
      <c r="GVT23" s="538"/>
      <c r="GVU23" s="538"/>
      <c r="GVV23" s="538"/>
      <c r="GVW23" s="538"/>
      <c r="GVX23" s="538"/>
      <c r="GVY23" s="538"/>
      <c r="GVZ23" s="538"/>
      <c r="GWA23" s="538"/>
      <c r="GWB23" s="538"/>
      <c r="GWC23" s="538"/>
      <c r="GWD23" s="538"/>
      <c r="GWE23" s="538"/>
      <c r="GWF23" s="538"/>
      <c r="GWG23" s="538"/>
      <c r="GWH23" s="538"/>
      <c r="GWI23" s="538"/>
      <c r="GWJ23" s="538"/>
      <c r="GWK23" s="538"/>
      <c r="GWL23" s="538"/>
      <c r="GWM23" s="538"/>
      <c r="GWN23" s="538"/>
      <c r="GWO23" s="538"/>
      <c r="GWP23" s="538"/>
      <c r="GWQ23" s="538"/>
      <c r="GWR23" s="538"/>
      <c r="GWS23" s="538"/>
      <c r="GWT23" s="538"/>
      <c r="GWU23" s="538"/>
      <c r="GWV23" s="538"/>
      <c r="GWW23" s="538"/>
      <c r="GWX23" s="538"/>
      <c r="GWY23" s="538"/>
      <c r="GWZ23" s="538"/>
      <c r="GXA23" s="538"/>
      <c r="GXB23" s="538"/>
      <c r="GXC23" s="538"/>
      <c r="GXD23" s="538"/>
      <c r="GXE23" s="538"/>
      <c r="GXF23" s="538"/>
      <c r="GXG23" s="538"/>
      <c r="GXH23" s="538"/>
      <c r="GXI23" s="538"/>
      <c r="GXJ23" s="538"/>
      <c r="GXK23" s="538"/>
      <c r="GXL23" s="538"/>
      <c r="GXM23" s="538"/>
      <c r="GXN23" s="538"/>
      <c r="GXO23" s="538"/>
      <c r="GXP23" s="538"/>
      <c r="GXQ23" s="538"/>
      <c r="GXR23" s="538"/>
      <c r="GXS23" s="538"/>
      <c r="GXT23" s="538"/>
      <c r="GXU23" s="538"/>
      <c r="GXV23" s="538"/>
      <c r="GXW23" s="538"/>
      <c r="GXX23" s="538"/>
      <c r="GXY23" s="538"/>
      <c r="GXZ23" s="538"/>
      <c r="GYA23" s="538"/>
      <c r="GYB23" s="538"/>
      <c r="GYC23" s="538"/>
      <c r="GYD23" s="538"/>
      <c r="GYE23" s="538"/>
      <c r="GYF23" s="538"/>
      <c r="GYG23" s="538"/>
      <c r="GYH23" s="538"/>
      <c r="GYI23" s="538"/>
      <c r="GYJ23" s="538"/>
      <c r="GYK23" s="538"/>
      <c r="GYL23" s="538"/>
      <c r="GYM23" s="538"/>
      <c r="GYN23" s="538"/>
      <c r="GYO23" s="538"/>
      <c r="GYP23" s="538"/>
      <c r="GYQ23" s="538"/>
      <c r="GYR23" s="538"/>
      <c r="GYS23" s="538"/>
      <c r="GYT23" s="538"/>
      <c r="GYU23" s="538"/>
      <c r="GYV23" s="538"/>
      <c r="GYW23" s="538"/>
      <c r="GYX23" s="538"/>
      <c r="GYY23" s="538"/>
      <c r="GYZ23" s="538"/>
      <c r="GZA23" s="538"/>
      <c r="GZB23" s="538"/>
      <c r="GZC23" s="538"/>
      <c r="GZD23" s="538"/>
      <c r="GZE23" s="538"/>
      <c r="GZF23" s="538"/>
      <c r="GZG23" s="538"/>
      <c r="GZH23" s="538"/>
      <c r="GZI23" s="538"/>
      <c r="GZJ23" s="538"/>
      <c r="GZK23" s="538"/>
      <c r="GZL23" s="538"/>
      <c r="GZM23" s="538"/>
      <c r="GZN23" s="538"/>
      <c r="GZO23" s="538"/>
      <c r="GZP23" s="538"/>
      <c r="GZQ23" s="538"/>
      <c r="GZR23" s="538"/>
      <c r="GZS23" s="538"/>
      <c r="GZT23" s="538"/>
      <c r="GZU23" s="538"/>
      <c r="GZV23" s="538"/>
      <c r="GZW23" s="538"/>
      <c r="GZX23" s="538"/>
      <c r="GZY23" s="538"/>
      <c r="GZZ23" s="538"/>
      <c r="HAA23" s="538"/>
      <c r="HAB23" s="538"/>
      <c r="HAC23" s="538"/>
      <c r="HAD23" s="538"/>
      <c r="HAE23" s="538"/>
      <c r="HAF23" s="538"/>
      <c r="HAG23" s="538"/>
      <c r="HAH23" s="538"/>
      <c r="HAI23" s="538"/>
      <c r="HAJ23" s="538"/>
      <c r="HAK23" s="538"/>
      <c r="HAL23" s="538"/>
      <c r="HAM23" s="538"/>
      <c r="HAN23" s="538"/>
      <c r="HAO23" s="538"/>
      <c r="HAP23" s="538"/>
      <c r="HAQ23" s="538"/>
      <c r="HAR23" s="538"/>
      <c r="HAS23" s="538"/>
      <c r="HAT23" s="538"/>
      <c r="HAU23" s="538"/>
      <c r="HAV23" s="538"/>
      <c r="HAW23" s="538"/>
      <c r="HAX23" s="538"/>
      <c r="HAY23" s="538"/>
      <c r="HAZ23" s="538"/>
      <c r="HBA23" s="538"/>
      <c r="HBB23" s="538"/>
      <c r="HBC23" s="538"/>
      <c r="HBD23" s="538"/>
      <c r="HBE23" s="538"/>
      <c r="HBF23" s="538"/>
      <c r="HBG23" s="538"/>
      <c r="HBH23" s="538"/>
      <c r="HBI23" s="538"/>
      <c r="HBJ23" s="538"/>
      <c r="HBK23" s="538"/>
      <c r="HBL23" s="538"/>
      <c r="HBM23" s="538"/>
      <c r="HBN23" s="538"/>
      <c r="HBO23" s="538"/>
      <c r="HBP23" s="538"/>
      <c r="HBQ23" s="538"/>
      <c r="HBR23" s="538"/>
      <c r="HBS23" s="538"/>
      <c r="HBT23" s="538"/>
      <c r="HBU23" s="538"/>
      <c r="HBV23" s="538"/>
      <c r="HBW23" s="538"/>
      <c r="HBX23" s="538"/>
      <c r="HBY23" s="538"/>
      <c r="HBZ23" s="538"/>
      <c r="HCA23" s="538"/>
      <c r="HCB23" s="538"/>
      <c r="HCC23" s="538"/>
      <c r="HCD23" s="538"/>
      <c r="HCE23" s="538"/>
      <c r="HCF23" s="538"/>
      <c r="HCG23" s="538"/>
      <c r="HCH23" s="538"/>
      <c r="HCI23" s="538"/>
      <c r="HCJ23" s="538"/>
      <c r="HCK23" s="538"/>
      <c r="HCL23" s="538"/>
      <c r="HCM23" s="538"/>
      <c r="HCN23" s="538"/>
      <c r="HCO23" s="538"/>
      <c r="HCP23" s="538"/>
      <c r="HCQ23" s="538"/>
      <c r="HCR23" s="538"/>
      <c r="HCS23" s="538"/>
      <c r="HCT23" s="538"/>
      <c r="HCU23" s="538"/>
      <c r="HCV23" s="538"/>
      <c r="HCW23" s="538"/>
      <c r="HCX23" s="538"/>
      <c r="HCY23" s="538"/>
      <c r="HCZ23" s="538"/>
      <c r="HDA23" s="538"/>
      <c r="HDB23" s="538"/>
      <c r="HDC23" s="538"/>
      <c r="HDD23" s="538"/>
      <c r="HDE23" s="538"/>
      <c r="HDF23" s="538"/>
      <c r="HDG23" s="538"/>
      <c r="HDH23" s="538"/>
      <c r="HDI23" s="538"/>
      <c r="HDJ23" s="538"/>
      <c r="HDK23" s="538"/>
      <c r="HDL23" s="538"/>
      <c r="HDM23" s="538"/>
      <c r="HDN23" s="538"/>
      <c r="HDO23" s="538"/>
      <c r="HDP23" s="538"/>
      <c r="HDQ23" s="538"/>
      <c r="HDR23" s="538"/>
      <c r="HDS23" s="538"/>
      <c r="HDT23" s="538"/>
      <c r="HDU23" s="538"/>
      <c r="HDV23" s="538"/>
      <c r="HDW23" s="538"/>
      <c r="HDX23" s="538"/>
      <c r="HDY23" s="538"/>
      <c r="HDZ23" s="538"/>
      <c r="HEA23" s="538"/>
      <c r="HEB23" s="538"/>
      <c r="HEC23" s="538"/>
      <c r="HED23" s="538"/>
      <c r="HEE23" s="538"/>
      <c r="HEF23" s="538"/>
      <c r="HEG23" s="538"/>
      <c r="HEH23" s="538"/>
      <c r="HEI23" s="538"/>
      <c r="HEJ23" s="538"/>
      <c r="HEK23" s="538"/>
      <c r="HEL23" s="538"/>
      <c r="HEM23" s="538"/>
      <c r="HEN23" s="538"/>
      <c r="HEO23" s="538"/>
      <c r="HEP23" s="538"/>
      <c r="HEQ23" s="538"/>
      <c r="HER23" s="538"/>
      <c r="HES23" s="538"/>
      <c r="HET23" s="538"/>
      <c r="HEU23" s="538"/>
      <c r="HEV23" s="538"/>
      <c r="HEW23" s="538"/>
      <c r="HEX23" s="538"/>
      <c r="HEY23" s="538"/>
      <c r="HEZ23" s="538"/>
      <c r="HFA23" s="538"/>
      <c r="HFB23" s="538"/>
      <c r="HFC23" s="538"/>
      <c r="HFD23" s="538"/>
      <c r="HFE23" s="538"/>
      <c r="HFF23" s="538"/>
      <c r="HFG23" s="538"/>
      <c r="HFH23" s="538"/>
      <c r="HFI23" s="538"/>
      <c r="HFJ23" s="538"/>
      <c r="HFK23" s="538"/>
      <c r="HFL23" s="538"/>
      <c r="HFM23" s="538"/>
      <c r="HFN23" s="538"/>
      <c r="HFO23" s="538"/>
      <c r="HFP23" s="538"/>
      <c r="HFQ23" s="538"/>
      <c r="HFR23" s="538"/>
      <c r="HFS23" s="538"/>
      <c r="HFT23" s="538"/>
      <c r="HFU23" s="538"/>
      <c r="HFV23" s="538"/>
      <c r="HFW23" s="538"/>
      <c r="HFX23" s="538"/>
      <c r="HFY23" s="538"/>
      <c r="HFZ23" s="538"/>
      <c r="HGA23" s="538"/>
      <c r="HGB23" s="538"/>
      <c r="HGC23" s="538"/>
      <c r="HGD23" s="538"/>
      <c r="HGE23" s="538"/>
      <c r="HGF23" s="538"/>
      <c r="HGG23" s="538"/>
      <c r="HGH23" s="538"/>
      <c r="HGI23" s="538"/>
      <c r="HGJ23" s="538"/>
      <c r="HGK23" s="538"/>
      <c r="HGL23" s="538"/>
      <c r="HGM23" s="538"/>
      <c r="HGN23" s="538"/>
      <c r="HGO23" s="538"/>
      <c r="HGP23" s="538"/>
      <c r="HGQ23" s="538"/>
      <c r="HGR23" s="538"/>
      <c r="HGS23" s="538"/>
      <c r="HGT23" s="538"/>
      <c r="HGU23" s="538"/>
      <c r="HGV23" s="538"/>
      <c r="HGW23" s="538"/>
      <c r="HGX23" s="538"/>
      <c r="HGY23" s="538"/>
      <c r="HGZ23" s="538"/>
      <c r="HHA23" s="538"/>
      <c r="HHB23" s="538"/>
      <c r="HHC23" s="538"/>
      <c r="HHD23" s="538"/>
      <c r="HHE23" s="538"/>
      <c r="HHF23" s="538"/>
      <c r="HHG23" s="538"/>
      <c r="HHH23" s="538"/>
      <c r="HHI23" s="538"/>
      <c r="HHJ23" s="538"/>
      <c r="HHK23" s="538"/>
      <c r="HHL23" s="538"/>
      <c r="HHM23" s="538"/>
      <c r="HHN23" s="538"/>
      <c r="HHO23" s="538"/>
      <c r="HHP23" s="538"/>
      <c r="HHQ23" s="538"/>
      <c r="HHR23" s="538"/>
      <c r="HHS23" s="538"/>
      <c r="HHT23" s="538"/>
      <c r="HHU23" s="538"/>
      <c r="HHV23" s="538"/>
      <c r="HHW23" s="538"/>
      <c r="HHX23" s="538"/>
      <c r="HHY23" s="538"/>
      <c r="HHZ23" s="538"/>
      <c r="HIA23" s="538"/>
      <c r="HIB23" s="538"/>
      <c r="HIC23" s="538"/>
      <c r="HID23" s="538"/>
      <c r="HIE23" s="538"/>
      <c r="HIF23" s="538"/>
      <c r="HIG23" s="538"/>
      <c r="HIH23" s="538"/>
      <c r="HII23" s="538"/>
      <c r="HIJ23" s="538"/>
      <c r="HIK23" s="538"/>
      <c r="HIL23" s="538"/>
      <c r="HIM23" s="538"/>
      <c r="HIN23" s="538"/>
      <c r="HIO23" s="538"/>
      <c r="HIP23" s="538"/>
      <c r="HIQ23" s="538"/>
      <c r="HIR23" s="538"/>
      <c r="HIS23" s="538"/>
      <c r="HIT23" s="538"/>
      <c r="HIU23" s="538"/>
      <c r="HIV23" s="538"/>
      <c r="HIW23" s="538"/>
      <c r="HIX23" s="538"/>
      <c r="HIY23" s="538"/>
      <c r="HIZ23" s="538"/>
      <c r="HJA23" s="538"/>
      <c r="HJB23" s="538"/>
      <c r="HJC23" s="538"/>
      <c r="HJD23" s="538"/>
      <c r="HJE23" s="538"/>
      <c r="HJF23" s="538"/>
      <c r="HJG23" s="538"/>
      <c r="HJH23" s="538"/>
      <c r="HJI23" s="538"/>
      <c r="HJJ23" s="538"/>
      <c r="HJK23" s="538"/>
      <c r="HJL23" s="538"/>
      <c r="HJM23" s="538"/>
      <c r="HJN23" s="538"/>
      <c r="HJO23" s="538"/>
      <c r="HJP23" s="538"/>
      <c r="HJQ23" s="538"/>
      <c r="HJR23" s="538"/>
      <c r="HJS23" s="538"/>
      <c r="HJT23" s="538"/>
      <c r="HJU23" s="538"/>
      <c r="HJV23" s="538"/>
      <c r="HJW23" s="538"/>
      <c r="HJX23" s="538"/>
      <c r="HJY23" s="538"/>
      <c r="HJZ23" s="538"/>
      <c r="HKA23" s="538"/>
      <c r="HKB23" s="538"/>
      <c r="HKC23" s="538"/>
      <c r="HKD23" s="538"/>
      <c r="HKE23" s="538"/>
      <c r="HKF23" s="538"/>
      <c r="HKG23" s="538"/>
      <c r="HKH23" s="538"/>
      <c r="HKI23" s="538"/>
      <c r="HKJ23" s="538"/>
      <c r="HKK23" s="538"/>
      <c r="HKL23" s="538"/>
      <c r="HKM23" s="538"/>
      <c r="HKN23" s="538"/>
      <c r="HKO23" s="538"/>
      <c r="HKP23" s="538"/>
      <c r="HKQ23" s="538"/>
      <c r="HKR23" s="538"/>
      <c r="HKS23" s="538"/>
      <c r="HKT23" s="538"/>
      <c r="HKU23" s="538"/>
      <c r="HKV23" s="538"/>
      <c r="HKW23" s="538"/>
      <c r="HKX23" s="538"/>
      <c r="HKY23" s="538"/>
      <c r="HKZ23" s="538"/>
      <c r="HLA23" s="538"/>
      <c r="HLB23" s="538"/>
      <c r="HLC23" s="538"/>
      <c r="HLD23" s="538"/>
      <c r="HLE23" s="538"/>
      <c r="HLF23" s="538"/>
      <c r="HLG23" s="538"/>
      <c r="HLH23" s="538"/>
      <c r="HLI23" s="538"/>
      <c r="HLJ23" s="538"/>
      <c r="HLK23" s="538"/>
      <c r="HLL23" s="538"/>
      <c r="HLM23" s="538"/>
      <c r="HLN23" s="538"/>
      <c r="HLO23" s="538"/>
      <c r="HLP23" s="538"/>
      <c r="HLQ23" s="538"/>
      <c r="HLR23" s="538"/>
      <c r="HLS23" s="538"/>
      <c r="HLT23" s="538"/>
      <c r="HLU23" s="538"/>
      <c r="HLV23" s="538"/>
      <c r="HLW23" s="538"/>
      <c r="HLX23" s="538"/>
      <c r="HLY23" s="538"/>
      <c r="HLZ23" s="538"/>
      <c r="HMA23" s="538"/>
      <c r="HMB23" s="538"/>
      <c r="HMC23" s="538"/>
      <c r="HMD23" s="538"/>
      <c r="HME23" s="538"/>
      <c r="HMF23" s="538"/>
      <c r="HMG23" s="538"/>
      <c r="HMH23" s="538"/>
      <c r="HMI23" s="538"/>
      <c r="HMJ23" s="538"/>
      <c r="HMK23" s="538"/>
      <c r="HML23" s="538"/>
      <c r="HMM23" s="538"/>
      <c r="HMN23" s="538"/>
      <c r="HMO23" s="538"/>
      <c r="HMP23" s="538"/>
      <c r="HMQ23" s="538"/>
      <c r="HMR23" s="538"/>
      <c r="HMS23" s="538"/>
      <c r="HMT23" s="538"/>
      <c r="HMU23" s="538"/>
      <c r="HMV23" s="538"/>
      <c r="HMW23" s="538"/>
      <c r="HMX23" s="538"/>
      <c r="HMY23" s="538"/>
      <c r="HMZ23" s="538"/>
      <c r="HNA23" s="538"/>
      <c r="HNB23" s="538"/>
      <c r="HNC23" s="538"/>
      <c r="HND23" s="538"/>
      <c r="HNE23" s="538"/>
      <c r="HNF23" s="538"/>
      <c r="HNG23" s="538"/>
      <c r="HNH23" s="538"/>
      <c r="HNI23" s="538"/>
      <c r="HNJ23" s="538"/>
      <c r="HNK23" s="538"/>
      <c r="HNL23" s="538"/>
      <c r="HNM23" s="538"/>
      <c r="HNN23" s="538"/>
      <c r="HNO23" s="538"/>
      <c r="HNP23" s="538"/>
      <c r="HNQ23" s="538"/>
      <c r="HNR23" s="538"/>
      <c r="HNS23" s="538"/>
      <c r="HNT23" s="538"/>
      <c r="HNU23" s="538"/>
      <c r="HNV23" s="538"/>
      <c r="HNW23" s="538"/>
      <c r="HNX23" s="538"/>
      <c r="HNY23" s="538"/>
      <c r="HNZ23" s="538"/>
      <c r="HOA23" s="538"/>
      <c r="HOB23" s="538"/>
      <c r="HOC23" s="538"/>
      <c r="HOD23" s="538"/>
      <c r="HOE23" s="538"/>
      <c r="HOF23" s="538"/>
      <c r="HOG23" s="538"/>
      <c r="HOH23" s="538"/>
      <c r="HOI23" s="538"/>
      <c r="HOJ23" s="538"/>
      <c r="HOK23" s="538"/>
      <c r="HOL23" s="538"/>
      <c r="HOM23" s="538"/>
      <c r="HON23" s="538"/>
      <c r="HOO23" s="538"/>
      <c r="HOP23" s="538"/>
      <c r="HOQ23" s="538"/>
      <c r="HOR23" s="538"/>
      <c r="HOS23" s="538"/>
      <c r="HOT23" s="538"/>
      <c r="HOU23" s="538"/>
      <c r="HOV23" s="538"/>
      <c r="HOW23" s="538"/>
      <c r="HOX23" s="538"/>
      <c r="HOY23" s="538"/>
      <c r="HOZ23" s="538"/>
      <c r="HPA23" s="538"/>
      <c r="HPB23" s="538"/>
      <c r="HPC23" s="538"/>
      <c r="HPD23" s="538"/>
      <c r="HPE23" s="538"/>
      <c r="HPF23" s="538"/>
      <c r="HPG23" s="538"/>
      <c r="HPH23" s="538"/>
      <c r="HPI23" s="538"/>
      <c r="HPJ23" s="538"/>
      <c r="HPK23" s="538"/>
      <c r="HPL23" s="538"/>
      <c r="HPM23" s="538"/>
      <c r="HPN23" s="538"/>
      <c r="HPO23" s="538"/>
      <c r="HPP23" s="538"/>
      <c r="HPQ23" s="538"/>
      <c r="HPR23" s="538"/>
      <c r="HPS23" s="538"/>
      <c r="HPT23" s="538"/>
      <c r="HPU23" s="538"/>
      <c r="HPV23" s="538"/>
      <c r="HPW23" s="538"/>
      <c r="HPX23" s="538"/>
      <c r="HPY23" s="538"/>
      <c r="HPZ23" s="538"/>
      <c r="HQA23" s="538"/>
      <c r="HQB23" s="538"/>
      <c r="HQC23" s="538"/>
      <c r="HQD23" s="538"/>
      <c r="HQE23" s="538"/>
      <c r="HQF23" s="538"/>
      <c r="HQG23" s="538"/>
      <c r="HQH23" s="538"/>
      <c r="HQI23" s="538"/>
      <c r="HQJ23" s="538"/>
      <c r="HQK23" s="538"/>
      <c r="HQL23" s="538"/>
      <c r="HQM23" s="538"/>
      <c r="HQN23" s="538"/>
      <c r="HQO23" s="538"/>
      <c r="HQP23" s="538"/>
      <c r="HQQ23" s="538"/>
      <c r="HQR23" s="538"/>
      <c r="HQS23" s="538"/>
      <c r="HQT23" s="538"/>
      <c r="HQU23" s="538"/>
      <c r="HQV23" s="538"/>
      <c r="HQW23" s="538"/>
      <c r="HQX23" s="538"/>
      <c r="HQY23" s="538"/>
      <c r="HQZ23" s="538"/>
      <c r="HRA23" s="538"/>
      <c r="HRB23" s="538"/>
      <c r="HRC23" s="538"/>
      <c r="HRD23" s="538"/>
      <c r="HRE23" s="538"/>
      <c r="HRF23" s="538"/>
      <c r="HRG23" s="538"/>
      <c r="HRH23" s="538"/>
      <c r="HRI23" s="538"/>
      <c r="HRJ23" s="538"/>
      <c r="HRK23" s="538"/>
      <c r="HRL23" s="538"/>
      <c r="HRM23" s="538"/>
      <c r="HRN23" s="538"/>
      <c r="HRO23" s="538"/>
      <c r="HRP23" s="538"/>
      <c r="HRQ23" s="538"/>
      <c r="HRR23" s="538"/>
      <c r="HRS23" s="538"/>
      <c r="HRT23" s="538"/>
      <c r="HRU23" s="538"/>
      <c r="HRV23" s="538"/>
      <c r="HRW23" s="538"/>
      <c r="HRX23" s="538"/>
      <c r="HRY23" s="538"/>
      <c r="HRZ23" s="538"/>
      <c r="HSA23" s="538"/>
      <c r="HSB23" s="538"/>
      <c r="HSC23" s="538"/>
      <c r="HSD23" s="538"/>
      <c r="HSE23" s="538"/>
      <c r="HSF23" s="538"/>
      <c r="HSG23" s="538"/>
      <c r="HSH23" s="538"/>
      <c r="HSI23" s="538"/>
      <c r="HSJ23" s="538"/>
      <c r="HSK23" s="538"/>
      <c r="HSL23" s="538"/>
      <c r="HSM23" s="538"/>
      <c r="HSN23" s="538"/>
      <c r="HSO23" s="538"/>
      <c r="HSP23" s="538"/>
      <c r="HSQ23" s="538"/>
      <c r="HSR23" s="538"/>
      <c r="HSS23" s="538"/>
      <c r="HST23" s="538"/>
      <c r="HSU23" s="538"/>
      <c r="HSV23" s="538"/>
      <c r="HSW23" s="538"/>
      <c r="HSX23" s="538"/>
      <c r="HSY23" s="538"/>
      <c r="HSZ23" s="538"/>
      <c r="HTA23" s="538"/>
      <c r="HTB23" s="538"/>
      <c r="HTC23" s="538"/>
      <c r="HTD23" s="538"/>
      <c r="HTE23" s="538"/>
      <c r="HTF23" s="538"/>
      <c r="HTG23" s="538"/>
      <c r="HTH23" s="538"/>
      <c r="HTI23" s="538"/>
      <c r="HTJ23" s="538"/>
      <c r="HTK23" s="538"/>
      <c r="HTL23" s="538"/>
      <c r="HTM23" s="538"/>
      <c r="HTN23" s="538"/>
      <c r="HTO23" s="538"/>
      <c r="HTP23" s="538"/>
      <c r="HTQ23" s="538"/>
      <c r="HTR23" s="538"/>
      <c r="HTS23" s="538"/>
      <c r="HTT23" s="538"/>
      <c r="HTU23" s="538"/>
      <c r="HTV23" s="538"/>
      <c r="HTW23" s="538"/>
      <c r="HTX23" s="538"/>
      <c r="HTY23" s="538"/>
      <c r="HTZ23" s="538"/>
      <c r="HUA23" s="538"/>
      <c r="HUB23" s="538"/>
      <c r="HUC23" s="538"/>
      <c r="HUD23" s="538"/>
      <c r="HUE23" s="538"/>
      <c r="HUF23" s="538"/>
      <c r="HUG23" s="538"/>
      <c r="HUH23" s="538"/>
      <c r="HUI23" s="538"/>
      <c r="HUJ23" s="538"/>
      <c r="HUK23" s="538"/>
      <c r="HUL23" s="538"/>
      <c r="HUM23" s="538"/>
      <c r="HUN23" s="538"/>
      <c r="HUO23" s="538"/>
      <c r="HUP23" s="538"/>
      <c r="HUQ23" s="538"/>
      <c r="HUR23" s="538"/>
      <c r="HUS23" s="538"/>
      <c r="HUT23" s="538"/>
      <c r="HUU23" s="538"/>
      <c r="HUV23" s="538"/>
      <c r="HUW23" s="538"/>
      <c r="HUX23" s="538"/>
      <c r="HUY23" s="538"/>
      <c r="HUZ23" s="538"/>
      <c r="HVA23" s="538"/>
      <c r="HVB23" s="538"/>
      <c r="HVC23" s="538"/>
      <c r="HVD23" s="538"/>
      <c r="HVE23" s="538"/>
      <c r="HVF23" s="538"/>
      <c r="HVG23" s="538"/>
      <c r="HVH23" s="538"/>
      <c r="HVI23" s="538"/>
      <c r="HVJ23" s="538"/>
      <c r="HVK23" s="538"/>
      <c r="HVL23" s="538"/>
      <c r="HVM23" s="538"/>
      <c r="HVN23" s="538"/>
      <c r="HVO23" s="538"/>
      <c r="HVP23" s="538"/>
      <c r="HVQ23" s="538"/>
      <c r="HVR23" s="538"/>
      <c r="HVS23" s="538"/>
      <c r="HVT23" s="538"/>
      <c r="HVU23" s="538"/>
      <c r="HVV23" s="538"/>
      <c r="HVW23" s="538"/>
      <c r="HVX23" s="538"/>
      <c r="HVY23" s="538"/>
      <c r="HVZ23" s="538"/>
      <c r="HWA23" s="538"/>
      <c r="HWB23" s="538"/>
      <c r="HWC23" s="538"/>
      <c r="HWD23" s="538"/>
      <c r="HWE23" s="538"/>
      <c r="HWF23" s="538"/>
      <c r="HWG23" s="538"/>
      <c r="HWH23" s="538"/>
      <c r="HWI23" s="538"/>
      <c r="HWJ23" s="538"/>
      <c r="HWK23" s="538"/>
      <c r="HWL23" s="538"/>
      <c r="HWM23" s="538"/>
      <c r="HWN23" s="538"/>
      <c r="HWO23" s="538"/>
      <c r="HWP23" s="538"/>
      <c r="HWQ23" s="538"/>
      <c r="HWR23" s="538"/>
      <c r="HWS23" s="538"/>
      <c r="HWT23" s="538"/>
      <c r="HWU23" s="538"/>
      <c r="HWV23" s="538"/>
      <c r="HWW23" s="538"/>
      <c r="HWX23" s="538"/>
      <c r="HWY23" s="538"/>
      <c r="HWZ23" s="538"/>
      <c r="HXA23" s="538"/>
      <c r="HXB23" s="538"/>
      <c r="HXC23" s="538"/>
      <c r="HXD23" s="538"/>
      <c r="HXE23" s="538"/>
      <c r="HXF23" s="538"/>
      <c r="HXG23" s="538"/>
      <c r="HXH23" s="538"/>
      <c r="HXI23" s="538"/>
      <c r="HXJ23" s="538"/>
      <c r="HXK23" s="538"/>
      <c r="HXL23" s="538"/>
      <c r="HXM23" s="538"/>
      <c r="HXN23" s="538"/>
      <c r="HXO23" s="538"/>
      <c r="HXP23" s="538"/>
      <c r="HXQ23" s="538"/>
      <c r="HXR23" s="538"/>
      <c r="HXS23" s="538"/>
      <c r="HXT23" s="538"/>
      <c r="HXU23" s="538"/>
      <c r="HXV23" s="538"/>
      <c r="HXW23" s="538"/>
      <c r="HXX23" s="538"/>
      <c r="HXY23" s="538"/>
      <c r="HXZ23" s="538"/>
      <c r="HYA23" s="538"/>
      <c r="HYB23" s="538"/>
      <c r="HYC23" s="538"/>
      <c r="HYD23" s="538"/>
      <c r="HYE23" s="538"/>
      <c r="HYF23" s="538"/>
      <c r="HYG23" s="538"/>
      <c r="HYH23" s="538"/>
      <c r="HYI23" s="538"/>
      <c r="HYJ23" s="538"/>
      <c r="HYK23" s="538"/>
      <c r="HYL23" s="538"/>
      <c r="HYM23" s="538"/>
      <c r="HYN23" s="538"/>
      <c r="HYO23" s="538"/>
      <c r="HYP23" s="538"/>
      <c r="HYQ23" s="538"/>
      <c r="HYR23" s="538"/>
      <c r="HYS23" s="538"/>
      <c r="HYT23" s="538"/>
      <c r="HYU23" s="538"/>
      <c r="HYV23" s="538"/>
      <c r="HYW23" s="538"/>
      <c r="HYX23" s="538"/>
      <c r="HYY23" s="538"/>
      <c r="HYZ23" s="538"/>
      <c r="HZA23" s="538"/>
      <c r="HZB23" s="538"/>
      <c r="HZC23" s="538"/>
      <c r="HZD23" s="538"/>
      <c r="HZE23" s="538"/>
      <c r="HZF23" s="538"/>
      <c r="HZG23" s="538"/>
      <c r="HZH23" s="538"/>
      <c r="HZI23" s="538"/>
      <c r="HZJ23" s="538"/>
      <c r="HZK23" s="538"/>
      <c r="HZL23" s="538"/>
      <c r="HZM23" s="538"/>
      <c r="HZN23" s="538"/>
      <c r="HZO23" s="538"/>
      <c r="HZP23" s="538"/>
      <c r="HZQ23" s="538"/>
      <c r="HZR23" s="538"/>
      <c r="HZS23" s="538"/>
      <c r="HZT23" s="538"/>
      <c r="HZU23" s="538"/>
      <c r="HZV23" s="538"/>
      <c r="HZW23" s="538"/>
      <c r="HZX23" s="538"/>
      <c r="HZY23" s="538"/>
      <c r="HZZ23" s="538"/>
      <c r="IAA23" s="538"/>
      <c r="IAB23" s="538"/>
      <c r="IAC23" s="538"/>
      <c r="IAD23" s="538"/>
      <c r="IAE23" s="538"/>
      <c r="IAF23" s="538"/>
      <c r="IAG23" s="538"/>
      <c r="IAH23" s="538"/>
      <c r="IAI23" s="538"/>
      <c r="IAJ23" s="538"/>
      <c r="IAK23" s="538"/>
      <c r="IAL23" s="538"/>
      <c r="IAM23" s="538"/>
      <c r="IAN23" s="538"/>
      <c r="IAO23" s="538"/>
      <c r="IAP23" s="538"/>
      <c r="IAQ23" s="538"/>
      <c r="IAR23" s="538"/>
      <c r="IAS23" s="538"/>
      <c r="IAT23" s="538"/>
      <c r="IAU23" s="538"/>
      <c r="IAV23" s="538"/>
      <c r="IAW23" s="538"/>
      <c r="IAX23" s="538"/>
      <c r="IAY23" s="538"/>
      <c r="IAZ23" s="538"/>
      <c r="IBA23" s="538"/>
      <c r="IBB23" s="538"/>
      <c r="IBC23" s="538"/>
      <c r="IBD23" s="538"/>
      <c r="IBE23" s="538"/>
      <c r="IBF23" s="538"/>
      <c r="IBG23" s="538"/>
      <c r="IBH23" s="538"/>
      <c r="IBI23" s="538"/>
      <c r="IBJ23" s="538"/>
      <c r="IBK23" s="538"/>
      <c r="IBL23" s="538"/>
      <c r="IBM23" s="538"/>
      <c r="IBN23" s="538"/>
      <c r="IBO23" s="538"/>
      <c r="IBP23" s="538"/>
      <c r="IBQ23" s="538"/>
      <c r="IBR23" s="538"/>
      <c r="IBS23" s="538"/>
      <c r="IBT23" s="538"/>
      <c r="IBU23" s="538"/>
      <c r="IBV23" s="538"/>
      <c r="IBW23" s="538"/>
      <c r="IBX23" s="538"/>
      <c r="IBY23" s="538"/>
      <c r="IBZ23" s="538"/>
      <c r="ICA23" s="538"/>
      <c r="ICB23" s="538"/>
      <c r="ICC23" s="538"/>
      <c r="ICD23" s="538"/>
      <c r="ICE23" s="538"/>
      <c r="ICF23" s="538"/>
      <c r="ICG23" s="538"/>
      <c r="ICH23" s="538"/>
      <c r="ICI23" s="538"/>
      <c r="ICJ23" s="538"/>
      <c r="ICK23" s="538"/>
      <c r="ICL23" s="538"/>
      <c r="ICM23" s="538"/>
      <c r="ICN23" s="538"/>
      <c r="ICO23" s="538"/>
      <c r="ICP23" s="538"/>
      <c r="ICQ23" s="538"/>
      <c r="ICR23" s="538"/>
      <c r="ICS23" s="538"/>
      <c r="ICT23" s="538"/>
      <c r="ICU23" s="538"/>
      <c r="ICV23" s="538"/>
      <c r="ICW23" s="538"/>
      <c r="ICX23" s="538"/>
      <c r="ICY23" s="538"/>
      <c r="ICZ23" s="538"/>
      <c r="IDA23" s="538"/>
      <c r="IDB23" s="538"/>
      <c r="IDC23" s="538"/>
      <c r="IDD23" s="538"/>
      <c r="IDE23" s="538"/>
      <c r="IDF23" s="538"/>
      <c r="IDG23" s="538"/>
      <c r="IDH23" s="538"/>
      <c r="IDI23" s="538"/>
      <c r="IDJ23" s="538"/>
      <c r="IDK23" s="538"/>
      <c r="IDL23" s="538"/>
      <c r="IDM23" s="538"/>
      <c r="IDN23" s="538"/>
      <c r="IDO23" s="538"/>
      <c r="IDP23" s="538"/>
      <c r="IDQ23" s="538"/>
      <c r="IDR23" s="538"/>
      <c r="IDS23" s="538"/>
      <c r="IDT23" s="538"/>
      <c r="IDU23" s="538"/>
      <c r="IDV23" s="538"/>
      <c r="IDW23" s="538"/>
      <c r="IDX23" s="538"/>
      <c r="IDY23" s="538"/>
      <c r="IDZ23" s="538"/>
      <c r="IEA23" s="538"/>
      <c r="IEB23" s="538"/>
      <c r="IEC23" s="538"/>
      <c r="IED23" s="538"/>
      <c r="IEE23" s="538"/>
      <c r="IEF23" s="538"/>
      <c r="IEG23" s="538"/>
      <c r="IEH23" s="538"/>
      <c r="IEI23" s="538"/>
      <c r="IEJ23" s="538"/>
      <c r="IEK23" s="538"/>
      <c r="IEL23" s="538"/>
      <c r="IEM23" s="538"/>
      <c r="IEN23" s="538"/>
      <c r="IEO23" s="538"/>
      <c r="IEP23" s="538"/>
      <c r="IEQ23" s="538"/>
      <c r="IER23" s="538"/>
      <c r="IES23" s="538"/>
      <c r="IET23" s="538"/>
      <c r="IEU23" s="538"/>
      <c r="IEV23" s="538"/>
      <c r="IEW23" s="538"/>
      <c r="IEX23" s="538"/>
      <c r="IEY23" s="538"/>
      <c r="IEZ23" s="538"/>
      <c r="IFA23" s="538"/>
      <c r="IFB23" s="538"/>
      <c r="IFC23" s="538"/>
      <c r="IFD23" s="538"/>
      <c r="IFE23" s="538"/>
      <c r="IFF23" s="538"/>
      <c r="IFG23" s="538"/>
      <c r="IFH23" s="538"/>
      <c r="IFI23" s="538"/>
      <c r="IFJ23" s="538"/>
      <c r="IFK23" s="538"/>
      <c r="IFL23" s="538"/>
      <c r="IFM23" s="538"/>
      <c r="IFN23" s="538"/>
      <c r="IFO23" s="538"/>
      <c r="IFP23" s="538"/>
      <c r="IFQ23" s="538"/>
      <c r="IFR23" s="538"/>
      <c r="IFS23" s="538"/>
      <c r="IFT23" s="538"/>
      <c r="IFU23" s="538"/>
      <c r="IFV23" s="538"/>
      <c r="IFW23" s="538"/>
      <c r="IFX23" s="538"/>
      <c r="IFY23" s="538"/>
      <c r="IFZ23" s="538"/>
      <c r="IGA23" s="538"/>
      <c r="IGB23" s="538"/>
      <c r="IGC23" s="538"/>
      <c r="IGD23" s="538"/>
      <c r="IGE23" s="538"/>
      <c r="IGF23" s="538"/>
      <c r="IGG23" s="538"/>
      <c r="IGH23" s="538"/>
      <c r="IGI23" s="538"/>
      <c r="IGJ23" s="538"/>
      <c r="IGK23" s="538"/>
      <c r="IGL23" s="538"/>
      <c r="IGM23" s="538"/>
      <c r="IGN23" s="538"/>
      <c r="IGO23" s="538"/>
      <c r="IGP23" s="538"/>
      <c r="IGQ23" s="538"/>
      <c r="IGR23" s="538"/>
      <c r="IGS23" s="538"/>
      <c r="IGT23" s="538"/>
      <c r="IGU23" s="538"/>
      <c r="IGV23" s="538"/>
      <c r="IGW23" s="538"/>
      <c r="IGX23" s="538"/>
      <c r="IGY23" s="538"/>
      <c r="IGZ23" s="538"/>
      <c r="IHA23" s="538"/>
      <c r="IHB23" s="538"/>
      <c r="IHC23" s="538"/>
      <c r="IHD23" s="538"/>
      <c r="IHE23" s="538"/>
      <c r="IHF23" s="538"/>
      <c r="IHG23" s="538"/>
      <c r="IHH23" s="538"/>
      <c r="IHI23" s="538"/>
      <c r="IHJ23" s="538"/>
      <c r="IHK23" s="538"/>
      <c r="IHL23" s="538"/>
      <c r="IHM23" s="538"/>
      <c r="IHN23" s="538"/>
      <c r="IHO23" s="538"/>
      <c r="IHP23" s="538"/>
      <c r="IHQ23" s="538"/>
      <c r="IHR23" s="538"/>
      <c r="IHS23" s="538"/>
      <c r="IHT23" s="538"/>
      <c r="IHU23" s="538"/>
      <c r="IHV23" s="538"/>
      <c r="IHW23" s="538"/>
      <c r="IHX23" s="538"/>
      <c r="IHY23" s="538"/>
      <c r="IHZ23" s="538"/>
      <c r="IIA23" s="538"/>
      <c r="IIB23" s="538"/>
      <c r="IIC23" s="538"/>
      <c r="IID23" s="538"/>
      <c r="IIE23" s="538"/>
      <c r="IIF23" s="538"/>
      <c r="IIG23" s="538"/>
      <c r="IIH23" s="538"/>
      <c r="III23" s="538"/>
      <c r="IIJ23" s="538"/>
      <c r="IIK23" s="538"/>
      <c r="IIL23" s="538"/>
      <c r="IIM23" s="538"/>
      <c r="IIN23" s="538"/>
      <c r="IIO23" s="538"/>
      <c r="IIP23" s="538"/>
      <c r="IIQ23" s="538"/>
      <c r="IIR23" s="538"/>
      <c r="IIS23" s="538"/>
      <c r="IIT23" s="538"/>
      <c r="IIU23" s="538"/>
      <c r="IIV23" s="538"/>
      <c r="IIW23" s="538"/>
      <c r="IIX23" s="538"/>
      <c r="IIY23" s="538"/>
      <c r="IIZ23" s="538"/>
      <c r="IJA23" s="538"/>
      <c r="IJB23" s="538"/>
      <c r="IJC23" s="538"/>
      <c r="IJD23" s="538"/>
      <c r="IJE23" s="538"/>
      <c r="IJF23" s="538"/>
      <c r="IJG23" s="538"/>
      <c r="IJH23" s="538"/>
      <c r="IJI23" s="538"/>
      <c r="IJJ23" s="538"/>
      <c r="IJK23" s="538"/>
      <c r="IJL23" s="538"/>
      <c r="IJM23" s="538"/>
      <c r="IJN23" s="538"/>
      <c r="IJO23" s="538"/>
      <c r="IJP23" s="538"/>
      <c r="IJQ23" s="538"/>
      <c r="IJR23" s="538"/>
      <c r="IJS23" s="538"/>
      <c r="IJT23" s="538"/>
      <c r="IJU23" s="538"/>
      <c r="IJV23" s="538"/>
      <c r="IJW23" s="538"/>
      <c r="IJX23" s="538"/>
      <c r="IJY23" s="538"/>
      <c r="IJZ23" s="538"/>
      <c r="IKA23" s="538"/>
      <c r="IKB23" s="538"/>
      <c r="IKC23" s="538"/>
      <c r="IKD23" s="538"/>
      <c r="IKE23" s="538"/>
      <c r="IKF23" s="538"/>
      <c r="IKG23" s="538"/>
      <c r="IKH23" s="538"/>
      <c r="IKI23" s="538"/>
      <c r="IKJ23" s="538"/>
      <c r="IKK23" s="538"/>
      <c r="IKL23" s="538"/>
      <c r="IKM23" s="538"/>
      <c r="IKN23" s="538"/>
      <c r="IKO23" s="538"/>
      <c r="IKP23" s="538"/>
      <c r="IKQ23" s="538"/>
      <c r="IKR23" s="538"/>
      <c r="IKS23" s="538"/>
      <c r="IKT23" s="538"/>
      <c r="IKU23" s="538"/>
      <c r="IKV23" s="538"/>
      <c r="IKW23" s="538"/>
      <c r="IKX23" s="538"/>
      <c r="IKY23" s="538"/>
      <c r="IKZ23" s="538"/>
      <c r="ILA23" s="538"/>
      <c r="ILB23" s="538"/>
      <c r="ILC23" s="538"/>
      <c r="ILD23" s="538"/>
      <c r="ILE23" s="538"/>
      <c r="ILF23" s="538"/>
      <c r="ILG23" s="538"/>
      <c r="ILH23" s="538"/>
      <c r="ILI23" s="538"/>
      <c r="ILJ23" s="538"/>
      <c r="ILK23" s="538"/>
      <c r="ILL23" s="538"/>
      <c r="ILM23" s="538"/>
      <c r="ILN23" s="538"/>
      <c r="ILO23" s="538"/>
      <c r="ILP23" s="538"/>
      <c r="ILQ23" s="538"/>
      <c r="ILR23" s="538"/>
      <c r="ILS23" s="538"/>
      <c r="ILT23" s="538"/>
      <c r="ILU23" s="538"/>
      <c r="ILV23" s="538"/>
      <c r="ILW23" s="538"/>
      <c r="ILX23" s="538"/>
      <c r="ILY23" s="538"/>
      <c r="ILZ23" s="538"/>
      <c r="IMA23" s="538"/>
      <c r="IMB23" s="538"/>
      <c r="IMC23" s="538"/>
      <c r="IMD23" s="538"/>
      <c r="IME23" s="538"/>
      <c r="IMF23" s="538"/>
      <c r="IMG23" s="538"/>
      <c r="IMH23" s="538"/>
      <c r="IMI23" s="538"/>
      <c r="IMJ23" s="538"/>
      <c r="IMK23" s="538"/>
      <c r="IML23" s="538"/>
      <c r="IMM23" s="538"/>
      <c r="IMN23" s="538"/>
      <c r="IMO23" s="538"/>
      <c r="IMP23" s="538"/>
      <c r="IMQ23" s="538"/>
      <c r="IMR23" s="538"/>
      <c r="IMS23" s="538"/>
      <c r="IMT23" s="538"/>
      <c r="IMU23" s="538"/>
      <c r="IMV23" s="538"/>
      <c r="IMW23" s="538"/>
      <c r="IMX23" s="538"/>
      <c r="IMY23" s="538"/>
      <c r="IMZ23" s="538"/>
      <c r="INA23" s="538"/>
      <c r="INB23" s="538"/>
      <c r="INC23" s="538"/>
      <c r="IND23" s="538"/>
      <c r="INE23" s="538"/>
      <c r="INF23" s="538"/>
      <c r="ING23" s="538"/>
      <c r="INH23" s="538"/>
      <c r="INI23" s="538"/>
      <c r="INJ23" s="538"/>
      <c r="INK23" s="538"/>
      <c r="INL23" s="538"/>
      <c r="INM23" s="538"/>
      <c r="INN23" s="538"/>
      <c r="INO23" s="538"/>
      <c r="INP23" s="538"/>
      <c r="INQ23" s="538"/>
      <c r="INR23" s="538"/>
      <c r="INS23" s="538"/>
      <c r="INT23" s="538"/>
      <c r="INU23" s="538"/>
      <c r="INV23" s="538"/>
      <c r="INW23" s="538"/>
      <c r="INX23" s="538"/>
      <c r="INY23" s="538"/>
      <c r="INZ23" s="538"/>
      <c r="IOA23" s="538"/>
      <c r="IOB23" s="538"/>
      <c r="IOC23" s="538"/>
      <c r="IOD23" s="538"/>
      <c r="IOE23" s="538"/>
      <c r="IOF23" s="538"/>
      <c r="IOG23" s="538"/>
      <c r="IOH23" s="538"/>
      <c r="IOI23" s="538"/>
      <c r="IOJ23" s="538"/>
      <c r="IOK23" s="538"/>
      <c r="IOL23" s="538"/>
      <c r="IOM23" s="538"/>
      <c r="ION23" s="538"/>
      <c r="IOO23" s="538"/>
      <c r="IOP23" s="538"/>
      <c r="IOQ23" s="538"/>
      <c r="IOR23" s="538"/>
      <c r="IOS23" s="538"/>
      <c r="IOT23" s="538"/>
      <c r="IOU23" s="538"/>
      <c r="IOV23" s="538"/>
      <c r="IOW23" s="538"/>
      <c r="IOX23" s="538"/>
      <c r="IOY23" s="538"/>
      <c r="IOZ23" s="538"/>
      <c r="IPA23" s="538"/>
      <c r="IPB23" s="538"/>
      <c r="IPC23" s="538"/>
      <c r="IPD23" s="538"/>
      <c r="IPE23" s="538"/>
      <c r="IPF23" s="538"/>
      <c r="IPG23" s="538"/>
      <c r="IPH23" s="538"/>
      <c r="IPI23" s="538"/>
      <c r="IPJ23" s="538"/>
      <c r="IPK23" s="538"/>
      <c r="IPL23" s="538"/>
      <c r="IPM23" s="538"/>
      <c r="IPN23" s="538"/>
      <c r="IPO23" s="538"/>
      <c r="IPP23" s="538"/>
      <c r="IPQ23" s="538"/>
      <c r="IPR23" s="538"/>
      <c r="IPS23" s="538"/>
      <c r="IPT23" s="538"/>
      <c r="IPU23" s="538"/>
      <c r="IPV23" s="538"/>
      <c r="IPW23" s="538"/>
      <c r="IPX23" s="538"/>
      <c r="IPY23" s="538"/>
      <c r="IPZ23" s="538"/>
      <c r="IQA23" s="538"/>
      <c r="IQB23" s="538"/>
      <c r="IQC23" s="538"/>
      <c r="IQD23" s="538"/>
      <c r="IQE23" s="538"/>
      <c r="IQF23" s="538"/>
      <c r="IQG23" s="538"/>
      <c r="IQH23" s="538"/>
      <c r="IQI23" s="538"/>
      <c r="IQJ23" s="538"/>
      <c r="IQK23" s="538"/>
      <c r="IQL23" s="538"/>
      <c r="IQM23" s="538"/>
      <c r="IQN23" s="538"/>
      <c r="IQO23" s="538"/>
      <c r="IQP23" s="538"/>
      <c r="IQQ23" s="538"/>
      <c r="IQR23" s="538"/>
      <c r="IQS23" s="538"/>
      <c r="IQT23" s="538"/>
      <c r="IQU23" s="538"/>
      <c r="IQV23" s="538"/>
      <c r="IQW23" s="538"/>
      <c r="IQX23" s="538"/>
      <c r="IQY23" s="538"/>
      <c r="IQZ23" s="538"/>
      <c r="IRA23" s="538"/>
      <c r="IRB23" s="538"/>
      <c r="IRC23" s="538"/>
      <c r="IRD23" s="538"/>
      <c r="IRE23" s="538"/>
      <c r="IRF23" s="538"/>
      <c r="IRG23" s="538"/>
      <c r="IRH23" s="538"/>
      <c r="IRI23" s="538"/>
      <c r="IRJ23" s="538"/>
      <c r="IRK23" s="538"/>
      <c r="IRL23" s="538"/>
      <c r="IRM23" s="538"/>
      <c r="IRN23" s="538"/>
      <c r="IRO23" s="538"/>
      <c r="IRP23" s="538"/>
      <c r="IRQ23" s="538"/>
      <c r="IRR23" s="538"/>
      <c r="IRS23" s="538"/>
      <c r="IRT23" s="538"/>
      <c r="IRU23" s="538"/>
      <c r="IRV23" s="538"/>
      <c r="IRW23" s="538"/>
      <c r="IRX23" s="538"/>
      <c r="IRY23" s="538"/>
      <c r="IRZ23" s="538"/>
      <c r="ISA23" s="538"/>
      <c r="ISB23" s="538"/>
      <c r="ISC23" s="538"/>
      <c r="ISD23" s="538"/>
      <c r="ISE23" s="538"/>
      <c r="ISF23" s="538"/>
      <c r="ISG23" s="538"/>
      <c r="ISH23" s="538"/>
      <c r="ISI23" s="538"/>
      <c r="ISJ23" s="538"/>
      <c r="ISK23" s="538"/>
      <c r="ISL23" s="538"/>
      <c r="ISM23" s="538"/>
      <c r="ISN23" s="538"/>
      <c r="ISO23" s="538"/>
      <c r="ISP23" s="538"/>
      <c r="ISQ23" s="538"/>
      <c r="ISR23" s="538"/>
      <c r="ISS23" s="538"/>
      <c r="IST23" s="538"/>
      <c r="ISU23" s="538"/>
      <c r="ISV23" s="538"/>
      <c r="ISW23" s="538"/>
      <c r="ISX23" s="538"/>
      <c r="ISY23" s="538"/>
      <c r="ISZ23" s="538"/>
      <c r="ITA23" s="538"/>
      <c r="ITB23" s="538"/>
      <c r="ITC23" s="538"/>
      <c r="ITD23" s="538"/>
      <c r="ITE23" s="538"/>
      <c r="ITF23" s="538"/>
      <c r="ITG23" s="538"/>
      <c r="ITH23" s="538"/>
      <c r="ITI23" s="538"/>
      <c r="ITJ23" s="538"/>
      <c r="ITK23" s="538"/>
      <c r="ITL23" s="538"/>
      <c r="ITM23" s="538"/>
      <c r="ITN23" s="538"/>
      <c r="ITO23" s="538"/>
      <c r="ITP23" s="538"/>
      <c r="ITQ23" s="538"/>
      <c r="ITR23" s="538"/>
      <c r="ITS23" s="538"/>
      <c r="ITT23" s="538"/>
      <c r="ITU23" s="538"/>
      <c r="ITV23" s="538"/>
      <c r="ITW23" s="538"/>
      <c r="ITX23" s="538"/>
      <c r="ITY23" s="538"/>
      <c r="ITZ23" s="538"/>
      <c r="IUA23" s="538"/>
      <c r="IUB23" s="538"/>
      <c r="IUC23" s="538"/>
      <c r="IUD23" s="538"/>
      <c r="IUE23" s="538"/>
      <c r="IUF23" s="538"/>
      <c r="IUG23" s="538"/>
      <c r="IUH23" s="538"/>
      <c r="IUI23" s="538"/>
      <c r="IUJ23" s="538"/>
      <c r="IUK23" s="538"/>
      <c r="IUL23" s="538"/>
      <c r="IUM23" s="538"/>
      <c r="IUN23" s="538"/>
      <c r="IUO23" s="538"/>
      <c r="IUP23" s="538"/>
      <c r="IUQ23" s="538"/>
      <c r="IUR23" s="538"/>
      <c r="IUS23" s="538"/>
      <c r="IUT23" s="538"/>
      <c r="IUU23" s="538"/>
      <c r="IUV23" s="538"/>
      <c r="IUW23" s="538"/>
      <c r="IUX23" s="538"/>
      <c r="IUY23" s="538"/>
      <c r="IUZ23" s="538"/>
      <c r="IVA23" s="538"/>
      <c r="IVB23" s="538"/>
      <c r="IVC23" s="538"/>
      <c r="IVD23" s="538"/>
      <c r="IVE23" s="538"/>
      <c r="IVF23" s="538"/>
      <c r="IVG23" s="538"/>
      <c r="IVH23" s="538"/>
      <c r="IVI23" s="538"/>
      <c r="IVJ23" s="538"/>
      <c r="IVK23" s="538"/>
      <c r="IVL23" s="538"/>
      <c r="IVM23" s="538"/>
      <c r="IVN23" s="538"/>
      <c r="IVO23" s="538"/>
      <c r="IVP23" s="538"/>
      <c r="IVQ23" s="538"/>
      <c r="IVR23" s="538"/>
      <c r="IVS23" s="538"/>
      <c r="IVT23" s="538"/>
      <c r="IVU23" s="538"/>
      <c r="IVV23" s="538"/>
      <c r="IVW23" s="538"/>
      <c r="IVX23" s="538"/>
      <c r="IVY23" s="538"/>
      <c r="IVZ23" s="538"/>
      <c r="IWA23" s="538"/>
      <c r="IWB23" s="538"/>
      <c r="IWC23" s="538"/>
      <c r="IWD23" s="538"/>
      <c r="IWE23" s="538"/>
      <c r="IWF23" s="538"/>
      <c r="IWG23" s="538"/>
      <c r="IWH23" s="538"/>
      <c r="IWI23" s="538"/>
      <c r="IWJ23" s="538"/>
      <c r="IWK23" s="538"/>
      <c r="IWL23" s="538"/>
      <c r="IWM23" s="538"/>
      <c r="IWN23" s="538"/>
      <c r="IWO23" s="538"/>
      <c r="IWP23" s="538"/>
      <c r="IWQ23" s="538"/>
      <c r="IWR23" s="538"/>
      <c r="IWS23" s="538"/>
      <c r="IWT23" s="538"/>
      <c r="IWU23" s="538"/>
      <c r="IWV23" s="538"/>
      <c r="IWW23" s="538"/>
      <c r="IWX23" s="538"/>
      <c r="IWY23" s="538"/>
      <c r="IWZ23" s="538"/>
      <c r="IXA23" s="538"/>
      <c r="IXB23" s="538"/>
      <c r="IXC23" s="538"/>
      <c r="IXD23" s="538"/>
      <c r="IXE23" s="538"/>
      <c r="IXF23" s="538"/>
      <c r="IXG23" s="538"/>
      <c r="IXH23" s="538"/>
      <c r="IXI23" s="538"/>
      <c r="IXJ23" s="538"/>
      <c r="IXK23" s="538"/>
      <c r="IXL23" s="538"/>
      <c r="IXM23" s="538"/>
      <c r="IXN23" s="538"/>
      <c r="IXO23" s="538"/>
      <c r="IXP23" s="538"/>
      <c r="IXQ23" s="538"/>
      <c r="IXR23" s="538"/>
      <c r="IXS23" s="538"/>
      <c r="IXT23" s="538"/>
      <c r="IXU23" s="538"/>
      <c r="IXV23" s="538"/>
      <c r="IXW23" s="538"/>
      <c r="IXX23" s="538"/>
      <c r="IXY23" s="538"/>
      <c r="IXZ23" s="538"/>
      <c r="IYA23" s="538"/>
      <c r="IYB23" s="538"/>
      <c r="IYC23" s="538"/>
      <c r="IYD23" s="538"/>
      <c r="IYE23" s="538"/>
      <c r="IYF23" s="538"/>
      <c r="IYG23" s="538"/>
      <c r="IYH23" s="538"/>
      <c r="IYI23" s="538"/>
      <c r="IYJ23" s="538"/>
      <c r="IYK23" s="538"/>
      <c r="IYL23" s="538"/>
      <c r="IYM23" s="538"/>
      <c r="IYN23" s="538"/>
      <c r="IYO23" s="538"/>
      <c r="IYP23" s="538"/>
      <c r="IYQ23" s="538"/>
      <c r="IYR23" s="538"/>
      <c r="IYS23" s="538"/>
      <c r="IYT23" s="538"/>
      <c r="IYU23" s="538"/>
      <c r="IYV23" s="538"/>
      <c r="IYW23" s="538"/>
      <c r="IYX23" s="538"/>
      <c r="IYY23" s="538"/>
      <c r="IYZ23" s="538"/>
      <c r="IZA23" s="538"/>
      <c r="IZB23" s="538"/>
      <c r="IZC23" s="538"/>
      <c r="IZD23" s="538"/>
      <c r="IZE23" s="538"/>
      <c r="IZF23" s="538"/>
      <c r="IZG23" s="538"/>
      <c r="IZH23" s="538"/>
      <c r="IZI23" s="538"/>
      <c r="IZJ23" s="538"/>
      <c r="IZK23" s="538"/>
      <c r="IZL23" s="538"/>
      <c r="IZM23" s="538"/>
      <c r="IZN23" s="538"/>
      <c r="IZO23" s="538"/>
      <c r="IZP23" s="538"/>
      <c r="IZQ23" s="538"/>
      <c r="IZR23" s="538"/>
      <c r="IZS23" s="538"/>
      <c r="IZT23" s="538"/>
      <c r="IZU23" s="538"/>
      <c r="IZV23" s="538"/>
      <c r="IZW23" s="538"/>
      <c r="IZX23" s="538"/>
      <c r="IZY23" s="538"/>
      <c r="IZZ23" s="538"/>
      <c r="JAA23" s="538"/>
      <c r="JAB23" s="538"/>
      <c r="JAC23" s="538"/>
      <c r="JAD23" s="538"/>
      <c r="JAE23" s="538"/>
      <c r="JAF23" s="538"/>
      <c r="JAG23" s="538"/>
      <c r="JAH23" s="538"/>
      <c r="JAI23" s="538"/>
      <c r="JAJ23" s="538"/>
      <c r="JAK23" s="538"/>
      <c r="JAL23" s="538"/>
      <c r="JAM23" s="538"/>
      <c r="JAN23" s="538"/>
      <c r="JAO23" s="538"/>
      <c r="JAP23" s="538"/>
      <c r="JAQ23" s="538"/>
      <c r="JAR23" s="538"/>
      <c r="JAS23" s="538"/>
      <c r="JAT23" s="538"/>
      <c r="JAU23" s="538"/>
      <c r="JAV23" s="538"/>
      <c r="JAW23" s="538"/>
      <c r="JAX23" s="538"/>
      <c r="JAY23" s="538"/>
      <c r="JAZ23" s="538"/>
      <c r="JBA23" s="538"/>
      <c r="JBB23" s="538"/>
      <c r="JBC23" s="538"/>
      <c r="JBD23" s="538"/>
      <c r="JBE23" s="538"/>
      <c r="JBF23" s="538"/>
      <c r="JBG23" s="538"/>
      <c r="JBH23" s="538"/>
      <c r="JBI23" s="538"/>
      <c r="JBJ23" s="538"/>
      <c r="JBK23" s="538"/>
      <c r="JBL23" s="538"/>
      <c r="JBM23" s="538"/>
      <c r="JBN23" s="538"/>
      <c r="JBO23" s="538"/>
      <c r="JBP23" s="538"/>
      <c r="JBQ23" s="538"/>
      <c r="JBR23" s="538"/>
      <c r="JBS23" s="538"/>
      <c r="JBT23" s="538"/>
      <c r="JBU23" s="538"/>
      <c r="JBV23" s="538"/>
      <c r="JBW23" s="538"/>
      <c r="JBX23" s="538"/>
      <c r="JBY23" s="538"/>
      <c r="JBZ23" s="538"/>
      <c r="JCA23" s="538"/>
      <c r="JCB23" s="538"/>
      <c r="JCC23" s="538"/>
      <c r="JCD23" s="538"/>
      <c r="JCE23" s="538"/>
      <c r="JCF23" s="538"/>
      <c r="JCG23" s="538"/>
      <c r="JCH23" s="538"/>
      <c r="JCI23" s="538"/>
      <c r="JCJ23" s="538"/>
      <c r="JCK23" s="538"/>
      <c r="JCL23" s="538"/>
      <c r="JCM23" s="538"/>
      <c r="JCN23" s="538"/>
      <c r="JCO23" s="538"/>
      <c r="JCP23" s="538"/>
      <c r="JCQ23" s="538"/>
      <c r="JCR23" s="538"/>
      <c r="JCS23" s="538"/>
      <c r="JCT23" s="538"/>
      <c r="JCU23" s="538"/>
      <c r="JCV23" s="538"/>
      <c r="JCW23" s="538"/>
      <c r="JCX23" s="538"/>
      <c r="JCY23" s="538"/>
      <c r="JCZ23" s="538"/>
      <c r="JDA23" s="538"/>
      <c r="JDB23" s="538"/>
      <c r="JDC23" s="538"/>
      <c r="JDD23" s="538"/>
      <c r="JDE23" s="538"/>
      <c r="JDF23" s="538"/>
      <c r="JDG23" s="538"/>
      <c r="JDH23" s="538"/>
      <c r="JDI23" s="538"/>
      <c r="JDJ23" s="538"/>
      <c r="JDK23" s="538"/>
      <c r="JDL23" s="538"/>
      <c r="JDM23" s="538"/>
      <c r="JDN23" s="538"/>
      <c r="JDO23" s="538"/>
      <c r="JDP23" s="538"/>
      <c r="JDQ23" s="538"/>
      <c r="JDR23" s="538"/>
      <c r="JDS23" s="538"/>
      <c r="JDT23" s="538"/>
      <c r="JDU23" s="538"/>
      <c r="JDV23" s="538"/>
      <c r="JDW23" s="538"/>
      <c r="JDX23" s="538"/>
      <c r="JDY23" s="538"/>
      <c r="JDZ23" s="538"/>
      <c r="JEA23" s="538"/>
      <c r="JEB23" s="538"/>
      <c r="JEC23" s="538"/>
      <c r="JED23" s="538"/>
      <c r="JEE23" s="538"/>
      <c r="JEF23" s="538"/>
      <c r="JEG23" s="538"/>
      <c r="JEH23" s="538"/>
      <c r="JEI23" s="538"/>
      <c r="JEJ23" s="538"/>
      <c r="JEK23" s="538"/>
      <c r="JEL23" s="538"/>
      <c r="JEM23" s="538"/>
      <c r="JEN23" s="538"/>
      <c r="JEO23" s="538"/>
      <c r="JEP23" s="538"/>
      <c r="JEQ23" s="538"/>
      <c r="JER23" s="538"/>
      <c r="JES23" s="538"/>
      <c r="JET23" s="538"/>
      <c r="JEU23" s="538"/>
      <c r="JEV23" s="538"/>
      <c r="JEW23" s="538"/>
      <c r="JEX23" s="538"/>
      <c r="JEY23" s="538"/>
      <c r="JEZ23" s="538"/>
      <c r="JFA23" s="538"/>
      <c r="JFB23" s="538"/>
      <c r="JFC23" s="538"/>
      <c r="JFD23" s="538"/>
      <c r="JFE23" s="538"/>
      <c r="JFF23" s="538"/>
      <c r="JFG23" s="538"/>
      <c r="JFH23" s="538"/>
      <c r="JFI23" s="538"/>
      <c r="JFJ23" s="538"/>
      <c r="JFK23" s="538"/>
      <c r="JFL23" s="538"/>
      <c r="JFM23" s="538"/>
      <c r="JFN23" s="538"/>
      <c r="JFO23" s="538"/>
      <c r="JFP23" s="538"/>
      <c r="JFQ23" s="538"/>
      <c r="JFR23" s="538"/>
      <c r="JFS23" s="538"/>
      <c r="JFT23" s="538"/>
      <c r="JFU23" s="538"/>
      <c r="JFV23" s="538"/>
      <c r="JFW23" s="538"/>
      <c r="JFX23" s="538"/>
      <c r="JFY23" s="538"/>
      <c r="JFZ23" s="538"/>
      <c r="JGA23" s="538"/>
      <c r="JGB23" s="538"/>
      <c r="JGC23" s="538"/>
      <c r="JGD23" s="538"/>
      <c r="JGE23" s="538"/>
      <c r="JGF23" s="538"/>
      <c r="JGG23" s="538"/>
      <c r="JGH23" s="538"/>
      <c r="JGI23" s="538"/>
      <c r="JGJ23" s="538"/>
      <c r="JGK23" s="538"/>
      <c r="JGL23" s="538"/>
      <c r="JGM23" s="538"/>
      <c r="JGN23" s="538"/>
      <c r="JGO23" s="538"/>
      <c r="JGP23" s="538"/>
      <c r="JGQ23" s="538"/>
      <c r="JGR23" s="538"/>
      <c r="JGS23" s="538"/>
      <c r="JGT23" s="538"/>
      <c r="JGU23" s="538"/>
      <c r="JGV23" s="538"/>
      <c r="JGW23" s="538"/>
      <c r="JGX23" s="538"/>
      <c r="JGY23" s="538"/>
      <c r="JGZ23" s="538"/>
      <c r="JHA23" s="538"/>
      <c r="JHB23" s="538"/>
      <c r="JHC23" s="538"/>
      <c r="JHD23" s="538"/>
      <c r="JHE23" s="538"/>
      <c r="JHF23" s="538"/>
      <c r="JHG23" s="538"/>
      <c r="JHH23" s="538"/>
      <c r="JHI23" s="538"/>
      <c r="JHJ23" s="538"/>
      <c r="JHK23" s="538"/>
      <c r="JHL23" s="538"/>
      <c r="JHM23" s="538"/>
      <c r="JHN23" s="538"/>
      <c r="JHO23" s="538"/>
      <c r="JHP23" s="538"/>
      <c r="JHQ23" s="538"/>
      <c r="JHR23" s="538"/>
      <c r="JHS23" s="538"/>
      <c r="JHT23" s="538"/>
      <c r="JHU23" s="538"/>
      <c r="JHV23" s="538"/>
      <c r="JHW23" s="538"/>
      <c r="JHX23" s="538"/>
      <c r="JHY23" s="538"/>
      <c r="JHZ23" s="538"/>
      <c r="JIA23" s="538"/>
      <c r="JIB23" s="538"/>
      <c r="JIC23" s="538"/>
      <c r="JID23" s="538"/>
      <c r="JIE23" s="538"/>
      <c r="JIF23" s="538"/>
      <c r="JIG23" s="538"/>
      <c r="JIH23" s="538"/>
      <c r="JII23" s="538"/>
      <c r="JIJ23" s="538"/>
      <c r="JIK23" s="538"/>
      <c r="JIL23" s="538"/>
      <c r="JIM23" s="538"/>
      <c r="JIN23" s="538"/>
      <c r="JIO23" s="538"/>
      <c r="JIP23" s="538"/>
      <c r="JIQ23" s="538"/>
      <c r="JIR23" s="538"/>
      <c r="JIS23" s="538"/>
      <c r="JIT23" s="538"/>
      <c r="JIU23" s="538"/>
      <c r="JIV23" s="538"/>
      <c r="JIW23" s="538"/>
      <c r="JIX23" s="538"/>
      <c r="JIY23" s="538"/>
      <c r="JIZ23" s="538"/>
      <c r="JJA23" s="538"/>
      <c r="JJB23" s="538"/>
      <c r="JJC23" s="538"/>
      <c r="JJD23" s="538"/>
      <c r="JJE23" s="538"/>
      <c r="JJF23" s="538"/>
      <c r="JJG23" s="538"/>
      <c r="JJH23" s="538"/>
      <c r="JJI23" s="538"/>
      <c r="JJJ23" s="538"/>
      <c r="JJK23" s="538"/>
      <c r="JJL23" s="538"/>
      <c r="JJM23" s="538"/>
      <c r="JJN23" s="538"/>
      <c r="JJO23" s="538"/>
      <c r="JJP23" s="538"/>
      <c r="JJQ23" s="538"/>
      <c r="JJR23" s="538"/>
      <c r="JJS23" s="538"/>
      <c r="JJT23" s="538"/>
      <c r="JJU23" s="538"/>
      <c r="JJV23" s="538"/>
      <c r="JJW23" s="538"/>
      <c r="JJX23" s="538"/>
      <c r="JJY23" s="538"/>
      <c r="JJZ23" s="538"/>
      <c r="JKA23" s="538"/>
      <c r="JKB23" s="538"/>
      <c r="JKC23" s="538"/>
      <c r="JKD23" s="538"/>
      <c r="JKE23" s="538"/>
      <c r="JKF23" s="538"/>
      <c r="JKG23" s="538"/>
      <c r="JKH23" s="538"/>
      <c r="JKI23" s="538"/>
      <c r="JKJ23" s="538"/>
      <c r="JKK23" s="538"/>
      <c r="JKL23" s="538"/>
      <c r="JKM23" s="538"/>
      <c r="JKN23" s="538"/>
      <c r="JKO23" s="538"/>
      <c r="JKP23" s="538"/>
      <c r="JKQ23" s="538"/>
      <c r="JKR23" s="538"/>
      <c r="JKS23" s="538"/>
      <c r="JKT23" s="538"/>
      <c r="JKU23" s="538"/>
      <c r="JKV23" s="538"/>
      <c r="JKW23" s="538"/>
      <c r="JKX23" s="538"/>
      <c r="JKY23" s="538"/>
      <c r="JKZ23" s="538"/>
      <c r="JLA23" s="538"/>
      <c r="JLB23" s="538"/>
      <c r="JLC23" s="538"/>
      <c r="JLD23" s="538"/>
      <c r="JLE23" s="538"/>
      <c r="JLF23" s="538"/>
      <c r="JLG23" s="538"/>
      <c r="JLH23" s="538"/>
      <c r="JLI23" s="538"/>
      <c r="JLJ23" s="538"/>
      <c r="JLK23" s="538"/>
      <c r="JLL23" s="538"/>
      <c r="JLM23" s="538"/>
      <c r="JLN23" s="538"/>
      <c r="JLO23" s="538"/>
      <c r="JLP23" s="538"/>
      <c r="JLQ23" s="538"/>
      <c r="JLR23" s="538"/>
      <c r="JLS23" s="538"/>
      <c r="JLT23" s="538"/>
      <c r="JLU23" s="538"/>
      <c r="JLV23" s="538"/>
      <c r="JLW23" s="538"/>
      <c r="JLX23" s="538"/>
      <c r="JLY23" s="538"/>
      <c r="JLZ23" s="538"/>
      <c r="JMA23" s="538"/>
      <c r="JMB23" s="538"/>
      <c r="JMC23" s="538"/>
      <c r="JMD23" s="538"/>
      <c r="JME23" s="538"/>
      <c r="JMF23" s="538"/>
      <c r="JMG23" s="538"/>
      <c r="JMH23" s="538"/>
      <c r="JMI23" s="538"/>
      <c r="JMJ23" s="538"/>
      <c r="JMK23" s="538"/>
      <c r="JML23" s="538"/>
      <c r="JMM23" s="538"/>
      <c r="JMN23" s="538"/>
      <c r="JMO23" s="538"/>
      <c r="JMP23" s="538"/>
      <c r="JMQ23" s="538"/>
      <c r="JMR23" s="538"/>
      <c r="JMS23" s="538"/>
      <c r="JMT23" s="538"/>
      <c r="JMU23" s="538"/>
      <c r="JMV23" s="538"/>
      <c r="JMW23" s="538"/>
      <c r="JMX23" s="538"/>
      <c r="JMY23" s="538"/>
      <c r="JMZ23" s="538"/>
      <c r="JNA23" s="538"/>
      <c r="JNB23" s="538"/>
      <c r="JNC23" s="538"/>
      <c r="JND23" s="538"/>
      <c r="JNE23" s="538"/>
      <c r="JNF23" s="538"/>
      <c r="JNG23" s="538"/>
      <c r="JNH23" s="538"/>
      <c r="JNI23" s="538"/>
      <c r="JNJ23" s="538"/>
      <c r="JNK23" s="538"/>
      <c r="JNL23" s="538"/>
      <c r="JNM23" s="538"/>
      <c r="JNN23" s="538"/>
      <c r="JNO23" s="538"/>
      <c r="JNP23" s="538"/>
      <c r="JNQ23" s="538"/>
      <c r="JNR23" s="538"/>
      <c r="JNS23" s="538"/>
      <c r="JNT23" s="538"/>
      <c r="JNU23" s="538"/>
      <c r="JNV23" s="538"/>
      <c r="JNW23" s="538"/>
      <c r="JNX23" s="538"/>
      <c r="JNY23" s="538"/>
      <c r="JNZ23" s="538"/>
      <c r="JOA23" s="538"/>
      <c r="JOB23" s="538"/>
      <c r="JOC23" s="538"/>
      <c r="JOD23" s="538"/>
      <c r="JOE23" s="538"/>
      <c r="JOF23" s="538"/>
      <c r="JOG23" s="538"/>
      <c r="JOH23" s="538"/>
      <c r="JOI23" s="538"/>
      <c r="JOJ23" s="538"/>
      <c r="JOK23" s="538"/>
      <c r="JOL23" s="538"/>
      <c r="JOM23" s="538"/>
      <c r="JON23" s="538"/>
      <c r="JOO23" s="538"/>
      <c r="JOP23" s="538"/>
      <c r="JOQ23" s="538"/>
      <c r="JOR23" s="538"/>
      <c r="JOS23" s="538"/>
      <c r="JOT23" s="538"/>
      <c r="JOU23" s="538"/>
      <c r="JOV23" s="538"/>
      <c r="JOW23" s="538"/>
      <c r="JOX23" s="538"/>
      <c r="JOY23" s="538"/>
      <c r="JOZ23" s="538"/>
      <c r="JPA23" s="538"/>
      <c r="JPB23" s="538"/>
      <c r="JPC23" s="538"/>
      <c r="JPD23" s="538"/>
      <c r="JPE23" s="538"/>
      <c r="JPF23" s="538"/>
      <c r="JPG23" s="538"/>
      <c r="JPH23" s="538"/>
      <c r="JPI23" s="538"/>
      <c r="JPJ23" s="538"/>
      <c r="JPK23" s="538"/>
      <c r="JPL23" s="538"/>
      <c r="JPM23" s="538"/>
      <c r="JPN23" s="538"/>
      <c r="JPO23" s="538"/>
      <c r="JPP23" s="538"/>
      <c r="JPQ23" s="538"/>
      <c r="JPR23" s="538"/>
      <c r="JPS23" s="538"/>
      <c r="JPT23" s="538"/>
      <c r="JPU23" s="538"/>
      <c r="JPV23" s="538"/>
      <c r="JPW23" s="538"/>
      <c r="JPX23" s="538"/>
      <c r="JPY23" s="538"/>
      <c r="JPZ23" s="538"/>
      <c r="JQA23" s="538"/>
      <c r="JQB23" s="538"/>
      <c r="JQC23" s="538"/>
      <c r="JQD23" s="538"/>
      <c r="JQE23" s="538"/>
      <c r="JQF23" s="538"/>
      <c r="JQG23" s="538"/>
      <c r="JQH23" s="538"/>
      <c r="JQI23" s="538"/>
      <c r="JQJ23" s="538"/>
      <c r="JQK23" s="538"/>
      <c r="JQL23" s="538"/>
      <c r="JQM23" s="538"/>
      <c r="JQN23" s="538"/>
      <c r="JQO23" s="538"/>
      <c r="JQP23" s="538"/>
      <c r="JQQ23" s="538"/>
      <c r="JQR23" s="538"/>
      <c r="JQS23" s="538"/>
      <c r="JQT23" s="538"/>
      <c r="JQU23" s="538"/>
      <c r="JQV23" s="538"/>
      <c r="JQW23" s="538"/>
      <c r="JQX23" s="538"/>
      <c r="JQY23" s="538"/>
      <c r="JQZ23" s="538"/>
      <c r="JRA23" s="538"/>
      <c r="JRB23" s="538"/>
      <c r="JRC23" s="538"/>
      <c r="JRD23" s="538"/>
      <c r="JRE23" s="538"/>
      <c r="JRF23" s="538"/>
      <c r="JRG23" s="538"/>
      <c r="JRH23" s="538"/>
      <c r="JRI23" s="538"/>
      <c r="JRJ23" s="538"/>
      <c r="JRK23" s="538"/>
      <c r="JRL23" s="538"/>
      <c r="JRM23" s="538"/>
      <c r="JRN23" s="538"/>
      <c r="JRO23" s="538"/>
      <c r="JRP23" s="538"/>
      <c r="JRQ23" s="538"/>
      <c r="JRR23" s="538"/>
      <c r="JRS23" s="538"/>
      <c r="JRT23" s="538"/>
      <c r="JRU23" s="538"/>
      <c r="JRV23" s="538"/>
      <c r="JRW23" s="538"/>
      <c r="JRX23" s="538"/>
      <c r="JRY23" s="538"/>
      <c r="JRZ23" s="538"/>
      <c r="JSA23" s="538"/>
      <c r="JSB23" s="538"/>
      <c r="JSC23" s="538"/>
      <c r="JSD23" s="538"/>
      <c r="JSE23" s="538"/>
      <c r="JSF23" s="538"/>
      <c r="JSG23" s="538"/>
      <c r="JSH23" s="538"/>
      <c r="JSI23" s="538"/>
      <c r="JSJ23" s="538"/>
      <c r="JSK23" s="538"/>
      <c r="JSL23" s="538"/>
      <c r="JSM23" s="538"/>
      <c r="JSN23" s="538"/>
      <c r="JSO23" s="538"/>
      <c r="JSP23" s="538"/>
      <c r="JSQ23" s="538"/>
      <c r="JSR23" s="538"/>
      <c r="JSS23" s="538"/>
      <c r="JST23" s="538"/>
      <c r="JSU23" s="538"/>
      <c r="JSV23" s="538"/>
      <c r="JSW23" s="538"/>
      <c r="JSX23" s="538"/>
      <c r="JSY23" s="538"/>
      <c r="JSZ23" s="538"/>
      <c r="JTA23" s="538"/>
      <c r="JTB23" s="538"/>
      <c r="JTC23" s="538"/>
      <c r="JTD23" s="538"/>
      <c r="JTE23" s="538"/>
      <c r="JTF23" s="538"/>
      <c r="JTG23" s="538"/>
      <c r="JTH23" s="538"/>
      <c r="JTI23" s="538"/>
      <c r="JTJ23" s="538"/>
      <c r="JTK23" s="538"/>
      <c r="JTL23" s="538"/>
      <c r="JTM23" s="538"/>
      <c r="JTN23" s="538"/>
      <c r="JTO23" s="538"/>
      <c r="JTP23" s="538"/>
      <c r="JTQ23" s="538"/>
      <c r="JTR23" s="538"/>
      <c r="JTS23" s="538"/>
      <c r="JTT23" s="538"/>
      <c r="JTU23" s="538"/>
      <c r="JTV23" s="538"/>
      <c r="JTW23" s="538"/>
      <c r="JTX23" s="538"/>
      <c r="JTY23" s="538"/>
      <c r="JTZ23" s="538"/>
      <c r="JUA23" s="538"/>
      <c r="JUB23" s="538"/>
      <c r="JUC23" s="538"/>
      <c r="JUD23" s="538"/>
      <c r="JUE23" s="538"/>
      <c r="JUF23" s="538"/>
      <c r="JUG23" s="538"/>
      <c r="JUH23" s="538"/>
      <c r="JUI23" s="538"/>
      <c r="JUJ23" s="538"/>
      <c r="JUK23" s="538"/>
      <c r="JUL23" s="538"/>
      <c r="JUM23" s="538"/>
      <c r="JUN23" s="538"/>
      <c r="JUO23" s="538"/>
      <c r="JUP23" s="538"/>
      <c r="JUQ23" s="538"/>
      <c r="JUR23" s="538"/>
      <c r="JUS23" s="538"/>
      <c r="JUT23" s="538"/>
      <c r="JUU23" s="538"/>
      <c r="JUV23" s="538"/>
      <c r="JUW23" s="538"/>
      <c r="JUX23" s="538"/>
      <c r="JUY23" s="538"/>
      <c r="JUZ23" s="538"/>
      <c r="JVA23" s="538"/>
      <c r="JVB23" s="538"/>
      <c r="JVC23" s="538"/>
      <c r="JVD23" s="538"/>
      <c r="JVE23" s="538"/>
      <c r="JVF23" s="538"/>
      <c r="JVG23" s="538"/>
      <c r="JVH23" s="538"/>
      <c r="JVI23" s="538"/>
      <c r="JVJ23" s="538"/>
      <c r="JVK23" s="538"/>
      <c r="JVL23" s="538"/>
      <c r="JVM23" s="538"/>
      <c r="JVN23" s="538"/>
      <c r="JVO23" s="538"/>
      <c r="JVP23" s="538"/>
      <c r="JVQ23" s="538"/>
      <c r="JVR23" s="538"/>
      <c r="JVS23" s="538"/>
      <c r="JVT23" s="538"/>
      <c r="JVU23" s="538"/>
      <c r="JVV23" s="538"/>
      <c r="JVW23" s="538"/>
      <c r="JVX23" s="538"/>
      <c r="JVY23" s="538"/>
      <c r="JVZ23" s="538"/>
      <c r="JWA23" s="538"/>
      <c r="JWB23" s="538"/>
      <c r="JWC23" s="538"/>
      <c r="JWD23" s="538"/>
      <c r="JWE23" s="538"/>
      <c r="JWF23" s="538"/>
      <c r="JWG23" s="538"/>
      <c r="JWH23" s="538"/>
      <c r="JWI23" s="538"/>
      <c r="JWJ23" s="538"/>
      <c r="JWK23" s="538"/>
      <c r="JWL23" s="538"/>
      <c r="JWM23" s="538"/>
      <c r="JWN23" s="538"/>
      <c r="JWO23" s="538"/>
      <c r="JWP23" s="538"/>
      <c r="JWQ23" s="538"/>
      <c r="JWR23" s="538"/>
      <c r="JWS23" s="538"/>
      <c r="JWT23" s="538"/>
      <c r="JWU23" s="538"/>
      <c r="JWV23" s="538"/>
      <c r="JWW23" s="538"/>
      <c r="JWX23" s="538"/>
      <c r="JWY23" s="538"/>
      <c r="JWZ23" s="538"/>
      <c r="JXA23" s="538"/>
      <c r="JXB23" s="538"/>
      <c r="JXC23" s="538"/>
      <c r="JXD23" s="538"/>
      <c r="JXE23" s="538"/>
      <c r="JXF23" s="538"/>
      <c r="JXG23" s="538"/>
      <c r="JXH23" s="538"/>
      <c r="JXI23" s="538"/>
      <c r="JXJ23" s="538"/>
      <c r="JXK23" s="538"/>
      <c r="JXL23" s="538"/>
      <c r="JXM23" s="538"/>
      <c r="JXN23" s="538"/>
      <c r="JXO23" s="538"/>
      <c r="JXP23" s="538"/>
      <c r="JXQ23" s="538"/>
      <c r="JXR23" s="538"/>
      <c r="JXS23" s="538"/>
      <c r="JXT23" s="538"/>
      <c r="JXU23" s="538"/>
      <c r="JXV23" s="538"/>
      <c r="JXW23" s="538"/>
      <c r="JXX23" s="538"/>
      <c r="JXY23" s="538"/>
      <c r="JXZ23" s="538"/>
      <c r="JYA23" s="538"/>
      <c r="JYB23" s="538"/>
      <c r="JYC23" s="538"/>
      <c r="JYD23" s="538"/>
      <c r="JYE23" s="538"/>
      <c r="JYF23" s="538"/>
      <c r="JYG23" s="538"/>
      <c r="JYH23" s="538"/>
      <c r="JYI23" s="538"/>
      <c r="JYJ23" s="538"/>
      <c r="JYK23" s="538"/>
      <c r="JYL23" s="538"/>
      <c r="JYM23" s="538"/>
      <c r="JYN23" s="538"/>
      <c r="JYO23" s="538"/>
      <c r="JYP23" s="538"/>
      <c r="JYQ23" s="538"/>
      <c r="JYR23" s="538"/>
      <c r="JYS23" s="538"/>
      <c r="JYT23" s="538"/>
      <c r="JYU23" s="538"/>
      <c r="JYV23" s="538"/>
      <c r="JYW23" s="538"/>
      <c r="JYX23" s="538"/>
      <c r="JYY23" s="538"/>
      <c r="JYZ23" s="538"/>
      <c r="JZA23" s="538"/>
      <c r="JZB23" s="538"/>
      <c r="JZC23" s="538"/>
      <c r="JZD23" s="538"/>
      <c r="JZE23" s="538"/>
      <c r="JZF23" s="538"/>
      <c r="JZG23" s="538"/>
      <c r="JZH23" s="538"/>
      <c r="JZI23" s="538"/>
      <c r="JZJ23" s="538"/>
      <c r="JZK23" s="538"/>
      <c r="JZL23" s="538"/>
      <c r="JZM23" s="538"/>
      <c r="JZN23" s="538"/>
      <c r="JZO23" s="538"/>
      <c r="JZP23" s="538"/>
      <c r="JZQ23" s="538"/>
      <c r="JZR23" s="538"/>
      <c r="JZS23" s="538"/>
      <c r="JZT23" s="538"/>
      <c r="JZU23" s="538"/>
      <c r="JZV23" s="538"/>
      <c r="JZW23" s="538"/>
      <c r="JZX23" s="538"/>
      <c r="JZY23" s="538"/>
      <c r="JZZ23" s="538"/>
      <c r="KAA23" s="538"/>
      <c r="KAB23" s="538"/>
      <c r="KAC23" s="538"/>
      <c r="KAD23" s="538"/>
      <c r="KAE23" s="538"/>
      <c r="KAF23" s="538"/>
      <c r="KAG23" s="538"/>
      <c r="KAH23" s="538"/>
      <c r="KAI23" s="538"/>
      <c r="KAJ23" s="538"/>
      <c r="KAK23" s="538"/>
      <c r="KAL23" s="538"/>
      <c r="KAM23" s="538"/>
      <c r="KAN23" s="538"/>
      <c r="KAO23" s="538"/>
      <c r="KAP23" s="538"/>
      <c r="KAQ23" s="538"/>
      <c r="KAR23" s="538"/>
      <c r="KAS23" s="538"/>
      <c r="KAT23" s="538"/>
      <c r="KAU23" s="538"/>
      <c r="KAV23" s="538"/>
      <c r="KAW23" s="538"/>
      <c r="KAX23" s="538"/>
      <c r="KAY23" s="538"/>
      <c r="KAZ23" s="538"/>
      <c r="KBA23" s="538"/>
      <c r="KBB23" s="538"/>
      <c r="KBC23" s="538"/>
      <c r="KBD23" s="538"/>
      <c r="KBE23" s="538"/>
      <c r="KBF23" s="538"/>
      <c r="KBG23" s="538"/>
      <c r="KBH23" s="538"/>
      <c r="KBI23" s="538"/>
      <c r="KBJ23" s="538"/>
      <c r="KBK23" s="538"/>
      <c r="KBL23" s="538"/>
      <c r="KBM23" s="538"/>
      <c r="KBN23" s="538"/>
      <c r="KBO23" s="538"/>
      <c r="KBP23" s="538"/>
      <c r="KBQ23" s="538"/>
      <c r="KBR23" s="538"/>
      <c r="KBS23" s="538"/>
      <c r="KBT23" s="538"/>
      <c r="KBU23" s="538"/>
      <c r="KBV23" s="538"/>
      <c r="KBW23" s="538"/>
      <c r="KBX23" s="538"/>
      <c r="KBY23" s="538"/>
      <c r="KBZ23" s="538"/>
      <c r="KCA23" s="538"/>
      <c r="KCB23" s="538"/>
      <c r="KCC23" s="538"/>
      <c r="KCD23" s="538"/>
      <c r="KCE23" s="538"/>
      <c r="KCF23" s="538"/>
      <c r="KCG23" s="538"/>
      <c r="KCH23" s="538"/>
      <c r="KCI23" s="538"/>
      <c r="KCJ23" s="538"/>
      <c r="KCK23" s="538"/>
      <c r="KCL23" s="538"/>
      <c r="KCM23" s="538"/>
      <c r="KCN23" s="538"/>
      <c r="KCO23" s="538"/>
      <c r="KCP23" s="538"/>
      <c r="KCQ23" s="538"/>
      <c r="KCR23" s="538"/>
      <c r="KCS23" s="538"/>
      <c r="KCT23" s="538"/>
      <c r="KCU23" s="538"/>
      <c r="KCV23" s="538"/>
      <c r="KCW23" s="538"/>
      <c r="KCX23" s="538"/>
      <c r="KCY23" s="538"/>
      <c r="KCZ23" s="538"/>
      <c r="KDA23" s="538"/>
      <c r="KDB23" s="538"/>
      <c r="KDC23" s="538"/>
      <c r="KDD23" s="538"/>
      <c r="KDE23" s="538"/>
      <c r="KDF23" s="538"/>
      <c r="KDG23" s="538"/>
      <c r="KDH23" s="538"/>
      <c r="KDI23" s="538"/>
      <c r="KDJ23" s="538"/>
      <c r="KDK23" s="538"/>
      <c r="KDL23" s="538"/>
      <c r="KDM23" s="538"/>
      <c r="KDN23" s="538"/>
      <c r="KDO23" s="538"/>
      <c r="KDP23" s="538"/>
      <c r="KDQ23" s="538"/>
      <c r="KDR23" s="538"/>
      <c r="KDS23" s="538"/>
      <c r="KDT23" s="538"/>
      <c r="KDU23" s="538"/>
      <c r="KDV23" s="538"/>
      <c r="KDW23" s="538"/>
      <c r="KDX23" s="538"/>
      <c r="KDY23" s="538"/>
      <c r="KDZ23" s="538"/>
      <c r="KEA23" s="538"/>
      <c r="KEB23" s="538"/>
      <c r="KEC23" s="538"/>
      <c r="KED23" s="538"/>
      <c r="KEE23" s="538"/>
      <c r="KEF23" s="538"/>
      <c r="KEG23" s="538"/>
      <c r="KEH23" s="538"/>
      <c r="KEI23" s="538"/>
      <c r="KEJ23" s="538"/>
      <c r="KEK23" s="538"/>
      <c r="KEL23" s="538"/>
      <c r="KEM23" s="538"/>
      <c r="KEN23" s="538"/>
      <c r="KEO23" s="538"/>
      <c r="KEP23" s="538"/>
      <c r="KEQ23" s="538"/>
      <c r="KER23" s="538"/>
      <c r="KES23" s="538"/>
      <c r="KET23" s="538"/>
      <c r="KEU23" s="538"/>
      <c r="KEV23" s="538"/>
      <c r="KEW23" s="538"/>
      <c r="KEX23" s="538"/>
      <c r="KEY23" s="538"/>
      <c r="KEZ23" s="538"/>
      <c r="KFA23" s="538"/>
      <c r="KFB23" s="538"/>
      <c r="KFC23" s="538"/>
      <c r="KFD23" s="538"/>
      <c r="KFE23" s="538"/>
      <c r="KFF23" s="538"/>
      <c r="KFG23" s="538"/>
      <c r="KFH23" s="538"/>
      <c r="KFI23" s="538"/>
      <c r="KFJ23" s="538"/>
      <c r="KFK23" s="538"/>
      <c r="KFL23" s="538"/>
      <c r="KFM23" s="538"/>
      <c r="KFN23" s="538"/>
      <c r="KFO23" s="538"/>
      <c r="KFP23" s="538"/>
      <c r="KFQ23" s="538"/>
      <c r="KFR23" s="538"/>
      <c r="KFS23" s="538"/>
      <c r="KFT23" s="538"/>
      <c r="KFU23" s="538"/>
      <c r="KFV23" s="538"/>
      <c r="KFW23" s="538"/>
      <c r="KFX23" s="538"/>
      <c r="KFY23" s="538"/>
      <c r="KFZ23" s="538"/>
      <c r="KGA23" s="538"/>
      <c r="KGB23" s="538"/>
      <c r="KGC23" s="538"/>
      <c r="KGD23" s="538"/>
      <c r="KGE23" s="538"/>
      <c r="KGF23" s="538"/>
      <c r="KGG23" s="538"/>
      <c r="KGH23" s="538"/>
      <c r="KGI23" s="538"/>
      <c r="KGJ23" s="538"/>
      <c r="KGK23" s="538"/>
      <c r="KGL23" s="538"/>
      <c r="KGM23" s="538"/>
      <c r="KGN23" s="538"/>
      <c r="KGO23" s="538"/>
      <c r="KGP23" s="538"/>
      <c r="KGQ23" s="538"/>
      <c r="KGR23" s="538"/>
      <c r="KGS23" s="538"/>
      <c r="KGT23" s="538"/>
      <c r="KGU23" s="538"/>
      <c r="KGV23" s="538"/>
      <c r="KGW23" s="538"/>
      <c r="KGX23" s="538"/>
      <c r="KGY23" s="538"/>
      <c r="KGZ23" s="538"/>
      <c r="KHA23" s="538"/>
      <c r="KHB23" s="538"/>
      <c r="KHC23" s="538"/>
      <c r="KHD23" s="538"/>
      <c r="KHE23" s="538"/>
      <c r="KHF23" s="538"/>
      <c r="KHG23" s="538"/>
      <c r="KHH23" s="538"/>
      <c r="KHI23" s="538"/>
      <c r="KHJ23" s="538"/>
      <c r="KHK23" s="538"/>
      <c r="KHL23" s="538"/>
      <c r="KHM23" s="538"/>
      <c r="KHN23" s="538"/>
      <c r="KHO23" s="538"/>
      <c r="KHP23" s="538"/>
      <c r="KHQ23" s="538"/>
      <c r="KHR23" s="538"/>
      <c r="KHS23" s="538"/>
      <c r="KHT23" s="538"/>
      <c r="KHU23" s="538"/>
      <c r="KHV23" s="538"/>
      <c r="KHW23" s="538"/>
      <c r="KHX23" s="538"/>
      <c r="KHY23" s="538"/>
      <c r="KHZ23" s="538"/>
      <c r="KIA23" s="538"/>
      <c r="KIB23" s="538"/>
      <c r="KIC23" s="538"/>
      <c r="KID23" s="538"/>
      <c r="KIE23" s="538"/>
      <c r="KIF23" s="538"/>
      <c r="KIG23" s="538"/>
      <c r="KIH23" s="538"/>
      <c r="KII23" s="538"/>
      <c r="KIJ23" s="538"/>
      <c r="KIK23" s="538"/>
      <c r="KIL23" s="538"/>
      <c r="KIM23" s="538"/>
      <c r="KIN23" s="538"/>
      <c r="KIO23" s="538"/>
      <c r="KIP23" s="538"/>
      <c r="KIQ23" s="538"/>
      <c r="KIR23" s="538"/>
      <c r="KIS23" s="538"/>
      <c r="KIT23" s="538"/>
      <c r="KIU23" s="538"/>
      <c r="KIV23" s="538"/>
      <c r="KIW23" s="538"/>
      <c r="KIX23" s="538"/>
      <c r="KIY23" s="538"/>
      <c r="KIZ23" s="538"/>
      <c r="KJA23" s="538"/>
      <c r="KJB23" s="538"/>
      <c r="KJC23" s="538"/>
      <c r="KJD23" s="538"/>
      <c r="KJE23" s="538"/>
      <c r="KJF23" s="538"/>
      <c r="KJG23" s="538"/>
      <c r="KJH23" s="538"/>
      <c r="KJI23" s="538"/>
      <c r="KJJ23" s="538"/>
      <c r="KJK23" s="538"/>
      <c r="KJL23" s="538"/>
      <c r="KJM23" s="538"/>
      <c r="KJN23" s="538"/>
      <c r="KJO23" s="538"/>
      <c r="KJP23" s="538"/>
      <c r="KJQ23" s="538"/>
      <c r="KJR23" s="538"/>
      <c r="KJS23" s="538"/>
      <c r="KJT23" s="538"/>
      <c r="KJU23" s="538"/>
      <c r="KJV23" s="538"/>
      <c r="KJW23" s="538"/>
      <c r="KJX23" s="538"/>
      <c r="KJY23" s="538"/>
      <c r="KJZ23" s="538"/>
      <c r="KKA23" s="538"/>
      <c r="KKB23" s="538"/>
      <c r="KKC23" s="538"/>
      <c r="KKD23" s="538"/>
      <c r="KKE23" s="538"/>
      <c r="KKF23" s="538"/>
      <c r="KKG23" s="538"/>
      <c r="KKH23" s="538"/>
      <c r="KKI23" s="538"/>
      <c r="KKJ23" s="538"/>
      <c r="KKK23" s="538"/>
      <c r="KKL23" s="538"/>
      <c r="KKM23" s="538"/>
      <c r="KKN23" s="538"/>
      <c r="KKO23" s="538"/>
      <c r="KKP23" s="538"/>
      <c r="KKQ23" s="538"/>
      <c r="KKR23" s="538"/>
      <c r="KKS23" s="538"/>
      <c r="KKT23" s="538"/>
      <c r="KKU23" s="538"/>
      <c r="KKV23" s="538"/>
      <c r="KKW23" s="538"/>
      <c r="KKX23" s="538"/>
      <c r="KKY23" s="538"/>
      <c r="KKZ23" s="538"/>
      <c r="KLA23" s="538"/>
      <c r="KLB23" s="538"/>
      <c r="KLC23" s="538"/>
      <c r="KLD23" s="538"/>
      <c r="KLE23" s="538"/>
      <c r="KLF23" s="538"/>
      <c r="KLG23" s="538"/>
      <c r="KLH23" s="538"/>
      <c r="KLI23" s="538"/>
      <c r="KLJ23" s="538"/>
      <c r="KLK23" s="538"/>
      <c r="KLL23" s="538"/>
      <c r="KLM23" s="538"/>
      <c r="KLN23" s="538"/>
      <c r="KLO23" s="538"/>
      <c r="KLP23" s="538"/>
      <c r="KLQ23" s="538"/>
      <c r="KLR23" s="538"/>
      <c r="KLS23" s="538"/>
      <c r="KLT23" s="538"/>
      <c r="KLU23" s="538"/>
      <c r="KLV23" s="538"/>
      <c r="KLW23" s="538"/>
      <c r="KLX23" s="538"/>
      <c r="KLY23" s="538"/>
      <c r="KLZ23" s="538"/>
      <c r="KMA23" s="538"/>
      <c r="KMB23" s="538"/>
      <c r="KMC23" s="538"/>
      <c r="KMD23" s="538"/>
      <c r="KME23" s="538"/>
      <c r="KMF23" s="538"/>
      <c r="KMG23" s="538"/>
      <c r="KMH23" s="538"/>
      <c r="KMI23" s="538"/>
      <c r="KMJ23" s="538"/>
      <c r="KMK23" s="538"/>
      <c r="KML23" s="538"/>
      <c r="KMM23" s="538"/>
      <c r="KMN23" s="538"/>
      <c r="KMO23" s="538"/>
      <c r="KMP23" s="538"/>
      <c r="KMQ23" s="538"/>
      <c r="KMR23" s="538"/>
      <c r="KMS23" s="538"/>
      <c r="KMT23" s="538"/>
      <c r="KMU23" s="538"/>
      <c r="KMV23" s="538"/>
      <c r="KMW23" s="538"/>
      <c r="KMX23" s="538"/>
      <c r="KMY23" s="538"/>
      <c r="KMZ23" s="538"/>
      <c r="KNA23" s="538"/>
      <c r="KNB23" s="538"/>
      <c r="KNC23" s="538"/>
      <c r="KND23" s="538"/>
      <c r="KNE23" s="538"/>
      <c r="KNF23" s="538"/>
      <c r="KNG23" s="538"/>
      <c r="KNH23" s="538"/>
      <c r="KNI23" s="538"/>
      <c r="KNJ23" s="538"/>
      <c r="KNK23" s="538"/>
      <c r="KNL23" s="538"/>
      <c r="KNM23" s="538"/>
      <c r="KNN23" s="538"/>
      <c r="KNO23" s="538"/>
      <c r="KNP23" s="538"/>
      <c r="KNQ23" s="538"/>
      <c r="KNR23" s="538"/>
      <c r="KNS23" s="538"/>
      <c r="KNT23" s="538"/>
      <c r="KNU23" s="538"/>
      <c r="KNV23" s="538"/>
      <c r="KNW23" s="538"/>
      <c r="KNX23" s="538"/>
      <c r="KNY23" s="538"/>
      <c r="KNZ23" s="538"/>
      <c r="KOA23" s="538"/>
      <c r="KOB23" s="538"/>
      <c r="KOC23" s="538"/>
      <c r="KOD23" s="538"/>
      <c r="KOE23" s="538"/>
      <c r="KOF23" s="538"/>
      <c r="KOG23" s="538"/>
      <c r="KOH23" s="538"/>
      <c r="KOI23" s="538"/>
      <c r="KOJ23" s="538"/>
      <c r="KOK23" s="538"/>
      <c r="KOL23" s="538"/>
      <c r="KOM23" s="538"/>
      <c r="KON23" s="538"/>
      <c r="KOO23" s="538"/>
      <c r="KOP23" s="538"/>
      <c r="KOQ23" s="538"/>
      <c r="KOR23" s="538"/>
      <c r="KOS23" s="538"/>
      <c r="KOT23" s="538"/>
      <c r="KOU23" s="538"/>
      <c r="KOV23" s="538"/>
      <c r="KOW23" s="538"/>
      <c r="KOX23" s="538"/>
      <c r="KOY23" s="538"/>
      <c r="KOZ23" s="538"/>
      <c r="KPA23" s="538"/>
      <c r="KPB23" s="538"/>
      <c r="KPC23" s="538"/>
      <c r="KPD23" s="538"/>
      <c r="KPE23" s="538"/>
      <c r="KPF23" s="538"/>
      <c r="KPG23" s="538"/>
      <c r="KPH23" s="538"/>
      <c r="KPI23" s="538"/>
      <c r="KPJ23" s="538"/>
      <c r="KPK23" s="538"/>
      <c r="KPL23" s="538"/>
      <c r="KPM23" s="538"/>
      <c r="KPN23" s="538"/>
      <c r="KPO23" s="538"/>
      <c r="KPP23" s="538"/>
      <c r="KPQ23" s="538"/>
      <c r="KPR23" s="538"/>
      <c r="KPS23" s="538"/>
      <c r="KPT23" s="538"/>
      <c r="KPU23" s="538"/>
      <c r="KPV23" s="538"/>
      <c r="KPW23" s="538"/>
      <c r="KPX23" s="538"/>
      <c r="KPY23" s="538"/>
      <c r="KPZ23" s="538"/>
      <c r="KQA23" s="538"/>
      <c r="KQB23" s="538"/>
      <c r="KQC23" s="538"/>
      <c r="KQD23" s="538"/>
      <c r="KQE23" s="538"/>
      <c r="KQF23" s="538"/>
      <c r="KQG23" s="538"/>
      <c r="KQH23" s="538"/>
      <c r="KQI23" s="538"/>
      <c r="KQJ23" s="538"/>
      <c r="KQK23" s="538"/>
      <c r="KQL23" s="538"/>
      <c r="KQM23" s="538"/>
      <c r="KQN23" s="538"/>
      <c r="KQO23" s="538"/>
      <c r="KQP23" s="538"/>
      <c r="KQQ23" s="538"/>
      <c r="KQR23" s="538"/>
      <c r="KQS23" s="538"/>
      <c r="KQT23" s="538"/>
      <c r="KQU23" s="538"/>
      <c r="KQV23" s="538"/>
      <c r="KQW23" s="538"/>
      <c r="KQX23" s="538"/>
      <c r="KQY23" s="538"/>
      <c r="KQZ23" s="538"/>
      <c r="KRA23" s="538"/>
      <c r="KRB23" s="538"/>
      <c r="KRC23" s="538"/>
      <c r="KRD23" s="538"/>
      <c r="KRE23" s="538"/>
      <c r="KRF23" s="538"/>
      <c r="KRG23" s="538"/>
      <c r="KRH23" s="538"/>
      <c r="KRI23" s="538"/>
      <c r="KRJ23" s="538"/>
      <c r="KRK23" s="538"/>
      <c r="KRL23" s="538"/>
      <c r="KRM23" s="538"/>
      <c r="KRN23" s="538"/>
      <c r="KRO23" s="538"/>
      <c r="KRP23" s="538"/>
      <c r="KRQ23" s="538"/>
      <c r="KRR23" s="538"/>
      <c r="KRS23" s="538"/>
      <c r="KRT23" s="538"/>
      <c r="KRU23" s="538"/>
      <c r="KRV23" s="538"/>
      <c r="KRW23" s="538"/>
      <c r="KRX23" s="538"/>
      <c r="KRY23" s="538"/>
      <c r="KRZ23" s="538"/>
      <c r="KSA23" s="538"/>
      <c r="KSB23" s="538"/>
      <c r="KSC23" s="538"/>
      <c r="KSD23" s="538"/>
      <c r="KSE23" s="538"/>
      <c r="KSF23" s="538"/>
      <c r="KSG23" s="538"/>
      <c r="KSH23" s="538"/>
      <c r="KSI23" s="538"/>
      <c r="KSJ23" s="538"/>
      <c r="KSK23" s="538"/>
      <c r="KSL23" s="538"/>
      <c r="KSM23" s="538"/>
      <c r="KSN23" s="538"/>
      <c r="KSO23" s="538"/>
      <c r="KSP23" s="538"/>
      <c r="KSQ23" s="538"/>
      <c r="KSR23" s="538"/>
      <c r="KSS23" s="538"/>
      <c r="KST23" s="538"/>
      <c r="KSU23" s="538"/>
      <c r="KSV23" s="538"/>
      <c r="KSW23" s="538"/>
      <c r="KSX23" s="538"/>
      <c r="KSY23" s="538"/>
      <c r="KSZ23" s="538"/>
      <c r="KTA23" s="538"/>
      <c r="KTB23" s="538"/>
      <c r="KTC23" s="538"/>
      <c r="KTD23" s="538"/>
      <c r="KTE23" s="538"/>
      <c r="KTF23" s="538"/>
      <c r="KTG23" s="538"/>
      <c r="KTH23" s="538"/>
      <c r="KTI23" s="538"/>
      <c r="KTJ23" s="538"/>
      <c r="KTK23" s="538"/>
      <c r="KTL23" s="538"/>
      <c r="KTM23" s="538"/>
      <c r="KTN23" s="538"/>
      <c r="KTO23" s="538"/>
      <c r="KTP23" s="538"/>
      <c r="KTQ23" s="538"/>
      <c r="KTR23" s="538"/>
      <c r="KTS23" s="538"/>
      <c r="KTT23" s="538"/>
      <c r="KTU23" s="538"/>
      <c r="KTV23" s="538"/>
      <c r="KTW23" s="538"/>
      <c r="KTX23" s="538"/>
      <c r="KTY23" s="538"/>
      <c r="KTZ23" s="538"/>
      <c r="KUA23" s="538"/>
      <c r="KUB23" s="538"/>
      <c r="KUC23" s="538"/>
      <c r="KUD23" s="538"/>
      <c r="KUE23" s="538"/>
      <c r="KUF23" s="538"/>
      <c r="KUG23" s="538"/>
      <c r="KUH23" s="538"/>
      <c r="KUI23" s="538"/>
      <c r="KUJ23" s="538"/>
      <c r="KUK23" s="538"/>
      <c r="KUL23" s="538"/>
      <c r="KUM23" s="538"/>
      <c r="KUN23" s="538"/>
      <c r="KUO23" s="538"/>
      <c r="KUP23" s="538"/>
      <c r="KUQ23" s="538"/>
      <c r="KUR23" s="538"/>
      <c r="KUS23" s="538"/>
      <c r="KUT23" s="538"/>
      <c r="KUU23" s="538"/>
      <c r="KUV23" s="538"/>
      <c r="KUW23" s="538"/>
      <c r="KUX23" s="538"/>
      <c r="KUY23" s="538"/>
      <c r="KUZ23" s="538"/>
      <c r="KVA23" s="538"/>
      <c r="KVB23" s="538"/>
      <c r="KVC23" s="538"/>
      <c r="KVD23" s="538"/>
      <c r="KVE23" s="538"/>
      <c r="KVF23" s="538"/>
      <c r="KVG23" s="538"/>
      <c r="KVH23" s="538"/>
      <c r="KVI23" s="538"/>
      <c r="KVJ23" s="538"/>
      <c r="KVK23" s="538"/>
      <c r="KVL23" s="538"/>
      <c r="KVM23" s="538"/>
      <c r="KVN23" s="538"/>
      <c r="KVO23" s="538"/>
      <c r="KVP23" s="538"/>
      <c r="KVQ23" s="538"/>
      <c r="KVR23" s="538"/>
      <c r="KVS23" s="538"/>
      <c r="KVT23" s="538"/>
      <c r="KVU23" s="538"/>
      <c r="KVV23" s="538"/>
      <c r="KVW23" s="538"/>
      <c r="KVX23" s="538"/>
      <c r="KVY23" s="538"/>
      <c r="KVZ23" s="538"/>
      <c r="KWA23" s="538"/>
      <c r="KWB23" s="538"/>
      <c r="KWC23" s="538"/>
      <c r="KWD23" s="538"/>
      <c r="KWE23" s="538"/>
      <c r="KWF23" s="538"/>
      <c r="KWG23" s="538"/>
      <c r="KWH23" s="538"/>
      <c r="KWI23" s="538"/>
      <c r="KWJ23" s="538"/>
      <c r="KWK23" s="538"/>
      <c r="KWL23" s="538"/>
      <c r="KWM23" s="538"/>
      <c r="KWN23" s="538"/>
      <c r="KWO23" s="538"/>
      <c r="KWP23" s="538"/>
      <c r="KWQ23" s="538"/>
      <c r="KWR23" s="538"/>
      <c r="KWS23" s="538"/>
      <c r="KWT23" s="538"/>
      <c r="KWU23" s="538"/>
      <c r="KWV23" s="538"/>
      <c r="KWW23" s="538"/>
      <c r="KWX23" s="538"/>
      <c r="KWY23" s="538"/>
      <c r="KWZ23" s="538"/>
      <c r="KXA23" s="538"/>
      <c r="KXB23" s="538"/>
      <c r="KXC23" s="538"/>
      <c r="KXD23" s="538"/>
      <c r="KXE23" s="538"/>
      <c r="KXF23" s="538"/>
      <c r="KXG23" s="538"/>
      <c r="KXH23" s="538"/>
      <c r="KXI23" s="538"/>
      <c r="KXJ23" s="538"/>
      <c r="KXK23" s="538"/>
      <c r="KXL23" s="538"/>
      <c r="KXM23" s="538"/>
      <c r="KXN23" s="538"/>
      <c r="KXO23" s="538"/>
      <c r="KXP23" s="538"/>
      <c r="KXQ23" s="538"/>
      <c r="KXR23" s="538"/>
      <c r="KXS23" s="538"/>
      <c r="KXT23" s="538"/>
      <c r="KXU23" s="538"/>
      <c r="KXV23" s="538"/>
      <c r="KXW23" s="538"/>
      <c r="KXX23" s="538"/>
      <c r="KXY23" s="538"/>
      <c r="KXZ23" s="538"/>
      <c r="KYA23" s="538"/>
      <c r="KYB23" s="538"/>
      <c r="KYC23" s="538"/>
      <c r="KYD23" s="538"/>
      <c r="KYE23" s="538"/>
      <c r="KYF23" s="538"/>
      <c r="KYG23" s="538"/>
      <c r="KYH23" s="538"/>
      <c r="KYI23" s="538"/>
      <c r="KYJ23" s="538"/>
      <c r="KYK23" s="538"/>
      <c r="KYL23" s="538"/>
      <c r="KYM23" s="538"/>
      <c r="KYN23" s="538"/>
      <c r="KYO23" s="538"/>
      <c r="KYP23" s="538"/>
      <c r="KYQ23" s="538"/>
      <c r="KYR23" s="538"/>
      <c r="KYS23" s="538"/>
      <c r="KYT23" s="538"/>
      <c r="KYU23" s="538"/>
      <c r="KYV23" s="538"/>
      <c r="KYW23" s="538"/>
      <c r="KYX23" s="538"/>
      <c r="KYY23" s="538"/>
      <c r="KYZ23" s="538"/>
      <c r="KZA23" s="538"/>
      <c r="KZB23" s="538"/>
      <c r="KZC23" s="538"/>
      <c r="KZD23" s="538"/>
      <c r="KZE23" s="538"/>
      <c r="KZF23" s="538"/>
      <c r="KZG23" s="538"/>
      <c r="KZH23" s="538"/>
      <c r="KZI23" s="538"/>
      <c r="KZJ23" s="538"/>
      <c r="KZK23" s="538"/>
      <c r="KZL23" s="538"/>
      <c r="KZM23" s="538"/>
      <c r="KZN23" s="538"/>
      <c r="KZO23" s="538"/>
      <c r="KZP23" s="538"/>
      <c r="KZQ23" s="538"/>
      <c r="KZR23" s="538"/>
      <c r="KZS23" s="538"/>
      <c r="KZT23" s="538"/>
      <c r="KZU23" s="538"/>
      <c r="KZV23" s="538"/>
      <c r="KZW23" s="538"/>
      <c r="KZX23" s="538"/>
      <c r="KZY23" s="538"/>
      <c r="KZZ23" s="538"/>
      <c r="LAA23" s="538"/>
      <c r="LAB23" s="538"/>
      <c r="LAC23" s="538"/>
      <c r="LAD23" s="538"/>
      <c r="LAE23" s="538"/>
      <c r="LAF23" s="538"/>
      <c r="LAG23" s="538"/>
      <c r="LAH23" s="538"/>
      <c r="LAI23" s="538"/>
      <c r="LAJ23" s="538"/>
      <c r="LAK23" s="538"/>
      <c r="LAL23" s="538"/>
      <c r="LAM23" s="538"/>
      <c r="LAN23" s="538"/>
      <c r="LAO23" s="538"/>
      <c r="LAP23" s="538"/>
      <c r="LAQ23" s="538"/>
      <c r="LAR23" s="538"/>
      <c r="LAS23" s="538"/>
      <c r="LAT23" s="538"/>
      <c r="LAU23" s="538"/>
      <c r="LAV23" s="538"/>
      <c r="LAW23" s="538"/>
      <c r="LAX23" s="538"/>
      <c r="LAY23" s="538"/>
      <c r="LAZ23" s="538"/>
      <c r="LBA23" s="538"/>
      <c r="LBB23" s="538"/>
      <c r="LBC23" s="538"/>
      <c r="LBD23" s="538"/>
      <c r="LBE23" s="538"/>
      <c r="LBF23" s="538"/>
      <c r="LBG23" s="538"/>
      <c r="LBH23" s="538"/>
      <c r="LBI23" s="538"/>
      <c r="LBJ23" s="538"/>
      <c r="LBK23" s="538"/>
      <c r="LBL23" s="538"/>
      <c r="LBM23" s="538"/>
      <c r="LBN23" s="538"/>
      <c r="LBO23" s="538"/>
      <c r="LBP23" s="538"/>
      <c r="LBQ23" s="538"/>
      <c r="LBR23" s="538"/>
      <c r="LBS23" s="538"/>
      <c r="LBT23" s="538"/>
      <c r="LBU23" s="538"/>
      <c r="LBV23" s="538"/>
      <c r="LBW23" s="538"/>
      <c r="LBX23" s="538"/>
      <c r="LBY23" s="538"/>
      <c r="LBZ23" s="538"/>
      <c r="LCA23" s="538"/>
      <c r="LCB23" s="538"/>
      <c r="LCC23" s="538"/>
      <c r="LCD23" s="538"/>
      <c r="LCE23" s="538"/>
      <c r="LCF23" s="538"/>
      <c r="LCG23" s="538"/>
      <c r="LCH23" s="538"/>
      <c r="LCI23" s="538"/>
      <c r="LCJ23" s="538"/>
      <c r="LCK23" s="538"/>
      <c r="LCL23" s="538"/>
      <c r="LCM23" s="538"/>
      <c r="LCN23" s="538"/>
      <c r="LCO23" s="538"/>
      <c r="LCP23" s="538"/>
      <c r="LCQ23" s="538"/>
      <c r="LCR23" s="538"/>
      <c r="LCS23" s="538"/>
      <c r="LCT23" s="538"/>
      <c r="LCU23" s="538"/>
      <c r="LCV23" s="538"/>
      <c r="LCW23" s="538"/>
      <c r="LCX23" s="538"/>
      <c r="LCY23" s="538"/>
      <c r="LCZ23" s="538"/>
      <c r="LDA23" s="538"/>
      <c r="LDB23" s="538"/>
      <c r="LDC23" s="538"/>
      <c r="LDD23" s="538"/>
      <c r="LDE23" s="538"/>
      <c r="LDF23" s="538"/>
      <c r="LDG23" s="538"/>
      <c r="LDH23" s="538"/>
      <c r="LDI23" s="538"/>
      <c r="LDJ23" s="538"/>
      <c r="LDK23" s="538"/>
      <c r="LDL23" s="538"/>
      <c r="LDM23" s="538"/>
      <c r="LDN23" s="538"/>
      <c r="LDO23" s="538"/>
      <c r="LDP23" s="538"/>
      <c r="LDQ23" s="538"/>
      <c r="LDR23" s="538"/>
      <c r="LDS23" s="538"/>
      <c r="LDT23" s="538"/>
      <c r="LDU23" s="538"/>
      <c r="LDV23" s="538"/>
      <c r="LDW23" s="538"/>
      <c r="LDX23" s="538"/>
      <c r="LDY23" s="538"/>
      <c r="LDZ23" s="538"/>
      <c r="LEA23" s="538"/>
      <c r="LEB23" s="538"/>
      <c r="LEC23" s="538"/>
      <c r="LED23" s="538"/>
      <c r="LEE23" s="538"/>
      <c r="LEF23" s="538"/>
      <c r="LEG23" s="538"/>
      <c r="LEH23" s="538"/>
      <c r="LEI23" s="538"/>
      <c r="LEJ23" s="538"/>
      <c r="LEK23" s="538"/>
      <c r="LEL23" s="538"/>
      <c r="LEM23" s="538"/>
      <c r="LEN23" s="538"/>
      <c r="LEO23" s="538"/>
      <c r="LEP23" s="538"/>
      <c r="LEQ23" s="538"/>
      <c r="LER23" s="538"/>
      <c r="LES23" s="538"/>
      <c r="LET23" s="538"/>
      <c r="LEU23" s="538"/>
      <c r="LEV23" s="538"/>
      <c r="LEW23" s="538"/>
      <c r="LEX23" s="538"/>
      <c r="LEY23" s="538"/>
      <c r="LEZ23" s="538"/>
      <c r="LFA23" s="538"/>
      <c r="LFB23" s="538"/>
      <c r="LFC23" s="538"/>
      <c r="LFD23" s="538"/>
      <c r="LFE23" s="538"/>
      <c r="LFF23" s="538"/>
      <c r="LFG23" s="538"/>
      <c r="LFH23" s="538"/>
      <c r="LFI23" s="538"/>
      <c r="LFJ23" s="538"/>
      <c r="LFK23" s="538"/>
      <c r="LFL23" s="538"/>
      <c r="LFM23" s="538"/>
      <c r="LFN23" s="538"/>
      <c r="LFO23" s="538"/>
      <c r="LFP23" s="538"/>
      <c r="LFQ23" s="538"/>
      <c r="LFR23" s="538"/>
      <c r="LFS23" s="538"/>
      <c r="LFT23" s="538"/>
      <c r="LFU23" s="538"/>
      <c r="LFV23" s="538"/>
      <c r="LFW23" s="538"/>
      <c r="LFX23" s="538"/>
      <c r="LFY23" s="538"/>
      <c r="LFZ23" s="538"/>
      <c r="LGA23" s="538"/>
      <c r="LGB23" s="538"/>
      <c r="LGC23" s="538"/>
      <c r="LGD23" s="538"/>
      <c r="LGE23" s="538"/>
      <c r="LGF23" s="538"/>
      <c r="LGG23" s="538"/>
      <c r="LGH23" s="538"/>
      <c r="LGI23" s="538"/>
      <c r="LGJ23" s="538"/>
      <c r="LGK23" s="538"/>
      <c r="LGL23" s="538"/>
      <c r="LGM23" s="538"/>
      <c r="LGN23" s="538"/>
      <c r="LGO23" s="538"/>
      <c r="LGP23" s="538"/>
      <c r="LGQ23" s="538"/>
      <c r="LGR23" s="538"/>
      <c r="LGS23" s="538"/>
      <c r="LGT23" s="538"/>
      <c r="LGU23" s="538"/>
      <c r="LGV23" s="538"/>
      <c r="LGW23" s="538"/>
      <c r="LGX23" s="538"/>
      <c r="LGY23" s="538"/>
      <c r="LGZ23" s="538"/>
      <c r="LHA23" s="538"/>
      <c r="LHB23" s="538"/>
      <c r="LHC23" s="538"/>
      <c r="LHD23" s="538"/>
      <c r="LHE23" s="538"/>
      <c r="LHF23" s="538"/>
      <c r="LHG23" s="538"/>
      <c r="LHH23" s="538"/>
      <c r="LHI23" s="538"/>
      <c r="LHJ23" s="538"/>
      <c r="LHK23" s="538"/>
      <c r="LHL23" s="538"/>
      <c r="LHM23" s="538"/>
      <c r="LHN23" s="538"/>
      <c r="LHO23" s="538"/>
      <c r="LHP23" s="538"/>
      <c r="LHQ23" s="538"/>
      <c r="LHR23" s="538"/>
      <c r="LHS23" s="538"/>
      <c r="LHT23" s="538"/>
      <c r="LHU23" s="538"/>
      <c r="LHV23" s="538"/>
      <c r="LHW23" s="538"/>
      <c r="LHX23" s="538"/>
      <c r="LHY23" s="538"/>
      <c r="LHZ23" s="538"/>
      <c r="LIA23" s="538"/>
      <c r="LIB23" s="538"/>
      <c r="LIC23" s="538"/>
      <c r="LID23" s="538"/>
      <c r="LIE23" s="538"/>
      <c r="LIF23" s="538"/>
      <c r="LIG23" s="538"/>
      <c r="LIH23" s="538"/>
      <c r="LII23" s="538"/>
      <c r="LIJ23" s="538"/>
      <c r="LIK23" s="538"/>
      <c r="LIL23" s="538"/>
      <c r="LIM23" s="538"/>
      <c r="LIN23" s="538"/>
      <c r="LIO23" s="538"/>
      <c r="LIP23" s="538"/>
      <c r="LIQ23" s="538"/>
      <c r="LIR23" s="538"/>
      <c r="LIS23" s="538"/>
      <c r="LIT23" s="538"/>
      <c r="LIU23" s="538"/>
      <c r="LIV23" s="538"/>
      <c r="LIW23" s="538"/>
      <c r="LIX23" s="538"/>
      <c r="LIY23" s="538"/>
      <c r="LIZ23" s="538"/>
      <c r="LJA23" s="538"/>
      <c r="LJB23" s="538"/>
      <c r="LJC23" s="538"/>
      <c r="LJD23" s="538"/>
      <c r="LJE23" s="538"/>
      <c r="LJF23" s="538"/>
      <c r="LJG23" s="538"/>
      <c r="LJH23" s="538"/>
      <c r="LJI23" s="538"/>
      <c r="LJJ23" s="538"/>
      <c r="LJK23" s="538"/>
      <c r="LJL23" s="538"/>
      <c r="LJM23" s="538"/>
      <c r="LJN23" s="538"/>
      <c r="LJO23" s="538"/>
      <c r="LJP23" s="538"/>
      <c r="LJQ23" s="538"/>
      <c r="LJR23" s="538"/>
      <c r="LJS23" s="538"/>
      <c r="LJT23" s="538"/>
      <c r="LJU23" s="538"/>
      <c r="LJV23" s="538"/>
      <c r="LJW23" s="538"/>
      <c r="LJX23" s="538"/>
      <c r="LJY23" s="538"/>
      <c r="LJZ23" s="538"/>
      <c r="LKA23" s="538"/>
      <c r="LKB23" s="538"/>
      <c r="LKC23" s="538"/>
      <c r="LKD23" s="538"/>
      <c r="LKE23" s="538"/>
      <c r="LKF23" s="538"/>
      <c r="LKG23" s="538"/>
      <c r="LKH23" s="538"/>
      <c r="LKI23" s="538"/>
      <c r="LKJ23" s="538"/>
      <c r="LKK23" s="538"/>
      <c r="LKL23" s="538"/>
      <c r="LKM23" s="538"/>
      <c r="LKN23" s="538"/>
      <c r="LKO23" s="538"/>
      <c r="LKP23" s="538"/>
      <c r="LKQ23" s="538"/>
      <c r="LKR23" s="538"/>
      <c r="LKS23" s="538"/>
      <c r="LKT23" s="538"/>
      <c r="LKU23" s="538"/>
      <c r="LKV23" s="538"/>
      <c r="LKW23" s="538"/>
      <c r="LKX23" s="538"/>
      <c r="LKY23" s="538"/>
      <c r="LKZ23" s="538"/>
      <c r="LLA23" s="538"/>
      <c r="LLB23" s="538"/>
      <c r="LLC23" s="538"/>
      <c r="LLD23" s="538"/>
      <c r="LLE23" s="538"/>
      <c r="LLF23" s="538"/>
      <c r="LLG23" s="538"/>
      <c r="LLH23" s="538"/>
      <c r="LLI23" s="538"/>
      <c r="LLJ23" s="538"/>
      <c r="LLK23" s="538"/>
      <c r="LLL23" s="538"/>
      <c r="LLM23" s="538"/>
      <c r="LLN23" s="538"/>
      <c r="LLO23" s="538"/>
      <c r="LLP23" s="538"/>
      <c r="LLQ23" s="538"/>
      <c r="LLR23" s="538"/>
      <c r="LLS23" s="538"/>
      <c r="LLT23" s="538"/>
      <c r="LLU23" s="538"/>
      <c r="LLV23" s="538"/>
      <c r="LLW23" s="538"/>
      <c r="LLX23" s="538"/>
      <c r="LLY23" s="538"/>
      <c r="LLZ23" s="538"/>
      <c r="LMA23" s="538"/>
      <c r="LMB23" s="538"/>
      <c r="LMC23" s="538"/>
      <c r="LMD23" s="538"/>
      <c r="LME23" s="538"/>
      <c r="LMF23" s="538"/>
      <c r="LMG23" s="538"/>
      <c r="LMH23" s="538"/>
      <c r="LMI23" s="538"/>
      <c r="LMJ23" s="538"/>
      <c r="LMK23" s="538"/>
      <c r="LML23" s="538"/>
      <c r="LMM23" s="538"/>
      <c r="LMN23" s="538"/>
      <c r="LMO23" s="538"/>
      <c r="LMP23" s="538"/>
      <c r="LMQ23" s="538"/>
      <c r="LMR23" s="538"/>
      <c r="LMS23" s="538"/>
      <c r="LMT23" s="538"/>
      <c r="LMU23" s="538"/>
      <c r="LMV23" s="538"/>
      <c r="LMW23" s="538"/>
      <c r="LMX23" s="538"/>
      <c r="LMY23" s="538"/>
      <c r="LMZ23" s="538"/>
      <c r="LNA23" s="538"/>
      <c r="LNB23" s="538"/>
      <c r="LNC23" s="538"/>
      <c r="LND23" s="538"/>
      <c r="LNE23" s="538"/>
      <c r="LNF23" s="538"/>
      <c r="LNG23" s="538"/>
      <c r="LNH23" s="538"/>
      <c r="LNI23" s="538"/>
      <c r="LNJ23" s="538"/>
      <c r="LNK23" s="538"/>
      <c r="LNL23" s="538"/>
      <c r="LNM23" s="538"/>
      <c r="LNN23" s="538"/>
      <c r="LNO23" s="538"/>
      <c r="LNP23" s="538"/>
      <c r="LNQ23" s="538"/>
      <c r="LNR23" s="538"/>
      <c r="LNS23" s="538"/>
      <c r="LNT23" s="538"/>
      <c r="LNU23" s="538"/>
      <c r="LNV23" s="538"/>
      <c r="LNW23" s="538"/>
      <c r="LNX23" s="538"/>
      <c r="LNY23" s="538"/>
      <c r="LNZ23" s="538"/>
      <c r="LOA23" s="538"/>
      <c r="LOB23" s="538"/>
      <c r="LOC23" s="538"/>
      <c r="LOD23" s="538"/>
      <c r="LOE23" s="538"/>
      <c r="LOF23" s="538"/>
      <c r="LOG23" s="538"/>
      <c r="LOH23" s="538"/>
      <c r="LOI23" s="538"/>
      <c r="LOJ23" s="538"/>
      <c r="LOK23" s="538"/>
      <c r="LOL23" s="538"/>
      <c r="LOM23" s="538"/>
      <c r="LON23" s="538"/>
      <c r="LOO23" s="538"/>
      <c r="LOP23" s="538"/>
      <c r="LOQ23" s="538"/>
      <c r="LOR23" s="538"/>
      <c r="LOS23" s="538"/>
      <c r="LOT23" s="538"/>
      <c r="LOU23" s="538"/>
      <c r="LOV23" s="538"/>
      <c r="LOW23" s="538"/>
      <c r="LOX23" s="538"/>
      <c r="LOY23" s="538"/>
      <c r="LOZ23" s="538"/>
      <c r="LPA23" s="538"/>
      <c r="LPB23" s="538"/>
      <c r="LPC23" s="538"/>
      <c r="LPD23" s="538"/>
      <c r="LPE23" s="538"/>
      <c r="LPF23" s="538"/>
      <c r="LPG23" s="538"/>
      <c r="LPH23" s="538"/>
      <c r="LPI23" s="538"/>
      <c r="LPJ23" s="538"/>
      <c r="LPK23" s="538"/>
      <c r="LPL23" s="538"/>
      <c r="LPM23" s="538"/>
      <c r="LPN23" s="538"/>
      <c r="LPO23" s="538"/>
      <c r="LPP23" s="538"/>
      <c r="LPQ23" s="538"/>
      <c r="LPR23" s="538"/>
      <c r="LPS23" s="538"/>
      <c r="LPT23" s="538"/>
      <c r="LPU23" s="538"/>
      <c r="LPV23" s="538"/>
      <c r="LPW23" s="538"/>
      <c r="LPX23" s="538"/>
      <c r="LPY23" s="538"/>
      <c r="LPZ23" s="538"/>
      <c r="LQA23" s="538"/>
      <c r="LQB23" s="538"/>
      <c r="LQC23" s="538"/>
      <c r="LQD23" s="538"/>
      <c r="LQE23" s="538"/>
      <c r="LQF23" s="538"/>
      <c r="LQG23" s="538"/>
      <c r="LQH23" s="538"/>
      <c r="LQI23" s="538"/>
      <c r="LQJ23" s="538"/>
      <c r="LQK23" s="538"/>
      <c r="LQL23" s="538"/>
      <c r="LQM23" s="538"/>
      <c r="LQN23" s="538"/>
      <c r="LQO23" s="538"/>
      <c r="LQP23" s="538"/>
      <c r="LQQ23" s="538"/>
      <c r="LQR23" s="538"/>
      <c r="LQS23" s="538"/>
      <c r="LQT23" s="538"/>
      <c r="LQU23" s="538"/>
      <c r="LQV23" s="538"/>
      <c r="LQW23" s="538"/>
      <c r="LQX23" s="538"/>
      <c r="LQY23" s="538"/>
      <c r="LQZ23" s="538"/>
      <c r="LRA23" s="538"/>
      <c r="LRB23" s="538"/>
      <c r="LRC23" s="538"/>
      <c r="LRD23" s="538"/>
      <c r="LRE23" s="538"/>
      <c r="LRF23" s="538"/>
      <c r="LRG23" s="538"/>
      <c r="LRH23" s="538"/>
      <c r="LRI23" s="538"/>
      <c r="LRJ23" s="538"/>
      <c r="LRK23" s="538"/>
      <c r="LRL23" s="538"/>
      <c r="LRM23" s="538"/>
      <c r="LRN23" s="538"/>
      <c r="LRO23" s="538"/>
      <c r="LRP23" s="538"/>
      <c r="LRQ23" s="538"/>
      <c r="LRR23" s="538"/>
      <c r="LRS23" s="538"/>
      <c r="LRT23" s="538"/>
      <c r="LRU23" s="538"/>
      <c r="LRV23" s="538"/>
      <c r="LRW23" s="538"/>
      <c r="LRX23" s="538"/>
      <c r="LRY23" s="538"/>
      <c r="LRZ23" s="538"/>
      <c r="LSA23" s="538"/>
      <c r="LSB23" s="538"/>
      <c r="LSC23" s="538"/>
      <c r="LSD23" s="538"/>
      <c r="LSE23" s="538"/>
      <c r="LSF23" s="538"/>
      <c r="LSG23" s="538"/>
      <c r="LSH23" s="538"/>
      <c r="LSI23" s="538"/>
      <c r="LSJ23" s="538"/>
      <c r="LSK23" s="538"/>
      <c r="LSL23" s="538"/>
      <c r="LSM23" s="538"/>
      <c r="LSN23" s="538"/>
      <c r="LSO23" s="538"/>
      <c r="LSP23" s="538"/>
      <c r="LSQ23" s="538"/>
      <c r="LSR23" s="538"/>
      <c r="LSS23" s="538"/>
      <c r="LST23" s="538"/>
      <c r="LSU23" s="538"/>
      <c r="LSV23" s="538"/>
      <c r="LSW23" s="538"/>
      <c r="LSX23" s="538"/>
      <c r="LSY23" s="538"/>
      <c r="LSZ23" s="538"/>
      <c r="LTA23" s="538"/>
      <c r="LTB23" s="538"/>
      <c r="LTC23" s="538"/>
      <c r="LTD23" s="538"/>
      <c r="LTE23" s="538"/>
      <c r="LTF23" s="538"/>
      <c r="LTG23" s="538"/>
      <c r="LTH23" s="538"/>
      <c r="LTI23" s="538"/>
      <c r="LTJ23" s="538"/>
      <c r="LTK23" s="538"/>
      <c r="LTL23" s="538"/>
      <c r="LTM23" s="538"/>
      <c r="LTN23" s="538"/>
      <c r="LTO23" s="538"/>
      <c r="LTP23" s="538"/>
      <c r="LTQ23" s="538"/>
      <c r="LTR23" s="538"/>
      <c r="LTS23" s="538"/>
      <c r="LTT23" s="538"/>
      <c r="LTU23" s="538"/>
      <c r="LTV23" s="538"/>
      <c r="LTW23" s="538"/>
      <c r="LTX23" s="538"/>
      <c r="LTY23" s="538"/>
      <c r="LTZ23" s="538"/>
      <c r="LUA23" s="538"/>
      <c r="LUB23" s="538"/>
      <c r="LUC23" s="538"/>
      <c r="LUD23" s="538"/>
      <c r="LUE23" s="538"/>
      <c r="LUF23" s="538"/>
      <c r="LUG23" s="538"/>
      <c r="LUH23" s="538"/>
      <c r="LUI23" s="538"/>
      <c r="LUJ23" s="538"/>
      <c r="LUK23" s="538"/>
      <c r="LUL23" s="538"/>
      <c r="LUM23" s="538"/>
      <c r="LUN23" s="538"/>
      <c r="LUO23" s="538"/>
      <c r="LUP23" s="538"/>
      <c r="LUQ23" s="538"/>
      <c r="LUR23" s="538"/>
      <c r="LUS23" s="538"/>
      <c r="LUT23" s="538"/>
      <c r="LUU23" s="538"/>
      <c r="LUV23" s="538"/>
      <c r="LUW23" s="538"/>
      <c r="LUX23" s="538"/>
      <c r="LUY23" s="538"/>
      <c r="LUZ23" s="538"/>
      <c r="LVA23" s="538"/>
      <c r="LVB23" s="538"/>
      <c r="LVC23" s="538"/>
      <c r="LVD23" s="538"/>
      <c r="LVE23" s="538"/>
      <c r="LVF23" s="538"/>
      <c r="LVG23" s="538"/>
      <c r="LVH23" s="538"/>
      <c r="LVI23" s="538"/>
      <c r="LVJ23" s="538"/>
      <c r="LVK23" s="538"/>
      <c r="LVL23" s="538"/>
      <c r="LVM23" s="538"/>
      <c r="LVN23" s="538"/>
      <c r="LVO23" s="538"/>
      <c r="LVP23" s="538"/>
      <c r="LVQ23" s="538"/>
      <c r="LVR23" s="538"/>
      <c r="LVS23" s="538"/>
      <c r="LVT23" s="538"/>
      <c r="LVU23" s="538"/>
      <c r="LVV23" s="538"/>
      <c r="LVW23" s="538"/>
      <c r="LVX23" s="538"/>
      <c r="LVY23" s="538"/>
      <c r="LVZ23" s="538"/>
      <c r="LWA23" s="538"/>
      <c r="LWB23" s="538"/>
      <c r="LWC23" s="538"/>
      <c r="LWD23" s="538"/>
      <c r="LWE23" s="538"/>
      <c r="LWF23" s="538"/>
      <c r="LWG23" s="538"/>
      <c r="LWH23" s="538"/>
      <c r="LWI23" s="538"/>
      <c r="LWJ23" s="538"/>
      <c r="LWK23" s="538"/>
      <c r="LWL23" s="538"/>
      <c r="LWM23" s="538"/>
      <c r="LWN23" s="538"/>
      <c r="LWO23" s="538"/>
      <c r="LWP23" s="538"/>
      <c r="LWQ23" s="538"/>
      <c r="LWR23" s="538"/>
      <c r="LWS23" s="538"/>
      <c r="LWT23" s="538"/>
      <c r="LWU23" s="538"/>
      <c r="LWV23" s="538"/>
      <c r="LWW23" s="538"/>
      <c r="LWX23" s="538"/>
      <c r="LWY23" s="538"/>
      <c r="LWZ23" s="538"/>
      <c r="LXA23" s="538"/>
      <c r="LXB23" s="538"/>
      <c r="LXC23" s="538"/>
      <c r="LXD23" s="538"/>
      <c r="LXE23" s="538"/>
      <c r="LXF23" s="538"/>
      <c r="LXG23" s="538"/>
      <c r="LXH23" s="538"/>
      <c r="LXI23" s="538"/>
      <c r="LXJ23" s="538"/>
      <c r="LXK23" s="538"/>
      <c r="LXL23" s="538"/>
      <c r="LXM23" s="538"/>
      <c r="LXN23" s="538"/>
      <c r="LXO23" s="538"/>
      <c r="LXP23" s="538"/>
      <c r="LXQ23" s="538"/>
      <c r="LXR23" s="538"/>
      <c r="LXS23" s="538"/>
      <c r="LXT23" s="538"/>
      <c r="LXU23" s="538"/>
      <c r="LXV23" s="538"/>
      <c r="LXW23" s="538"/>
      <c r="LXX23" s="538"/>
      <c r="LXY23" s="538"/>
      <c r="LXZ23" s="538"/>
      <c r="LYA23" s="538"/>
      <c r="LYB23" s="538"/>
      <c r="LYC23" s="538"/>
      <c r="LYD23" s="538"/>
      <c r="LYE23" s="538"/>
      <c r="LYF23" s="538"/>
      <c r="LYG23" s="538"/>
      <c r="LYH23" s="538"/>
      <c r="LYI23" s="538"/>
      <c r="LYJ23" s="538"/>
      <c r="LYK23" s="538"/>
      <c r="LYL23" s="538"/>
      <c r="LYM23" s="538"/>
      <c r="LYN23" s="538"/>
      <c r="LYO23" s="538"/>
      <c r="LYP23" s="538"/>
      <c r="LYQ23" s="538"/>
      <c r="LYR23" s="538"/>
      <c r="LYS23" s="538"/>
      <c r="LYT23" s="538"/>
      <c r="LYU23" s="538"/>
      <c r="LYV23" s="538"/>
      <c r="LYW23" s="538"/>
      <c r="LYX23" s="538"/>
      <c r="LYY23" s="538"/>
      <c r="LYZ23" s="538"/>
      <c r="LZA23" s="538"/>
      <c r="LZB23" s="538"/>
      <c r="LZC23" s="538"/>
      <c r="LZD23" s="538"/>
      <c r="LZE23" s="538"/>
      <c r="LZF23" s="538"/>
      <c r="LZG23" s="538"/>
      <c r="LZH23" s="538"/>
      <c r="LZI23" s="538"/>
      <c r="LZJ23" s="538"/>
      <c r="LZK23" s="538"/>
      <c r="LZL23" s="538"/>
      <c r="LZM23" s="538"/>
      <c r="LZN23" s="538"/>
      <c r="LZO23" s="538"/>
      <c r="LZP23" s="538"/>
      <c r="LZQ23" s="538"/>
      <c r="LZR23" s="538"/>
      <c r="LZS23" s="538"/>
      <c r="LZT23" s="538"/>
      <c r="LZU23" s="538"/>
      <c r="LZV23" s="538"/>
      <c r="LZW23" s="538"/>
      <c r="LZX23" s="538"/>
      <c r="LZY23" s="538"/>
      <c r="LZZ23" s="538"/>
      <c r="MAA23" s="538"/>
      <c r="MAB23" s="538"/>
      <c r="MAC23" s="538"/>
      <c r="MAD23" s="538"/>
      <c r="MAE23" s="538"/>
      <c r="MAF23" s="538"/>
      <c r="MAG23" s="538"/>
      <c r="MAH23" s="538"/>
      <c r="MAI23" s="538"/>
      <c r="MAJ23" s="538"/>
      <c r="MAK23" s="538"/>
      <c r="MAL23" s="538"/>
      <c r="MAM23" s="538"/>
      <c r="MAN23" s="538"/>
      <c r="MAO23" s="538"/>
      <c r="MAP23" s="538"/>
      <c r="MAQ23" s="538"/>
      <c r="MAR23" s="538"/>
      <c r="MAS23" s="538"/>
      <c r="MAT23" s="538"/>
      <c r="MAU23" s="538"/>
      <c r="MAV23" s="538"/>
      <c r="MAW23" s="538"/>
      <c r="MAX23" s="538"/>
      <c r="MAY23" s="538"/>
      <c r="MAZ23" s="538"/>
      <c r="MBA23" s="538"/>
      <c r="MBB23" s="538"/>
      <c r="MBC23" s="538"/>
      <c r="MBD23" s="538"/>
      <c r="MBE23" s="538"/>
      <c r="MBF23" s="538"/>
      <c r="MBG23" s="538"/>
      <c r="MBH23" s="538"/>
      <c r="MBI23" s="538"/>
      <c r="MBJ23" s="538"/>
      <c r="MBK23" s="538"/>
      <c r="MBL23" s="538"/>
      <c r="MBM23" s="538"/>
      <c r="MBN23" s="538"/>
      <c r="MBO23" s="538"/>
      <c r="MBP23" s="538"/>
      <c r="MBQ23" s="538"/>
      <c r="MBR23" s="538"/>
      <c r="MBS23" s="538"/>
      <c r="MBT23" s="538"/>
      <c r="MBU23" s="538"/>
      <c r="MBV23" s="538"/>
      <c r="MBW23" s="538"/>
      <c r="MBX23" s="538"/>
      <c r="MBY23" s="538"/>
      <c r="MBZ23" s="538"/>
      <c r="MCA23" s="538"/>
      <c r="MCB23" s="538"/>
      <c r="MCC23" s="538"/>
      <c r="MCD23" s="538"/>
      <c r="MCE23" s="538"/>
      <c r="MCF23" s="538"/>
      <c r="MCG23" s="538"/>
      <c r="MCH23" s="538"/>
      <c r="MCI23" s="538"/>
      <c r="MCJ23" s="538"/>
      <c r="MCK23" s="538"/>
      <c r="MCL23" s="538"/>
      <c r="MCM23" s="538"/>
      <c r="MCN23" s="538"/>
      <c r="MCO23" s="538"/>
      <c r="MCP23" s="538"/>
      <c r="MCQ23" s="538"/>
      <c r="MCR23" s="538"/>
      <c r="MCS23" s="538"/>
      <c r="MCT23" s="538"/>
      <c r="MCU23" s="538"/>
      <c r="MCV23" s="538"/>
      <c r="MCW23" s="538"/>
      <c r="MCX23" s="538"/>
      <c r="MCY23" s="538"/>
      <c r="MCZ23" s="538"/>
      <c r="MDA23" s="538"/>
      <c r="MDB23" s="538"/>
      <c r="MDC23" s="538"/>
      <c r="MDD23" s="538"/>
      <c r="MDE23" s="538"/>
      <c r="MDF23" s="538"/>
      <c r="MDG23" s="538"/>
      <c r="MDH23" s="538"/>
      <c r="MDI23" s="538"/>
      <c r="MDJ23" s="538"/>
      <c r="MDK23" s="538"/>
      <c r="MDL23" s="538"/>
      <c r="MDM23" s="538"/>
      <c r="MDN23" s="538"/>
      <c r="MDO23" s="538"/>
      <c r="MDP23" s="538"/>
      <c r="MDQ23" s="538"/>
      <c r="MDR23" s="538"/>
      <c r="MDS23" s="538"/>
      <c r="MDT23" s="538"/>
      <c r="MDU23" s="538"/>
      <c r="MDV23" s="538"/>
      <c r="MDW23" s="538"/>
      <c r="MDX23" s="538"/>
      <c r="MDY23" s="538"/>
      <c r="MDZ23" s="538"/>
      <c r="MEA23" s="538"/>
      <c r="MEB23" s="538"/>
      <c r="MEC23" s="538"/>
      <c r="MED23" s="538"/>
      <c r="MEE23" s="538"/>
      <c r="MEF23" s="538"/>
      <c r="MEG23" s="538"/>
      <c r="MEH23" s="538"/>
      <c r="MEI23" s="538"/>
      <c r="MEJ23" s="538"/>
      <c r="MEK23" s="538"/>
      <c r="MEL23" s="538"/>
      <c r="MEM23" s="538"/>
      <c r="MEN23" s="538"/>
      <c r="MEO23" s="538"/>
      <c r="MEP23" s="538"/>
      <c r="MEQ23" s="538"/>
      <c r="MER23" s="538"/>
      <c r="MES23" s="538"/>
      <c r="MET23" s="538"/>
      <c r="MEU23" s="538"/>
      <c r="MEV23" s="538"/>
      <c r="MEW23" s="538"/>
      <c r="MEX23" s="538"/>
      <c r="MEY23" s="538"/>
      <c r="MEZ23" s="538"/>
      <c r="MFA23" s="538"/>
      <c r="MFB23" s="538"/>
      <c r="MFC23" s="538"/>
      <c r="MFD23" s="538"/>
      <c r="MFE23" s="538"/>
      <c r="MFF23" s="538"/>
      <c r="MFG23" s="538"/>
      <c r="MFH23" s="538"/>
      <c r="MFI23" s="538"/>
      <c r="MFJ23" s="538"/>
      <c r="MFK23" s="538"/>
      <c r="MFL23" s="538"/>
      <c r="MFM23" s="538"/>
      <c r="MFN23" s="538"/>
      <c r="MFO23" s="538"/>
      <c r="MFP23" s="538"/>
      <c r="MFQ23" s="538"/>
      <c r="MFR23" s="538"/>
      <c r="MFS23" s="538"/>
      <c r="MFT23" s="538"/>
      <c r="MFU23" s="538"/>
      <c r="MFV23" s="538"/>
      <c r="MFW23" s="538"/>
      <c r="MFX23" s="538"/>
      <c r="MFY23" s="538"/>
      <c r="MFZ23" s="538"/>
      <c r="MGA23" s="538"/>
      <c r="MGB23" s="538"/>
      <c r="MGC23" s="538"/>
      <c r="MGD23" s="538"/>
      <c r="MGE23" s="538"/>
      <c r="MGF23" s="538"/>
      <c r="MGG23" s="538"/>
      <c r="MGH23" s="538"/>
      <c r="MGI23" s="538"/>
      <c r="MGJ23" s="538"/>
      <c r="MGK23" s="538"/>
      <c r="MGL23" s="538"/>
      <c r="MGM23" s="538"/>
      <c r="MGN23" s="538"/>
      <c r="MGO23" s="538"/>
      <c r="MGP23" s="538"/>
      <c r="MGQ23" s="538"/>
      <c r="MGR23" s="538"/>
      <c r="MGS23" s="538"/>
      <c r="MGT23" s="538"/>
      <c r="MGU23" s="538"/>
      <c r="MGV23" s="538"/>
      <c r="MGW23" s="538"/>
      <c r="MGX23" s="538"/>
      <c r="MGY23" s="538"/>
      <c r="MGZ23" s="538"/>
      <c r="MHA23" s="538"/>
      <c r="MHB23" s="538"/>
      <c r="MHC23" s="538"/>
      <c r="MHD23" s="538"/>
      <c r="MHE23" s="538"/>
      <c r="MHF23" s="538"/>
      <c r="MHG23" s="538"/>
      <c r="MHH23" s="538"/>
      <c r="MHI23" s="538"/>
      <c r="MHJ23" s="538"/>
      <c r="MHK23" s="538"/>
      <c r="MHL23" s="538"/>
      <c r="MHM23" s="538"/>
      <c r="MHN23" s="538"/>
      <c r="MHO23" s="538"/>
      <c r="MHP23" s="538"/>
      <c r="MHQ23" s="538"/>
      <c r="MHR23" s="538"/>
      <c r="MHS23" s="538"/>
      <c r="MHT23" s="538"/>
      <c r="MHU23" s="538"/>
      <c r="MHV23" s="538"/>
      <c r="MHW23" s="538"/>
      <c r="MHX23" s="538"/>
      <c r="MHY23" s="538"/>
      <c r="MHZ23" s="538"/>
      <c r="MIA23" s="538"/>
      <c r="MIB23" s="538"/>
      <c r="MIC23" s="538"/>
      <c r="MID23" s="538"/>
      <c r="MIE23" s="538"/>
      <c r="MIF23" s="538"/>
      <c r="MIG23" s="538"/>
      <c r="MIH23" s="538"/>
      <c r="MII23" s="538"/>
      <c r="MIJ23" s="538"/>
      <c r="MIK23" s="538"/>
      <c r="MIL23" s="538"/>
      <c r="MIM23" s="538"/>
      <c r="MIN23" s="538"/>
      <c r="MIO23" s="538"/>
      <c r="MIP23" s="538"/>
      <c r="MIQ23" s="538"/>
      <c r="MIR23" s="538"/>
      <c r="MIS23" s="538"/>
      <c r="MIT23" s="538"/>
      <c r="MIU23" s="538"/>
      <c r="MIV23" s="538"/>
      <c r="MIW23" s="538"/>
      <c r="MIX23" s="538"/>
      <c r="MIY23" s="538"/>
      <c r="MIZ23" s="538"/>
      <c r="MJA23" s="538"/>
      <c r="MJB23" s="538"/>
      <c r="MJC23" s="538"/>
      <c r="MJD23" s="538"/>
      <c r="MJE23" s="538"/>
      <c r="MJF23" s="538"/>
      <c r="MJG23" s="538"/>
      <c r="MJH23" s="538"/>
      <c r="MJI23" s="538"/>
      <c r="MJJ23" s="538"/>
      <c r="MJK23" s="538"/>
      <c r="MJL23" s="538"/>
      <c r="MJM23" s="538"/>
      <c r="MJN23" s="538"/>
      <c r="MJO23" s="538"/>
      <c r="MJP23" s="538"/>
      <c r="MJQ23" s="538"/>
      <c r="MJR23" s="538"/>
      <c r="MJS23" s="538"/>
      <c r="MJT23" s="538"/>
      <c r="MJU23" s="538"/>
      <c r="MJV23" s="538"/>
      <c r="MJW23" s="538"/>
      <c r="MJX23" s="538"/>
      <c r="MJY23" s="538"/>
      <c r="MJZ23" s="538"/>
      <c r="MKA23" s="538"/>
      <c r="MKB23" s="538"/>
      <c r="MKC23" s="538"/>
      <c r="MKD23" s="538"/>
      <c r="MKE23" s="538"/>
      <c r="MKF23" s="538"/>
      <c r="MKG23" s="538"/>
      <c r="MKH23" s="538"/>
      <c r="MKI23" s="538"/>
      <c r="MKJ23" s="538"/>
      <c r="MKK23" s="538"/>
      <c r="MKL23" s="538"/>
      <c r="MKM23" s="538"/>
      <c r="MKN23" s="538"/>
      <c r="MKO23" s="538"/>
      <c r="MKP23" s="538"/>
      <c r="MKQ23" s="538"/>
      <c r="MKR23" s="538"/>
      <c r="MKS23" s="538"/>
      <c r="MKT23" s="538"/>
      <c r="MKU23" s="538"/>
      <c r="MKV23" s="538"/>
      <c r="MKW23" s="538"/>
      <c r="MKX23" s="538"/>
      <c r="MKY23" s="538"/>
      <c r="MKZ23" s="538"/>
      <c r="MLA23" s="538"/>
      <c r="MLB23" s="538"/>
      <c r="MLC23" s="538"/>
      <c r="MLD23" s="538"/>
      <c r="MLE23" s="538"/>
      <c r="MLF23" s="538"/>
      <c r="MLG23" s="538"/>
      <c r="MLH23" s="538"/>
      <c r="MLI23" s="538"/>
      <c r="MLJ23" s="538"/>
      <c r="MLK23" s="538"/>
      <c r="MLL23" s="538"/>
      <c r="MLM23" s="538"/>
      <c r="MLN23" s="538"/>
      <c r="MLO23" s="538"/>
      <c r="MLP23" s="538"/>
      <c r="MLQ23" s="538"/>
      <c r="MLR23" s="538"/>
      <c r="MLS23" s="538"/>
      <c r="MLT23" s="538"/>
      <c r="MLU23" s="538"/>
      <c r="MLV23" s="538"/>
      <c r="MLW23" s="538"/>
      <c r="MLX23" s="538"/>
      <c r="MLY23" s="538"/>
      <c r="MLZ23" s="538"/>
      <c r="MMA23" s="538"/>
      <c r="MMB23" s="538"/>
      <c r="MMC23" s="538"/>
      <c r="MMD23" s="538"/>
      <c r="MME23" s="538"/>
      <c r="MMF23" s="538"/>
      <c r="MMG23" s="538"/>
      <c r="MMH23" s="538"/>
      <c r="MMI23" s="538"/>
      <c r="MMJ23" s="538"/>
      <c r="MMK23" s="538"/>
      <c r="MML23" s="538"/>
      <c r="MMM23" s="538"/>
      <c r="MMN23" s="538"/>
      <c r="MMO23" s="538"/>
      <c r="MMP23" s="538"/>
      <c r="MMQ23" s="538"/>
      <c r="MMR23" s="538"/>
      <c r="MMS23" s="538"/>
      <c r="MMT23" s="538"/>
      <c r="MMU23" s="538"/>
      <c r="MMV23" s="538"/>
      <c r="MMW23" s="538"/>
      <c r="MMX23" s="538"/>
      <c r="MMY23" s="538"/>
      <c r="MMZ23" s="538"/>
      <c r="MNA23" s="538"/>
      <c r="MNB23" s="538"/>
      <c r="MNC23" s="538"/>
      <c r="MND23" s="538"/>
      <c r="MNE23" s="538"/>
      <c r="MNF23" s="538"/>
      <c r="MNG23" s="538"/>
      <c r="MNH23" s="538"/>
      <c r="MNI23" s="538"/>
      <c r="MNJ23" s="538"/>
      <c r="MNK23" s="538"/>
      <c r="MNL23" s="538"/>
      <c r="MNM23" s="538"/>
      <c r="MNN23" s="538"/>
      <c r="MNO23" s="538"/>
      <c r="MNP23" s="538"/>
      <c r="MNQ23" s="538"/>
      <c r="MNR23" s="538"/>
      <c r="MNS23" s="538"/>
      <c r="MNT23" s="538"/>
      <c r="MNU23" s="538"/>
      <c r="MNV23" s="538"/>
      <c r="MNW23" s="538"/>
      <c r="MNX23" s="538"/>
      <c r="MNY23" s="538"/>
      <c r="MNZ23" s="538"/>
      <c r="MOA23" s="538"/>
      <c r="MOB23" s="538"/>
      <c r="MOC23" s="538"/>
      <c r="MOD23" s="538"/>
      <c r="MOE23" s="538"/>
      <c r="MOF23" s="538"/>
      <c r="MOG23" s="538"/>
      <c r="MOH23" s="538"/>
      <c r="MOI23" s="538"/>
      <c r="MOJ23" s="538"/>
      <c r="MOK23" s="538"/>
      <c r="MOL23" s="538"/>
      <c r="MOM23" s="538"/>
      <c r="MON23" s="538"/>
      <c r="MOO23" s="538"/>
      <c r="MOP23" s="538"/>
      <c r="MOQ23" s="538"/>
      <c r="MOR23" s="538"/>
      <c r="MOS23" s="538"/>
      <c r="MOT23" s="538"/>
      <c r="MOU23" s="538"/>
      <c r="MOV23" s="538"/>
      <c r="MOW23" s="538"/>
      <c r="MOX23" s="538"/>
      <c r="MOY23" s="538"/>
      <c r="MOZ23" s="538"/>
      <c r="MPA23" s="538"/>
      <c r="MPB23" s="538"/>
      <c r="MPC23" s="538"/>
      <c r="MPD23" s="538"/>
      <c r="MPE23" s="538"/>
      <c r="MPF23" s="538"/>
      <c r="MPG23" s="538"/>
      <c r="MPH23" s="538"/>
      <c r="MPI23" s="538"/>
      <c r="MPJ23" s="538"/>
      <c r="MPK23" s="538"/>
      <c r="MPL23" s="538"/>
      <c r="MPM23" s="538"/>
      <c r="MPN23" s="538"/>
      <c r="MPO23" s="538"/>
      <c r="MPP23" s="538"/>
      <c r="MPQ23" s="538"/>
      <c r="MPR23" s="538"/>
      <c r="MPS23" s="538"/>
      <c r="MPT23" s="538"/>
      <c r="MPU23" s="538"/>
      <c r="MPV23" s="538"/>
      <c r="MPW23" s="538"/>
      <c r="MPX23" s="538"/>
      <c r="MPY23" s="538"/>
      <c r="MPZ23" s="538"/>
      <c r="MQA23" s="538"/>
      <c r="MQB23" s="538"/>
      <c r="MQC23" s="538"/>
      <c r="MQD23" s="538"/>
      <c r="MQE23" s="538"/>
      <c r="MQF23" s="538"/>
      <c r="MQG23" s="538"/>
      <c r="MQH23" s="538"/>
      <c r="MQI23" s="538"/>
      <c r="MQJ23" s="538"/>
      <c r="MQK23" s="538"/>
      <c r="MQL23" s="538"/>
      <c r="MQM23" s="538"/>
      <c r="MQN23" s="538"/>
      <c r="MQO23" s="538"/>
      <c r="MQP23" s="538"/>
      <c r="MQQ23" s="538"/>
      <c r="MQR23" s="538"/>
      <c r="MQS23" s="538"/>
      <c r="MQT23" s="538"/>
      <c r="MQU23" s="538"/>
      <c r="MQV23" s="538"/>
      <c r="MQW23" s="538"/>
      <c r="MQX23" s="538"/>
      <c r="MQY23" s="538"/>
      <c r="MQZ23" s="538"/>
      <c r="MRA23" s="538"/>
      <c r="MRB23" s="538"/>
      <c r="MRC23" s="538"/>
      <c r="MRD23" s="538"/>
      <c r="MRE23" s="538"/>
      <c r="MRF23" s="538"/>
      <c r="MRG23" s="538"/>
      <c r="MRH23" s="538"/>
      <c r="MRI23" s="538"/>
      <c r="MRJ23" s="538"/>
      <c r="MRK23" s="538"/>
      <c r="MRL23" s="538"/>
      <c r="MRM23" s="538"/>
      <c r="MRN23" s="538"/>
      <c r="MRO23" s="538"/>
      <c r="MRP23" s="538"/>
      <c r="MRQ23" s="538"/>
      <c r="MRR23" s="538"/>
      <c r="MRS23" s="538"/>
      <c r="MRT23" s="538"/>
      <c r="MRU23" s="538"/>
      <c r="MRV23" s="538"/>
      <c r="MRW23" s="538"/>
      <c r="MRX23" s="538"/>
      <c r="MRY23" s="538"/>
      <c r="MRZ23" s="538"/>
      <c r="MSA23" s="538"/>
      <c r="MSB23" s="538"/>
      <c r="MSC23" s="538"/>
      <c r="MSD23" s="538"/>
      <c r="MSE23" s="538"/>
      <c r="MSF23" s="538"/>
      <c r="MSG23" s="538"/>
      <c r="MSH23" s="538"/>
      <c r="MSI23" s="538"/>
      <c r="MSJ23" s="538"/>
      <c r="MSK23" s="538"/>
      <c r="MSL23" s="538"/>
      <c r="MSM23" s="538"/>
      <c r="MSN23" s="538"/>
      <c r="MSO23" s="538"/>
      <c r="MSP23" s="538"/>
      <c r="MSQ23" s="538"/>
      <c r="MSR23" s="538"/>
      <c r="MSS23" s="538"/>
      <c r="MST23" s="538"/>
      <c r="MSU23" s="538"/>
      <c r="MSV23" s="538"/>
      <c r="MSW23" s="538"/>
      <c r="MSX23" s="538"/>
      <c r="MSY23" s="538"/>
      <c r="MSZ23" s="538"/>
      <c r="MTA23" s="538"/>
      <c r="MTB23" s="538"/>
      <c r="MTC23" s="538"/>
      <c r="MTD23" s="538"/>
      <c r="MTE23" s="538"/>
      <c r="MTF23" s="538"/>
      <c r="MTG23" s="538"/>
      <c r="MTH23" s="538"/>
      <c r="MTI23" s="538"/>
      <c r="MTJ23" s="538"/>
      <c r="MTK23" s="538"/>
      <c r="MTL23" s="538"/>
      <c r="MTM23" s="538"/>
      <c r="MTN23" s="538"/>
      <c r="MTO23" s="538"/>
      <c r="MTP23" s="538"/>
      <c r="MTQ23" s="538"/>
      <c r="MTR23" s="538"/>
      <c r="MTS23" s="538"/>
      <c r="MTT23" s="538"/>
      <c r="MTU23" s="538"/>
      <c r="MTV23" s="538"/>
      <c r="MTW23" s="538"/>
      <c r="MTX23" s="538"/>
      <c r="MTY23" s="538"/>
      <c r="MTZ23" s="538"/>
      <c r="MUA23" s="538"/>
      <c r="MUB23" s="538"/>
      <c r="MUC23" s="538"/>
      <c r="MUD23" s="538"/>
      <c r="MUE23" s="538"/>
      <c r="MUF23" s="538"/>
      <c r="MUG23" s="538"/>
      <c r="MUH23" s="538"/>
      <c r="MUI23" s="538"/>
      <c r="MUJ23" s="538"/>
      <c r="MUK23" s="538"/>
      <c r="MUL23" s="538"/>
      <c r="MUM23" s="538"/>
      <c r="MUN23" s="538"/>
      <c r="MUO23" s="538"/>
      <c r="MUP23" s="538"/>
      <c r="MUQ23" s="538"/>
      <c r="MUR23" s="538"/>
      <c r="MUS23" s="538"/>
      <c r="MUT23" s="538"/>
      <c r="MUU23" s="538"/>
      <c r="MUV23" s="538"/>
      <c r="MUW23" s="538"/>
      <c r="MUX23" s="538"/>
      <c r="MUY23" s="538"/>
      <c r="MUZ23" s="538"/>
      <c r="MVA23" s="538"/>
      <c r="MVB23" s="538"/>
      <c r="MVC23" s="538"/>
      <c r="MVD23" s="538"/>
      <c r="MVE23" s="538"/>
      <c r="MVF23" s="538"/>
      <c r="MVG23" s="538"/>
      <c r="MVH23" s="538"/>
      <c r="MVI23" s="538"/>
      <c r="MVJ23" s="538"/>
      <c r="MVK23" s="538"/>
      <c r="MVL23" s="538"/>
      <c r="MVM23" s="538"/>
      <c r="MVN23" s="538"/>
      <c r="MVO23" s="538"/>
      <c r="MVP23" s="538"/>
      <c r="MVQ23" s="538"/>
      <c r="MVR23" s="538"/>
      <c r="MVS23" s="538"/>
      <c r="MVT23" s="538"/>
      <c r="MVU23" s="538"/>
      <c r="MVV23" s="538"/>
      <c r="MVW23" s="538"/>
      <c r="MVX23" s="538"/>
      <c r="MVY23" s="538"/>
      <c r="MVZ23" s="538"/>
      <c r="MWA23" s="538"/>
      <c r="MWB23" s="538"/>
      <c r="MWC23" s="538"/>
      <c r="MWD23" s="538"/>
      <c r="MWE23" s="538"/>
      <c r="MWF23" s="538"/>
      <c r="MWG23" s="538"/>
      <c r="MWH23" s="538"/>
      <c r="MWI23" s="538"/>
      <c r="MWJ23" s="538"/>
      <c r="MWK23" s="538"/>
      <c r="MWL23" s="538"/>
      <c r="MWM23" s="538"/>
      <c r="MWN23" s="538"/>
      <c r="MWO23" s="538"/>
      <c r="MWP23" s="538"/>
      <c r="MWQ23" s="538"/>
      <c r="MWR23" s="538"/>
      <c r="MWS23" s="538"/>
      <c r="MWT23" s="538"/>
      <c r="MWU23" s="538"/>
      <c r="MWV23" s="538"/>
      <c r="MWW23" s="538"/>
      <c r="MWX23" s="538"/>
      <c r="MWY23" s="538"/>
      <c r="MWZ23" s="538"/>
      <c r="MXA23" s="538"/>
      <c r="MXB23" s="538"/>
      <c r="MXC23" s="538"/>
      <c r="MXD23" s="538"/>
      <c r="MXE23" s="538"/>
      <c r="MXF23" s="538"/>
      <c r="MXG23" s="538"/>
      <c r="MXH23" s="538"/>
      <c r="MXI23" s="538"/>
      <c r="MXJ23" s="538"/>
      <c r="MXK23" s="538"/>
      <c r="MXL23" s="538"/>
      <c r="MXM23" s="538"/>
      <c r="MXN23" s="538"/>
      <c r="MXO23" s="538"/>
      <c r="MXP23" s="538"/>
      <c r="MXQ23" s="538"/>
      <c r="MXR23" s="538"/>
      <c r="MXS23" s="538"/>
      <c r="MXT23" s="538"/>
      <c r="MXU23" s="538"/>
      <c r="MXV23" s="538"/>
      <c r="MXW23" s="538"/>
      <c r="MXX23" s="538"/>
      <c r="MXY23" s="538"/>
      <c r="MXZ23" s="538"/>
      <c r="MYA23" s="538"/>
      <c r="MYB23" s="538"/>
      <c r="MYC23" s="538"/>
      <c r="MYD23" s="538"/>
      <c r="MYE23" s="538"/>
      <c r="MYF23" s="538"/>
      <c r="MYG23" s="538"/>
      <c r="MYH23" s="538"/>
      <c r="MYI23" s="538"/>
      <c r="MYJ23" s="538"/>
      <c r="MYK23" s="538"/>
      <c r="MYL23" s="538"/>
      <c r="MYM23" s="538"/>
      <c r="MYN23" s="538"/>
      <c r="MYO23" s="538"/>
      <c r="MYP23" s="538"/>
      <c r="MYQ23" s="538"/>
      <c r="MYR23" s="538"/>
      <c r="MYS23" s="538"/>
      <c r="MYT23" s="538"/>
      <c r="MYU23" s="538"/>
      <c r="MYV23" s="538"/>
      <c r="MYW23" s="538"/>
      <c r="MYX23" s="538"/>
      <c r="MYY23" s="538"/>
      <c r="MYZ23" s="538"/>
      <c r="MZA23" s="538"/>
      <c r="MZB23" s="538"/>
      <c r="MZC23" s="538"/>
      <c r="MZD23" s="538"/>
      <c r="MZE23" s="538"/>
      <c r="MZF23" s="538"/>
      <c r="MZG23" s="538"/>
      <c r="MZH23" s="538"/>
      <c r="MZI23" s="538"/>
      <c r="MZJ23" s="538"/>
      <c r="MZK23" s="538"/>
      <c r="MZL23" s="538"/>
      <c r="MZM23" s="538"/>
      <c r="MZN23" s="538"/>
      <c r="MZO23" s="538"/>
      <c r="MZP23" s="538"/>
      <c r="MZQ23" s="538"/>
      <c r="MZR23" s="538"/>
      <c r="MZS23" s="538"/>
      <c r="MZT23" s="538"/>
      <c r="MZU23" s="538"/>
      <c r="MZV23" s="538"/>
      <c r="MZW23" s="538"/>
      <c r="MZX23" s="538"/>
      <c r="MZY23" s="538"/>
      <c r="MZZ23" s="538"/>
      <c r="NAA23" s="538"/>
      <c r="NAB23" s="538"/>
      <c r="NAC23" s="538"/>
      <c r="NAD23" s="538"/>
      <c r="NAE23" s="538"/>
      <c r="NAF23" s="538"/>
      <c r="NAG23" s="538"/>
      <c r="NAH23" s="538"/>
      <c r="NAI23" s="538"/>
      <c r="NAJ23" s="538"/>
      <c r="NAK23" s="538"/>
      <c r="NAL23" s="538"/>
      <c r="NAM23" s="538"/>
      <c r="NAN23" s="538"/>
      <c r="NAO23" s="538"/>
      <c r="NAP23" s="538"/>
      <c r="NAQ23" s="538"/>
      <c r="NAR23" s="538"/>
      <c r="NAS23" s="538"/>
      <c r="NAT23" s="538"/>
      <c r="NAU23" s="538"/>
      <c r="NAV23" s="538"/>
      <c r="NAW23" s="538"/>
      <c r="NAX23" s="538"/>
      <c r="NAY23" s="538"/>
      <c r="NAZ23" s="538"/>
      <c r="NBA23" s="538"/>
      <c r="NBB23" s="538"/>
      <c r="NBC23" s="538"/>
      <c r="NBD23" s="538"/>
      <c r="NBE23" s="538"/>
      <c r="NBF23" s="538"/>
      <c r="NBG23" s="538"/>
      <c r="NBH23" s="538"/>
      <c r="NBI23" s="538"/>
      <c r="NBJ23" s="538"/>
      <c r="NBK23" s="538"/>
      <c r="NBL23" s="538"/>
      <c r="NBM23" s="538"/>
      <c r="NBN23" s="538"/>
      <c r="NBO23" s="538"/>
      <c r="NBP23" s="538"/>
      <c r="NBQ23" s="538"/>
      <c r="NBR23" s="538"/>
      <c r="NBS23" s="538"/>
      <c r="NBT23" s="538"/>
      <c r="NBU23" s="538"/>
      <c r="NBV23" s="538"/>
      <c r="NBW23" s="538"/>
      <c r="NBX23" s="538"/>
      <c r="NBY23" s="538"/>
      <c r="NBZ23" s="538"/>
      <c r="NCA23" s="538"/>
      <c r="NCB23" s="538"/>
      <c r="NCC23" s="538"/>
      <c r="NCD23" s="538"/>
      <c r="NCE23" s="538"/>
      <c r="NCF23" s="538"/>
      <c r="NCG23" s="538"/>
      <c r="NCH23" s="538"/>
      <c r="NCI23" s="538"/>
      <c r="NCJ23" s="538"/>
      <c r="NCK23" s="538"/>
      <c r="NCL23" s="538"/>
      <c r="NCM23" s="538"/>
      <c r="NCN23" s="538"/>
      <c r="NCO23" s="538"/>
      <c r="NCP23" s="538"/>
      <c r="NCQ23" s="538"/>
      <c r="NCR23" s="538"/>
      <c r="NCS23" s="538"/>
      <c r="NCT23" s="538"/>
      <c r="NCU23" s="538"/>
      <c r="NCV23" s="538"/>
      <c r="NCW23" s="538"/>
      <c r="NCX23" s="538"/>
      <c r="NCY23" s="538"/>
      <c r="NCZ23" s="538"/>
      <c r="NDA23" s="538"/>
      <c r="NDB23" s="538"/>
      <c r="NDC23" s="538"/>
      <c r="NDD23" s="538"/>
      <c r="NDE23" s="538"/>
      <c r="NDF23" s="538"/>
      <c r="NDG23" s="538"/>
      <c r="NDH23" s="538"/>
      <c r="NDI23" s="538"/>
      <c r="NDJ23" s="538"/>
      <c r="NDK23" s="538"/>
      <c r="NDL23" s="538"/>
      <c r="NDM23" s="538"/>
      <c r="NDN23" s="538"/>
      <c r="NDO23" s="538"/>
      <c r="NDP23" s="538"/>
      <c r="NDQ23" s="538"/>
      <c r="NDR23" s="538"/>
      <c r="NDS23" s="538"/>
      <c r="NDT23" s="538"/>
      <c r="NDU23" s="538"/>
      <c r="NDV23" s="538"/>
      <c r="NDW23" s="538"/>
      <c r="NDX23" s="538"/>
      <c r="NDY23" s="538"/>
      <c r="NDZ23" s="538"/>
      <c r="NEA23" s="538"/>
      <c r="NEB23" s="538"/>
      <c r="NEC23" s="538"/>
      <c r="NED23" s="538"/>
      <c r="NEE23" s="538"/>
      <c r="NEF23" s="538"/>
      <c r="NEG23" s="538"/>
      <c r="NEH23" s="538"/>
      <c r="NEI23" s="538"/>
      <c r="NEJ23" s="538"/>
      <c r="NEK23" s="538"/>
      <c r="NEL23" s="538"/>
      <c r="NEM23" s="538"/>
      <c r="NEN23" s="538"/>
      <c r="NEO23" s="538"/>
      <c r="NEP23" s="538"/>
      <c r="NEQ23" s="538"/>
      <c r="NER23" s="538"/>
      <c r="NES23" s="538"/>
      <c r="NET23" s="538"/>
      <c r="NEU23" s="538"/>
      <c r="NEV23" s="538"/>
      <c r="NEW23" s="538"/>
      <c r="NEX23" s="538"/>
      <c r="NEY23" s="538"/>
      <c r="NEZ23" s="538"/>
      <c r="NFA23" s="538"/>
      <c r="NFB23" s="538"/>
      <c r="NFC23" s="538"/>
      <c r="NFD23" s="538"/>
      <c r="NFE23" s="538"/>
      <c r="NFF23" s="538"/>
      <c r="NFG23" s="538"/>
      <c r="NFH23" s="538"/>
      <c r="NFI23" s="538"/>
      <c r="NFJ23" s="538"/>
      <c r="NFK23" s="538"/>
      <c r="NFL23" s="538"/>
      <c r="NFM23" s="538"/>
      <c r="NFN23" s="538"/>
      <c r="NFO23" s="538"/>
      <c r="NFP23" s="538"/>
      <c r="NFQ23" s="538"/>
      <c r="NFR23" s="538"/>
      <c r="NFS23" s="538"/>
      <c r="NFT23" s="538"/>
      <c r="NFU23" s="538"/>
      <c r="NFV23" s="538"/>
      <c r="NFW23" s="538"/>
      <c r="NFX23" s="538"/>
      <c r="NFY23" s="538"/>
      <c r="NFZ23" s="538"/>
      <c r="NGA23" s="538"/>
      <c r="NGB23" s="538"/>
      <c r="NGC23" s="538"/>
      <c r="NGD23" s="538"/>
      <c r="NGE23" s="538"/>
      <c r="NGF23" s="538"/>
      <c r="NGG23" s="538"/>
      <c r="NGH23" s="538"/>
      <c r="NGI23" s="538"/>
      <c r="NGJ23" s="538"/>
      <c r="NGK23" s="538"/>
      <c r="NGL23" s="538"/>
      <c r="NGM23" s="538"/>
      <c r="NGN23" s="538"/>
      <c r="NGO23" s="538"/>
      <c r="NGP23" s="538"/>
      <c r="NGQ23" s="538"/>
      <c r="NGR23" s="538"/>
      <c r="NGS23" s="538"/>
      <c r="NGT23" s="538"/>
      <c r="NGU23" s="538"/>
      <c r="NGV23" s="538"/>
      <c r="NGW23" s="538"/>
      <c r="NGX23" s="538"/>
      <c r="NGY23" s="538"/>
      <c r="NGZ23" s="538"/>
      <c r="NHA23" s="538"/>
      <c r="NHB23" s="538"/>
      <c r="NHC23" s="538"/>
      <c r="NHD23" s="538"/>
      <c r="NHE23" s="538"/>
      <c r="NHF23" s="538"/>
      <c r="NHG23" s="538"/>
      <c r="NHH23" s="538"/>
      <c r="NHI23" s="538"/>
      <c r="NHJ23" s="538"/>
      <c r="NHK23" s="538"/>
      <c r="NHL23" s="538"/>
      <c r="NHM23" s="538"/>
      <c r="NHN23" s="538"/>
      <c r="NHO23" s="538"/>
      <c r="NHP23" s="538"/>
      <c r="NHQ23" s="538"/>
      <c r="NHR23" s="538"/>
      <c r="NHS23" s="538"/>
      <c r="NHT23" s="538"/>
      <c r="NHU23" s="538"/>
      <c r="NHV23" s="538"/>
      <c r="NHW23" s="538"/>
      <c r="NHX23" s="538"/>
      <c r="NHY23" s="538"/>
      <c r="NHZ23" s="538"/>
      <c r="NIA23" s="538"/>
      <c r="NIB23" s="538"/>
      <c r="NIC23" s="538"/>
      <c r="NID23" s="538"/>
      <c r="NIE23" s="538"/>
      <c r="NIF23" s="538"/>
      <c r="NIG23" s="538"/>
      <c r="NIH23" s="538"/>
      <c r="NII23" s="538"/>
      <c r="NIJ23" s="538"/>
      <c r="NIK23" s="538"/>
      <c r="NIL23" s="538"/>
      <c r="NIM23" s="538"/>
      <c r="NIN23" s="538"/>
      <c r="NIO23" s="538"/>
      <c r="NIP23" s="538"/>
      <c r="NIQ23" s="538"/>
      <c r="NIR23" s="538"/>
      <c r="NIS23" s="538"/>
      <c r="NIT23" s="538"/>
      <c r="NIU23" s="538"/>
      <c r="NIV23" s="538"/>
      <c r="NIW23" s="538"/>
      <c r="NIX23" s="538"/>
      <c r="NIY23" s="538"/>
      <c r="NIZ23" s="538"/>
      <c r="NJA23" s="538"/>
      <c r="NJB23" s="538"/>
      <c r="NJC23" s="538"/>
      <c r="NJD23" s="538"/>
      <c r="NJE23" s="538"/>
      <c r="NJF23" s="538"/>
      <c r="NJG23" s="538"/>
      <c r="NJH23" s="538"/>
      <c r="NJI23" s="538"/>
      <c r="NJJ23" s="538"/>
      <c r="NJK23" s="538"/>
      <c r="NJL23" s="538"/>
      <c r="NJM23" s="538"/>
      <c r="NJN23" s="538"/>
      <c r="NJO23" s="538"/>
      <c r="NJP23" s="538"/>
      <c r="NJQ23" s="538"/>
      <c r="NJR23" s="538"/>
      <c r="NJS23" s="538"/>
      <c r="NJT23" s="538"/>
      <c r="NJU23" s="538"/>
      <c r="NJV23" s="538"/>
      <c r="NJW23" s="538"/>
      <c r="NJX23" s="538"/>
      <c r="NJY23" s="538"/>
      <c r="NJZ23" s="538"/>
      <c r="NKA23" s="538"/>
      <c r="NKB23" s="538"/>
      <c r="NKC23" s="538"/>
      <c r="NKD23" s="538"/>
      <c r="NKE23" s="538"/>
      <c r="NKF23" s="538"/>
      <c r="NKG23" s="538"/>
      <c r="NKH23" s="538"/>
      <c r="NKI23" s="538"/>
      <c r="NKJ23" s="538"/>
      <c r="NKK23" s="538"/>
      <c r="NKL23" s="538"/>
      <c r="NKM23" s="538"/>
      <c r="NKN23" s="538"/>
      <c r="NKO23" s="538"/>
      <c r="NKP23" s="538"/>
      <c r="NKQ23" s="538"/>
      <c r="NKR23" s="538"/>
      <c r="NKS23" s="538"/>
      <c r="NKT23" s="538"/>
      <c r="NKU23" s="538"/>
      <c r="NKV23" s="538"/>
      <c r="NKW23" s="538"/>
      <c r="NKX23" s="538"/>
      <c r="NKY23" s="538"/>
      <c r="NKZ23" s="538"/>
      <c r="NLA23" s="538"/>
      <c r="NLB23" s="538"/>
      <c r="NLC23" s="538"/>
      <c r="NLD23" s="538"/>
      <c r="NLE23" s="538"/>
      <c r="NLF23" s="538"/>
      <c r="NLG23" s="538"/>
      <c r="NLH23" s="538"/>
      <c r="NLI23" s="538"/>
      <c r="NLJ23" s="538"/>
      <c r="NLK23" s="538"/>
      <c r="NLL23" s="538"/>
      <c r="NLM23" s="538"/>
      <c r="NLN23" s="538"/>
      <c r="NLO23" s="538"/>
      <c r="NLP23" s="538"/>
      <c r="NLQ23" s="538"/>
      <c r="NLR23" s="538"/>
      <c r="NLS23" s="538"/>
      <c r="NLT23" s="538"/>
      <c r="NLU23" s="538"/>
      <c r="NLV23" s="538"/>
      <c r="NLW23" s="538"/>
      <c r="NLX23" s="538"/>
      <c r="NLY23" s="538"/>
      <c r="NLZ23" s="538"/>
      <c r="NMA23" s="538"/>
      <c r="NMB23" s="538"/>
      <c r="NMC23" s="538"/>
      <c r="NMD23" s="538"/>
      <c r="NME23" s="538"/>
      <c r="NMF23" s="538"/>
      <c r="NMG23" s="538"/>
      <c r="NMH23" s="538"/>
      <c r="NMI23" s="538"/>
      <c r="NMJ23" s="538"/>
      <c r="NMK23" s="538"/>
      <c r="NML23" s="538"/>
      <c r="NMM23" s="538"/>
      <c r="NMN23" s="538"/>
      <c r="NMO23" s="538"/>
      <c r="NMP23" s="538"/>
      <c r="NMQ23" s="538"/>
      <c r="NMR23" s="538"/>
      <c r="NMS23" s="538"/>
      <c r="NMT23" s="538"/>
      <c r="NMU23" s="538"/>
      <c r="NMV23" s="538"/>
      <c r="NMW23" s="538"/>
      <c r="NMX23" s="538"/>
      <c r="NMY23" s="538"/>
      <c r="NMZ23" s="538"/>
      <c r="NNA23" s="538"/>
      <c r="NNB23" s="538"/>
      <c r="NNC23" s="538"/>
      <c r="NND23" s="538"/>
      <c r="NNE23" s="538"/>
      <c r="NNF23" s="538"/>
      <c r="NNG23" s="538"/>
      <c r="NNH23" s="538"/>
      <c r="NNI23" s="538"/>
      <c r="NNJ23" s="538"/>
      <c r="NNK23" s="538"/>
      <c r="NNL23" s="538"/>
      <c r="NNM23" s="538"/>
      <c r="NNN23" s="538"/>
      <c r="NNO23" s="538"/>
      <c r="NNP23" s="538"/>
      <c r="NNQ23" s="538"/>
      <c r="NNR23" s="538"/>
      <c r="NNS23" s="538"/>
      <c r="NNT23" s="538"/>
      <c r="NNU23" s="538"/>
      <c r="NNV23" s="538"/>
      <c r="NNW23" s="538"/>
      <c r="NNX23" s="538"/>
      <c r="NNY23" s="538"/>
      <c r="NNZ23" s="538"/>
      <c r="NOA23" s="538"/>
      <c r="NOB23" s="538"/>
      <c r="NOC23" s="538"/>
      <c r="NOD23" s="538"/>
      <c r="NOE23" s="538"/>
      <c r="NOF23" s="538"/>
      <c r="NOG23" s="538"/>
      <c r="NOH23" s="538"/>
      <c r="NOI23" s="538"/>
      <c r="NOJ23" s="538"/>
      <c r="NOK23" s="538"/>
      <c r="NOL23" s="538"/>
      <c r="NOM23" s="538"/>
      <c r="NON23" s="538"/>
      <c r="NOO23" s="538"/>
      <c r="NOP23" s="538"/>
      <c r="NOQ23" s="538"/>
      <c r="NOR23" s="538"/>
      <c r="NOS23" s="538"/>
      <c r="NOT23" s="538"/>
      <c r="NOU23" s="538"/>
      <c r="NOV23" s="538"/>
      <c r="NOW23" s="538"/>
      <c r="NOX23" s="538"/>
      <c r="NOY23" s="538"/>
      <c r="NOZ23" s="538"/>
      <c r="NPA23" s="538"/>
      <c r="NPB23" s="538"/>
      <c r="NPC23" s="538"/>
      <c r="NPD23" s="538"/>
      <c r="NPE23" s="538"/>
      <c r="NPF23" s="538"/>
      <c r="NPG23" s="538"/>
      <c r="NPH23" s="538"/>
      <c r="NPI23" s="538"/>
      <c r="NPJ23" s="538"/>
      <c r="NPK23" s="538"/>
      <c r="NPL23" s="538"/>
      <c r="NPM23" s="538"/>
      <c r="NPN23" s="538"/>
      <c r="NPO23" s="538"/>
      <c r="NPP23" s="538"/>
      <c r="NPQ23" s="538"/>
      <c r="NPR23" s="538"/>
      <c r="NPS23" s="538"/>
      <c r="NPT23" s="538"/>
      <c r="NPU23" s="538"/>
      <c r="NPV23" s="538"/>
      <c r="NPW23" s="538"/>
      <c r="NPX23" s="538"/>
      <c r="NPY23" s="538"/>
      <c r="NPZ23" s="538"/>
      <c r="NQA23" s="538"/>
      <c r="NQB23" s="538"/>
      <c r="NQC23" s="538"/>
      <c r="NQD23" s="538"/>
      <c r="NQE23" s="538"/>
      <c r="NQF23" s="538"/>
      <c r="NQG23" s="538"/>
      <c r="NQH23" s="538"/>
      <c r="NQI23" s="538"/>
      <c r="NQJ23" s="538"/>
      <c r="NQK23" s="538"/>
      <c r="NQL23" s="538"/>
      <c r="NQM23" s="538"/>
      <c r="NQN23" s="538"/>
      <c r="NQO23" s="538"/>
      <c r="NQP23" s="538"/>
      <c r="NQQ23" s="538"/>
      <c r="NQR23" s="538"/>
      <c r="NQS23" s="538"/>
      <c r="NQT23" s="538"/>
      <c r="NQU23" s="538"/>
      <c r="NQV23" s="538"/>
      <c r="NQW23" s="538"/>
      <c r="NQX23" s="538"/>
      <c r="NQY23" s="538"/>
      <c r="NQZ23" s="538"/>
      <c r="NRA23" s="538"/>
      <c r="NRB23" s="538"/>
      <c r="NRC23" s="538"/>
      <c r="NRD23" s="538"/>
      <c r="NRE23" s="538"/>
      <c r="NRF23" s="538"/>
      <c r="NRG23" s="538"/>
      <c r="NRH23" s="538"/>
      <c r="NRI23" s="538"/>
      <c r="NRJ23" s="538"/>
      <c r="NRK23" s="538"/>
      <c r="NRL23" s="538"/>
      <c r="NRM23" s="538"/>
      <c r="NRN23" s="538"/>
      <c r="NRO23" s="538"/>
      <c r="NRP23" s="538"/>
      <c r="NRQ23" s="538"/>
      <c r="NRR23" s="538"/>
      <c r="NRS23" s="538"/>
      <c r="NRT23" s="538"/>
      <c r="NRU23" s="538"/>
      <c r="NRV23" s="538"/>
      <c r="NRW23" s="538"/>
      <c r="NRX23" s="538"/>
      <c r="NRY23" s="538"/>
      <c r="NRZ23" s="538"/>
      <c r="NSA23" s="538"/>
      <c r="NSB23" s="538"/>
      <c r="NSC23" s="538"/>
      <c r="NSD23" s="538"/>
      <c r="NSE23" s="538"/>
      <c r="NSF23" s="538"/>
      <c r="NSG23" s="538"/>
      <c r="NSH23" s="538"/>
      <c r="NSI23" s="538"/>
      <c r="NSJ23" s="538"/>
      <c r="NSK23" s="538"/>
      <c r="NSL23" s="538"/>
      <c r="NSM23" s="538"/>
      <c r="NSN23" s="538"/>
      <c r="NSO23" s="538"/>
      <c r="NSP23" s="538"/>
      <c r="NSQ23" s="538"/>
      <c r="NSR23" s="538"/>
      <c r="NSS23" s="538"/>
      <c r="NST23" s="538"/>
      <c r="NSU23" s="538"/>
      <c r="NSV23" s="538"/>
      <c r="NSW23" s="538"/>
      <c r="NSX23" s="538"/>
      <c r="NSY23" s="538"/>
      <c r="NSZ23" s="538"/>
      <c r="NTA23" s="538"/>
      <c r="NTB23" s="538"/>
      <c r="NTC23" s="538"/>
      <c r="NTD23" s="538"/>
      <c r="NTE23" s="538"/>
      <c r="NTF23" s="538"/>
      <c r="NTG23" s="538"/>
      <c r="NTH23" s="538"/>
      <c r="NTI23" s="538"/>
      <c r="NTJ23" s="538"/>
      <c r="NTK23" s="538"/>
      <c r="NTL23" s="538"/>
      <c r="NTM23" s="538"/>
      <c r="NTN23" s="538"/>
      <c r="NTO23" s="538"/>
      <c r="NTP23" s="538"/>
      <c r="NTQ23" s="538"/>
      <c r="NTR23" s="538"/>
      <c r="NTS23" s="538"/>
      <c r="NTT23" s="538"/>
      <c r="NTU23" s="538"/>
      <c r="NTV23" s="538"/>
      <c r="NTW23" s="538"/>
      <c r="NTX23" s="538"/>
      <c r="NTY23" s="538"/>
      <c r="NTZ23" s="538"/>
      <c r="NUA23" s="538"/>
      <c r="NUB23" s="538"/>
      <c r="NUC23" s="538"/>
      <c r="NUD23" s="538"/>
      <c r="NUE23" s="538"/>
      <c r="NUF23" s="538"/>
      <c r="NUG23" s="538"/>
      <c r="NUH23" s="538"/>
      <c r="NUI23" s="538"/>
      <c r="NUJ23" s="538"/>
      <c r="NUK23" s="538"/>
      <c r="NUL23" s="538"/>
      <c r="NUM23" s="538"/>
      <c r="NUN23" s="538"/>
      <c r="NUO23" s="538"/>
      <c r="NUP23" s="538"/>
      <c r="NUQ23" s="538"/>
      <c r="NUR23" s="538"/>
      <c r="NUS23" s="538"/>
      <c r="NUT23" s="538"/>
      <c r="NUU23" s="538"/>
      <c r="NUV23" s="538"/>
      <c r="NUW23" s="538"/>
      <c r="NUX23" s="538"/>
      <c r="NUY23" s="538"/>
      <c r="NUZ23" s="538"/>
      <c r="NVA23" s="538"/>
      <c r="NVB23" s="538"/>
      <c r="NVC23" s="538"/>
      <c r="NVD23" s="538"/>
      <c r="NVE23" s="538"/>
      <c r="NVF23" s="538"/>
      <c r="NVG23" s="538"/>
      <c r="NVH23" s="538"/>
      <c r="NVI23" s="538"/>
      <c r="NVJ23" s="538"/>
      <c r="NVK23" s="538"/>
      <c r="NVL23" s="538"/>
      <c r="NVM23" s="538"/>
      <c r="NVN23" s="538"/>
      <c r="NVO23" s="538"/>
      <c r="NVP23" s="538"/>
      <c r="NVQ23" s="538"/>
      <c r="NVR23" s="538"/>
      <c r="NVS23" s="538"/>
      <c r="NVT23" s="538"/>
      <c r="NVU23" s="538"/>
      <c r="NVV23" s="538"/>
      <c r="NVW23" s="538"/>
      <c r="NVX23" s="538"/>
      <c r="NVY23" s="538"/>
      <c r="NVZ23" s="538"/>
      <c r="NWA23" s="538"/>
      <c r="NWB23" s="538"/>
      <c r="NWC23" s="538"/>
      <c r="NWD23" s="538"/>
      <c r="NWE23" s="538"/>
      <c r="NWF23" s="538"/>
      <c r="NWG23" s="538"/>
      <c r="NWH23" s="538"/>
      <c r="NWI23" s="538"/>
      <c r="NWJ23" s="538"/>
      <c r="NWK23" s="538"/>
      <c r="NWL23" s="538"/>
      <c r="NWM23" s="538"/>
      <c r="NWN23" s="538"/>
      <c r="NWO23" s="538"/>
      <c r="NWP23" s="538"/>
      <c r="NWQ23" s="538"/>
      <c r="NWR23" s="538"/>
      <c r="NWS23" s="538"/>
      <c r="NWT23" s="538"/>
      <c r="NWU23" s="538"/>
      <c r="NWV23" s="538"/>
      <c r="NWW23" s="538"/>
      <c r="NWX23" s="538"/>
      <c r="NWY23" s="538"/>
      <c r="NWZ23" s="538"/>
      <c r="NXA23" s="538"/>
      <c r="NXB23" s="538"/>
      <c r="NXC23" s="538"/>
      <c r="NXD23" s="538"/>
      <c r="NXE23" s="538"/>
      <c r="NXF23" s="538"/>
      <c r="NXG23" s="538"/>
      <c r="NXH23" s="538"/>
      <c r="NXI23" s="538"/>
      <c r="NXJ23" s="538"/>
      <c r="NXK23" s="538"/>
      <c r="NXL23" s="538"/>
      <c r="NXM23" s="538"/>
      <c r="NXN23" s="538"/>
      <c r="NXO23" s="538"/>
      <c r="NXP23" s="538"/>
      <c r="NXQ23" s="538"/>
      <c r="NXR23" s="538"/>
      <c r="NXS23" s="538"/>
      <c r="NXT23" s="538"/>
      <c r="NXU23" s="538"/>
      <c r="NXV23" s="538"/>
      <c r="NXW23" s="538"/>
      <c r="NXX23" s="538"/>
      <c r="NXY23" s="538"/>
      <c r="NXZ23" s="538"/>
      <c r="NYA23" s="538"/>
      <c r="NYB23" s="538"/>
      <c r="NYC23" s="538"/>
      <c r="NYD23" s="538"/>
      <c r="NYE23" s="538"/>
      <c r="NYF23" s="538"/>
      <c r="NYG23" s="538"/>
      <c r="NYH23" s="538"/>
      <c r="NYI23" s="538"/>
      <c r="NYJ23" s="538"/>
      <c r="NYK23" s="538"/>
      <c r="NYL23" s="538"/>
      <c r="NYM23" s="538"/>
      <c r="NYN23" s="538"/>
      <c r="NYO23" s="538"/>
      <c r="NYP23" s="538"/>
      <c r="NYQ23" s="538"/>
      <c r="NYR23" s="538"/>
      <c r="NYS23" s="538"/>
      <c r="NYT23" s="538"/>
      <c r="NYU23" s="538"/>
      <c r="NYV23" s="538"/>
      <c r="NYW23" s="538"/>
      <c r="NYX23" s="538"/>
      <c r="NYY23" s="538"/>
      <c r="NYZ23" s="538"/>
      <c r="NZA23" s="538"/>
      <c r="NZB23" s="538"/>
      <c r="NZC23" s="538"/>
      <c r="NZD23" s="538"/>
      <c r="NZE23" s="538"/>
      <c r="NZF23" s="538"/>
      <c r="NZG23" s="538"/>
      <c r="NZH23" s="538"/>
      <c r="NZI23" s="538"/>
      <c r="NZJ23" s="538"/>
      <c r="NZK23" s="538"/>
      <c r="NZL23" s="538"/>
      <c r="NZM23" s="538"/>
      <c r="NZN23" s="538"/>
      <c r="NZO23" s="538"/>
      <c r="NZP23" s="538"/>
      <c r="NZQ23" s="538"/>
      <c r="NZR23" s="538"/>
      <c r="NZS23" s="538"/>
      <c r="NZT23" s="538"/>
      <c r="NZU23" s="538"/>
      <c r="NZV23" s="538"/>
      <c r="NZW23" s="538"/>
      <c r="NZX23" s="538"/>
      <c r="NZY23" s="538"/>
      <c r="NZZ23" s="538"/>
      <c r="OAA23" s="538"/>
      <c r="OAB23" s="538"/>
      <c r="OAC23" s="538"/>
      <c r="OAD23" s="538"/>
      <c r="OAE23" s="538"/>
      <c r="OAF23" s="538"/>
      <c r="OAG23" s="538"/>
      <c r="OAH23" s="538"/>
      <c r="OAI23" s="538"/>
      <c r="OAJ23" s="538"/>
      <c r="OAK23" s="538"/>
      <c r="OAL23" s="538"/>
      <c r="OAM23" s="538"/>
      <c r="OAN23" s="538"/>
      <c r="OAO23" s="538"/>
      <c r="OAP23" s="538"/>
      <c r="OAQ23" s="538"/>
      <c r="OAR23" s="538"/>
      <c r="OAS23" s="538"/>
      <c r="OAT23" s="538"/>
      <c r="OAU23" s="538"/>
      <c r="OAV23" s="538"/>
      <c r="OAW23" s="538"/>
      <c r="OAX23" s="538"/>
      <c r="OAY23" s="538"/>
      <c r="OAZ23" s="538"/>
      <c r="OBA23" s="538"/>
      <c r="OBB23" s="538"/>
      <c r="OBC23" s="538"/>
      <c r="OBD23" s="538"/>
      <c r="OBE23" s="538"/>
      <c r="OBF23" s="538"/>
      <c r="OBG23" s="538"/>
      <c r="OBH23" s="538"/>
      <c r="OBI23" s="538"/>
      <c r="OBJ23" s="538"/>
      <c r="OBK23" s="538"/>
      <c r="OBL23" s="538"/>
      <c r="OBM23" s="538"/>
      <c r="OBN23" s="538"/>
      <c r="OBO23" s="538"/>
      <c r="OBP23" s="538"/>
      <c r="OBQ23" s="538"/>
      <c r="OBR23" s="538"/>
      <c r="OBS23" s="538"/>
      <c r="OBT23" s="538"/>
      <c r="OBU23" s="538"/>
      <c r="OBV23" s="538"/>
      <c r="OBW23" s="538"/>
      <c r="OBX23" s="538"/>
      <c r="OBY23" s="538"/>
      <c r="OBZ23" s="538"/>
      <c r="OCA23" s="538"/>
      <c r="OCB23" s="538"/>
      <c r="OCC23" s="538"/>
      <c r="OCD23" s="538"/>
      <c r="OCE23" s="538"/>
      <c r="OCF23" s="538"/>
      <c r="OCG23" s="538"/>
      <c r="OCH23" s="538"/>
      <c r="OCI23" s="538"/>
      <c r="OCJ23" s="538"/>
      <c r="OCK23" s="538"/>
      <c r="OCL23" s="538"/>
      <c r="OCM23" s="538"/>
      <c r="OCN23" s="538"/>
      <c r="OCO23" s="538"/>
      <c r="OCP23" s="538"/>
      <c r="OCQ23" s="538"/>
      <c r="OCR23" s="538"/>
      <c r="OCS23" s="538"/>
      <c r="OCT23" s="538"/>
      <c r="OCU23" s="538"/>
      <c r="OCV23" s="538"/>
      <c r="OCW23" s="538"/>
      <c r="OCX23" s="538"/>
      <c r="OCY23" s="538"/>
      <c r="OCZ23" s="538"/>
      <c r="ODA23" s="538"/>
      <c r="ODB23" s="538"/>
      <c r="ODC23" s="538"/>
      <c r="ODD23" s="538"/>
      <c r="ODE23" s="538"/>
      <c r="ODF23" s="538"/>
      <c r="ODG23" s="538"/>
      <c r="ODH23" s="538"/>
      <c r="ODI23" s="538"/>
      <c r="ODJ23" s="538"/>
      <c r="ODK23" s="538"/>
      <c r="ODL23" s="538"/>
      <c r="ODM23" s="538"/>
      <c r="ODN23" s="538"/>
      <c r="ODO23" s="538"/>
      <c r="ODP23" s="538"/>
      <c r="ODQ23" s="538"/>
      <c r="ODR23" s="538"/>
      <c r="ODS23" s="538"/>
      <c r="ODT23" s="538"/>
      <c r="ODU23" s="538"/>
      <c r="ODV23" s="538"/>
      <c r="ODW23" s="538"/>
      <c r="ODX23" s="538"/>
      <c r="ODY23" s="538"/>
      <c r="ODZ23" s="538"/>
      <c r="OEA23" s="538"/>
      <c r="OEB23" s="538"/>
      <c r="OEC23" s="538"/>
      <c r="OED23" s="538"/>
      <c r="OEE23" s="538"/>
      <c r="OEF23" s="538"/>
      <c r="OEG23" s="538"/>
      <c r="OEH23" s="538"/>
      <c r="OEI23" s="538"/>
      <c r="OEJ23" s="538"/>
      <c r="OEK23" s="538"/>
      <c r="OEL23" s="538"/>
      <c r="OEM23" s="538"/>
      <c r="OEN23" s="538"/>
      <c r="OEO23" s="538"/>
      <c r="OEP23" s="538"/>
      <c r="OEQ23" s="538"/>
      <c r="OER23" s="538"/>
      <c r="OES23" s="538"/>
      <c r="OET23" s="538"/>
      <c r="OEU23" s="538"/>
      <c r="OEV23" s="538"/>
      <c r="OEW23" s="538"/>
      <c r="OEX23" s="538"/>
      <c r="OEY23" s="538"/>
      <c r="OEZ23" s="538"/>
      <c r="OFA23" s="538"/>
      <c r="OFB23" s="538"/>
      <c r="OFC23" s="538"/>
      <c r="OFD23" s="538"/>
      <c r="OFE23" s="538"/>
      <c r="OFF23" s="538"/>
      <c r="OFG23" s="538"/>
      <c r="OFH23" s="538"/>
      <c r="OFI23" s="538"/>
      <c r="OFJ23" s="538"/>
      <c r="OFK23" s="538"/>
      <c r="OFL23" s="538"/>
      <c r="OFM23" s="538"/>
      <c r="OFN23" s="538"/>
      <c r="OFO23" s="538"/>
      <c r="OFP23" s="538"/>
      <c r="OFQ23" s="538"/>
      <c r="OFR23" s="538"/>
      <c r="OFS23" s="538"/>
      <c r="OFT23" s="538"/>
      <c r="OFU23" s="538"/>
      <c r="OFV23" s="538"/>
      <c r="OFW23" s="538"/>
      <c r="OFX23" s="538"/>
      <c r="OFY23" s="538"/>
      <c r="OFZ23" s="538"/>
      <c r="OGA23" s="538"/>
      <c r="OGB23" s="538"/>
      <c r="OGC23" s="538"/>
      <c r="OGD23" s="538"/>
      <c r="OGE23" s="538"/>
      <c r="OGF23" s="538"/>
      <c r="OGG23" s="538"/>
      <c r="OGH23" s="538"/>
      <c r="OGI23" s="538"/>
      <c r="OGJ23" s="538"/>
      <c r="OGK23" s="538"/>
      <c r="OGL23" s="538"/>
      <c r="OGM23" s="538"/>
      <c r="OGN23" s="538"/>
      <c r="OGO23" s="538"/>
      <c r="OGP23" s="538"/>
      <c r="OGQ23" s="538"/>
      <c r="OGR23" s="538"/>
      <c r="OGS23" s="538"/>
      <c r="OGT23" s="538"/>
      <c r="OGU23" s="538"/>
      <c r="OGV23" s="538"/>
      <c r="OGW23" s="538"/>
      <c r="OGX23" s="538"/>
      <c r="OGY23" s="538"/>
      <c r="OGZ23" s="538"/>
      <c r="OHA23" s="538"/>
      <c r="OHB23" s="538"/>
      <c r="OHC23" s="538"/>
      <c r="OHD23" s="538"/>
      <c r="OHE23" s="538"/>
      <c r="OHF23" s="538"/>
      <c r="OHG23" s="538"/>
      <c r="OHH23" s="538"/>
      <c r="OHI23" s="538"/>
      <c r="OHJ23" s="538"/>
      <c r="OHK23" s="538"/>
      <c r="OHL23" s="538"/>
      <c r="OHM23" s="538"/>
      <c r="OHN23" s="538"/>
      <c r="OHO23" s="538"/>
      <c r="OHP23" s="538"/>
      <c r="OHQ23" s="538"/>
      <c r="OHR23" s="538"/>
      <c r="OHS23" s="538"/>
      <c r="OHT23" s="538"/>
      <c r="OHU23" s="538"/>
      <c r="OHV23" s="538"/>
      <c r="OHW23" s="538"/>
      <c r="OHX23" s="538"/>
      <c r="OHY23" s="538"/>
      <c r="OHZ23" s="538"/>
      <c r="OIA23" s="538"/>
      <c r="OIB23" s="538"/>
      <c r="OIC23" s="538"/>
      <c r="OID23" s="538"/>
      <c r="OIE23" s="538"/>
      <c r="OIF23" s="538"/>
      <c r="OIG23" s="538"/>
      <c r="OIH23" s="538"/>
      <c r="OII23" s="538"/>
      <c r="OIJ23" s="538"/>
      <c r="OIK23" s="538"/>
      <c r="OIL23" s="538"/>
      <c r="OIM23" s="538"/>
      <c r="OIN23" s="538"/>
      <c r="OIO23" s="538"/>
      <c r="OIP23" s="538"/>
      <c r="OIQ23" s="538"/>
      <c r="OIR23" s="538"/>
      <c r="OIS23" s="538"/>
      <c r="OIT23" s="538"/>
      <c r="OIU23" s="538"/>
      <c r="OIV23" s="538"/>
      <c r="OIW23" s="538"/>
      <c r="OIX23" s="538"/>
      <c r="OIY23" s="538"/>
      <c r="OIZ23" s="538"/>
      <c r="OJA23" s="538"/>
      <c r="OJB23" s="538"/>
      <c r="OJC23" s="538"/>
      <c r="OJD23" s="538"/>
      <c r="OJE23" s="538"/>
      <c r="OJF23" s="538"/>
      <c r="OJG23" s="538"/>
      <c r="OJH23" s="538"/>
      <c r="OJI23" s="538"/>
      <c r="OJJ23" s="538"/>
      <c r="OJK23" s="538"/>
      <c r="OJL23" s="538"/>
      <c r="OJM23" s="538"/>
      <c r="OJN23" s="538"/>
      <c r="OJO23" s="538"/>
      <c r="OJP23" s="538"/>
      <c r="OJQ23" s="538"/>
      <c r="OJR23" s="538"/>
      <c r="OJS23" s="538"/>
      <c r="OJT23" s="538"/>
      <c r="OJU23" s="538"/>
      <c r="OJV23" s="538"/>
      <c r="OJW23" s="538"/>
      <c r="OJX23" s="538"/>
      <c r="OJY23" s="538"/>
      <c r="OJZ23" s="538"/>
      <c r="OKA23" s="538"/>
      <c r="OKB23" s="538"/>
      <c r="OKC23" s="538"/>
      <c r="OKD23" s="538"/>
      <c r="OKE23" s="538"/>
      <c r="OKF23" s="538"/>
      <c r="OKG23" s="538"/>
      <c r="OKH23" s="538"/>
      <c r="OKI23" s="538"/>
      <c r="OKJ23" s="538"/>
      <c r="OKK23" s="538"/>
      <c r="OKL23" s="538"/>
      <c r="OKM23" s="538"/>
      <c r="OKN23" s="538"/>
      <c r="OKO23" s="538"/>
      <c r="OKP23" s="538"/>
      <c r="OKQ23" s="538"/>
      <c r="OKR23" s="538"/>
      <c r="OKS23" s="538"/>
      <c r="OKT23" s="538"/>
      <c r="OKU23" s="538"/>
      <c r="OKV23" s="538"/>
      <c r="OKW23" s="538"/>
      <c r="OKX23" s="538"/>
      <c r="OKY23" s="538"/>
      <c r="OKZ23" s="538"/>
      <c r="OLA23" s="538"/>
      <c r="OLB23" s="538"/>
      <c r="OLC23" s="538"/>
      <c r="OLD23" s="538"/>
      <c r="OLE23" s="538"/>
      <c r="OLF23" s="538"/>
      <c r="OLG23" s="538"/>
      <c r="OLH23" s="538"/>
      <c r="OLI23" s="538"/>
      <c r="OLJ23" s="538"/>
      <c r="OLK23" s="538"/>
      <c r="OLL23" s="538"/>
      <c r="OLM23" s="538"/>
      <c r="OLN23" s="538"/>
      <c r="OLO23" s="538"/>
      <c r="OLP23" s="538"/>
      <c r="OLQ23" s="538"/>
      <c r="OLR23" s="538"/>
      <c r="OLS23" s="538"/>
      <c r="OLT23" s="538"/>
      <c r="OLU23" s="538"/>
      <c r="OLV23" s="538"/>
      <c r="OLW23" s="538"/>
      <c r="OLX23" s="538"/>
      <c r="OLY23" s="538"/>
      <c r="OLZ23" s="538"/>
      <c r="OMA23" s="538"/>
      <c r="OMB23" s="538"/>
      <c r="OMC23" s="538"/>
      <c r="OMD23" s="538"/>
      <c r="OME23" s="538"/>
      <c r="OMF23" s="538"/>
      <c r="OMG23" s="538"/>
      <c r="OMH23" s="538"/>
      <c r="OMI23" s="538"/>
      <c r="OMJ23" s="538"/>
      <c r="OMK23" s="538"/>
      <c r="OML23" s="538"/>
      <c r="OMM23" s="538"/>
      <c r="OMN23" s="538"/>
      <c r="OMO23" s="538"/>
      <c r="OMP23" s="538"/>
      <c r="OMQ23" s="538"/>
      <c r="OMR23" s="538"/>
      <c r="OMS23" s="538"/>
      <c r="OMT23" s="538"/>
      <c r="OMU23" s="538"/>
      <c r="OMV23" s="538"/>
      <c r="OMW23" s="538"/>
      <c r="OMX23" s="538"/>
      <c r="OMY23" s="538"/>
      <c r="OMZ23" s="538"/>
      <c r="ONA23" s="538"/>
      <c r="ONB23" s="538"/>
      <c r="ONC23" s="538"/>
      <c r="OND23" s="538"/>
      <c r="ONE23" s="538"/>
      <c r="ONF23" s="538"/>
      <c r="ONG23" s="538"/>
      <c r="ONH23" s="538"/>
      <c r="ONI23" s="538"/>
      <c r="ONJ23" s="538"/>
      <c r="ONK23" s="538"/>
      <c r="ONL23" s="538"/>
      <c r="ONM23" s="538"/>
      <c r="ONN23" s="538"/>
      <c r="ONO23" s="538"/>
      <c r="ONP23" s="538"/>
      <c r="ONQ23" s="538"/>
      <c r="ONR23" s="538"/>
      <c r="ONS23" s="538"/>
      <c r="ONT23" s="538"/>
      <c r="ONU23" s="538"/>
      <c r="ONV23" s="538"/>
      <c r="ONW23" s="538"/>
      <c r="ONX23" s="538"/>
      <c r="ONY23" s="538"/>
      <c r="ONZ23" s="538"/>
      <c r="OOA23" s="538"/>
      <c r="OOB23" s="538"/>
      <c r="OOC23" s="538"/>
      <c r="OOD23" s="538"/>
      <c r="OOE23" s="538"/>
      <c r="OOF23" s="538"/>
      <c r="OOG23" s="538"/>
      <c r="OOH23" s="538"/>
      <c r="OOI23" s="538"/>
      <c r="OOJ23" s="538"/>
      <c r="OOK23" s="538"/>
      <c r="OOL23" s="538"/>
      <c r="OOM23" s="538"/>
      <c r="OON23" s="538"/>
      <c r="OOO23" s="538"/>
      <c r="OOP23" s="538"/>
      <c r="OOQ23" s="538"/>
      <c r="OOR23" s="538"/>
      <c r="OOS23" s="538"/>
      <c r="OOT23" s="538"/>
      <c r="OOU23" s="538"/>
      <c r="OOV23" s="538"/>
      <c r="OOW23" s="538"/>
      <c r="OOX23" s="538"/>
      <c r="OOY23" s="538"/>
      <c r="OOZ23" s="538"/>
      <c r="OPA23" s="538"/>
      <c r="OPB23" s="538"/>
      <c r="OPC23" s="538"/>
      <c r="OPD23" s="538"/>
      <c r="OPE23" s="538"/>
      <c r="OPF23" s="538"/>
      <c r="OPG23" s="538"/>
      <c r="OPH23" s="538"/>
      <c r="OPI23" s="538"/>
      <c r="OPJ23" s="538"/>
      <c r="OPK23" s="538"/>
      <c r="OPL23" s="538"/>
      <c r="OPM23" s="538"/>
      <c r="OPN23" s="538"/>
      <c r="OPO23" s="538"/>
      <c r="OPP23" s="538"/>
      <c r="OPQ23" s="538"/>
      <c r="OPR23" s="538"/>
      <c r="OPS23" s="538"/>
      <c r="OPT23" s="538"/>
      <c r="OPU23" s="538"/>
      <c r="OPV23" s="538"/>
      <c r="OPW23" s="538"/>
      <c r="OPX23" s="538"/>
      <c r="OPY23" s="538"/>
      <c r="OPZ23" s="538"/>
      <c r="OQA23" s="538"/>
      <c r="OQB23" s="538"/>
      <c r="OQC23" s="538"/>
      <c r="OQD23" s="538"/>
      <c r="OQE23" s="538"/>
      <c r="OQF23" s="538"/>
      <c r="OQG23" s="538"/>
      <c r="OQH23" s="538"/>
      <c r="OQI23" s="538"/>
      <c r="OQJ23" s="538"/>
      <c r="OQK23" s="538"/>
      <c r="OQL23" s="538"/>
      <c r="OQM23" s="538"/>
      <c r="OQN23" s="538"/>
      <c r="OQO23" s="538"/>
      <c r="OQP23" s="538"/>
      <c r="OQQ23" s="538"/>
      <c r="OQR23" s="538"/>
      <c r="OQS23" s="538"/>
      <c r="OQT23" s="538"/>
      <c r="OQU23" s="538"/>
      <c r="OQV23" s="538"/>
      <c r="OQW23" s="538"/>
      <c r="OQX23" s="538"/>
      <c r="OQY23" s="538"/>
      <c r="OQZ23" s="538"/>
      <c r="ORA23" s="538"/>
      <c r="ORB23" s="538"/>
      <c r="ORC23" s="538"/>
      <c r="ORD23" s="538"/>
      <c r="ORE23" s="538"/>
      <c r="ORF23" s="538"/>
      <c r="ORG23" s="538"/>
      <c r="ORH23" s="538"/>
      <c r="ORI23" s="538"/>
      <c r="ORJ23" s="538"/>
      <c r="ORK23" s="538"/>
      <c r="ORL23" s="538"/>
      <c r="ORM23" s="538"/>
      <c r="ORN23" s="538"/>
      <c r="ORO23" s="538"/>
      <c r="ORP23" s="538"/>
      <c r="ORQ23" s="538"/>
      <c r="ORR23" s="538"/>
      <c r="ORS23" s="538"/>
      <c r="ORT23" s="538"/>
      <c r="ORU23" s="538"/>
      <c r="ORV23" s="538"/>
      <c r="ORW23" s="538"/>
      <c r="ORX23" s="538"/>
      <c r="ORY23" s="538"/>
      <c r="ORZ23" s="538"/>
      <c r="OSA23" s="538"/>
      <c r="OSB23" s="538"/>
      <c r="OSC23" s="538"/>
      <c r="OSD23" s="538"/>
      <c r="OSE23" s="538"/>
      <c r="OSF23" s="538"/>
      <c r="OSG23" s="538"/>
      <c r="OSH23" s="538"/>
      <c r="OSI23" s="538"/>
      <c r="OSJ23" s="538"/>
      <c r="OSK23" s="538"/>
      <c r="OSL23" s="538"/>
      <c r="OSM23" s="538"/>
      <c r="OSN23" s="538"/>
      <c r="OSO23" s="538"/>
      <c r="OSP23" s="538"/>
      <c r="OSQ23" s="538"/>
      <c r="OSR23" s="538"/>
      <c r="OSS23" s="538"/>
      <c r="OST23" s="538"/>
      <c r="OSU23" s="538"/>
      <c r="OSV23" s="538"/>
      <c r="OSW23" s="538"/>
      <c r="OSX23" s="538"/>
      <c r="OSY23" s="538"/>
      <c r="OSZ23" s="538"/>
      <c r="OTA23" s="538"/>
      <c r="OTB23" s="538"/>
      <c r="OTC23" s="538"/>
      <c r="OTD23" s="538"/>
      <c r="OTE23" s="538"/>
      <c r="OTF23" s="538"/>
      <c r="OTG23" s="538"/>
      <c r="OTH23" s="538"/>
      <c r="OTI23" s="538"/>
      <c r="OTJ23" s="538"/>
      <c r="OTK23" s="538"/>
      <c r="OTL23" s="538"/>
      <c r="OTM23" s="538"/>
      <c r="OTN23" s="538"/>
      <c r="OTO23" s="538"/>
      <c r="OTP23" s="538"/>
      <c r="OTQ23" s="538"/>
      <c r="OTR23" s="538"/>
      <c r="OTS23" s="538"/>
      <c r="OTT23" s="538"/>
      <c r="OTU23" s="538"/>
      <c r="OTV23" s="538"/>
      <c r="OTW23" s="538"/>
      <c r="OTX23" s="538"/>
      <c r="OTY23" s="538"/>
      <c r="OTZ23" s="538"/>
      <c r="OUA23" s="538"/>
      <c r="OUB23" s="538"/>
      <c r="OUC23" s="538"/>
      <c r="OUD23" s="538"/>
      <c r="OUE23" s="538"/>
      <c r="OUF23" s="538"/>
      <c r="OUG23" s="538"/>
      <c r="OUH23" s="538"/>
      <c r="OUI23" s="538"/>
      <c r="OUJ23" s="538"/>
      <c r="OUK23" s="538"/>
      <c r="OUL23" s="538"/>
      <c r="OUM23" s="538"/>
      <c r="OUN23" s="538"/>
      <c r="OUO23" s="538"/>
      <c r="OUP23" s="538"/>
      <c r="OUQ23" s="538"/>
      <c r="OUR23" s="538"/>
      <c r="OUS23" s="538"/>
      <c r="OUT23" s="538"/>
      <c r="OUU23" s="538"/>
      <c r="OUV23" s="538"/>
      <c r="OUW23" s="538"/>
      <c r="OUX23" s="538"/>
      <c r="OUY23" s="538"/>
      <c r="OUZ23" s="538"/>
      <c r="OVA23" s="538"/>
      <c r="OVB23" s="538"/>
      <c r="OVC23" s="538"/>
      <c r="OVD23" s="538"/>
      <c r="OVE23" s="538"/>
      <c r="OVF23" s="538"/>
      <c r="OVG23" s="538"/>
      <c r="OVH23" s="538"/>
      <c r="OVI23" s="538"/>
      <c r="OVJ23" s="538"/>
      <c r="OVK23" s="538"/>
      <c r="OVL23" s="538"/>
      <c r="OVM23" s="538"/>
      <c r="OVN23" s="538"/>
      <c r="OVO23" s="538"/>
      <c r="OVP23" s="538"/>
      <c r="OVQ23" s="538"/>
      <c r="OVR23" s="538"/>
      <c r="OVS23" s="538"/>
      <c r="OVT23" s="538"/>
      <c r="OVU23" s="538"/>
      <c r="OVV23" s="538"/>
      <c r="OVW23" s="538"/>
      <c r="OVX23" s="538"/>
      <c r="OVY23" s="538"/>
      <c r="OVZ23" s="538"/>
      <c r="OWA23" s="538"/>
      <c r="OWB23" s="538"/>
      <c r="OWC23" s="538"/>
      <c r="OWD23" s="538"/>
      <c r="OWE23" s="538"/>
      <c r="OWF23" s="538"/>
      <c r="OWG23" s="538"/>
      <c r="OWH23" s="538"/>
      <c r="OWI23" s="538"/>
      <c r="OWJ23" s="538"/>
      <c r="OWK23" s="538"/>
      <c r="OWL23" s="538"/>
      <c r="OWM23" s="538"/>
      <c r="OWN23" s="538"/>
      <c r="OWO23" s="538"/>
      <c r="OWP23" s="538"/>
      <c r="OWQ23" s="538"/>
      <c r="OWR23" s="538"/>
      <c r="OWS23" s="538"/>
      <c r="OWT23" s="538"/>
      <c r="OWU23" s="538"/>
      <c r="OWV23" s="538"/>
      <c r="OWW23" s="538"/>
      <c r="OWX23" s="538"/>
      <c r="OWY23" s="538"/>
      <c r="OWZ23" s="538"/>
      <c r="OXA23" s="538"/>
      <c r="OXB23" s="538"/>
      <c r="OXC23" s="538"/>
      <c r="OXD23" s="538"/>
      <c r="OXE23" s="538"/>
      <c r="OXF23" s="538"/>
      <c r="OXG23" s="538"/>
      <c r="OXH23" s="538"/>
      <c r="OXI23" s="538"/>
      <c r="OXJ23" s="538"/>
      <c r="OXK23" s="538"/>
      <c r="OXL23" s="538"/>
      <c r="OXM23" s="538"/>
      <c r="OXN23" s="538"/>
      <c r="OXO23" s="538"/>
      <c r="OXP23" s="538"/>
      <c r="OXQ23" s="538"/>
      <c r="OXR23" s="538"/>
      <c r="OXS23" s="538"/>
      <c r="OXT23" s="538"/>
      <c r="OXU23" s="538"/>
      <c r="OXV23" s="538"/>
      <c r="OXW23" s="538"/>
      <c r="OXX23" s="538"/>
      <c r="OXY23" s="538"/>
      <c r="OXZ23" s="538"/>
      <c r="OYA23" s="538"/>
      <c r="OYB23" s="538"/>
      <c r="OYC23" s="538"/>
      <c r="OYD23" s="538"/>
      <c r="OYE23" s="538"/>
      <c r="OYF23" s="538"/>
      <c r="OYG23" s="538"/>
      <c r="OYH23" s="538"/>
      <c r="OYI23" s="538"/>
      <c r="OYJ23" s="538"/>
      <c r="OYK23" s="538"/>
      <c r="OYL23" s="538"/>
      <c r="OYM23" s="538"/>
      <c r="OYN23" s="538"/>
      <c r="OYO23" s="538"/>
      <c r="OYP23" s="538"/>
      <c r="OYQ23" s="538"/>
      <c r="OYR23" s="538"/>
      <c r="OYS23" s="538"/>
      <c r="OYT23" s="538"/>
      <c r="OYU23" s="538"/>
      <c r="OYV23" s="538"/>
      <c r="OYW23" s="538"/>
      <c r="OYX23" s="538"/>
      <c r="OYY23" s="538"/>
      <c r="OYZ23" s="538"/>
      <c r="OZA23" s="538"/>
      <c r="OZB23" s="538"/>
      <c r="OZC23" s="538"/>
      <c r="OZD23" s="538"/>
      <c r="OZE23" s="538"/>
      <c r="OZF23" s="538"/>
      <c r="OZG23" s="538"/>
      <c r="OZH23" s="538"/>
      <c r="OZI23" s="538"/>
      <c r="OZJ23" s="538"/>
      <c r="OZK23" s="538"/>
      <c r="OZL23" s="538"/>
      <c r="OZM23" s="538"/>
      <c r="OZN23" s="538"/>
      <c r="OZO23" s="538"/>
      <c r="OZP23" s="538"/>
      <c r="OZQ23" s="538"/>
      <c r="OZR23" s="538"/>
      <c r="OZS23" s="538"/>
      <c r="OZT23" s="538"/>
      <c r="OZU23" s="538"/>
      <c r="OZV23" s="538"/>
      <c r="OZW23" s="538"/>
      <c r="OZX23" s="538"/>
      <c r="OZY23" s="538"/>
      <c r="OZZ23" s="538"/>
      <c r="PAA23" s="538"/>
      <c r="PAB23" s="538"/>
      <c r="PAC23" s="538"/>
      <c r="PAD23" s="538"/>
      <c r="PAE23" s="538"/>
      <c r="PAF23" s="538"/>
      <c r="PAG23" s="538"/>
      <c r="PAH23" s="538"/>
      <c r="PAI23" s="538"/>
      <c r="PAJ23" s="538"/>
      <c r="PAK23" s="538"/>
      <c r="PAL23" s="538"/>
      <c r="PAM23" s="538"/>
      <c r="PAN23" s="538"/>
      <c r="PAO23" s="538"/>
      <c r="PAP23" s="538"/>
      <c r="PAQ23" s="538"/>
      <c r="PAR23" s="538"/>
      <c r="PAS23" s="538"/>
      <c r="PAT23" s="538"/>
      <c r="PAU23" s="538"/>
      <c r="PAV23" s="538"/>
      <c r="PAW23" s="538"/>
      <c r="PAX23" s="538"/>
      <c r="PAY23" s="538"/>
      <c r="PAZ23" s="538"/>
      <c r="PBA23" s="538"/>
      <c r="PBB23" s="538"/>
      <c r="PBC23" s="538"/>
      <c r="PBD23" s="538"/>
      <c r="PBE23" s="538"/>
      <c r="PBF23" s="538"/>
      <c r="PBG23" s="538"/>
      <c r="PBH23" s="538"/>
      <c r="PBI23" s="538"/>
      <c r="PBJ23" s="538"/>
      <c r="PBK23" s="538"/>
      <c r="PBL23" s="538"/>
      <c r="PBM23" s="538"/>
      <c r="PBN23" s="538"/>
      <c r="PBO23" s="538"/>
      <c r="PBP23" s="538"/>
      <c r="PBQ23" s="538"/>
      <c r="PBR23" s="538"/>
      <c r="PBS23" s="538"/>
      <c r="PBT23" s="538"/>
      <c r="PBU23" s="538"/>
      <c r="PBV23" s="538"/>
      <c r="PBW23" s="538"/>
      <c r="PBX23" s="538"/>
      <c r="PBY23" s="538"/>
      <c r="PBZ23" s="538"/>
      <c r="PCA23" s="538"/>
      <c r="PCB23" s="538"/>
      <c r="PCC23" s="538"/>
      <c r="PCD23" s="538"/>
      <c r="PCE23" s="538"/>
      <c r="PCF23" s="538"/>
      <c r="PCG23" s="538"/>
      <c r="PCH23" s="538"/>
      <c r="PCI23" s="538"/>
      <c r="PCJ23" s="538"/>
      <c r="PCK23" s="538"/>
      <c r="PCL23" s="538"/>
      <c r="PCM23" s="538"/>
      <c r="PCN23" s="538"/>
      <c r="PCO23" s="538"/>
      <c r="PCP23" s="538"/>
      <c r="PCQ23" s="538"/>
      <c r="PCR23" s="538"/>
      <c r="PCS23" s="538"/>
      <c r="PCT23" s="538"/>
      <c r="PCU23" s="538"/>
      <c r="PCV23" s="538"/>
      <c r="PCW23" s="538"/>
      <c r="PCX23" s="538"/>
      <c r="PCY23" s="538"/>
      <c r="PCZ23" s="538"/>
      <c r="PDA23" s="538"/>
      <c r="PDB23" s="538"/>
      <c r="PDC23" s="538"/>
      <c r="PDD23" s="538"/>
      <c r="PDE23" s="538"/>
      <c r="PDF23" s="538"/>
      <c r="PDG23" s="538"/>
      <c r="PDH23" s="538"/>
      <c r="PDI23" s="538"/>
      <c r="PDJ23" s="538"/>
      <c r="PDK23" s="538"/>
      <c r="PDL23" s="538"/>
      <c r="PDM23" s="538"/>
      <c r="PDN23" s="538"/>
      <c r="PDO23" s="538"/>
      <c r="PDP23" s="538"/>
      <c r="PDQ23" s="538"/>
      <c r="PDR23" s="538"/>
      <c r="PDS23" s="538"/>
      <c r="PDT23" s="538"/>
      <c r="PDU23" s="538"/>
      <c r="PDV23" s="538"/>
      <c r="PDW23" s="538"/>
      <c r="PDX23" s="538"/>
      <c r="PDY23" s="538"/>
      <c r="PDZ23" s="538"/>
      <c r="PEA23" s="538"/>
      <c r="PEB23" s="538"/>
      <c r="PEC23" s="538"/>
      <c r="PED23" s="538"/>
      <c r="PEE23" s="538"/>
      <c r="PEF23" s="538"/>
      <c r="PEG23" s="538"/>
      <c r="PEH23" s="538"/>
      <c r="PEI23" s="538"/>
      <c r="PEJ23" s="538"/>
      <c r="PEK23" s="538"/>
      <c r="PEL23" s="538"/>
      <c r="PEM23" s="538"/>
      <c r="PEN23" s="538"/>
      <c r="PEO23" s="538"/>
      <c r="PEP23" s="538"/>
      <c r="PEQ23" s="538"/>
      <c r="PER23" s="538"/>
      <c r="PES23" s="538"/>
      <c r="PET23" s="538"/>
      <c r="PEU23" s="538"/>
      <c r="PEV23" s="538"/>
      <c r="PEW23" s="538"/>
      <c r="PEX23" s="538"/>
      <c r="PEY23" s="538"/>
      <c r="PEZ23" s="538"/>
      <c r="PFA23" s="538"/>
      <c r="PFB23" s="538"/>
      <c r="PFC23" s="538"/>
      <c r="PFD23" s="538"/>
      <c r="PFE23" s="538"/>
      <c r="PFF23" s="538"/>
      <c r="PFG23" s="538"/>
      <c r="PFH23" s="538"/>
      <c r="PFI23" s="538"/>
      <c r="PFJ23" s="538"/>
      <c r="PFK23" s="538"/>
      <c r="PFL23" s="538"/>
      <c r="PFM23" s="538"/>
      <c r="PFN23" s="538"/>
      <c r="PFO23" s="538"/>
      <c r="PFP23" s="538"/>
      <c r="PFQ23" s="538"/>
      <c r="PFR23" s="538"/>
      <c r="PFS23" s="538"/>
      <c r="PFT23" s="538"/>
      <c r="PFU23" s="538"/>
      <c r="PFV23" s="538"/>
      <c r="PFW23" s="538"/>
      <c r="PFX23" s="538"/>
      <c r="PFY23" s="538"/>
      <c r="PFZ23" s="538"/>
      <c r="PGA23" s="538"/>
      <c r="PGB23" s="538"/>
      <c r="PGC23" s="538"/>
      <c r="PGD23" s="538"/>
      <c r="PGE23" s="538"/>
      <c r="PGF23" s="538"/>
      <c r="PGG23" s="538"/>
      <c r="PGH23" s="538"/>
      <c r="PGI23" s="538"/>
      <c r="PGJ23" s="538"/>
      <c r="PGK23" s="538"/>
      <c r="PGL23" s="538"/>
      <c r="PGM23" s="538"/>
      <c r="PGN23" s="538"/>
      <c r="PGO23" s="538"/>
      <c r="PGP23" s="538"/>
      <c r="PGQ23" s="538"/>
      <c r="PGR23" s="538"/>
      <c r="PGS23" s="538"/>
      <c r="PGT23" s="538"/>
      <c r="PGU23" s="538"/>
      <c r="PGV23" s="538"/>
      <c r="PGW23" s="538"/>
      <c r="PGX23" s="538"/>
      <c r="PGY23" s="538"/>
      <c r="PGZ23" s="538"/>
      <c r="PHA23" s="538"/>
      <c r="PHB23" s="538"/>
      <c r="PHC23" s="538"/>
      <c r="PHD23" s="538"/>
      <c r="PHE23" s="538"/>
      <c r="PHF23" s="538"/>
      <c r="PHG23" s="538"/>
      <c r="PHH23" s="538"/>
      <c r="PHI23" s="538"/>
      <c r="PHJ23" s="538"/>
      <c r="PHK23" s="538"/>
      <c r="PHL23" s="538"/>
      <c r="PHM23" s="538"/>
      <c r="PHN23" s="538"/>
      <c r="PHO23" s="538"/>
      <c r="PHP23" s="538"/>
      <c r="PHQ23" s="538"/>
      <c r="PHR23" s="538"/>
      <c r="PHS23" s="538"/>
      <c r="PHT23" s="538"/>
      <c r="PHU23" s="538"/>
      <c r="PHV23" s="538"/>
      <c r="PHW23" s="538"/>
      <c r="PHX23" s="538"/>
      <c r="PHY23" s="538"/>
      <c r="PHZ23" s="538"/>
      <c r="PIA23" s="538"/>
      <c r="PIB23" s="538"/>
      <c r="PIC23" s="538"/>
      <c r="PID23" s="538"/>
      <c r="PIE23" s="538"/>
      <c r="PIF23" s="538"/>
      <c r="PIG23" s="538"/>
      <c r="PIH23" s="538"/>
      <c r="PII23" s="538"/>
      <c r="PIJ23" s="538"/>
      <c r="PIK23" s="538"/>
      <c r="PIL23" s="538"/>
      <c r="PIM23" s="538"/>
      <c r="PIN23" s="538"/>
      <c r="PIO23" s="538"/>
      <c r="PIP23" s="538"/>
      <c r="PIQ23" s="538"/>
      <c r="PIR23" s="538"/>
      <c r="PIS23" s="538"/>
      <c r="PIT23" s="538"/>
      <c r="PIU23" s="538"/>
      <c r="PIV23" s="538"/>
      <c r="PIW23" s="538"/>
      <c r="PIX23" s="538"/>
      <c r="PIY23" s="538"/>
      <c r="PIZ23" s="538"/>
      <c r="PJA23" s="538"/>
      <c r="PJB23" s="538"/>
      <c r="PJC23" s="538"/>
      <c r="PJD23" s="538"/>
      <c r="PJE23" s="538"/>
      <c r="PJF23" s="538"/>
      <c r="PJG23" s="538"/>
      <c r="PJH23" s="538"/>
      <c r="PJI23" s="538"/>
      <c r="PJJ23" s="538"/>
      <c r="PJK23" s="538"/>
      <c r="PJL23" s="538"/>
      <c r="PJM23" s="538"/>
      <c r="PJN23" s="538"/>
      <c r="PJO23" s="538"/>
      <c r="PJP23" s="538"/>
      <c r="PJQ23" s="538"/>
      <c r="PJR23" s="538"/>
      <c r="PJS23" s="538"/>
      <c r="PJT23" s="538"/>
      <c r="PJU23" s="538"/>
      <c r="PJV23" s="538"/>
      <c r="PJW23" s="538"/>
      <c r="PJX23" s="538"/>
      <c r="PJY23" s="538"/>
      <c r="PJZ23" s="538"/>
      <c r="PKA23" s="538"/>
      <c r="PKB23" s="538"/>
      <c r="PKC23" s="538"/>
      <c r="PKD23" s="538"/>
      <c r="PKE23" s="538"/>
      <c r="PKF23" s="538"/>
      <c r="PKG23" s="538"/>
      <c r="PKH23" s="538"/>
      <c r="PKI23" s="538"/>
      <c r="PKJ23" s="538"/>
      <c r="PKK23" s="538"/>
      <c r="PKL23" s="538"/>
      <c r="PKM23" s="538"/>
      <c r="PKN23" s="538"/>
      <c r="PKO23" s="538"/>
      <c r="PKP23" s="538"/>
      <c r="PKQ23" s="538"/>
      <c r="PKR23" s="538"/>
      <c r="PKS23" s="538"/>
      <c r="PKT23" s="538"/>
      <c r="PKU23" s="538"/>
      <c r="PKV23" s="538"/>
      <c r="PKW23" s="538"/>
      <c r="PKX23" s="538"/>
      <c r="PKY23" s="538"/>
      <c r="PKZ23" s="538"/>
      <c r="PLA23" s="538"/>
      <c r="PLB23" s="538"/>
      <c r="PLC23" s="538"/>
      <c r="PLD23" s="538"/>
      <c r="PLE23" s="538"/>
      <c r="PLF23" s="538"/>
      <c r="PLG23" s="538"/>
      <c r="PLH23" s="538"/>
      <c r="PLI23" s="538"/>
      <c r="PLJ23" s="538"/>
      <c r="PLK23" s="538"/>
      <c r="PLL23" s="538"/>
      <c r="PLM23" s="538"/>
      <c r="PLN23" s="538"/>
      <c r="PLO23" s="538"/>
      <c r="PLP23" s="538"/>
      <c r="PLQ23" s="538"/>
      <c r="PLR23" s="538"/>
      <c r="PLS23" s="538"/>
      <c r="PLT23" s="538"/>
      <c r="PLU23" s="538"/>
      <c r="PLV23" s="538"/>
      <c r="PLW23" s="538"/>
      <c r="PLX23" s="538"/>
      <c r="PLY23" s="538"/>
      <c r="PLZ23" s="538"/>
      <c r="PMA23" s="538"/>
      <c r="PMB23" s="538"/>
      <c r="PMC23" s="538"/>
      <c r="PMD23" s="538"/>
      <c r="PME23" s="538"/>
      <c r="PMF23" s="538"/>
      <c r="PMG23" s="538"/>
      <c r="PMH23" s="538"/>
      <c r="PMI23" s="538"/>
      <c r="PMJ23" s="538"/>
      <c r="PMK23" s="538"/>
      <c r="PML23" s="538"/>
      <c r="PMM23" s="538"/>
      <c r="PMN23" s="538"/>
      <c r="PMO23" s="538"/>
      <c r="PMP23" s="538"/>
      <c r="PMQ23" s="538"/>
      <c r="PMR23" s="538"/>
      <c r="PMS23" s="538"/>
      <c r="PMT23" s="538"/>
      <c r="PMU23" s="538"/>
      <c r="PMV23" s="538"/>
      <c r="PMW23" s="538"/>
      <c r="PMX23" s="538"/>
      <c r="PMY23" s="538"/>
      <c r="PMZ23" s="538"/>
      <c r="PNA23" s="538"/>
      <c r="PNB23" s="538"/>
      <c r="PNC23" s="538"/>
      <c r="PND23" s="538"/>
      <c r="PNE23" s="538"/>
      <c r="PNF23" s="538"/>
      <c r="PNG23" s="538"/>
      <c r="PNH23" s="538"/>
      <c r="PNI23" s="538"/>
      <c r="PNJ23" s="538"/>
      <c r="PNK23" s="538"/>
      <c r="PNL23" s="538"/>
      <c r="PNM23" s="538"/>
      <c r="PNN23" s="538"/>
      <c r="PNO23" s="538"/>
      <c r="PNP23" s="538"/>
      <c r="PNQ23" s="538"/>
      <c r="PNR23" s="538"/>
      <c r="PNS23" s="538"/>
      <c r="PNT23" s="538"/>
      <c r="PNU23" s="538"/>
      <c r="PNV23" s="538"/>
      <c r="PNW23" s="538"/>
      <c r="PNX23" s="538"/>
      <c r="PNY23" s="538"/>
      <c r="PNZ23" s="538"/>
      <c r="POA23" s="538"/>
      <c r="POB23" s="538"/>
      <c r="POC23" s="538"/>
      <c r="POD23" s="538"/>
      <c r="POE23" s="538"/>
      <c r="POF23" s="538"/>
      <c r="POG23" s="538"/>
      <c r="POH23" s="538"/>
      <c r="POI23" s="538"/>
      <c r="POJ23" s="538"/>
      <c r="POK23" s="538"/>
      <c r="POL23" s="538"/>
      <c r="POM23" s="538"/>
      <c r="PON23" s="538"/>
      <c r="POO23" s="538"/>
      <c r="POP23" s="538"/>
      <c r="POQ23" s="538"/>
      <c r="POR23" s="538"/>
      <c r="POS23" s="538"/>
      <c r="POT23" s="538"/>
      <c r="POU23" s="538"/>
      <c r="POV23" s="538"/>
      <c r="POW23" s="538"/>
      <c r="POX23" s="538"/>
      <c r="POY23" s="538"/>
      <c r="POZ23" s="538"/>
      <c r="PPA23" s="538"/>
      <c r="PPB23" s="538"/>
      <c r="PPC23" s="538"/>
      <c r="PPD23" s="538"/>
      <c r="PPE23" s="538"/>
      <c r="PPF23" s="538"/>
      <c r="PPG23" s="538"/>
      <c r="PPH23" s="538"/>
      <c r="PPI23" s="538"/>
      <c r="PPJ23" s="538"/>
      <c r="PPK23" s="538"/>
      <c r="PPL23" s="538"/>
      <c r="PPM23" s="538"/>
      <c r="PPN23" s="538"/>
      <c r="PPO23" s="538"/>
      <c r="PPP23" s="538"/>
      <c r="PPQ23" s="538"/>
      <c r="PPR23" s="538"/>
      <c r="PPS23" s="538"/>
      <c r="PPT23" s="538"/>
      <c r="PPU23" s="538"/>
      <c r="PPV23" s="538"/>
      <c r="PPW23" s="538"/>
      <c r="PPX23" s="538"/>
      <c r="PPY23" s="538"/>
      <c r="PPZ23" s="538"/>
      <c r="PQA23" s="538"/>
      <c r="PQB23" s="538"/>
      <c r="PQC23" s="538"/>
      <c r="PQD23" s="538"/>
      <c r="PQE23" s="538"/>
      <c r="PQF23" s="538"/>
      <c r="PQG23" s="538"/>
      <c r="PQH23" s="538"/>
      <c r="PQI23" s="538"/>
      <c r="PQJ23" s="538"/>
      <c r="PQK23" s="538"/>
      <c r="PQL23" s="538"/>
      <c r="PQM23" s="538"/>
      <c r="PQN23" s="538"/>
      <c r="PQO23" s="538"/>
      <c r="PQP23" s="538"/>
      <c r="PQQ23" s="538"/>
      <c r="PQR23" s="538"/>
      <c r="PQS23" s="538"/>
      <c r="PQT23" s="538"/>
      <c r="PQU23" s="538"/>
      <c r="PQV23" s="538"/>
      <c r="PQW23" s="538"/>
      <c r="PQX23" s="538"/>
      <c r="PQY23" s="538"/>
      <c r="PQZ23" s="538"/>
      <c r="PRA23" s="538"/>
      <c r="PRB23" s="538"/>
      <c r="PRC23" s="538"/>
      <c r="PRD23" s="538"/>
      <c r="PRE23" s="538"/>
      <c r="PRF23" s="538"/>
      <c r="PRG23" s="538"/>
      <c r="PRH23" s="538"/>
      <c r="PRI23" s="538"/>
      <c r="PRJ23" s="538"/>
      <c r="PRK23" s="538"/>
      <c r="PRL23" s="538"/>
      <c r="PRM23" s="538"/>
      <c r="PRN23" s="538"/>
      <c r="PRO23" s="538"/>
      <c r="PRP23" s="538"/>
      <c r="PRQ23" s="538"/>
      <c r="PRR23" s="538"/>
      <c r="PRS23" s="538"/>
      <c r="PRT23" s="538"/>
      <c r="PRU23" s="538"/>
      <c r="PRV23" s="538"/>
      <c r="PRW23" s="538"/>
      <c r="PRX23" s="538"/>
      <c r="PRY23" s="538"/>
      <c r="PRZ23" s="538"/>
      <c r="PSA23" s="538"/>
      <c r="PSB23" s="538"/>
      <c r="PSC23" s="538"/>
      <c r="PSD23" s="538"/>
      <c r="PSE23" s="538"/>
      <c r="PSF23" s="538"/>
      <c r="PSG23" s="538"/>
      <c r="PSH23" s="538"/>
      <c r="PSI23" s="538"/>
      <c r="PSJ23" s="538"/>
      <c r="PSK23" s="538"/>
      <c r="PSL23" s="538"/>
      <c r="PSM23" s="538"/>
      <c r="PSN23" s="538"/>
      <c r="PSO23" s="538"/>
      <c r="PSP23" s="538"/>
      <c r="PSQ23" s="538"/>
      <c r="PSR23" s="538"/>
      <c r="PSS23" s="538"/>
      <c r="PST23" s="538"/>
      <c r="PSU23" s="538"/>
      <c r="PSV23" s="538"/>
      <c r="PSW23" s="538"/>
      <c r="PSX23" s="538"/>
      <c r="PSY23" s="538"/>
      <c r="PSZ23" s="538"/>
      <c r="PTA23" s="538"/>
      <c r="PTB23" s="538"/>
      <c r="PTC23" s="538"/>
      <c r="PTD23" s="538"/>
      <c r="PTE23" s="538"/>
      <c r="PTF23" s="538"/>
      <c r="PTG23" s="538"/>
      <c r="PTH23" s="538"/>
      <c r="PTI23" s="538"/>
      <c r="PTJ23" s="538"/>
      <c r="PTK23" s="538"/>
      <c r="PTL23" s="538"/>
      <c r="PTM23" s="538"/>
      <c r="PTN23" s="538"/>
      <c r="PTO23" s="538"/>
      <c r="PTP23" s="538"/>
      <c r="PTQ23" s="538"/>
      <c r="PTR23" s="538"/>
      <c r="PTS23" s="538"/>
      <c r="PTT23" s="538"/>
      <c r="PTU23" s="538"/>
      <c r="PTV23" s="538"/>
      <c r="PTW23" s="538"/>
      <c r="PTX23" s="538"/>
      <c r="PTY23" s="538"/>
      <c r="PTZ23" s="538"/>
      <c r="PUA23" s="538"/>
      <c r="PUB23" s="538"/>
      <c r="PUC23" s="538"/>
      <c r="PUD23" s="538"/>
      <c r="PUE23" s="538"/>
      <c r="PUF23" s="538"/>
      <c r="PUG23" s="538"/>
      <c r="PUH23" s="538"/>
      <c r="PUI23" s="538"/>
      <c r="PUJ23" s="538"/>
      <c r="PUK23" s="538"/>
      <c r="PUL23" s="538"/>
      <c r="PUM23" s="538"/>
      <c r="PUN23" s="538"/>
      <c r="PUO23" s="538"/>
      <c r="PUP23" s="538"/>
      <c r="PUQ23" s="538"/>
      <c r="PUR23" s="538"/>
      <c r="PUS23" s="538"/>
      <c r="PUT23" s="538"/>
      <c r="PUU23" s="538"/>
      <c r="PUV23" s="538"/>
      <c r="PUW23" s="538"/>
      <c r="PUX23" s="538"/>
      <c r="PUY23" s="538"/>
      <c r="PUZ23" s="538"/>
      <c r="PVA23" s="538"/>
      <c r="PVB23" s="538"/>
      <c r="PVC23" s="538"/>
      <c r="PVD23" s="538"/>
      <c r="PVE23" s="538"/>
      <c r="PVF23" s="538"/>
      <c r="PVG23" s="538"/>
      <c r="PVH23" s="538"/>
      <c r="PVI23" s="538"/>
      <c r="PVJ23" s="538"/>
      <c r="PVK23" s="538"/>
      <c r="PVL23" s="538"/>
      <c r="PVM23" s="538"/>
      <c r="PVN23" s="538"/>
      <c r="PVO23" s="538"/>
      <c r="PVP23" s="538"/>
      <c r="PVQ23" s="538"/>
      <c r="PVR23" s="538"/>
      <c r="PVS23" s="538"/>
      <c r="PVT23" s="538"/>
      <c r="PVU23" s="538"/>
      <c r="PVV23" s="538"/>
      <c r="PVW23" s="538"/>
      <c r="PVX23" s="538"/>
      <c r="PVY23" s="538"/>
      <c r="PVZ23" s="538"/>
      <c r="PWA23" s="538"/>
      <c r="PWB23" s="538"/>
      <c r="PWC23" s="538"/>
      <c r="PWD23" s="538"/>
      <c r="PWE23" s="538"/>
      <c r="PWF23" s="538"/>
      <c r="PWG23" s="538"/>
      <c r="PWH23" s="538"/>
      <c r="PWI23" s="538"/>
      <c r="PWJ23" s="538"/>
      <c r="PWK23" s="538"/>
      <c r="PWL23" s="538"/>
      <c r="PWM23" s="538"/>
      <c r="PWN23" s="538"/>
      <c r="PWO23" s="538"/>
      <c r="PWP23" s="538"/>
      <c r="PWQ23" s="538"/>
      <c r="PWR23" s="538"/>
      <c r="PWS23" s="538"/>
      <c r="PWT23" s="538"/>
      <c r="PWU23" s="538"/>
      <c r="PWV23" s="538"/>
      <c r="PWW23" s="538"/>
      <c r="PWX23" s="538"/>
      <c r="PWY23" s="538"/>
      <c r="PWZ23" s="538"/>
      <c r="PXA23" s="538"/>
      <c r="PXB23" s="538"/>
      <c r="PXC23" s="538"/>
      <c r="PXD23" s="538"/>
      <c r="PXE23" s="538"/>
      <c r="PXF23" s="538"/>
      <c r="PXG23" s="538"/>
      <c r="PXH23" s="538"/>
      <c r="PXI23" s="538"/>
      <c r="PXJ23" s="538"/>
      <c r="PXK23" s="538"/>
      <c r="PXL23" s="538"/>
      <c r="PXM23" s="538"/>
      <c r="PXN23" s="538"/>
      <c r="PXO23" s="538"/>
      <c r="PXP23" s="538"/>
      <c r="PXQ23" s="538"/>
      <c r="PXR23" s="538"/>
      <c r="PXS23" s="538"/>
      <c r="PXT23" s="538"/>
      <c r="PXU23" s="538"/>
      <c r="PXV23" s="538"/>
      <c r="PXW23" s="538"/>
      <c r="PXX23" s="538"/>
      <c r="PXY23" s="538"/>
      <c r="PXZ23" s="538"/>
      <c r="PYA23" s="538"/>
      <c r="PYB23" s="538"/>
      <c r="PYC23" s="538"/>
      <c r="PYD23" s="538"/>
      <c r="PYE23" s="538"/>
      <c r="PYF23" s="538"/>
      <c r="PYG23" s="538"/>
      <c r="PYH23" s="538"/>
      <c r="PYI23" s="538"/>
      <c r="PYJ23" s="538"/>
      <c r="PYK23" s="538"/>
      <c r="PYL23" s="538"/>
      <c r="PYM23" s="538"/>
      <c r="PYN23" s="538"/>
      <c r="PYO23" s="538"/>
      <c r="PYP23" s="538"/>
      <c r="PYQ23" s="538"/>
      <c r="PYR23" s="538"/>
      <c r="PYS23" s="538"/>
      <c r="PYT23" s="538"/>
      <c r="PYU23" s="538"/>
      <c r="PYV23" s="538"/>
      <c r="PYW23" s="538"/>
      <c r="PYX23" s="538"/>
      <c r="PYY23" s="538"/>
      <c r="PYZ23" s="538"/>
      <c r="PZA23" s="538"/>
      <c r="PZB23" s="538"/>
      <c r="PZC23" s="538"/>
      <c r="PZD23" s="538"/>
      <c r="PZE23" s="538"/>
      <c r="PZF23" s="538"/>
      <c r="PZG23" s="538"/>
      <c r="PZH23" s="538"/>
      <c r="PZI23" s="538"/>
      <c r="PZJ23" s="538"/>
      <c r="PZK23" s="538"/>
      <c r="PZL23" s="538"/>
      <c r="PZM23" s="538"/>
      <c r="PZN23" s="538"/>
      <c r="PZO23" s="538"/>
      <c r="PZP23" s="538"/>
      <c r="PZQ23" s="538"/>
      <c r="PZR23" s="538"/>
      <c r="PZS23" s="538"/>
      <c r="PZT23" s="538"/>
      <c r="PZU23" s="538"/>
      <c r="PZV23" s="538"/>
      <c r="PZW23" s="538"/>
      <c r="PZX23" s="538"/>
      <c r="PZY23" s="538"/>
      <c r="PZZ23" s="538"/>
      <c r="QAA23" s="538"/>
      <c r="QAB23" s="538"/>
      <c r="QAC23" s="538"/>
      <c r="QAD23" s="538"/>
      <c r="QAE23" s="538"/>
      <c r="QAF23" s="538"/>
      <c r="QAG23" s="538"/>
      <c r="QAH23" s="538"/>
      <c r="QAI23" s="538"/>
      <c r="QAJ23" s="538"/>
      <c r="QAK23" s="538"/>
      <c r="QAL23" s="538"/>
      <c r="QAM23" s="538"/>
      <c r="QAN23" s="538"/>
      <c r="QAO23" s="538"/>
      <c r="QAP23" s="538"/>
      <c r="QAQ23" s="538"/>
      <c r="QAR23" s="538"/>
      <c r="QAS23" s="538"/>
      <c r="QAT23" s="538"/>
      <c r="QAU23" s="538"/>
      <c r="QAV23" s="538"/>
      <c r="QAW23" s="538"/>
      <c r="QAX23" s="538"/>
      <c r="QAY23" s="538"/>
      <c r="QAZ23" s="538"/>
      <c r="QBA23" s="538"/>
      <c r="QBB23" s="538"/>
      <c r="QBC23" s="538"/>
      <c r="QBD23" s="538"/>
      <c r="QBE23" s="538"/>
      <c r="QBF23" s="538"/>
      <c r="QBG23" s="538"/>
      <c r="QBH23" s="538"/>
      <c r="QBI23" s="538"/>
      <c r="QBJ23" s="538"/>
      <c r="QBK23" s="538"/>
      <c r="QBL23" s="538"/>
      <c r="QBM23" s="538"/>
      <c r="QBN23" s="538"/>
      <c r="QBO23" s="538"/>
      <c r="QBP23" s="538"/>
      <c r="QBQ23" s="538"/>
      <c r="QBR23" s="538"/>
      <c r="QBS23" s="538"/>
      <c r="QBT23" s="538"/>
      <c r="QBU23" s="538"/>
      <c r="QBV23" s="538"/>
      <c r="QBW23" s="538"/>
      <c r="QBX23" s="538"/>
      <c r="QBY23" s="538"/>
      <c r="QBZ23" s="538"/>
      <c r="QCA23" s="538"/>
      <c r="QCB23" s="538"/>
      <c r="QCC23" s="538"/>
      <c r="QCD23" s="538"/>
      <c r="QCE23" s="538"/>
      <c r="QCF23" s="538"/>
      <c r="QCG23" s="538"/>
      <c r="QCH23" s="538"/>
      <c r="QCI23" s="538"/>
      <c r="QCJ23" s="538"/>
      <c r="QCK23" s="538"/>
      <c r="QCL23" s="538"/>
      <c r="QCM23" s="538"/>
      <c r="QCN23" s="538"/>
      <c r="QCO23" s="538"/>
      <c r="QCP23" s="538"/>
      <c r="QCQ23" s="538"/>
      <c r="QCR23" s="538"/>
      <c r="QCS23" s="538"/>
      <c r="QCT23" s="538"/>
      <c r="QCU23" s="538"/>
      <c r="QCV23" s="538"/>
      <c r="QCW23" s="538"/>
      <c r="QCX23" s="538"/>
      <c r="QCY23" s="538"/>
      <c r="QCZ23" s="538"/>
      <c r="QDA23" s="538"/>
      <c r="QDB23" s="538"/>
      <c r="QDC23" s="538"/>
      <c r="QDD23" s="538"/>
      <c r="QDE23" s="538"/>
      <c r="QDF23" s="538"/>
      <c r="QDG23" s="538"/>
      <c r="QDH23" s="538"/>
      <c r="QDI23" s="538"/>
      <c r="QDJ23" s="538"/>
      <c r="QDK23" s="538"/>
      <c r="QDL23" s="538"/>
      <c r="QDM23" s="538"/>
      <c r="QDN23" s="538"/>
      <c r="QDO23" s="538"/>
      <c r="QDP23" s="538"/>
      <c r="QDQ23" s="538"/>
      <c r="QDR23" s="538"/>
      <c r="QDS23" s="538"/>
      <c r="QDT23" s="538"/>
      <c r="QDU23" s="538"/>
      <c r="QDV23" s="538"/>
      <c r="QDW23" s="538"/>
      <c r="QDX23" s="538"/>
      <c r="QDY23" s="538"/>
      <c r="QDZ23" s="538"/>
      <c r="QEA23" s="538"/>
      <c r="QEB23" s="538"/>
      <c r="QEC23" s="538"/>
      <c r="QED23" s="538"/>
      <c r="QEE23" s="538"/>
      <c r="QEF23" s="538"/>
      <c r="QEG23" s="538"/>
      <c r="QEH23" s="538"/>
      <c r="QEI23" s="538"/>
      <c r="QEJ23" s="538"/>
      <c r="QEK23" s="538"/>
      <c r="QEL23" s="538"/>
      <c r="QEM23" s="538"/>
      <c r="QEN23" s="538"/>
      <c r="QEO23" s="538"/>
      <c r="QEP23" s="538"/>
      <c r="QEQ23" s="538"/>
      <c r="QER23" s="538"/>
      <c r="QES23" s="538"/>
      <c r="QET23" s="538"/>
      <c r="QEU23" s="538"/>
      <c r="QEV23" s="538"/>
      <c r="QEW23" s="538"/>
      <c r="QEX23" s="538"/>
      <c r="QEY23" s="538"/>
      <c r="QEZ23" s="538"/>
      <c r="QFA23" s="538"/>
      <c r="QFB23" s="538"/>
      <c r="QFC23" s="538"/>
      <c r="QFD23" s="538"/>
      <c r="QFE23" s="538"/>
      <c r="QFF23" s="538"/>
      <c r="QFG23" s="538"/>
      <c r="QFH23" s="538"/>
      <c r="QFI23" s="538"/>
      <c r="QFJ23" s="538"/>
      <c r="QFK23" s="538"/>
      <c r="QFL23" s="538"/>
      <c r="QFM23" s="538"/>
      <c r="QFN23" s="538"/>
      <c r="QFO23" s="538"/>
      <c r="QFP23" s="538"/>
      <c r="QFQ23" s="538"/>
      <c r="QFR23" s="538"/>
      <c r="QFS23" s="538"/>
      <c r="QFT23" s="538"/>
      <c r="QFU23" s="538"/>
      <c r="QFV23" s="538"/>
      <c r="QFW23" s="538"/>
      <c r="QFX23" s="538"/>
      <c r="QFY23" s="538"/>
      <c r="QFZ23" s="538"/>
      <c r="QGA23" s="538"/>
      <c r="QGB23" s="538"/>
      <c r="QGC23" s="538"/>
      <c r="QGD23" s="538"/>
      <c r="QGE23" s="538"/>
      <c r="QGF23" s="538"/>
      <c r="QGG23" s="538"/>
      <c r="QGH23" s="538"/>
      <c r="QGI23" s="538"/>
      <c r="QGJ23" s="538"/>
      <c r="QGK23" s="538"/>
      <c r="QGL23" s="538"/>
      <c r="QGM23" s="538"/>
      <c r="QGN23" s="538"/>
      <c r="QGO23" s="538"/>
      <c r="QGP23" s="538"/>
      <c r="QGQ23" s="538"/>
      <c r="QGR23" s="538"/>
      <c r="QGS23" s="538"/>
      <c r="QGT23" s="538"/>
      <c r="QGU23" s="538"/>
      <c r="QGV23" s="538"/>
      <c r="QGW23" s="538"/>
      <c r="QGX23" s="538"/>
      <c r="QGY23" s="538"/>
      <c r="QGZ23" s="538"/>
      <c r="QHA23" s="538"/>
      <c r="QHB23" s="538"/>
      <c r="QHC23" s="538"/>
      <c r="QHD23" s="538"/>
      <c r="QHE23" s="538"/>
      <c r="QHF23" s="538"/>
      <c r="QHG23" s="538"/>
      <c r="QHH23" s="538"/>
      <c r="QHI23" s="538"/>
      <c r="QHJ23" s="538"/>
      <c r="QHK23" s="538"/>
      <c r="QHL23" s="538"/>
      <c r="QHM23" s="538"/>
      <c r="QHN23" s="538"/>
      <c r="QHO23" s="538"/>
      <c r="QHP23" s="538"/>
      <c r="QHQ23" s="538"/>
      <c r="QHR23" s="538"/>
      <c r="QHS23" s="538"/>
      <c r="QHT23" s="538"/>
      <c r="QHU23" s="538"/>
      <c r="QHV23" s="538"/>
      <c r="QHW23" s="538"/>
      <c r="QHX23" s="538"/>
      <c r="QHY23" s="538"/>
      <c r="QHZ23" s="538"/>
      <c r="QIA23" s="538"/>
      <c r="QIB23" s="538"/>
      <c r="QIC23" s="538"/>
      <c r="QID23" s="538"/>
      <c r="QIE23" s="538"/>
      <c r="QIF23" s="538"/>
      <c r="QIG23" s="538"/>
      <c r="QIH23" s="538"/>
      <c r="QII23" s="538"/>
      <c r="QIJ23" s="538"/>
      <c r="QIK23" s="538"/>
      <c r="QIL23" s="538"/>
      <c r="QIM23" s="538"/>
      <c r="QIN23" s="538"/>
      <c r="QIO23" s="538"/>
      <c r="QIP23" s="538"/>
      <c r="QIQ23" s="538"/>
      <c r="QIR23" s="538"/>
      <c r="QIS23" s="538"/>
      <c r="QIT23" s="538"/>
      <c r="QIU23" s="538"/>
      <c r="QIV23" s="538"/>
      <c r="QIW23" s="538"/>
      <c r="QIX23" s="538"/>
      <c r="QIY23" s="538"/>
      <c r="QIZ23" s="538"/>
      <c r="QJA23" s="538"/>
      <c r="QJB23" s="538"/>
      <c r="QJC23" s="538"/>
      <c r="QJD23" s="538"/>
      <c r="QJE23" s="538"/>
      <c r="QJF23" s="538"/>
      <c r="QJG23" s="538"/>
      <c r="QJH23" s="538"/>
      <c r="QJI23" s="538"/>
      <c r="QJJ23" s="538"/>
      <c r="QJK23" s="538"/>
      <c r="QJL23" s="538"/>
      <c r="QJM23" s="538"/>
      <c r="QJN23" s="538"/>
      <c r="QJO23" s="538"/>
      <c r="QJP23" s="538"/>
      <c r="QJQ23" s="538"/>
      <c r="QJR23" s="538"/>
      <c r="QJS23" s="538"/>
      <c r="QJT23" s="538"/>
      <c r="QJU23" s="538"/>
      <c r="QJV23" s="538"/>
      <c r="QJW23" s="538"/>
      <c r="QJX23" s="538"/>
      <c r="QJY23" s="538"/>
      <c r="QJZ23" s="538"/>
      <c r="QKA23" s="538"/>
      <c r="QKB23" s="538"/>
      <c r="QKC23" s="538"/>
      <c r="QKD23" s="538"/>
      <c r="QKE23" s="538"/>
      <c r="QKF23" s="538"/>
      <c r="QKG23" s="538"/>
      <c r="QKH23" s="538"/>
      <c r="QKI23" s="538"/>
      <c r="QKJ23" s="538"/>
      <c r="QKK23" s="538"/>
      <c r="QKL23" s="538"/>
      <c r="QKM23" s="538"/>
      <c r="QKN23" s="538"/>
      <c r="QKO23" s="538"/>
      <c r="QKP23" s="538"/>
      <c r="QKQ23" s="538"/>
      <c r="QKR23" s="538"/>
      <c r="QKS23" s="538"/>
      <c r="QKT23" s="538"/>
      <c r="QKU23" s="538"/>
      <c r="QKV23" s="538"/>
      <c r="QKW23" s="538"/>
      <c r="QKX23" s="538"/>
      <c r="QKY23" s="538"/>
      <c r="QKZ23" s="538"/>
      <c r="QLA23" s="538"/>
      <c r="QLB23" s="538"/>
      <c r="QLC23" s="538"/>
      <c r="QLD23" s="538"/>
      <c r="QLE23" s="538"/>
      <c r="QLF23" s="538"/>
      <c r="QLG23" s="538"/>
      <c r="QLH23" s="538"/>
      <c r="QLI23" s="538"/>
      <c r="QLJ23" s="538"/>
      <c r="QLK23" s="538"/>
      <c r="QLL23" s="538"/>
      <c r="QLM23" s="538"/>
      <c r="QLN23" s="538"/>
      <c r="QLO23" s="538"/>
      <c r="QLP23" s="538"/>
      <c r="QLQ23" s="538"/>
      <c r="QLR23" s="538"/>
      <c r="QLS23" s="538"/>
      <c r="QLT23" s="538"/>
      <c r="QLU23" s="538"/>
      <c r="QLV23" s="538"/>
      <c r="QLW23" s="538"/>
      <c r="QLX23" s="538"/>
      <c r="QLY23" s="538"/>
      <c r="QLZ23" s="538"/>
      <c r="QMA23" s="538"/>
      <c r="QMB23" s="538"/>
      <c r="QMC23" s="538"/>
      <c r="QMD23" s="538"/>
      <c r="QME23" s="538"/>
      <c r="QMF23" s="538"/>
      <c r="QMG23" s="538"/>
      <c r="QMH23" s="538"/>
      <c r="QMI23" s="538"/>
      <c r="QMJ23" s="538"/>
      <c r="QMK23" s="538"/>
      <c r="QML23" s="538"/>
      <c r="QMM23" s="538"/>
      <c r="QMN23" s="538"/>
      <c r="QMO23" s="538"/>
      <c r="QMP23" s="538"/>
      <c r="QMQ23" s="538"/>
      <c r="QMR23" s="538"/>
      <c r="QMS23" s="538"/>
      <c r="QMT23" s="538"/>
      <c r="QMU23" s="538"/>
      <c r="QMV23" s="538"/>
      <c r="QMW23" s="538"/>
      <c r="QMX23" s="538"/>
      <c r="QMY23" s="538"/>
      <c r="QMZ23" s="538"/>
      <c r="QNA23" s="538"/>
      <c r="QNB23" s="538"/>
      <c r="QNC23" s="538"/>
      <c r="QND23" s="538"/>
      <c r="QNE23" s="538"/>
      <c r="QNF23" s="538"/>
      <c r="QNG23" s="538"/>
      <c r="QNH23" s="538"/>
      <c r="QNI23" s="538"/>
      <c r="QNJ23" s="538"/>
      <c r="QNK23" s="538"/>
      <c r="QNL23" s="538"/>
      <c r="QNM23" s="538"/>
      <c r="QNN23" s="538"/>
      <c r="QNO23" s="538"/>
      <c r="QNP23" s="538"/>
      <c r="QNQ23" s="538"/>
      <c r="QNR23" s="538"/>
      <c r="QNS23" s="538"/>
      <c r="QNT23" s="538"/>
      <c r="QNU23" s="538"/>
      <c r="QNV23" s="538"/>
      <c r="QNW23" s="538"/>
      <c r="QNX23" s="538"/>
      <c r="QNY23" s="538"/>
      <c r="QNZ23" s="538"/>
      <c r="QOA23" s="538"/>
      <c r="QOB23" s="538"/>
      <c r="QOC23" s="538"/>
      <c r="QOD23" s="538"/>
      <c r="QOE23" s="538"/>
      <c r="QOF23" s="538"/>
      <c r="QOG23" s="538"/>
      <c r="QOH23" s="538"/>
      <c r="QOI23" s="538"/>
      <c r="QOJ23" s="538"/>
      <c r="QOK23" s="538"/>
      <c r="QOL23" s="538"/>
      <c r="QOM23" s="538"/>
      <c r="QON23" s="538"/>
      <c r="QOO23" s="538"/>
      <c r="QOP23" s="538"/>
      <c r="QOQ23" s="538"/>
      <c r="QOR23" s="538"/>
      <c r="QOS23" s="538"/>
      <c r="QOT23" s="538"/>
      <c r="QOU23" s="538"/>
      <c r="QOV23" s="538"/>
      <c r="QOW23" s="538"/>
      <c r="QOX23" s="538"/>
      <c r="QOY23" s="538"/>
      <c r="QOZ23" s="538"/>
      <c r="QPA23" s="538"/>
      <c r="QPB23" s="538"/>
      <c r="QPC23" s="538"/>
      <c r="QPD23" s="538"/>
      <c r="QPE23" s="538"/>
      <c r="QPF23" s="538"/>
      <c r="QPG23" s="538"/>
      <c r="QPH23" s="538"/>
      <c r="QPI23" s="538"/>
      <c r="QPJ23" s="538"/>
      <c r="QPK23" s="538"/>
      <c r="QPL23" s="538"/>
      <c r="QPM23" s="538"/>
      <c r="QPN23" s="538"/>
      <c r="QPO23" s="538"/>
      <c r="QPP23" s="538"/>
      <c r="QPQ23" s="538"/>
      <c r="QPR23" s="538"/>
      <c r="QPS23" s="538"/>
      <c r="QPT23" s="538"/>
      <c r="QPU23" s="538"/>
      <c r="QPV23" s="538"/>
      <c r="QPW23" s="538"/>
      <c r="QPX23" s="538"/>
      <c r="QPY23" s="538"/>
      <c r="QPZ23" s="538"/>
      <c r="QQA23" s="538"/>
      <c r="QQB23" s="538"/>
      <c r="QQC23" s="538"/>
      <c r="QQD23" s="538"/>
      <c r="QQE23" s="538"/>
      <c r="QQF23" s="538"/>
      <c r="QQG23" s="538"/>
      <c r="QQH23" s="538"/>
      <c r="QQI23" s="538"/>
      <c r="QQJ23" s="538"/>
      <c r="QQK23" s="538"/>
      <c r="QQL23" s="538"/>
      <c r="QQM23" s="538"/>
      <c r="QQN23" s="538"/>
      <c r="QQO23" s="538"/>
      <c r="QQP23" s="538"/>
      <c r="QQQ23" s="538"/>
      <c r="QQR23" s="538"/>
      <c r="QQS23" s="538"/>
      <c r="QQT23" s="538"/>
      <c r="QQU23" s="538"/>
      <c r="QQV23" s="538"/>
      <c r="QQW23" s="538"/>
      <c r="QQX23" s="538"/>
      <c r="QQY23" s="538"/>
      <c r="QQZ23" s="538"/>
      <c r="QRA23" s="538"/>
      <c r="QRB23" s="538"/>
      <c r="QRC23" s="538"/>
      <c r="QRD23" s="538"/>
      <c r="QRE23" s="538"/>
      <c r="QRF23" s="538"/>
      <c r="QRG23" s="538"/>
      <c r="QRH23" s="538"/>
      <c r="QRI23" s="538"/>
      <c r="QRJ23" s="538"/>
      <c r="QRK23" s="538"/>
      <c r="QRL23" s="538"/>
      <c r="QRM23" s="538"/>
      <c r="QRN23" s="538"/>
      <c r="QRO23" s="538"/>
      <c r="QRP23" s="538"/>
      <c r="QRQ23" s="538"/>
      <c r="QRR23" s="538"/>
      <c r="QRS23" s="538"/>
      <c r="QRT23" s="538"/>
      <c r="QRU23" s="538"/>
      <c r="QRV23" s="538"/>
      <c r="QRW23" s="538"/>
      <c r="QRX23" s="538"/>
      <c r="QRY23" s="538"/>
      <c r="QRZ23" s="538"/>
      <c r="QSA23" s="538"/>
      <c r="QSB23" s="538"/>
      <c r="QSC23" s="538"/>
      <c r="QSD23" s="538"/>
      <c r="QSE23" s="538"/>
      <c r="QSF23" s="538"/>
      <c r="QSG23" s="538"/>
      <c r="QSH23" s="538"/>
      <c r="QSI23" s="538"/>
      <c r="QSJ23" s="538"/>
      <c r="QSK23" s="538"/>
      <c r="QSL23" s="538"/>
      <c r="QSM23" s="538"/>
      <c r="QSN23" s="538"/>
      <c r="QSO23" s="538"/>
      <c r="QSP23" s="538"/>
      <c r="QSQ23" s="538"/>
      <c r="QSR23" s="538"/>
      <c r="QSS23" s="538"/>
      <c r="QST23" s="538"/>
      <c r="QSU23" s="538"/>
      <c r="QSV23" s="538"/>
      <c r="QSW23" s="538"/>
      <c r="QSX23" s="538"/>
      <c r="QSY23" s="538"/>
      <c r="QSZ23" s="538"/>
      <c r="QTA23" s="538"/>
      <c r="QTB23" s="538"/>
      <c r="QTC23" s="538"/>
      <c r="QTD23" s="538"/>
      <c r="QTE23" s="538"/>
      <c r="QTF23" s="538"/>
      <c r="QTG23" s="538"/>
      <c r="QTH23" s="538"/>
      <c r="QTI23" s="538"/>
      <c r="QTJ23" s="538"/>
      <c r="QTK23" s="538"/>
      <c r="QTL23" s="538"/>
      <c r="QTM23" s="538"/>
      <c r="QTN23" s="538"/>
      <c r="QTO23" s="538"/>
      <c r="QTP23" s="538"/>
      <c r="QTQ23" s="538"/>
      <c r="QTR23" s="538"/>
      <c r="QTS23" s="538"/>
      <c r="QTT23" s="538"/>
      <c r="QTU23" s="538"/>
      <c r="QTV23" s="538"/>
      <c r="QTW23" s="538"/>
      <c r="QTX23" s="538"/>
      <c r="QTY23" s="538"/>
      <c r="QTZ23" s="538"/>
      <c r="QUA23" s="538"/>
      <c r="QUB23" s="538"/>
      <c r="QUC23" s="538"/>
      <c r="QUD23" s="538"/>
      <c r="QUE23" s="538"/>
      <c r="QUF23" s="538"/>
      <c r="QUG23" s="538"/>
      <c r="QUH23" s="538"/>
      <c r="QUI23" s="538"/>
      <c r="QUJ23" s="538"/>
      <c r="QUK23" s="538"/>
      <c r="QUL23" s="538"/>
      <c r="QUM23" s="538"/>
      <c r="QUN23" s="538"/>
      <c r="QUO23" s="538"/>
      <c r="QUP23" s="538"/>
      <c r="QUQ23" s="538"/>
      <c r="QUR23" s="538"/>
      <c r="QUS23" s="538"/>
      <c r="QUT23" s="538"/>
      <c r="QUU23" s="538"/>
      <c r="QUV23" s="538"/>
      <c r="QUW23" s="538"/>
      <c r="QUX23" s="538"/>
      <c r="QUY23" s="538"/>
      <c r="QUZ23" s="538"/>
      <c r="QVA23" s="538"/>
      <c r="QVB23" s="538"/>
      <c r="QVC23" s="538"/>
      <c r="QVD23" s="538"/>
      <c r="QVE23" s="538"/>
      <c r="QVF23" s="538"/>
      <c r="QVG23" s="538"/>
      <c r="QVH23" s="538"/>
      <c r="QVI23" s="538"/>
      <c r="QVJ23" s="538"/>
      <c r="QVK23" s="538"/>
      <c r="QVL23" s="538"/>
      <c r="QVM23" s="538"/>
      <c r="QVN23" s="538"/>
      <c r="QVO23" s="538"/>
      <c r="QVP23" s="538"/>
      <c r="QVQ23" s="538"/>
      <c r="QVR23" s="538"/>
      <c r="QVS23" s="538"/>
      <c r="QVT23" s="538"/>
      <c r="QVU23" s="538"/>
      <c r="QVV23" s="538"/>
      <c r="QVW23" s="538"/>
      <c r="QVX23" s="538"/>
      <c r="QVY23" s="538"/>
      <c r="QVZ23" s="538"/>
      <c r="QWA23" s="538"/>
      <c r="QWB23" s="538"/>
      <c r="QWC23" s="538"/>
      <c r="QWD23" s="538"/>
      <c r="QWE23" s="538"/>
      <c r="QWF23" s="538"/>
      <c r="QWG23" s="538"/>
      <c r="QWH23" s="538"/>
      <c r="QWI23" s="538"/>
      <c r="QWJ23" s="538"/>
      <c r="QWK23" s="538"/>
      <c r="QWL23" s="538"/>
      <c r="QWM23" s="538"/>
      <c r="QWN23" s="538"/>
      <c r="QWO23" s="538"/>
      <c r="QWP23" s="538"/>
      <c r="QWQ23" s="538"/>
      <c r="QWR23" s="538"/>
      <c r="QWS23" s="538"/>
      <c r="QWT23" s="538"/>
      <c r="QWU23" s="538"/>
      <c r="QWV23" s="538"/>
      <c r="QWW23" s="538"/>
      <c r="QWX23" s="538"/>
      <c r="QWY23" s="538"/>
      <c r="QWZ23" s="538"/>
      <c r="QXA23" s="538"/>
      <c r="QXB23" s="538"/>
      <c r="QXC23" s="538"/>
      <c r="QXD23" s="538"/>
      <c r="QXE23" s="538"/>
      <c r="QXF23" s="538"/>
      <c r="QXG23" s="538"/>
      <c r="QXH23" s="538"/>
      <c r="QXI23" s="538"/>
      <c r="QXJ23" s="538"/>
      <c r="QXK23" s="538"/>
      <c r="QXL23" s="538"/>
      <c r="QXM23" s="538"/>
      <c r="QXN23" s="538"/>
      <c r="QXO23" s="538"/>
      <c r="QXP23" s="538"/>
      <c r="QXQ23" s="538"/>
      <c r="QXR23" s="538"/>
      <c r="QXS23" s="538"/>
      <c r="QXT23" s="538"/>
      <c r="QXU23" s="538"/>
      <c r="QXV23" s="538"/>
      <c r="QXW23" s="538"/>
      <c r="QXX23" s="538"/>
      <c r="QXY23" s="538"/>
      <c r="QXZ23" s="538"/>
      <c r="QYA23" s="538"/>
      <c r="QYB23" s="538"/>
      <c r="QYC23" s="538"/>
      <c r="QYD23" s="538"/>
      <c r="QYE23" s="538"/>
      <c r="QYF23" s="538"/>
      <c r="QYG23" s="538"/>
      <c r="QYH23" s="538"/>
      <c r="QYI23" s="538"/>
      <c r="QYJ23" s="538"/>
      <c r="QYK23" s="538"/>
      <c r="QYL23" s="538"/>
      <c r="QYM23" s="538"/>
      <c r="QYN23" s="538"/>
      <c r="QYO23" s="538"/>
      <c r="QYP23" s="538"/>
      <c r="QYQ23" s="538"/>
      <c r="QYR23" s="538"/>
      <c r="QYS23" s="538"/>
      <c r="QYT23" s="538"/>
      <c r="QYU23" s="538"/>
      <c r="QYV23" s="538"/>
      <c r="QYW23" s="538"/>
      <c r="QYX23" s="538"/>
      <c r="QYY23" s="538"/>
      <c r="QYZ23" s="538"/>
      <c r="QZA23" s="538"/>
      <c r="QZB23" s="538"/>
      <c r="QZC23" s="538"/>
      <c r="QZD23" s="538"/>
      <c r="QZE23" s="538"/>
      <c r="QZF23" s="538"/>
      <c r="QZG23" s="538"/>
      <c r="QZH23" s="538"/>
      <c r="QZI23" s="538"/>
      <c r="QZJ23" s="538"/>
      <c r="QZK23" s="538"/>
      <c r="QZL23" s="538"/>
      <c r="QZM23" s="538"/>
      <c r="QZN23" s="538"/>
      <c r="QZO23" s="538"/>
      <c r="QZP23" s="538"/>
      <c r="QZQ23" s="538"/>
      <c r="QZR23" s="538"/>
      <c r="QZS23" s="538"/>
      <c r="QZT23" s="538"/>
      <c r="QZU23" s="538"/>
      <c r="QZV23" s="538"/>
      <c r="QZW23" s="538"/>
      <c r="QZX23" s="538"/>
      <c r="QZY23" s="538"/>
      <c r="QZZ23" s="538"/>
      <c r="RAA23" s="538"/>
      <c r="RAB23" s="538"/>
      <c r="RAC23" s="538"/>
      <c r="RAD23" s="538"/>
      <c r="RAE23" s="538"/>
      <c r="RAF23" s="538"/>
      <c r="RAG23" s="538"/>
      <c r="RAH23" s="538"/>
      <c r="RAI23" s="538"/>
      <c r="RAJ23" s="538"/>
      <c r="RAK23" s="538"/>
      <c r="RAL23" s="538"/>
      <c r="RAM23" s="538"/>
      <c r="RAN23" s="538"/>
      <c r="RAO23" s="538"/>
      <c r="RAP23" s="538"/>
      <c r="RAQ23" s="538"/>
      <c r="RAR23" s="538"/>
      <c r="RAS23" s="538"/>
      <c r="RAT23" s="538"/>
      <c r="RAU23" s="538"/>
      <c r="RAV23" s="538"/>
      <c r="RAW23" s="538"/>
      <c r="RAX23" s="538"/>
      <c r="RAY23" s="538"/>
      <c r="RAZ23" s="538"/>
      <c r="RBA23" s="538"/>
      <c r="RBB23" s="538"/>
      <c r="RBC23" s="538"/>
      <c r="RBD23" s="538"/>
      <c r="RBE23" s="538"/>
      <c r="RBF23" s="538"/>
      <c r="RBG23" s="538"/>
      <c r="RBH23" s="538"/>
      <c r="RBI23" s="538"/>
      <c r="RBJ23" s="538"/>
      <c r="RBK23" s="538"/>
      <c r="RBL23" s="538"/>
      <c r="RBM23" s="538"/>
      <c r="RBN23" s="538"/>
      <c r="RBO23" s="538"/>
      <c r="RBP23" s="538"/>
      <c r="RBQ23" s="538"/>
      <c r="RBR23" s="538"/>
      <c r="RBS23" s="538"/>
      <c r="RBT23" s="538"/>
      <c r="RBU23" s="538"/>
      <c r="RBV23" s="538"/>
      <c r="RBW23" s="538"/>
      <c r="RBX23" s="538"/>
      <c r="RBY23" s="538"/>
      <c r="RBZ23" s="538"/>
      <c r="RCA23" s="538"/>
      <c r="RCB23" s="538"/>
      <c r="RCC23" s="538"/>
      <c r="RCD23" s="538"/>
      <c r="RCE23" s="538"/>
      <c r="RCF23" s="538"/>
      <c r="RCG23" s="538"/>
      <c r="RCH23" s="538"/>
      <c r="RCI23" s="538"/>
      <c r="RCJ23" s="538"/>
      <c r="RCK23" s="538"/>
      <c r="RCL23" s="538"/>
      <c r="RCM23" s="538"/>
      <c r="RCN23" s="538"/>
      <c r="RCO23" s="538"/>
      <c r="RCP23" s="538"/>
      <c r="RCQ23" s="538"/>
      <c r="RCR23" s="538"/>
      <c r="RCS23" s="538"/>
      <c r="RCT23" s="538"/>
      <c r="RCU23" s="538"/>
      <c r="RCV23" s="538"/>
      <c r="RCW23" s="538"/>
      <c r="RCX23" s="538"/>
      <c r="RCY23" s="538"/>
      <c r="RCZ23" s="538"/>
      <c r="RDA23" s="538"/>
      <c r="RDB23" s="538"/>
      <c r="RDC23" s="538"/>
      <c r="RDD23" s="538"/>
      <c r="RDE23" s="538"/>
      <c r="RDF23" s="538"/>
      <c r="RDG23" s="538"/>
      <c r="RDH23" s="538"/>
      <c r="RDI23" s="538"/>
      <c r="RDJ23" s="538"/>
      <c r="RDK23" s="538"/>
      <c r="RDL23" s="538"/>
      <c r="RDM23" s="538"/>
      <c r="RDN23" s="538"/>
      <c r="RDO23" s="538"/>
      <c r="RDP23" s="538"/>
      <c r="RDQ23" s="538"/>
      <c r="RDR23" s="538"/>
      <c r="RDS23" s="538"/>
      <c r="RDT23" s="538"/>
      <c r="RDU23" s="538"/>
      <c r="RDV23" s="538"/>
      <c r="RDW23" s="538"/>
      <c r="RDX23" s="538"/>
      <c r="RDY23" s="538"/>
      <c r="RDZ23" s="538"/>
      <c r="REA23" s="538"/>
      <c r="REB23" s="538"/>
      <c r="REC23" s="538"/>
      <c r="RED23" s="538"/>
      <c r="REE23" s="538"/>
      <c r="REF23" s="538"/>
      <c r="REG23" s="538"/>
      <c r="REH23" s="538"/>
      <c r="REI23" s="538"/>
      <c r="REJ23" s="538"/>
      <c r="REK23" s="538"/>
      <c r="REL23" s="538"/>
      <c r="REM23" s="538"/>
      <c r="REN23" s="538"/>
      <c r="REO23" s="538"/>
      <c r="REP23" s="538"/>
      <c r="REQ23" s="538"/>
      <c r="RER23" s="538"/>
      <c r="RES23" s="538"/>
      <c r="RET23" s="538"/>
      <c r="REU23" s="538"/>
      <c r="REV23" s="538"/>
      <c r="REW23" s="538"/>
      <c r="REX23" s="538"/>
      <c r="REY23" s="538"/>
      <c r="REZ23" s="538"/>
      <c r="RFA23" s="538"/>
      <c r="RFB23" s="538"/>
      <c r="RFC23" s="538"/>
      <c r="RFD23" s="538"/>
      <c r="RFE23" s="538"/>
      <c r="RFF23" s="538"/>
      <c r="RFG23" s="538"/>
      <c r="RFH23" s="538"/>
      <c r="RFI23" s="538"/>
      <c r="RFJ23" s="538"/>
      <c r="RFK23" s="538"/>
      <c r="RFL23" s="538"/>
      <c r="RFM23" s="538"/>
      <c r="RFN23" s="538"/>
      <c r="RFO23" s="538"/>
      <c r="RFP23" s="538"/>
      <c r="RFQ23" s="538"/>
      <c r="RFR23" s="538"/>
      <c r="RFS23" s="538"/>
      <c r="RFT23" s="538"/>
      <c r="RFU23" s="538"/>
      <c r="RFV23" s="538"/>
      <c r="RFW23" s="538"/>
      <c r="RFX23" s="538"/>
      <c r="RFY23" s="538"/>
      <c r="RFZ23" s="538"/>
      <c r="RGA23" s="538"/>
      <c r="RGB23" s="538"/>
      <c r="RGC23" s="538"/>
      <c r="RGD23" s="538"/>
      <c r="RGE23" s="538"/>
      <c r="RGF23" s="538"/>
      <c r="RGG23" s="538"/>
      <c r="RGH23" s="538"/>
      <c r="RGI23" s="538"/>
      <c r="RGJ23" s="538"/>
      <c r="RGK23" s="538"/>
      <c r="RGL23" s="538"/>
      <c r="RGM23" s="538"/>
      <c r="RGN23" s="538"/>
      <c r="RGO23" s="538"/>
      <c r="RGP23" s="538"/>
      <c r="RGQ23" s="538"/>
      <c r="RGR23" s="538"/>
      <c r="RGS23" s="538"/>
      <c r="RGT23" s="538"/>
      <c r="RGU23" s="538"/>
      <c r="RGV23" s="538"/>
      <c r="RGW23" s="538"/>
      <c r="RGX23" s="538"/>
      <c r="RGY23" s="538"/>
      <c r="RGZ23" s="538"/>
      <c r="RHA23" s="538"/>
      <c r="RHB23" s="538"/>
      <c r="RHC23" s="538"/>
      <c r="RHD23" s="538"/>
      <c r="RHE23" s="538"/>
      <c r="RHF23" s="538"/>
      <c r="RHG23" s="538"/>
      <c r="RHH23" s="538"/>
      <c r="RHI23" s="538"/>
      <c r="RHJ23" s="538"/>
      <c r="RHK23" s="538"/>
      <c r="RHL23" s="538"/>
      <c r="RHM23" s="538"/>
      <c r="RHN23" s="538"/>
      <c r="RHO23" s="538"/>
      <c r="RHP23" s="538"/>
      <c r="RHQ23" s="538"/>
      <c r="RHR23" s="538"/>
      <c r="RHS23" s="538"/>
      <c r="RHT23" s="538"/>
      <c r="RHU23" s="538"/>
      <c r="RHV23" s="538"/>
      <c r="RHW23" s="538"/>
      <c r="RHX23" s="538"/>
      <c r="RHY23" s="538"/>
      <c r="RHZ23" s="538"/>
      <c r="RIA23" s="538"/>
      <c r="RIB23" s="538"/>
      <c r="RIC23" s="538"/>
      <c r="RID23" s="538"/>
      <c r="RIE23" s="538"/>
      <c r="RIF23" s="538"/>
      <c r="RIG23" s="538"/>
      <c r="RIH23" s="538"/>
      <c r="RII23" s="538"/>
      <c r="RIJ23" s="538"/>
      <c r="RIK23" s="538"/>
      <c r="RIL23" s="538"/>
      <c r="RIM23" s="538"/>
      <c r="RIN23" s="538"/>
      <c r="RIO23" s="538"/>
      <c r="RIP23" s="538"/>
      <c r="RIQ23" s="538"/>
      <c r="RIR23" s="538"/>
      <c r="RIS23" s="538"/>
      <c r="RIT23" s="538"/>
      <c r="RIU23" s="538"/>
      <c r="RIV23" s="538"/>
      <c r="RIW23" s="538"/>
      <c r="RIX23" s="538"/>
      <c r="RIY23" s="538"/>
      <c r="RIZ23" s="538"/>
      <c r="RJA23" s="538"/>
      <c r="RJB23" s="538"/>
      <c r="RJC23" s="538"/>
      <c r="RJD23" s="538"/>
      <c r="RJE23" s="538"/>
      <c r="RJF23" s="538"/>
      <c r="RJG23" s="538"/>
      <c r="RJH23" s="538"/>
      <c r="RJI23" s="538"/>
      <c r="RJJ23" s="538"/>
      <c r="RJK23" s="538"/>
      <c r="RJL23" s="538"/>
      <c r="RJM23" s="538"/>
      <c r="RJN23" s="538"/>
      <c r="RJO23" s="538"/>
      <c r="RJP23" s="538"/>
      <c r="RJQ23" s="538"/>
      <c r="RJR23" s="538"/>
      <c r="RJS23" s="538"/>
      <c r="RJT23" s="538"/>
      <c r="RJU23" s="538"/>
      <c r="RJV23" s="538"/>
      <c r="RJW23" s="538"/>
      <c r="RJX23" s="538"/>
      <c r="RJY23" s="538"/>
      <c r="RJZ23" s="538"/>
      <c r="RKA23" s="538"/>
      <c r="RKB23" s="538"/>
      <c r="RKC23" s="538"/>
      <c r="RKD23" s="538"/>
      <c r="RKE23" s="538"/>
      <c r="RKF23" s="538"/>
      <c r="RKG23" s="538"/>
      <c r="RKH23" s="538"/>
      <c r="RKI23" s="538"/>
      <c r="RKJ23" s="538"/>
      <c r="RKK23" s="538"/>
      <c r="RKL23" s="538"/>
      <c r="RKM23" s="538"/>
      <c r="RKN23" s="538"/>
      <c r="RKO23" s="538"/>
      <c r="RKP23" s="538"/>
      <c r="RKQ23" s="538"/>
      <c r="RKR23" s="538"/>
      <c r="RKS23" s="538"/>
      <c r="RKT23" s="538"/>
      <c r="RKU23" s="538"/>
      <c r="RKV23" s="538"/>
      <c r="RKW23" s="538"/>
      <c r="RKX23" s="538"/>
      <c r="RKY23" s="538"/>
      <c r="RKZ23" s="538"/>
      <c r="RLA23" s="538"/>
      <c r="RLB23" s="538"/>
      <c r="RLC23" s="538"/>
      <c r="RLD23" s="538"/>
      <c r="RLE23" s="538"/>
      <c r="RLF23" s="538"/>
      <c r="RLG23" s="538"/>
      <c r="RLH23" s="538"/>
      <c r="RLI23" s="538"/>
      <c r="RLJ23" s="538"/>
      <c r="RLK23" s="538"/>
      <c r="RLL23" s="538"/>
      <c r="RLM23" s="538"/>
      <c r="RLN23" s="538"/>
      <c r="RLO23" s="538"/>
      <c r="RLP23" s="538"/>
      <c r="RLQ23" s="538"/>
      <c r="RLR23" s="538"/>
      <c r="RLS23" s="538"/>
      <c r="RLT23" s="538"/>
      <c r="RLU23" s="538"/>
      <c r="RLV23" s="538"/>
      <c r="RLW23" s="538"/>
      <c r="RLX23" s="538"/>
      <c r="RLY23" s="538"/>
      <c r="RLZ23" s="538"/>
      <c r="RMA23" s="538"/>
      <c r="RMB23" s="538"/>
      <c r="RMC23" s="538"/>
      <c r="RMD23" s="538"/>
      <c r="RME23" s="538"/>
      <c r="RMF23" s="538"/>
      <c r="RMG23" s="538"/>
      <c r="RMH23" s="538"/>
      <c r="RMI23" s="538"/>
      <c r="RMJ23" s="538"/>
      <c r="RMK23" s="538"/>
      <c r="RML23" s="538"/>
      <c r="RMM23" s="538"/>
      <c r="RMN23" s="538"/>
      <c r="RMO23" s="538"/>
      <c r="RMP23" s="538"/>
      <c r="RMQ23" s="538"/>
      <c r="RMR23" s="538"/>
      <c r="RMS23" s="538"/>
      <c r="RMT23" s="538"/>
      <c r="RMU23" s="538"/>
      <c r="RMV23" s="538"/>
      <c r="RMW23" s="538"/>
      <c r="RMX23" s="538"/>
      <c r="RMY23" s="538"/>
      <c r="RMZ23" s="538"/>
      <c r="RNA23" s="538"/>
      <c r="RNB23" s="538"/>
      <c r="RNC23" s="538"/>
      <c r="RND23" s="538"/>
      <c r="RNE23" s="538"/>
      <c r="RNF23" s="538"/>
      <c r="RNG23" s="538"/>
      <c r="RNH23" s="538"/>
      <c r="RNI23" s="538"/>
      <c r="RNJ23" s="538"/>
      <c r="RNK23" s="538"/>
      <c r="RNL23" s="538"/>
      <c r="RNM23" s="538"/>
      <c r="RNN23" s="538"/>
      <c r="RNO23" s="538"/>
      <c r="RNP23" s="538"/>
      <c r="RNQ23" s="538"/>
      <c r="RNR23" s="538"/>
      <c r="RNS23" s="538"/>
      <c r="RNT23" s="538"/>
      <c r="RNU23" s="538"/>
      <c r="RNV23" s="538"/>
      <c r="RNW23" s="538"/>
      <c r="RNX23" s="538"/>
      <c r="RNY23" s="538"/>
      <c r="RNZ23" s="538"/>
      <c r="ROA23" s="538"/>
      <c r="ROB23" s="538"/>
      <c r="ROC23" s="538"/>
      <c r="ROD23" s="538"/>
      <c r="ROE23" s="538"/>
      <c r="ROF23" s="538"/>
      <c r="ROG23" s="538"/>
      <c r="ROH23" s="538"/>
      <c r="ROI23" s="538"/>
      <c r="ROJ23" s="538"/>
      <c r="ROK23" s="538"/>
      <c r="ROL23" s="538"/>
      <c r="ROM23" s="538"/>
      <c r="RON23" s="538"/>
      <c r="ROO23" s="538"/>
      <c r="ROP23" s="538"/>
      <c r="ROQ23" s="538"/>
      <c r="ROR23" s="538"/>
      <c r="ROS23" s="538"/>
      <c r="ROT23" s="538"/>
      <c r="ROU23" s="538"/>
      <c r="ROV23" s="538"/>
      <c r="ROW23" s="538"/>
      <c r="ROX23" s="538"/>
      <c r="ROY23" s="538"/>
      <c r="ROZ23" s="538"/>
      <c r="RPA23" s="538"/>
      <c r="RPB23" s="538"/>
      <c r="RPC23" s="538"/>
      <c r="RPD23" s="538"/>
      <c r="RPE23" s="538"/>
      <c r="RPF23" s="538"/>
      <c r="RPG23" s="538"/>
      <c r="RPH23" s="538"/>
      <c r="RPI23" s="538"/>
      <c r="RPJ23" s="538"/>
      <c r="RPK23" s="538"/>
      <c r="RPL23" s="538"/>
      <c r="RPM23" s="538"/>
      <c r="RPN23" s="538"/>
      <c r="RPO23" s="538"/>
      <c r="RPP23" s="538"/>
      <c r="RPQ23" s="538"/>
      <c r="RPR23" s="538"/>
      <c r="RPS23" s="538"/>
      <c r="RPT23" s="538"/>
      <c r="RPU23" s="538"/>
      <c r="RPV23" s="538"/>
      <c r="RPW23" s="538"/>
      <c r="RPX23" s="538"/>
      <c r="RPY23" s="538"/>
      <c r="RPZ23" s="538"/>
      <c r="RQA23" s="538"/>
      <c r="RQB23" s="538"/>
      <c r="RQC23" s="538"/>
      <c r="RQD23" s="538"/>
      <c r="RQE23" s="538"/>
      <c r="RQF23" s="538"/>
      <c r="RQG23" s="538"/>
      <c r="RQH23" s="538"/>
      <c r="RQI23" s="538"/>
      <c r="RQJ23" s="538"/>
      <c r="RQK23" s="538"/>
      <c r="RQL23" s="538"/>
      <c r="RQM23" s="538"/>
      <c r="RQN23" s="538"/>
      <c r="RQO23" s="538"/>
      <c r="RQP23" s="538"/>
      <c r="RQQ23" s="538"/>
      <c r="RQR23" s="538"/>
      <c r="RQS23" s="538"/>
      <c r="RQT23" s="538"/>
      <c r="RQU23" s="538"/>
      <c r="RQV23" s="538"/>
      <c r="RQW23" s="538"/>
      <c r="RQX23" s="538"/>
      <c r="RQY23" s="538"/>
      <c r="RQZ23" s="538"/>
      <c r="RRA23" s="538"/>
      <c r="RRB23" s="538"/>
      <c r="RRC23" s="538"/>
      <c r="RRD23" s="538"/>
      <c r="RRE23" s="538"/>
      <c r="RRF23" s="538"/>
      <c r="RRG23" s="538"/>
      <c r="RRH23" s="538"/>
      <c r="RRI23" s="538"/>
      <c r="RRJ23" s="538"/>
      <c r="RRK23" s="538"/>
      <c r="RRL23" s="538"/>
      <c r="RRM23" s="538"/>
      <c r="RRN23" s="538"/>
      <c r="RRO23" s="538"/>
      <c r="RRP23" s="538"/>
      <c r="RRQ23" s="538"/>
      <c r="RRR23" s="538"/>
      <c r="RRS23" s="538"/>
      <c r="RRT23" s="538"/>
      <c r="RRU23" s="538"/>
      <c r="RRV23" s="538"/>
      <c r="RRW23" s="538"/>
      <c r="RRX23" s="538"/>
      <c r="RRY23" s="538"/>
      <c r="RRZ23" s="538"/>
      <c r="RSA23" s="538"/>
      <c r="RSB23" s="538"/>
      <c r="RSC23" s="538"/>
      <c r="RSD23" s="538"/>
      <c r="RSE23" s="538"/>
      <c r="RSF23" s="538"/>
      <c r="RSG23" s="538"/>
      <c r="RSH23" s="538"/>
      <c r="RSI23" s="538"/>
      <c r="RSJ23" s="538"/>
      <c r="RSK23" s="538"/>
      <c r="RSL23" s="538"/>
      <c r="RSM23" s="538"/>
      <c r="RSN23" s="538"/>
      <c r="RSO23" s="538"/>
      <c r="RSP23" s="538"/>
      <c r="RSQ23" s="538"/>
      <c r="RSR23" s="538"/>
      <c r="RSS23" s="538"/>
      <c r="RST23" s="538"/>
      <c r="RSU23" s="538"/>
      <c r="RSV23" s="538"/>
      <c r="RSW23" s="538"/>
      <c r="RSX23" s="538"/>
      <c r="RSY23" s="538"/>
      <c r="RSZ23" s="538"/>
      <c r="RTA23" s="538"/>
      <c r="RTB23" s="538"/>
      <c r="RTC23" s="538"/>
      <c r="RTD23" s="538"/>
      <c r="RTE23" s="538"/>
      <c r="RTF23" s="538"/>
      <c r="RTG23" s="538"/>
      <c r="RTH23" s="538"/>
      <c r="RTI23" s="538"/>
      <c r="RTJ23" s="538"/>
      <c r="RTK23" s="538"/>
      <c r="RTL23" s="538"/>
      <c r="RTM23" s="538"/>
      <c r="RTN23" s="538"/>
      <c r="RTO23" s="538"/>
      <c r="RTP23" s="538"/>
      <c r="RTQ23" s="538"/>
      <c r="RTR23" s="538"/>
      <c r="RTS23" s="538"/>
      <c r="RTT23" s="538"/>
      <c r="RTU23" s="538"/>
      <c r="RTV23" s="538"/>
      <c r="RTW23" s="538"/>
      <c r="RTX23" s="538"/>
      <c r="RTY23" s="538"/>
      <c r="RTZ23" s="538"/>
      <c r="RUA23" s="538"/>
      <c r="RUB23" s="538"/>
      <c r="RUC23" s="538"/>
      <c r="RUD23" s="538"/>
      <c r="RUE23" s="538"/>
      <c r="RUF23" s="538"/>
      <c r="RUG23" s="538"/>
      <c r="RUH23" s="538"/>
      <c r="RUI23" s="538"/>
      <c r="RUJ23" s="538"/>
      <c r="RUK23" s="538"/>
      <c r="RUL23" s="538"/>
      <c r="RUM23" s="538"/>
      <c r="RUN23" s="538"/>
      <c r="RUO23" s="538"/>
      <c r="RUP23" s="538"/>
      <c r="RUQ23" s="538"/>
      <c r="RUR23" s="538"/>
      <c r="RUS23" s="538"/>
      <c r="RUT23" s="538"/>
      <c r="RUU23" s="538"/>
      <c r="RUV23" s="538"/>
      <c r="RUW23" s="538"/>
      <c r="RUX23" s="538"/>
      <c r="RUY23" s="538"/>
      <c r="RUZ23" s="538"/>
      <c r="RVA23" s="538"/>
      <c r="RVB23" s="538"/>
      <c r="RVC23" s="538"/>
      <c r="RVD23" s="538"/>
      <c r="RVE23" s="538"/>
      <c r="RVF23" s="538"/>
      <c r="RVG23" s="538"/>
      <c r="RVH23" s="538"/>
      <c r="RVI23" s="538"/>
      <c r="RVJ23" s="538"/>
      <c r="RVK23" s="538"/>
      <c r="RVL23" s="538"/>
      <c r="RVM23" s="538"/>
      <c r="RVN23" s="538"/>
      <c r="RVO23" s="538"/>
      <c r="RVP23" s="538"/>
      <c r="RVQ23" s="538"/>
      <c r="RVR23" s="538"/>
      <c r="RVS23" s="538"/>
      <c r="RVT23" s="538"/>
      <c r="RVU23" s="538"/>
      <c r="RVV23" s="538"/>
      <c r="RVW23" s="538"/>
      <c r="RVX23" s="538"/>
      <c r="RVY23" s="538"/>
      <c r="RVZ23" s="538"/>
      <c r="RWA23" s="538"/>
      <c r="RWB23" s="538"/>
      <c r="RWC23" s="538"/>
      <c r="RWD23" s="538"/>
      <c r="RWE23" s="538"/>
      <c r="RWF23" s="538"/>
      <c r="RWG23" s="538"/>
      <c r="RWH23" s="538"/>
      <c r="RWI23" s="538"/>
      <c r="RWJ23" s="538"/>
      <c r="RWK23" s="538"/>
      <c r="RWL23" s="538"/>
      <c r="RWM23" s="538"/>
      <c r="RWN23" s="538"/>
      <c r="RWO23" s="538"/>
      <c r="RWP23" s="538"/>
      <c r="RWQ23" s="538"/>
      <c r="RWR23" s="538"/>
      <c r="RWS23" s="538"/>
      <c r="RWT23" s="538"/>
      <c r="RWU23" s="538"/>
      <c r="RWV23" s="538"/>
      <c r="RWW23" s="538"/>
      <c r="RWX23" s="538"/>
      <c r="RWY23" s="538"/>
      <c r="RWZ23" s="538"/>
      <c r="RXA23" s="538"/>
      <c r="RXB23" s="538"/>
      <c r="RXC23" s="538"/>
      <c r="RXD23" s="538"/>
      <c r="RXE23" s="538"/>
      <c r="RXF23" s="538"/>
      <c r="RXG23" s="538"/>
      <c r="RXH23" s="538"/>
      <c r="RXI23" s="538"/>
      <c r="RXJ23" s="538"/>
      <c r="RXK23" s="538"/>
      <c r="RXL23" s="538"/>
      <c r="RXM23" s="538"/>
      <c r="RXN23" s="538"/>
      <c r="RXO23" s="538"/>
      <c r="RXP23" s="538"/>
      <c r="RXQ23" s="538"/>
      <c r="RXR23" s="538"/>
      <c r="RXS23" s="538"/>
      <c r="RXT23" s="538"/>
      <c r="RXU23" s="538"/>
      <c r="RXV23" s="538"/>
      <c r="RXW23" s="538"/>
      <c r="RXX23" s="538"/>
      <c r="RXY23" s="538"/>
      <c r="RXZ23" s="538"/>
      <c r="RYA23" s="538"/>
      <c r="RYB23" s="538"/>
      <c r="RYC23" s="538"/>
      <c r="RYD23" s="538"/>
      <c r="RYE23" s="538"/>
      <c r="RYF23" s="538"/>
      <c r="RYG23" s="538"/>
      <c r="RYH23" s="538"/>
      <c r="RYI23" s="538"/>
      <c r="RYJ23" s="538"/>
      <c r="RYK23" s="538"/>
      <c r="RYL23" s="538"/>
      <c r="RYM23" s="538"/>
      <c r="RYN23" s="538"/>
      <c r="RYO23" s="538"/>
      <c r="RYP23" s="538"/>
      <c r="RYQ23" s="538"/>
      <c r="RYR23" s="538"/>
      <c r="RYS23" s="538"/>
      <c r="RYT23" s="538"/>
      <c r="RYU23" s="538"/>
      <c r="RYV23" s="538"/>
      <c r="RYW23" s="538"/>
      <c r="RYX23" s="538"/>
      <c r="RYY23" s="538"/>
      <c r="RYZ23" s="538"/>
      <c r="RZA23" s="538"/>
      <c r="RZB23" s="538"/>
      <c r="RZC23" s="538"/>
      <c r="RZD23" s="538"/>
      <c r="RZE23" s="538"/>
      <c r="RZF23" s="538"/>
      <c r="RZG23" s="538"/>
      <c r="RZH23" s="538"/>
      <c r="RZI23" s="538"/>
      <c r="RZJ23" s="538"/>
      <c r="RZK23" s="538"/>
      <c r="RZL23" s="538"/>
      <c r="RZM23" s="538"/>
      <c r="RZN23" s="538"/>
      <c r="RZO23" s="538"/>
      <c r="RZP23" s="538"/>
      <c r="RZQ23" s="538"/>
      <c r="RZR23" s="538"/>
      <c r="RZS23" s="538"/>
      <c r="RZT23" s="538"/>
      <c r="RZU23" s="538"/>
      <c r="RZV23" s="538"/>
      <c r="RZW23" s="538"/>
      <c r="RZX23" s="538"/>
      <c r="RZY23" s="538"/>
      <c r="RZZ23" s="538"/>
      <c r="SAA23" s="538"/>
      <c r="SAB23" s="538"/>
      <c r="SAC23" s="538"/>
      <c r="SAD23" s="538"/>
      <c r="SAE23" s="538"/>
      <c r="SAF23" s="538"/>
      <c r="SAG23" s="538"/>
      <c r="SAH23" s="538"/>
      <c r="SAI23" s="538"/>
      <c r="SAJ23" s="538"/>
      <c r="SAK23" s="538"/>
      <c r="SAL23" s="538"/>
      <c r="SAM23" s="538"/>
      <c r="SAN23" s="538"/>
      <c r="SAO23" s="538"/>
      <c r="SAP23" s="538"/>
      <c r="SAQ23" s="538"/>
      <c r="SAR23" s="538"/>
      <c r="SAS23" s="538"/>
      <c r="SAT23" s="538"/>
      <c r="SAU23" s="538"/>
      <c r="SAV23" s="538"/>
      <c r="SAW23" s="538"/>
      <c r="SAX23" s="538"/>
      <c r="SAY23" s="538"/>
      <c r="SAZ23" s="538"/>
      <c r="SBA23" s="538"/>
      <c r="SBB23" s="538"/>
      <c r="SBC23" s="538"/>
      <c r="SBD23" s="538"/>
      <c r="SBE23" s="538"/>
      <c r="SBF23" s="538"/>
      <c r="SBG23" s="538"/>
      <c r="SBH23" s="538"/>
      <c r="SBI23" s="538"/>
      <c r="SBJ23" s="538"/>
      <c r="SBK23" s="538"/>
      <c r="SBL23" s="538"/>
      <c r="SBM23" s="538"/>
      <c r="SBN23" s="538"/>
      <c r="SBO23" s="538"/>
      <c r="SBP23" s="538"/>
      <c r="SBQ23" s="538"/>
      <c r="SBR23" s="538"/>
      <c r="SBS23" s="538"/>
      <c r="SBT23" s="538"/>
      <c r="SBU23" s="538"/>
      <c r="SBV23" s="538"/>
      <c r="SBW23" s="538"/>
      <c r="SBX23" s="538"/>
      <c r="SBY23" s="538"/>
      <c r="SBZ23" s="538"/>
      <c r="SCA23" s="538"/>
      <c r="SCB23" s="538"/>
      <c r="SCC23" s="538"/>
      <c r="SCD23" s="538"/>
      <c r="SCE23" s="538"/>
      <c r="SCF23" s="538"/>
      <c r="SCG23" s="538"/>
      <c r="SCH23" s="538"/>
      <c r="SCI23" s="538"/>
      <c r="SCJ23" s="538"/>
      <c r="SCK23" s="538"/>
      <c r="SCL23" s="538"/>
      <c r="SCM23" s="538"/>
      <c r="SCN23" s="538"/>
      <c r="SCO23" s="538"/>
      <c r="SCP23" s="538"/>
      <c r="SCQ23" s="538"/>
      <c r="SCR23" s="538"/>
      <c r="SCS23" s="538"/>
      <c r="SCT23" s="538"/>
      <c r="SCU23" s="538"/>
      <c r="SCV23" s="538"/>
      <c r="SCW23" s="538"/>
      <c r="SCX23" s="538"/>
      <c r="SCY23" s="538"/>
      <c r="SCZ23" s="538"/>
      <c r="SDA23" s="538"/>
      <c r="SDB23" s="538"/>
      <c r="SDC23" s="538"/>
      <c r="SDD23" s="538"/>
      <c r="SDE23" s="538"/>
      <c r="SDF23" s="538"/>
      <c r="SDG23" s="538"/>
      <c r="SDH23" s="538"/>
      <c r="SDI23" s="538"/>
      <c r="SDJ23" s="538"/>
      <c r="SDK23" s="538"/>
      <c r="SDL23" s="538"/>
      <c r="SDM23" s="538"/>
      <c r="SDN23" s="538"/>
      <c r="SDO23" s="538"/>
      <c r="SDP23" s="538"/>
      <c r="SDQ23" s="538"/>
      <c r="SDR23" s="538"/>
      <c r="SDS23" s="538"/>
      <c r="SDT23" s="538"/>
      <c r="SDU23" s="538"/>
      <c r="SDV23" s="538"/>
      <c r="SDW23" s="538"/>
      <c r="SDX23" s="538"/>
      <c r="SDY23" s="538"/>
      <c r="SDZ23" s="538"/>
      <c r="SEA23" s="538"/>
      <c r="SEB23" s="538"/>
      <c r="SEC23" s="538"/>
      <c r="SED23" s="538"/>
      <c r="SEE23" s="538"/>
      <c r="SEF23" s="538"/>
      <c r="SEG23" s="538"/>
      <c r="SEH23" s="538"/>
      <c r="SEI23" s="538"/>
      <c r="SEJ23" s="538"/>
      <c r="SEK23" s="538"/>
      <c r="SEL23" s="538"/>
      <c r="SEM23" s="538"/>
      <c r="SEN23" s="538"/>
      <c r="SEO23" s="538"/>
      <c r="SEP23" s="538"/>
      <c r="SEQ23" s="538"/>
      <c r="SER23" s="538"/>
      <c r="SES23" s="538"/>
      <c r="SET23" s="538"/>
      <c r="SEU23" s="538"/>
      <c r="SEV23" s="538"/>
      <c r="SEW23" s="538"/>
      <c r="SEX23" s="538"/>
      <c r="SEY23" s="538"/>
      <c r="SEZ23" s="538"/>
      <c r="SFA23" s="538"/>
      <c r="SFB23" s="538"/>
      <c r="SFC23" s="538"/>
      <c r="SFD23" s="538"/>
      <c r="SFE23" s="538"/>
      <c r="SFF23" s="538"/>
      <c r="SFG23" s="538"/>
      <c r="SFH23" s="538"/>
      <c r="SFI23" s="538"/>
      <c r="SFJ23" s="538"/>
      <c r="SFK23" s="538"/>
      <c r="SFL23" s="538"/>
      <c r="SFM23" s="538"/>
      <c r="SFN23" s="538"/>
      <c r="SFO23" s="538"/>
      <c r="SFP23" s="538"/>
      <c r="SFQ23" s="538"/>
      <c r="SFR23" s="538"/>
      <c r="SFS23" s="538"/>
      <c r="SFT23" s="538"/>
      <c r="SFU23" s="538"/>
      <c r="SFV23" s="538"/>
      <c r="SFW23" s="538"/>
      <c r="SFX23" s="538"/>
      <c r="SFY23" s="538"/>
      <c r="SFZ23" s="538"/>
      <c r="SGA23" s="538"/>
      <c r="SGB23" s="538"/>
      <c r="SGC23" s="538"/>
      <c r="SGD23" s="538"/>
      <c r="SGE23" s="538"/>
      <c r="SGF23" s="538"/>
      <c r="SGG23" s="538"/>
      <c r="SGH23" s="538"/>
      <c r="SGI23" s="538"/>
      <c r="SGJ23" s="538"/>
      <c r="SGK23" s="538"/>
      <c r="SGL23" s="538"/>
      <c r="SGM23" s="538"/>
      <c r="SGN23" s="538"/>
      <c r="SGO23" s="538"/>
      <c r="SGP23" s="538"/>
      <c r="SGQ23" s="538"/>
      <c r="SGR23" s="538"/>
      <c r="SGS23" s="538"/>
      <c r="SGT23" s="538"/>
      <c r="SGU23" s="538"/>
      <c r="SGV23" s="538"/>
      <c r="SGW23" s="538"/>
      <c r="SGX23" s="538"/>
      <c r="SGY23" s="538"/>
      <c r="SGZ23" s="538"/>
      <c r="SHA23" s="538"/>
      <c r="SHB23" s="538"/>
      <c r="SHC23" s="538"/>
      <c r="SHD23" s="538"/>
      <c r="SHE23" s="538"/>
      <c r="SHF23" s="538"/>
      <c r="SHG23" s="538"/>
      <c r="SHH23" s="538"/>
      <c r="SHI23" s="538"/>
      <c r="SHJ23" s="538"/>
      <c r="SHK23" s="538"/>
      <c r="SHL23" s="538"/>
      <c r="SHM23" s="538"/>
      <c r="SHN23" s="538"/>
      <c r="SHO23" s="538"/>
      <c r="SHP23" s="538"/>
      <c r="SHQ23" s="538"/>
      <c r="SHR23" s="538"/>
      <c r="SHS23" s="538"/>
      <c r="SHT23" s="538"/>
      <c r="SHU23" s="538"/>
      <c r="SHV23" s="538"/>
      <c r="SHW23" s="538"/>
      <c r="SHX23" s="538"/>
      <c r="SHY23" s="538"/>
      <c r="SHZ23" s="538"/>
      <c r="SIA23" s="538"/>
      <c r="SIB23" s="538"/>
      <c r="SIC23" s="538"/>
      <c r="SID23" s="538"/>
      <c r="SIE23" s="538"/>
      <c r="SIF23" s="538"/>
      <c r="SIG23" s="538"/>
      <c r="SIH23" s="538"/>
      <c r="SII23" s="538"/>
      <c r="SIJ23" s="538"/>
      <c r="SIK23" s="538"/>
      <c r="SIL23" s="538"/>
      <c r="SIM23" s="538"/>
      <c r="SIN23" s="538"/>
      <c r="SIO23" s="538"/>
      <c r="SIP23" s="538"/>
      <c r="SIQ23" s="538"/>
      <c r="SIR23" s="538"/>
      <c r="SIS23" s="538"/>
      <c r="SIT23" s="538"/>
      <c r="SIU23" s="538"/>
      <c r="SIV23" s="538"/>
      <c r="SIW23" s="538"/>
      <c r="SIX23" s="538"/>
      <c r="SIY23" s="538"/>
      <c r="SIZ23" s="538"/>
      <c r="SJA23" s="538"/>
      <c r="SJB23" s="538"/>
      <c r="SJC23" s="538"/>
      <c r="SJD23" s="538"/>
      <c r="SJE23" s="538"/>
      <c r="SJF23" s="538"/>
      <c r="SJG23" s="538"/>
      <c r="SJH23" s="538"/>
      <c r="SJI23" s="538"/>
      <c r="SJJ23" s="538"/>
      <c r="SJK23" s="538"/>
      <c r="SJL23" s="538"/>
      <c r="SJM23" s="538"/>
      <c r="SJN23" s="538"/>
      <c r="SJO23" s="538"/>
      <c r="SJP23" s="538"/>
      <c r="SJQ23" s="538"/>
      <c r="SJR23" s="538"/>
      <c r="SJS23" s="538"/>
      <c r="SJT23" s="538"/>
      <c r="SJU23" s="538"/>
      <c r="SJV23" s="538"/>
      <c r="SJW23" s="538"/>
      <c r="SJX23" s="538"/>
      <c r="SJY23" s="538"/>
      <c r="SJZ23" s="538"/>
      <c r="SKA23" s="538"/>
      <c r="SKB23" s="538"/>
      <c r="SKC23" s="538"/>
      <c r="SKD23" s="538"/>
      <c r="SKE23" s="538"/>
      <c r="SKF23" s="538"/>
      <c r="SKG23" s="538"/>
      <c r="SKH23" s="538"/>
      <c r="SKI23" s="538"/>
      <c r="SKJ23" s="538"/>
      <c r="SKK23" s="538"/>
      <c r="SKL23" s="538"/>
      <c r="SKM23" s="538"/>
      <c r="SKN23" s="538"/>
      <c r="SKO23" s="538"/>
      <c r="SKP23" s="538"/>
      <c r="SKQ23" s="538"/>
      <c r="SKR23" s="538"/>
      <c r="SKS23" s="538"/>
      <c r="SKT23" s="538"/>
      <c r="SKU23" s="538"/>
      <c r="SKV23" s="538"/>
      <c r="SKW23" s="538"/>
      <c r="SKX23" s="538"/>
      <c r="SKY23" s="538"/>
      <c r="SKZ23" s="538"/>
      <c r="SLA23" s="538"/>
      <c r="SLB23" s="538"/>
      <c r="SLC23" s="538"/>
      <c r="SLD23" s="538"/>
      <c r="SLE23" s="538"/>
      <c r="SLF23" s="538"/>
      <c r="SLG23" s="538"/>
      <c r="SLH23" s="538"/>
      <c r="SLI23" s="538"/>
      <c r="SLJ23" s="538"/>
      <c r="SLK23" s="538"/>
      <c r="SLL23" s="538"/>
      <c r="SLM23" s="538"/>
      <c r="SLN23" s="538"/>
      <c r="SLO23" s="538"/>
      <c r="SLP23" s="538"/>
      <c r="SLQ23" s="538"/>
      <c r="SLR23" s="538"/>
      <c r="SLS23" s="538"/>
      <c r="SLT23" s="538"/>
      <c r="SLU23" s="538"/>
      <c r="SLV23" s="538"/>
      <c r="SLW23" s="538"/>
      <c r="SLX23" s="538"/>
      <c r="SLY23" s="538"/>
      <c r="SLZ23" s="538"/>
      <c r="SMA23" s="538"/>
      <c r="SMB23" s="538"/>
      <c r="SMC23" s="538"/>
      <c r="SMD23" s="538"/>
      <c r="SME23" s="538"/>
      <c r="SMF23" s="538"/>
      <c r="SMG23" s="538"/>
      <c r="SMH23" s="538"/>
      <c r="SMI23" s="538"/>
      <c r="SMJ23" s="538"/>
      <c r="SMK23" s="538"/>
      <c r="SML23" s="538"/>
      <c r="SMM23" s="538"/>
      <c r="SMN23" s="538"/>
      <c r="SMO23" s="538"/>
      <c r="SMP23" s="538"/>
      <c r="SMQ23" s="538"/>
      <c r="SMR23" s="538"/>
      <c r="SMS23" s="538"/>
      <c r="SMT23" s="538"/>
      <c r="SMU23" s="538"/>
      <c r="SMV23" s="538"/>
      <c r="SMW23" s="538"/>
      <c r="SMX23" s="538"/>
      <c r="SMY23" s="538"/>
      <c r="SMZ23" s="538"/>
      <c r="SNA23" s="538"/>
      <c r="SNB23" s="538"/>
      <c r="SNC23" s="538"/>
      <c r="SND23" s="538"/>
      <c r="SNE23" s="538"/>
      <c r="SNF23" s="538"/>
      <c r="SNG23" s="538"/>
      <c r="SNH23" s="538"/>
      <c r="SNI23" s="538"/>
      <c r="SNJ23" s="538"/>
      <c r="SNK23" s="538"/>
      <c r="SNL23" s="538"/>
      <c r="SNM23" s="538"/>
      <c r="SNN23" s="538"/>
      <c r="SNO23" s="538"/>
      <c r="SNP23" s="538"/>
      <c r="SNQ23" s="538"/>
      <c r="SNR23" s="538"/>
      <c r="SNS23" s="538"/>
      <c r="SNT23" s="538"/>
      <c r="SNU23" s="538"/>
      <c r="SNV23" s="538"/>
      <c r="SNW23" s="538"/>
      <c r="SNX23" s="538"/>
      <c r="SNY23" s="538"/>
      <c r="SNZ23" s="538"/>
      <c r="SOA23" s="538"/>
      <c r="SOB23" s="538"/>
      <c r="SOC23" s="538"/>
      <c r="SOD23" s="538"/>
      <c r="SOE23" s="538"/>
      <c r="SOF23" s="538"/>
      <c r="SOG23" s="538"/>
      <c r="SOH23" s="538"/>
      <c r="SOI23" s="538"/>
      <c r="SOJ23" s="538"/>
      <c r="SOK23" s="538"/>
      <c r="SOL23" s="538"/>
      <c r="SOM23" s="538"/>
      <c r="SON23" s="538"/>
      <c r="SOO23" s="538"/>
      <c r="SOP23" s="538"/>
      <c r="SOQ23" s="538"/>
      <c r="SOR23" s="538"/>
      <c r="SOS23" s="538"/>
      <c r="SOT23" s="538"/>
      <c r="SOU23" s="538"/>
      <c r="SOV23" s="538"/>
      <c r="SOW23" s="538"/>
      <c r="SOX23" s="538"/>
      <c r="SOY23" s="538"/>
      <c r="SOZ23" s="538"/>
      <c r="SPA23" s="538"/>
      <c r="SPB23" s="538"/>
      <c r="SPC23" s="538"/>
      <c r="SPD23" s="538"/>
      <c r="SPE23" s="538"/>
      <c r="SPF23" s="538"/>
      <c r="SPG23" s="538"/>
      <c r="SPH23" s="538"/>
      <c r="SPI23" s="538"/>
      <c r="SPJ23" s="538"/>
      <c r="SPK23" s="538"/>
      <c r="SPL23" s="538"/>
      <c r="SPM23" s="538"/>
      <c r="SPN23" s="538"/>
      <c r="SPO23" s="538"/>
      <c r="SPP23" s="538"/>
      <c r="SPQ23" s="538"/>
      <c r="SPR23" s="538"/>
      <c r="SPS23" s="538"/>
      <c r="SPT23" s="538"/>
      <c r="SPU23" s="538"/>
      <c r="SPV23" s="538"/>
      <c r="SPW23" s="538"/>
      <c r="SPX23" s="538"/>
      <c r="SPY23" s="538"/>
      <c r="SPZ23" s="538"/>
      <c r="SQA23" s="538"/>
      <c r="SQB23" s="538"/>
      <c r="SQC23" s="538"/>
      <c r="SQD23" s="538"/>
      <c r="SQE23" s="538"/>
      <c r="SQF23" s="538"/>
      <c r="SQG23" s="538"/>
      <c r="SQH23" s="538"/>
      <c r="SQI23" s="538"/>
      <c r="SQJ23" s="538"/>
      <c r="SQK23" s="538"/>
      <c r="SQL23" s="538"/>
      <c r="SQM23" s="538"/>
      <c r="SQN23" s="538"/>
      <c r="SQO23" s="538"/>
      <c r="SQP23" s="538"/>
      <c r="SQQ23" s="538"/>
      <c r="SQR23" s="538"/>
      <c r="SQS23" s="538"/>
      <c r="SQT23" s="538"/>
      <c r="SQU23" s="538"/>
      <c r="SQV23" s="538"/>
      <c r="SQW23" s="538"/>
      <c r="SQX23" s="538"/>
      <c r="SQY23" s="538"/>
      <c r="SQZ23" s="538"/>
      <c r="SRA23" s="538"/>
      <c r="SRB23" s="538"/>
      <c r="SRC23" s="538"/>
      <c r="SRD23" s="538"/>
      <c r="SRE23" s="538"/>
      <c r="SRF23" s="538"/>
      <c r="SRG23" s="538"/>
      <c r="SRH23" s="538"/>
      <c r="SRI23" s="538"/>
      <c r="SRJ23" s="538"/>
      <c r="SRK23" s="538"/>
      <c r="SRL23" s="538"/>
      <c r="SRM23" s="538"/>
      <c r="SRN23" s="538"/>
      <c r="SRO23" s="538"/>
      <c r="SRP23" s="538"/>
      <c r="SRQ23" s="538"/>
      <c r="SRR23" s="538"/>
      <c r="SRS23" s="538"/>
      <c r="SRT23" s="538"/>
      <c r="SRU23" s="538"/>
      <c r="SRV23" s="538"/>
      <c r="SRW23" s="538"/>
      <c r="SRX23" s="538"/>
      <c r="SRY23" s="538"/>
      <c r="SRZ23" s="538"/>
      <c r="SSA23" s="538"/>
      <c r="SSB23" s="538"/>
      <c r="SSC23" s="538"/>
      <c r="SSD23" s="538"/>
      <c r="SSE23" s="538"/>
      <c r="SSF23" s="538"/>
      <c r="SSG23" s="538"/>
      <c r="SSH23" s="538"/>
      <c r="SSI23" s="538"/>
      <c r="SSJ23" s="538"/>
      <c r="SSK23" s="538"/>
      <c r="SSL23" s="538"/>
      <c r="SSM23" s="538"/>
      <c r="SSN23" s="538"/>
      <c r="SSO23" s="538"/>
      <c r="SSP23" s="538"/>
      <c r="SSQ23" s="538"/>
      <c r="SSR23" s="538"/>
      <c r="SSS23" s="538"/>
      <c r="SST23" s="538"/>
      <c r="SSU23" s="538"/>
      <c r="SSV23" s="538"/>
      <c r="SSW23" s="538"/>
      <c r="SSX23" s="538"/>
      <c r="SSY23" s="538"/>
      <c r="SSZ23" s="538"/>
      <c r="STA23" s="538"/>
      <c r="STB23" s="538"/>
      <c r="STC23" s="538"/>
      <c r="STD23" s="538"/>
      <c r="STE23" s="538"/>
      <c r="STF23" s="538"/>
      <c r="STG23" s="538"/>
      <c r="STH23" s="538"/>
      <c r="STI23" s="538"/>
      <c r="STJ23" s="538"/>
      <c r="STK23" s="538"/>
      <c r="STL23" s="538"/>
      <c r="STM23" s="538"/>
      <c r="STN23" s="538"/>
      <c r="STO23" s="538"/>
      <c r="STP23" s="538"/>
      <c r="STQ23" s="538"/>
      <c r="STR23" s="538"/>
      <c r="STS23" s="538"/>
      <c r="STT23" s="538"/>
      <c r="STU23" s="538"/>
      <c r="STV23" s="538"/>
      <c r="STW23" s="538"/>
      <c r="STX23" s="538"/>
      <c r="STY23" s="538"/>
      <c r="STZ23" s="538"/>
      <c r="SUA23" s="538"/>
      <c r="SUB23" s="538"/>
      <c r="SUC23" s="538"/>
      <c r="SUD23" s="538"/>
      <c r="SUE23" s="538"/>
      <c r="SUF23" s="538"/>
      <c r="SUG23" s="538"/>
      <c r="SUH23" s="538"/>
      <c r="SUI23" s="538"/>
      <c r="SUJ23" s="538"/>
      <c r="SUK23" s="538"/>
      <c r="SUL23" s="538"/>
      <c r="SUM23" s="538"/>
      <c r="SUN23" s="538"/>
      <c r="SUO23" s="538"/>
      <c r="SUP23" s="538"/>
      <c r="SUQ23" s="538"/>
      <c r="SUR23" s="538"/>
      <c r="SUS23" s="538"/>
      <c r="SUT23" s="538"/>
      <c r="SUU23" s="538"/>
      <c r="SUV23" s="538"/>
      <c r="SUW23" s="538"/>
      <c r="SUX23" s="538"/>
      <c r="SUY23" s="538"/>
      <c r="SUZ23" s="538"/>
      <c r="SVA23" s="538"/>
      <c r="SVB23" s="538"/>
      <c r="SVC23" s="538"/>
      <c r="SVD23" s="538"/>
      <c r="SVE23" s="538"/>
      <c r="SVF23" s="538"/>
      <c r="SVG23" s="538"/>
      <c r="SVH23" s="538"/>
      <c r="SVI23" s="538"/>
      <c r="SVJ23" s="538"/>
      <c r="SVK23" s="538"/>
      <c r="SVL23" s="538"/>
      <c r="SVM23" s="538"/>
      <c r="SVN23" s="538"/>
      <c r="SVO23" s="538"/>
      <c r="SVP23" s="538"/>
      <c r="SVQ23" s="538"/>
      <c r="SVR23" s="538"/>
      <c r="SVS23" s="538"/>
      <c r="SVT23" s="538"/>
      <c r="SVU23" s="538"/>
      <c r="SVV23" s="538"/>
      <c r="SVW23" s="538"/>
      <c r="SVX23" s="538"/>
      <c r="SVY23" s="538"/>
      <c r="SVZ23" s="538"/>
      <c r="SWA23" s="538"/>
      <c r="SWB23" s="538"/>
      <c r="SWC23" s="538"/>
      <c r="SWD23" s="538"/>
      <c r="SWE23" s="538"/>
      <c r="SWF23" s="538"/>
      <c r="SWG23" s="538"/>
      <c r="SWH23" s="538"/>
      <c r="SWI23" s="538"/>
      <c r="SWJ23" s="538"/>
      <c r="SWK23" s="538"/>
      <c r="SWL23" s="538"/>
      <c r="SWM23" s="538"/>
      <c r="SWN23" s="538"/>
      <c r="SWO23" s="538"/>
      <c r="SWP23" s="538"/>
      <c r="SWQ23" s="538"/>
      <c r="SWR23" s="538"/>
      <c r="SWS23" s="538"/>
      <c r="SWT23" s="538"/>
      <c r="SWU23" s="538"/>
      <c r="SWV23" s="538"/>
      <c r="SWW23" s="538"/>
      <c r="SWX23" s="538"/>
      <c r="SWY23" s="538"/>
      <c r="SWZ23" s="538"/>
      <c r="SXA23" s="538"/>
      <c r="SXB23" s="538"/>
      <c r="SXC23" s="538"/>
      <c r="SXD23" s="538"/>
      <c r="SXE23" s="538"/>
      <c r="SXF23" s="538"/>
      <c r="SXG23" s="538"/>
      <c r="SXH23" s="538"/>
      <c r="SXI23" s="538"/>
      <c r="SXJ23" s="538"/>
      <c r="SXK23" s="538"/>
      <c r="SXL23" s="538"/>
      <c r="SXM23" s="538"/>
      <c r="SXN23" s="538"/>
      <c r="SXO23" s="538"/>
      <c r="SXP23" s="538"/>
      <c r="SXQ23" s="538"/>
      <c r="SXR23" s="538"/>
      <c r="SXS23" s="538"/>
      <c r="SXT23" s="538"/>
      <c r="SXU23" s="538"/>
      <c r="SXV23" s="538"/>
      <c r="SXW23" s="538"/>
      <c r="SXX23" s="538"/>
      <c r="SXY23" s="538"/>
      <c r="SXZ23" s="538"/>
      <c r="SYA23" s="538"/>
      <c r="SYB23" s="538"/>
      <c r="SYC23" s="538"/>
      <c r="SYD23" s="538"/>
      <c r="SYE23" s="538"/>
      <c r="SYF23" s="538"/>
      <c r="SYG23" s="538"/>
      <c r="SYH23" s="538"/>
      <c r="SYI23" s="538"/>
      <c r="SYJ23" s="538"/>
      <c r="SYK23" s="538"/>
      <c r="SYL23" s="538"/>
      <c r="SYM23" s="538"/>
      <c r="SYN23" s="538"/>
      <c r="SYO23" s="538"/>
      <c r="SYP23" s="538"/>
      <c r="SYQ23" s="538"/>
      <c r="SYR23" s="538"/>
      <c r="SYS23" s="538"/>
      <c r="SYT23" s="538"/>
      <c r="SYU23" s="538"/>
      <c r="SYV23" s="538"/>
      <c r="SYW23" s="538"/>
      <c r="SYX23" s="538"/>
      <c r="SYY23" s="538"/>
      <c r="SYZ23" s="538"/>
      <c r="SZA23" s="538"/>
      <c r="SZB23" s="538"/>
      <c r="SZC23" s="538"/>
      <c r="SZD23" s="538"/>
      <c r="SZE23" s="538"/>
      <c r="SZF23" s="538"/>
      <c r="SZG23" s="538"/>
      <c r="SZH23" s="538"/>
      <c r="SZI23" s="538"/>
      <c r="SZJ23" s="538"/>
      <c r="SZK23" s="538"/>
      <c r="SZL23" s="538"/>
      <c r="SZM23" s="538"/>
      <c r="SZN23" s="538"/>
      <c r="SZO23" s="538"/>
      <c r="SZP23" s="538"/>
      <c r="SZQ23" s="538"/>
      <c r="SZR23" s="538"/>
      <c r="SZS23" s="538"/>
      <c r="SZT23" s="538"/>
      <c r="SZU23" s="538"/>
      <c r="SZV23" s="538"/>
      <c r="SZW23" s="538"/>
      <c r="SZX23" s="538"/>
      <c r="SZY23" s="538"/>
      <c r="SZZ23" s="538"/>
      <c r="TAA23" s="538"/>
      <c r="TAB23" s="538"/>
      <c r="TAC23" s="538"/>
      <c r="TAD23" s="538"/>
      <c r="TAE23" s="538"/>
      <c r="TAF23" s="538"/>
      <c r="TAG23" s="538"/>
      <c r="TAH23" s="538"/>
      <c r="TAI23" s="538"/>
      <c r="TAJ23" s="538"/>
      <c r="TAK23" s="538"/>
      <c r="TAL23" s="538"/>
      <c r="TAM23" s="538"/>
      <c r="TAN23" s="538"/>
      <c r="TAO23" s="538"/>
      <c r="TAP23" s="538"/>
      <c r="TAQ23" s="538"/>
      <c r="TAR23" s="538"/>
      <c r="TAS23" s="538"/>
      <c r="TAT23" s="538"/>
      <c r="TAU23" s="538"/>
      <c r="TAV23" s="538"/>
      <c r="TAW23" s="538"/>
      <c r="TAX23" s="538"/>
      <c r="TAY23" s="538"/>
      <c r="TAZ23" s="538"/>
      <c r="TBA23" s="538"/>
      <c r="TBB23" s="538"/>
      <c r="TBC23" s="538"/>
      <c r="TBD23" s="538"/>
      <c r="TBE23" s="538"/>
      <c r="TBF23" s="538"/>
      <c r="TBG23" s="538"/>
      <c r="TBH23" s="538"/>
      <c r="TBI23" s="538"/>
      <c r="TBJ23" s="538"/>
      <c r="TBK23" s="538"/>
      <c r="TBL23" s="538"/>
      <c r="TBM23" s="538"/>
      <c r="TBN23" s="538"/>
      <c r="TBO23" s="538"/>
      <c r="TBP23" s="538"/>
      <c r="TBQ23" s="538"/>
      <c r="TBR23" s="538"/>
      <c r="TBS23" s="538"/>
      <c r="TBT23" s="538"/>
      <c r="TBU23" s="538"/>
      <c r="TBV23" s="538"/>
      <c r="TBW23" s="538"/>
      <c r="TBX23" s="538"/>
      <c r="TBY23" s="538"/>
      <c r="TBZ23" s="538"/>
      <c r="TCA23" s="538"/>
      <c r="TCB23" s="538"/>
      <c r="TCC23" s="538"/>
      <c r="TCD23" s="538"/>
      <c r="TCE23" s="538"/>
      <c r="TCF23" s="538"/>
      <c r="TCG23" s="538"/>
      <c r="TCH23" s="538"/>
      <c r="TCI23" s="538"/>
      <c r="TCJ23" s="538"/>
      <c r="TCK23" s="538"/>
      <c r="TCL23" s="538"/>
      <c r="TCM23" s="538"/>
      <c r="TCN23" s="538"/>
      <c r="TCO23" s="538"/>
      <c r="TCP23" s="538"/>
      <c r="TCQ23" s="538"/>
      <c r="TCR23" s="538"/>
      <c r="TCS23" s="538"/>
      <c r="TCT23" s="538"/>
      <c r="TCU23" s="538"/>
      <c r="TCV23" s="538"/>
      <c r="TCW23" s="538"/>
      <c r="TCX23" s="538"/>
      <c r="TCY23" s="538"/>
      <c r="TCZ23" s="538"/>
      <c r="TDA23" s="538"/>
      <c r="TDB23" s="538"/>
      <c r="TDC23" s="538"/>
      <c r="TDD23" s="538"/>
      <c r="TDE23" s="538"/>
      <c r="TDF23" s="538"/>
      <c r="TDG23" s="538"/>
      <c r="TDH23" s="538"/>
      <c r="TDI23" s="538"/>
      <c r="TDJ23" s="538"/>
      <c r="TDK23" s="538"/>
      <c r="TDL23" s="538"/>
      <c r="TDM23" s="538"/>
      <c r="TDN23" s="538"/>
      <c r="TDO23" s="538"/>
      <c r="TDP23" s="538"/>
      <c r="TDQ23" s="538"/>
      <c r="TDR23" s="538"/>
      <c r="TDS23" s="538"/>
      <c r="TDT23" s="538"/>
      <c r="TDU23" s="538"/>
      <c r="TDV23" s="538"/>
      <c r="TDW23" s="538"/>
      <c r="TDX23" s="538"/>
      <c r="TDY23" s="538"/>
      <c r="TDZ23" s="538"/>
      <c r="TEA23" s="538"/>
      <c r="TEB23" s="538"/>
      <c r="TEC23" s="538"/>
      <c r="TED23" s="538"/>
      <c r="TEE23" s="538"/>
      <c r="TEF23" s="538"/>
      <c r="TEG23" s="538"/>
      <c r="TEH23" s="538"/>
      <c r="TEI23" s="538"/>
      <c r="TEJ23" s="538"/>
      <c r="TEK23" s="538"/>
      <c r="TEL23" s="538"/>
      <c r="TEM23" s="538"/>
      <c r="TEN23" s="538"/>
      <c r="TEO23" s="538"/>
      <c r="TEP23" s="538"/>
      <c r="TEQ23" s="538"/>
      <c r="TER23" s="538"/>
      <c r="TES23" s="538"/>
      <c r="TET23" s="538"/>
      <c r="TEU23" s="538"/>
      <c r="TEV23" s="538"/>
      <c r="TEW23" s="538"/>
      <c r="TEX23" s="538"/>
      <c r="TEY23" s="538"/>
      <c r="TEZ23" s="538"/>
      <c r="TFA23" s="538"/>
      <c r="TFB23" s="538"/>
      <c r="TFC23" s="538"/>
      <c r="TFD23" s="538"/>
      <c r="TFE23" s="538"/>
      <c r="TFF23" s="538"/>
      <c r="TFG23" s="538"/>
      <c r="TFH23" s="538"/>
      <c r="TFI23" s="538"/>
      <c r="TFJ23" s="538"/>
      <c r="TFK23" s="538"/>
      <c r="TFL23" s="538"/>
      <c r="TFM23" s="538"/>
      <c r="TFN23" s="538"/>
      <c r="TFO23" s="538"/>
      <c r="TFP23" s="538"/>
      <c r="TFQ23" s="538"/>
      <c r="TFR23" s="538"/>
      <c r="TFS23" s="538"/>
      <c r="TFT23" s="538"/>
      <c r="TFU23" s="538"/>
      <c r="TFV23" s="538"/>
      <c r="TFW23" s="538"/>
      <c r="TFX23" s="538"/>
      <c r="TFY23" s="538"/>
      <c r="TFZ23" s="538"/>
      <c r="TGA23" s="538"/>
      <c r="TGB23" s="538"/>
      <c r="TGC23" s="538"/>
      <c r="TGD23" s="538"/>
      <c r="TGE23" s="538"/>
      <c r="TGF23" s="538"/>
      <c r="TGG23" s="538"/>
      <c r="TGH23" s="538"/>
      <c r="TGI23" s="538"/>
      <c r="TGJ23" s="538"/>
      <c r="TGK23" s="538"/>
      <c r="TGL23" s="538"/>
      <c r="TGM23" s="538"/>
      <c r="TGN23" s="538"/>
      <c r="TGO23" s="538"/>
      <c r="TGP23" s="538"/>
      <c r="TGQ23" s="538"/>
      <c r="TGR23" s="538"/>
      <c r="TGS23" s="538"/>
      <c r="TGT23" s="538"/>
      <c r="TGU23" s="538"/>
      <c r="TGV23" s="538"/>
      <c r="TGW23" s="538"/>
      <c r="TGX23" s="538"/>
      <c r="TGY23" s="538"/>
      <c r="TGZ23" s="538"/>
      <c r="THA23" s="538"/>
      <c r="THB23" s="538"/>
      <c r="THC23" s="538"/>
      <c r="THD23" s="538"/>
      <c r="THE23" s="538"/>
      <c r="THF23" s="538"/>
      <c r="THG23" s="538"/>
      <c r="THH23" s="538"/>
      <c r="THI23" s="538"/>
      <c r="THJ23" s="538"/>
      <c r="THK23" s="538"/>
      <c r="THL23" s="538"/>
      <c r="THM23" s="538"/>
      <c r="THN23" s="538"/>
      <c r="THO23" s="538"/>
      <c r="THP23" s="538"/>
      <c r="THQ23" s="538"/>
      <c r="THR23" s="538"/>
      <c r="THS23" s="538"/>
      <c r="THT23" s="538"/>
      <c r="THU23" s="538"/>
      <c r="THV23" s="538"/>
      <c r="THW23" s="538"/>
      <c r="THX23" s="538"/>
      <c r="THY23" s="538"/>
      <c r="THZ23" s="538"/>
      <c r="TIA23" s="538"/>
      <c r="TIB23" s="538"/>
      <c r="TIC23" s="538"/>
      <c r="TID23" s="538"/>
      <c r="TIE23" s="538"/>
      <c r="TIF23" s="538"/>
      <c r="TIG23" s="538"/>
      <c r="TIH23" s="538"/>
      <c r="TII23" s="538"/>
      <c r="TIJ23" s="538"/>
      <c r="TIK23" s="538"/>
      <c r="TIL23" s="538"/>
      <c r="TIM23" s="538"/>
      <c r="TIN23" s="538"/>
      <c r="TIO23" s="538"/>
      <c r="TIP23" s="538"/>
      <c r="TIQ23" s="538"/>
      <c r="TIR23" s="538"/>
      <c r="TIS23" s="538"/>
      <c r="TIT23" s="538"/>
      <c r="TIU23" s="538"/>
      <c r="TIV23" s="538"/>
      <c r="TIW23" s="538"/>
      <c r="TIX23" s="538"/>
      <c r="TIY23" s="538"/>
      <c r="TIZ23" s="538"/>
      <c r="TJA23" s="538"/>
      <c r="TJB23" s="538"/>
      <c r="TJC23" s="538"/>
      <c r="TJD23" s="538"/>
      <c r="TJE23" s="538"/>
      <c r="TJF23" s="538"/>
      <c r="TJG23" s="538"/>
      <c r="TJH23" s="538"/>
      <c r="TJI23" s="538"/>
      <c r="TJJ23" s="538"/>
      <c r="TJK23" s="538"/>
      <c r="TJL23" s="538"/>
      <c r="TJM23" s="538"/>
      <c r="TJN23" s="538"/>
      <c r="TJO23" s="538"/>
      <c r="TJP23" s="538"/>
      <c r="TJQ23" s="538"/>
      <c r="TJR23" s="538"/>
      <c r="TJS23" s="538"/>
      <c r="TJT23" s="538"/>
      <c r="TJU23" s="538"/>
      <c r="TJV23" s="538"/>
      <c r="TJW23" s="538"/>
      <c r="TJX23" s="538"/>
      <c r="TJY23" s="538"/>
      <c r="TJZ23" s="538"/>
      <c r="TKA23" s="538"/>
      <c r="TKB23" s="538"/>
      <c r="TKC23" s="538"/>
      <c r="TKD23" s="538"/>
      <c r="TKE23" s="538"/>
      <c r="TKF23" s="538"/>
      <c r="TKG23" s="538"/>
      <c r="TKH23" s="538"/>
      <c r="TKI23" s="538"/>
      <c r="TKJ23" s="538"/>
      <c r="TKK23" s="538"/>
      <c r="TKL23" s="538"/>
      <c r="TKM23" s="538"/>
      <c r="TKN23" s="538"/>
      <c r="TKO23" s="538"/>
      <c r="TKP23" s="538"/>
      <c r="TKQ23" s="538"/>
      <c r="TKR23" s="538"/>
      <c r="TKS23" s="538"/>
      <c r="TKT23" s="538"/>
      <c r="TKU23" s="538"/>
      <c r="TKV23" s="538"/>
      <c r="TKW23" s="538"/>
      <c r="TKX23" s="538"/>
      <c r="TKY23" s="538"/>
      <c r="TKZ23" s="538"/>
      <c r="TLA23" s="538"/>
      <c r="TLB23" s="538"/>
      <c r="TLC23" s="538"/>
      <c r="TLD23" s="538"/>
      <c r="TLE23" s="538"/>
      <c r="TLF23" s="538"/>
      <c r="TLG23" s="538"/>
      <c r="TLH23" s="538"/>
      <c r="TLI23" s="538"/>
      <c r="TLJ23" s="538"/>
      <c r="TLK23" s="538"/>
      <c r="TLL23" s="538"/>
      <c r="TLM23" s="538"/>
      <c r="TLN23" s="538"/>
      <c r="TLO23" s="538"/>
      <c r="TLP23" s="538"/>
      <c r="TLQ23" s="538"/>
      <c r="TLR23" s="538"/>
      <c r="TLS23" s="538"/>
      <c r="TLT23" s="538"/>
      <c r="TLU23" s="538"/>
      <c r="TLV23" s="538"/>
      <c r="TLW23" s="538"/>
      <c r="TLX23" s="538"/>
      <c r="TLY23" s="538"/>
      <c r="TLZ23" s="538"/>
      <c r="TMA23" s="538"/>
      <c r="TMB23" s="538"/>
      <c r="TMC23" s="538"/>
      <c r="TMD23" s="538"/>
      <c r="TME23" s="538"/>
      <c r="TMF23" s="538"/>
      <c r="TMG23" s="538"/>
      <c r="TMH23" s="538"/>
      <c r="TMI23" s="538"/>
      <c r="TMJ23" s="538"/>
      <c r="TMK23" s="538"/>
      <c r="TML23" s="538"/>
      <c r="TMM23" s="538"/>
      <c r="TMN23" s="538"/>
      <c r="TMO23" s="538"/>
      <c r="TMP23" s="538"/>
      <c r="TMQ23" s="538"/>
      <c r="TMR23" s="538"/>
      <c r="TMS23" s="538"/>
      <c r="TMT23" s="538"/>
      <c r="TMU23" s="538"/>
      <c r="TMV23" s="538"/>
      <c r="TMW23" s="538"/>
      <c r="TMX23" s="538"/>
      <c r="TMY23" s="538"/>
      <c r="TMZ23" s="538"/>
      <c r="TNA23" s="538"/>
      <c r="TNB23" s="538"/>
      <c r="TNC23" s="538"/>
      <c r="TND23" s="538"/>
      <c r="TNE23" s="538"/>
      <c r="TNF23" s="538"/>
      <c r="TNG23" s="538"/>
      <c r="TNH23" s="538"/>
      <c r="TNI23" s="538"/>
      <c r="TNJ23" s="538"/>
      <c r="TNK23" s="538"/>
      <c r="TNL23" s="538"/>
      <c r="TNM23" s="538"/>
      <c r="TNN23" s="538"/>
      <c r="TNO23" s="538"/>
      <c r="TNP23" s="538"/>
      <c r="TNQ23" s="538"/>
      <c r="TNR23" s="538"/>
      <c r="TNS23" s="538"/>
      <c r="TNT23" s="538"/>
      <c r="TNU23" s="538"/>
      <c r="TNV23" s="538"/>
      <c r="TNW23" s="538"/>
      <c r="TNX23" s="538"/>
      <c r="TNY23" s="538"/>
      <c r="TNZ23" s="538"/>
      <c r="TOA23" s="538"/>
      <c r="TOB23" s="538"/>
      <c r="TOC23" s="538"/>
      <c r="TOD23" s="538"/>
      <c r="TOE23" s="538"/>
      <c r="TOF23" s="538"/>
      <c r="TOG23" s="538"/>
      <c r="TOH23" s="538"/>
      <c r="TOI23" s="538"/>
      <c r="TOJ23" s="538"/>
      <c r="TOK23" s="538"/>
      <c r="TOL23" s="538"/>
      <c r="TOM23" s="538"/>
      <c r="TON23" s="538"/>
      <c r="TOO23" s="538"/>
      <c r="TOP23" s="538"/>
      <c r="TOQ23" s="538"/>
      <c r="TOR23" s="538"/>
      <c r="TOS23" s="538"/>
      <c r="TOT23" s="538"/>
      <c r="TOU23" s="538"/>
      <c r="TOV23" s="538"/>
      <c r="TOW23" s="538"/>
      <c r="TOX23" s="538"/>
      <c r="TOY23" s="538"/>
      <c r="TOZ23" s="538"/>
      <c r="TPA23" s="538"/>
      <c r="TPB23" s="538"/>
      <c r="TPC23" s="538"/>
      <c r="TPD23" s="538"/>
      <c r="TPE23" s="538"/>
      <c r="TPF23" s="538"/>
      <c r="TPG23" s="538"/>
      <c r="TPH23" s="538"/>
      <c r="TPI23" s="538"/>
      <c r="TPJ23" s="538"/>
      <c r="TPK23" s="538"/>
      <c r="TPL23" s="538"/>
      <c r="TPM23" s="538"/>
      <c r="TPN23" s="538"/>
      <c r="TPO23" s="538"/>
      <c r="TPP23" s="538"/>
      <c r="TPQ23" s="538"/>
      <c r="TPR23" s="538"/>
      <c r="TPS23" s="538"/>
      <c r="TPT23" s="538"/>
      <c r="TPU23" s="538"/>
      <c r="TPV23" s="538"/>
      <c r="TPW23" s="538"/>
      <c r="TPX23" s="538"/>
      <c r="TPY23" s="538"/>
      <c r="TPZ23" s="538"/>
      <c r="TQA23" s="538"/>
      <c r="TQB23" s="538"/>
      <c r="TQC23" s="538"/>
      <c r="TQD23" s="538"/>
      <c r="TQE23" s="538"/>
      <c r="TQF23" s="538"/>
      <c r="TQG23" s="538"/>
      <c r="TQH23" s="538"/>
      <c r="TQI23" s="538"/>
      <c r="TQJ23" s="538"/>
      <c r="TQK23" s="538"/>
      <c r="TQL23" s="538"/>
      <c r="TQM23" s="538"/>
      <c r="TQN23" s="538"/>
      <c r="TQO23" s="538"/>
      <c r="TQP23" s="538"/>
      <c r="TQQ23" s="538"/>
      <c r="TQR23" s="538"/>
      <c r="TQS23" s="538"/>
      <c r="TQT23" s="538"/>
      <c r="TQU23" s="538"/>
      <c r="TQV23" s="538"/>
      <c r="TQW23" s="538"/>
      <c r="TQX23" s="538"/>
      <c r="TQY23" s="538"/>
      <c r="TQZ23" s="538"/>
      <c r="TRA23" s="538"/>
      <c r="TRB23" s="538"/>
      <c r="TRC23" s="538"/>
      <c r="TRD23" s="538"/>
      <c r="TRE23" s="538"/>
      <c r="TRF23" s="538"/>
      <c r="TRG23" s="538"/>
      <c r="TRH23" s="538"/>
      <c r="TRI23" s="538"/>
      <c r="TRJ23" s="538"/>
      <c r="TRK23" s="538"/>
      <c r="TRL23" s="538"/>
      <c r="TRM23" s="538"/>
      <c r="TRN23" s="538"/>
      <c r="TRO23" s="538"/>
      <c r="TRP23" s="538"/>
      <c r="TRQ23" s="538"/>
      <c r="TRR23" s="538"/>
      <c r="TRS23" s="538"/>
      <c r="TRT23" s="538"/>
      <c r="TRU23" s="538"/>
      <c r="TRV23" s="538"/>
      <c r="TRW23" s="538"/>
      <c r="TRX23" s="538"/>
      <c r="TRY23" s="538"/>
      <c r="TRZ23" s="538"/>
      <c r="TSA23" s="538"/>
      <c r="TSB23" s="538"/>
      <c r="TSC23" s="538"/>
      <c r="TSD23" s="538"/>
      <c r="TSE23" s="538"/>
      <c r="TSF23" s="538"/>
      <c r="TSG23" s="538"/>
      <c r="TSH23" s="538"/>
      <c r="TSI23" s="538"/>
      <c r="TSJ23" s="538"/>
      <c r="TSK23" s="538"/>
      <c r="TSL23" s="538"/>
      <c r="TSM23" s="538"/>
      <c r="TSN23" s="538"/>
      <c r="TSO23" s="538"/>
      <c r="TSP23" s="538"/>
      <c r="TSQ23" s="538"/>
      <c r="TSR23" s="538"/>
      <c r="TSS23" s="538"/>
      <c r="TST23" s="538"/>
      <c r="TSU23" s="538"/>
      <c r="TSV23" s="538"/>
      <c r="TSW23" s="538"/>
      <c r="TSX23" s="538"/>
      <c r="TSY23" s="538"/>
      <c r="TSZ23" s="538"/>
      <c r="TTA23" s="538"/>
      <c r="TTB23" s="538"/>
      <c r="TTC23" s="538"/>
      <c r="TTD23" s="538"/>
      <c r="TTE23" s="538"/>
      <c r="TTF23" s="538"/>
      <c r="TTG23" s="538"/>
      <c r="TTH23" s="538"/>
      <c r="TTI23" s="538"/>
      <c r="TTJ23" s="538"/>
      <c r="TTK23" s="538"/>
      <c r="TTL23" s="538"/>
      <c r="TTM23" s="538"/>
      <c r="TTN23" s="538"/>
      <c r="TTO23" s="538"/>
      <c r="TTP23" s="538"/>
      <c r="TTQ23" s="538"/>
      <c r="TTR23" s="538"/>
      <c r="TTS23" s="538"/>
      <c r="TTT23" s="538"/>
      <c r="TTU23" s="538"/>
      <c r="TTV23" s="538"/>
      <c r="TTW23" s="538"/>
      <c r="TTX23" s="538"/>
      <c r="TTY23" s="538"/>
      <c r="TTZ23" s="538"/>
      <c r="TUA23" s="538"/>
      <c r="TUB23" s="538"/>
      <c r="TUC23" s="538"/>
      <c r="TUD23" s="538"/>
      <c r="TUE23" s="538"/>
      <c r="TUF23" s="538"/>
      <c r="TUG23" s="538"/>
      <c r="TUH23" s="538"/>
      <c r="TUI23" s="538"/>
      <c r="TUJ23" s="538"/>
      <c r="TUK23" s="538"/>
      <c r="TUL23" s="538"/>
      <c r="TUM23" s="538"/>
      <c r="TUN23" s="538"/>
      <c r="TUO23" s="538"/>
      <c r="TUP23" s="538"/>
      <c r="TUQ23" s="538"/>
      <c r="TUR23" s="538"/>
      <c r="TUS23" s="538"/>
      <c r="TUT23" s="538"/>
      <c r="TUU23" s="538"/>
      <c r="TUV23" s="538"/>
      <c r="TUW23" s="538"/>
      <c r="TUX23" s="538"/>
      <c r="TUY23" s="538"/>
      <c r="TUZ23" s="538"/>
      <c r="TVA23" s="538"/>
      <c r="TVB23" s="538"/>
      <c r="TVC23" s="538"/>
      <c r="TVD23" s="538"/>
      <c r="TVE23" s="538"/>
      <c r="TVF23" s="538"/>
      <c r="TVG23" s="538"/>
      <c r="TVH23" s="538"/>
      <c r="TVI23" s="538"/>
      <c r="TVJ23" s="538"/>
      <c r="TVK23" s="538"/>
      <c r="TVL23" s="538"/>
      <c r="TVM23" s="538"/>
      <c r="TVN23" s="538"/>
      <c r="TVO23" s="538"/>
      <c r="TVP23" s="538"/>
      <c r="TVQ23" s="538"/>
      <c r="TVR23" s="538"/>
      <c r="TVS23" s="538"/>
      <c r="TVT23" s="538"/>
      <c r="TVU23" s="538"/>
      <c r="TVV23" s="538"/>
      <c r="TVW23" s="538"/>
      <c r="TVX23" s="538"/>
      <c r="TVY23" s="538"/>
      <c r="TVZ23" s="538"/>
      <c r="TWA23" s="538"/>
      <c r="TWB23" s="538"/>
      <c r="TWC23" s="538"/>
      <c r="TWD23" s="538"/>
      <c r="TWE23" s="538"/>
      <c r="TWF23" s="538"/>
      <c r="TWG23" s="538"/>
      <c r="TWH23" s="538"/>
      <c r="TWI23" s="538"/>
      <c r="TWJ23" s="538"/>
      <c r="TWK23" s="538"/>
      <c r="TWL23" s="538"/>
      <c r="TWM23" s="538"/>
      <c r="TWN23" s="538"/>
      <c r="TWO23" s="538"/>
      <c r="TWP23" s="538"/>
      <c r="TWQ23" s="538"/>
      <c r="TWR23" s="538"/>
      <c r="TWS23" s="538"/>
      <c r="TWT23" s="538"/>
      <c r="TWU23" s="538"/>
      <c r="TWV23" s="538"/>
      <c r="TWW23" s="538"/>
      <c r="TWX23" s="538"/>
      <c r="TWY23" s="538"/>
      <c r="TWZ23" s="538"/>
      <c r="TXA23" s="538"/>
      <c r="TXB23" s="538"/>
      <c r="TXC23" s="538"/>
      <c r="TXD23" s="538"/>
      <c r="TXE23" s="538"/>
      <c r="TXF23" s="538"/>
      <c r="TXG23" s="538"/>
      <c r="TXH23" s="538"/>
      <c r="TXI23" s="538"/>
      <c r="TXJ23" s="538"/>
      <c r="TXK23" s="538"/>
      <c r="TXL23" s="538"/>
      <c r="TXM23" s="538"/>
      <c r="TXN23" s="538"/>
      <c r="TXO23" s="538"/>
      <c r="TXP23" s="538"/>
      <c r="TXQ23" s="538"/>
      <c r="TXR23" s="538"/>
      <c r="TXS23" s="538"/>
      <c r="TXT23" s="538"/>
      <c r="TXU23" s="538"/>
      <c r="TXV23" s="538"/>
      <c r="TXW23" s="538"/>
      <c r="TXX23" s="538"/>
      <c r="TXY23" s="538"/>
      <c r="TXZ23" s="538"/>
      <c r="TYA23" s="538"/>
      <c r="TYB23" s="538"/>
      <c r="TYC23" s="538"/>
      <c r="TYD23" s="538"/>
      <c r="TYE23" s="538"/>
      <c r="TYF23" s="538"/>
      <c r="TYG23" s="538"/>
      <c r="TYH23" s="538"/>
      <c r="TYI23" s="538"/>
      <c r="TYJ23" s="538"/>
      <c r="TYK23" s="538"/>
      <c r="TYL23" s="538"/>
      <c r="TYM23" s="538"/>
      <c r="TYN23" s="538"/>
      <c r="TYO23" s="538"/>
      <c r="TYP23" s="538"/>
      <c r="TYQ23" s="538"/>
      <c r="TYR23" s="538"/>
      <c r="TYS23" s="538"/>
      <c r="TYT23" s="538"/>
      <c r="TYU23" s="538"/>
      <c r="TYV23" s="538"/>
      <c r="TYW23" s="538"/>
      <c r="TYX23" s="538"/>
      <c r="TYY23" s="538"/>
      <c r="TYZ23" s="538"/>
      <c r="TZA23" s="538"/>
      <c r="TZB23" s="538"/>
      <c r="TZC23" s="538"/>
      <c r="TZD23" s="538"/>
      <c r="TZE23" s="538"/>
      <c r="TZF23" s="538"/>
      <c r="TZG23" s="538"/>
      <c r="TZH23" s="538"/>
      <c r="TZI23" s="538"/>
      <c r="TZJ23" s="538"/>
      <c r="TZK23" s="538"/>
      <c r="TZL23" s="538"/>
      <c r="TZM23" s="538"/>
      <c r="TZN23" s="538"/>
      <c r="TZO23" s="538"/>
      <c r="TZP23" s="538"/>
      <c r="TZQ23" s="538"/>
      <c r="TZR23" s="538"/>
      <c r="TZS23" s="538"/>
      <c r="TZT23" s="538"/>
      <c r="TZU23" s="538"/>
      <c r="TZV23" s="538"/>
      <c r="TZW23" s="538"/>
      <c r="TZX23" s="538"/>
      <c r="TZY23" s="538"/>
      <c r="TZZ23" s="538"/>
      <c r="UAA23" s="538"/>
      <c r="UAB23" s="538"/>
      <c r="UAC23" s="538"/>
      <c r="UAD23" s="538"/>
      <c r="UAE23" s="538"/>
      <c r="UAF23" s="538"/>
      <c r="UAG23" s="538"/>
      <c r="UAH23" s="538"/>
      <c r="UAI23" s="538"/>
      <c r="UAJ23" s="538"/>
      <c r="UAK23" s="538"/>
      <c r="UAL23" s="538"/>
      <c r="UAM23" s="538"/>
      <c r="UAN23" s="538"/>
      <c r="UAO23" s="538"/>
      <c r="UAP23" s="538"/>
      <c r="UAQ23" s="538"/>
      <c r="UAR23" s="538"/>
      <c r="UAS23" s="538"/>
      <c r="UAT23" s="538"/>
      <c r="UAU23" s="538"/>
      <c r="UAV23" s="538"/>
      <c r="UAW23" s="538"/>
      <c r="UAX23" s="538"/>
      <c r="UAY23" s="538"/>
      <c r="UAZ23" s="538"/>
      <c r="UBA23" s="538"/>
      <c r="UBB23" s="538"/>
      <c r="UBC23" s="538"/>
      <c r="UBD23" s="538"/>
      <c r="UBE23" s="538"/>
      <c r="UBF23" s="538"/>
      <c r="UBG23" s="538"/>
      <c r="UBH23" s="538"/>
      <c r="UBI23" s="538"/>
      <c r="UBJ23" s="538"/>
      <c r="UBK23" s="538"/>
      <c r="UBL23" s="538"/>
      <c r="UBM23" s="538"/>
      <c r="UBN23" s="538"/>
      <c r="UBO23" s="538"/>
      <c r="UBP23" s="538"/>
      <c r="UBQ23" s="538"/>
      <c r="UBR23" s="538"/>
      <c r="UBS23" s="538"/>
      <c r="UBT23" s="538"/>
      <c r="UBU23" s="538"/>
      <c r="UBV23" s="538"/>
      <c r="UBW23" s="538"/>
      <c r="UBX23" s="538"/>
      <c r="UBY23" s="538"/>
      <c r="UBZ23" s="538"/>
      <c r="UCA23" s="538"/>
      <c r="UCB23" s="538"/>
      <c r="UCC23" s="538"/>
      <c r="UCD23" s="538"/>
      <c r="UCE23" s="538"/>
      <c r="UCF23" s="538"/>
      <c r="UCG23" s="538"/>
      <c r="UCH23" s="538"/>
      <c r="UCI23" s="538"/>
      <c r="UCJ23" s="538"/>
      <c r="UCK23" s="538"/>
      <c r="UCL23" s="538"/>
      <c r="UCM23" s="538"/>
      <c r="UCN23" s="538"/>
      <c r="UCO23" s="538"/>
      <c r="UCP23" s="538"/>
      <c r="UCQ23" s="538"/>
      <c r="UCR23" s="538"/>
      <c r="UCS23" s="538"/>
      <c r="UCT23" s="538"/>
      <c r="UCU23" s="538"/>
      <c r="UCV23" s="538"/>
      <c r="UCW23" s="538"/>
      <c r="UCX23" s="538"/>
      <c r="UCY23" s="538"/>
      <c r="UCZ23" s="538"/>
      <c r="UDA23" s="538"/>
      <c r="UDB23" s="538"/>
      <c r="UDC23" s="538"/>
      <c r="UDD23" s="538"/>
      <c r="UDE23" s="538"/>
      <c r="UDF23" s="538"/>
      <c r="UDG23" s="538"/>
      <c r="UDH23" s="538"/>
      <c r="UDI23" s="538"/>
      <c r="UDJ23" s="538"/>
      <c r="UDK23" s="538"/>
      <c r="UDL23" s="538"/>
      <c r="UDM23" s="538"/>
      <c r="UDN23" s="538"/>
      <c r="UDO23" s="538"/>
      <c r="UDP23" s="538"/>
      <c r="UDQ23" s="538"/>
      <c r="UDR23" s="538"/>
      <c r="UDS23" s="538"/>
      <c r="UDT23" s="538"/>
      <c r="UDU23" s="538"/>
      <c r="UDV23" s="538"/>
      <c r="UDW23" s="538"/>
      <c r="UDX23" s="538"/>
      <c r="UDY23" s="538"/>
      <c r="UDZ23" s="538"/>
      <c r="UEA23" s="538"/>
      <c r="UEB23" s="538"/>
      <c r="UEC23" s="538"/>
      <c r="UED23" s="538"/>
      <c r="UEE23" s="538"/>
      <c r="UEF23" s="538"/>
      <c r="UEG23" s="538"/>
      <c r="UEH23" s="538"/>
      <c r="UEI23" s="538"/>
      <c r="UEJ23" s="538"/>
      <c r="UEK23" s="538"/>
      <c r="UEL23" s="538"/>
      <c r="UEM23" s="538"/>
      <c r="UEN23" s="538"/>
      <c r="UEO23" s="538"/>
      <c r="UEP23" s="538"/>
      <c r="UEQ23" s="538"/>
      <c r="UER23" s="538"/>
      <c r="UES23" s="538"/>
      <c r="UET23" s="538"/>
      <c r="UEU23" s="538"/>
      <c r="UEV23" s="538"/>
      <c r="UEW23" s="538"/>
      <c r="UEX23" s="538"/>
      <c r="UEY23" s="538"/>
      <c r="UEZ23" s="538"/>
      <c r="UFA23" s="538"/>
      <c r="UFB23" s="538"/>
      <c r="UFC23" s="538"/>
      <c r="UFD23" s="538"/>
      <c r="UFE23" s="538"/>
      <c r="UFF23" s="538"/>
      <c r="UFG23" s="538"/>
      <c r="UFH23" s="538"/>
      <c r="UFI23" s="538"/>
      <c r="UFJ23" s="538"/>
      <c r="UFK23" s="538"/>
      <c r="UFL23" s="538"/>
      <c r="UFM23" s="538"/>
      <c r="UFN23" s="538"/>
      <c r="UFO23" s="538"/>
      <c r="UFP23" s="538"/>
      <c r="UFQ23" s="538"/>
      <c r="UFR23" s="538"/>
      <c r="UFS23" s="538"/>
      <c r="UFT23" s="538"/>
      <c r="UFU23" s="538"/>
      <c r="UFV23" s="538"/>
      <c r="UFW23" s="538"/>
      <c r="UFX23" s="538"/>
      <c r="UFY23" s="538"/>
      <c r="UFZ23" s="538"/>
      <c r="UGA23" s="538"/>
      <c r="UGB23" s="538"/>
      <c r="UGC23" s="538"/>
      <c r="UGD23" s="538"/>
      <c r="UGE23" s="538"/>
      <c r="UGF23" s="538"/>
      <c r="UGG23" s="538"/>
      <c r="UGH23" s="538"/>
      <c r="UGI23" s="538"/>
      <c r="UGJ23" s="538"/>
      <c r="UGK23" s="538"/>
      <c r="UGL23" s="538"/>
      <c r="UGM23" s="538"/>
      <c r="UGN23" s="538"/>
      <c r="UGO23" s="538"/>
      <c r="UGP23" s="538"/>
      <c r="UGQ23" s="538"/>
      <c r="UGR23" s="538"/>
      <c r="UGS23" s="538"/>
      <c r="UGT23" s="538"/>
      <c r="UGU23" s="538"/>
      <c r="UGV23" s="538"/>
      <c r="UGW23" s="538"/>
      <c r="UGX23" s="538"/>
      <c r="UGY23" s="538"/>
      <c r="UGZ23" s="538"/>
      <c r="UHA23" s="538"/>
      <c r="UHB23" s="538"/>
      <c r="UHC23" s="538"/>
      <c r="UHD23" s="538"/>
      <c r="UHE23" s="538"/>
      <c r="UHF23" s="538"/>
      <c r="UHG23" s="538"/>
      <c r="UHH23" s="538"/>
      <c r="UHI23" s="538"/>
      <c r="UHJ23" s="538"/>
      <c r="UHK23" s="538"/>
      <c r="UHL23" s="538"/>
      <c r="UHM23" s="538"/>
      <c r="UHN23" s="538"/>
      <c r="UHO23" s="538"/>
      <c r="UHP23" s="538"/>
      <c r="UHQ23" s="538"/>
      <c r="UHR23" s="538"/>
      <c r="UHS23" s="538"/>
      <c r="UHT23" s="538"/>
      <c r="UHU23" s="538"/>
      <c r="UHV23" s="538"/>
      <c r="UHW23" s="538"/>
      <c r="UHX23" s="538"/>
      <c r="UHY23" s="538"/>
      <c r="UHZ23" s="538"/>
      <c r="UIA23" s="538"/>
      <c r="UIB23" s="538"/>
      <c r="UIC23" s="538"/>
      <c r="UID23" s="538"/>
      <c r="UIE23" s="538"/>
      <c r="UIF23" s="538"/>
      <c r="UIG23" s="538"/>
      <c r="UIH23" s="538"/>
      <c r="UII23" s="538"/>
      <c r="UIJ23" s="538"/>
      <c r="UIK23" s="538"/>
      <c r="UIL23" s="538"/>
      <c r="UIM23" s="538"/>
      <c r="UIN23" s="538"/>
      <c r="UIO23" s="538"/>
      <c r="UIP23" s="538"/>
      <c r="UIQ23" s="538"/>
      <c r="UIR23" s="538"/>
      <c r="UIS23" s="538"/>
      <c r="UIT23" s="538"/>
      <c r="UIU23" s="538"/>
      <c r="UIV23" s="538"/>
      <c r="UIW23" s="538"/>
      <c r="UIX23" s="538"/>
      <c r="UIY23" s="538"/>
      <c r="UIZ23" s="538"/>
      <c r="UJA23" s="538"/>
      <c r="UJB23" s="538"/>
      <c r="UJC23" s="538"/>
      <c r="UJD23" s="538"/>
      <c r="UJE23" s="538"/>
      <c r="UJF23" s="538"/>
      <c r="UJG23" s="538"/>
      <c r="UJH23" s="538"/>
      <c r="UJI23" s="538"/>
      <c r="UJJ23" s="538"/>
      <c r="UJK23" s="538"/>
      <c r="UJL23" s="538"/>
      <c r="UJM23" s="538"/>
      <c r="UJN23" s="538"/>
      <c r="UJO23" s="538"/>
      <c r="UJP23" s="538"/>
      <c r="UJQ23" s="538"/>
      <c r="UJR23" s="538"/>
      <c r="UJS23" s="538"/>
      <c r="UJT23" s="538"/>
      <c r="UJU23" s="538"/>
      <c r="UJV23" s="538"/>
      <c r="UJW23" s="538"/>
      <c r="UJX23" s="538"/>
      <c r="UJY23" s="538"/>
      <c r="UJZ23" s="538"/>
      <c r="UKA23" s="538"/>
      <c r="UKB23" s="538"/>
      <c r="UKC23" s="538"/>
      <c r="UKD23" s="538"/>
      <c r="UKE23" s="538"/>
      <c r="UKF23" s="538"/>
      <c r="UKG23" s="538"/>
      <c r="UKH23" s="538"/>
      <c r="UKI23" s="538"/>
      <c r="UKJ23" s="538"/>
      <c r="UKK23" s="538"/>
      <c r="UKL23" s="538"/>
      <c r="UKM23" s="538"/>
      <c r="UKN23" s="538"/>
      <c r="UKO23" s="538"/>
      <c r="UKP23" s="538"/>
      <c r="UKQ23" s="538"/>
      <c r="UKR23" s="538"/>
      <c r="UKS23" s="538"/>
      <c r="UKT23" s="538"/>
      <c r="UKU23" s="538"/>
      <c r="UKV23" s="538"/>
      <c r="UKW23" s="538"/>
      <c r="UKX23" s="538"/>
      <c r="UKY23" s="538"/>
      <c r="UKZ23" s="538"/>
      <c r="ULA23" s="538"/>
      <c r="ULB23" s="538"/>
      <c r="ULC23" s="538"/>
      <c r="ULD23" s="538"/>
      <c r="ULE23" s="538"/>
      <c r="ULF23" s="538"/>
      <c r="ULG23" s="538"/>
      <c r="ULH23" s="538"/>
      <c r="ULI23" s="538"/>
      <c r="ULJ23" s="538"/>
      <c r="ULK23" s="538"/>
      <c r="ULL23" s="538"/>
      <c r="ULM23" s="538"/>
      <c r="ULN23" s="538"/>
      <c r="ULO23" s="538"/>
      <c r="ULP23" s="538"/>
      <c r="ULQ23" s="538"/>
      <c r="ULR23" s="538"/>
      <c r="ULS23" s="538"/>
      <c r="ULT23" s="538"/>
      <c r="ULU23" s="538"/>
      <c r="ULV23" s="538"/>
      <c r="ULW23" s="538"/>
      <c r="ULX23" s="538"/>
      <c r="ULY23" s="538"/>
      <c r="ULZ23" s="538"/>
      <c r="UMA23" s="538"/>
      <c r="UMB23" s="538"/>
      <c r="UMC23" s="538"/>
      <c r="UMD23" s="538"/>
      <c r="UME23" s="538"/>
      <c r="UMF23" s="538"/>
      <c r="UMG23" s="538"/>
      <c r="UMH23" s="538"/>
      <c r="UMI23" s="538"/>
      <c r="UMJ23" s="538"/>
      <c r="UMK23" s="538"/>
      <c r="UML23" s="538"/>
      <c r="UMM23" s="538"/>
      <c r="UMN23" s="538"/>
      <c r="UMO23" s="538"/>
      <c r="UMP23" s="538"/>
      <c r="UMQ23" s="538"/>
      <c r="UMR23" s="538"/>
      <c r="UMS23" s="538"/>
      <c r="UMT23" s="538"/>
      <c r="UMU23" s="538"/>
      <c r="UMV23" s="538"/>
      <c r="UMW23" s="538"/>
      <c r="UMX23" s="538"/>
      <c r="UMY23" s="538"/>
      <c r="UMZ23" s="538"/>
      <c r="UNA23" s="538"/>
      <c r="UNB23" s="538"/>
      <c r="UNC23" s="538"/>
      <c r="UND23" s="538"/>
      <c r="UNE23" s="538"/>
      <c r="UNF23" s="538"/>
      <c r="UNG23" s="538"/>
      <c r="UNH23" s="538"/>
      <c r="UNI23" s="538"/>
      <c r="UNJ23" s="538"/>
      <c r="UNK23" s="538"/>
      <c r="UNL23" s="538"/>
      <c r="UNM23" s="538"/>
      <c r="UNN23" s="538"/>
      <c r="UNO23" s="538"/>
      <c r="UNP23" s="538"/>
      <c r="UNQ23" s="538"/>
      <c r="UNR23" s="538"/>
      <c r="UNS23" s="538"/>
      <c r="UNT23" s="538"/>
      <c r="UNU23" s="538"/>
      <c r="UNV23" s="538"/>
      <c r="UNW23" s="538"/>
      <c r="UNX23" s="538"/>
      <c r="UNY23" s="538"/>
      <c r="UNZ23" s="538"/>
      <c r="UOA23" s="538"/>
      <c r="UOB23" s="538"/>
      <c r="UOC23" s="538"/>
      <c r="UOD23" s="538"/>
      <c r="UOE23" s="538"/>
      <c r="UOF23" s="538"/>
      <c r="UOG23" s="538"/>
      <c r="UOH23" s="538"/>
      <c r="UOI23" s="538"/>
      <c r="UOJ23" s="538"/>
      <c r="UOK23" s="538"/>
      <c r="UOL23" s="538"/>
      <c r="UOM23" s="538"/>
      <c r="UON23" s="538"/>
      <c r="UOO23" s="538"/>
      <c r="UOP23" s="538"/>
      <c r="UOQ23" s="538"/>
      <c r="UOR23" s="538"/>
      <c r="UOS23" s="538"/>
      <c r="UOT23" s="538"/>
      <c r="UOU23" s="538"/>
      <c r="UOV23" s="538"/>
      <c r="UOW23" s="538"/>
      <c r="UOX23" s="538"/>
      <c r="UOY23" s="538"/>
      <c r="UOZ23" s="538"/>
      <c r="UPA23" s="538"/>
      <c r="UPB23" s="538"/>
      <c r="UPC23" s="538"/>
      <c r="UPD23" s="538"/>
      <c r="UPE23" s="538"/>
      <c r="UPF23" s="538"/>
      <c r="UPG23" s="538"/>
      <c r="UPH23" s="538"/>
      <c r="UPI23" s="538"/>
      <c r="UPJ23" s="538"/>
      <c r="UPK23" s="538"/>
      <c r="UPL23" s="538"/>
      <c r="UPM23" s="538"/>
      <c r="UPN23" s="538"/>
      <c r="UPO23" s="538"/>
      <c r="UPP23" s="538"/>
      <c r="UPQ23" s="538"/>
      <c r="UPR23" s="538"/>
      <c r="UPS23" s="538"/>
      <c r="UPT23" s="538"/>
      <c r="UPU23" s="538"/>
      <c r="UPV23" s="538"/>
      <c r="UPW23" s="538"/>
      <c r="UPX23" s="538"/>
      <c r="UPY23" s="538"/>
      <c r="UPZ23" s="538"/>
      <c r="UQA23" s="538"/>
      <c r="UQB23" s="538"/>
      <c r="UQC23" s="538"/>
      <c r="UQD23" s="538"/>
      <c r="UQE23" s="538"/>
      <c r="UQF23" s="538"/>
      <c r="UQG23" s="538"/>
      <c r="UQH23" s="538"/>
      <c r="UQI23" s="538"/>
      <c r="UQJ23" s="538"/>
      <c r="UQK23" s="538"/>
      <c r="UQL23" s="538"/>
      <c r="UQM23" s="538"/>
      <c r="UQN23" s="538"/>
      <c r="UQO23" s="538"/>
      <c r="UQP23" s="538"/>
      <c r="UQQ23" s="538"/>
      <c r="UQR23" s="538"/>
      <c r="UQS23" s="538"/>
      <c r="UQT23" s="538"/>
      <c r="UQU23" s="538"/>
      <c r="UQV23" s="538"/>
      <c r="UQW23" s="538"/>
      <c r="UQX23" s="538"/>
      <c r="UQY23" s="538"/>
      <c r="UQZ23" s="538"/>
      <c r="URA23" s="538"/>
      <c r="URB23" s="538"/>
      <c r="URC23" s="538"/>
      <c r="URD23" s="538"/>
      <c r="URE23" s="538"/>
      <c r="URF23" s="538"/>
      <c r="URG23" s="538"/>
      <c r="URH23" s="538"/>
      <c r="URI23" s="538"/>
      <c r="URJ23" s="538"/>
      <c r="URK23" s="538"/>
      <c r="URL23" s="538"/>
      <c r="URM23" s="538"/>
      <c r="URN23" s="538"/>
      <c r="URO23" s="538"/>
      <c r="URP23" s="538"/>
      <c r="URQ23" s="538"/>
      <c r="URR23" s="538"/>
      <c r="URS23" s="538"/>
      <c r="URT23" s="538"/>
      <c r="URU23" s="538"/>
      <c r="URV23" s="538"/>
      <c r="URW23" s="538"/>
      <c r="URX23" s="538"/>
      <c r="URY23" s="538"/>
      <c r="URZ23" s="538"/>
      <c r="USA23" s="538"/>
      <c r="USB23" s="538"/>
      <c r="USC23" s="538"/>
      <c r="USD23" s="538"/>
      <c r="USE23" s="538"/>
      <c r="USF23" s="538"/>
      <c r="USG23" s="538"/>
      <c r="USH23" s="538"/>
      <c r="USI23" s="538"/>
      <c r="USJ23" s="538"/>
      <c r="USK23" s="538"/>
      <c r="USL23" s="538"/>
      <c r="USM23" s="538"/>
      <c r="USN23" s="538"/>
      <c r="USO23" s="538"/>
      <c r="USP23" s="538"/>
      <c r="USQ23" s="538"/>
      <c r="USR23" s="538"/>
      <c r="USS23" s="538"/>
      <c r="UST23" s="538"/>
      <c r="USU23" s="538"/>
      <c r="USV23" s="538"/>
      <c r="USW23" s="538"/>
      <c r="USX23" s="538"/>
      <c r="USY23" s="538"/>
      <c r="USZ23" s="538"/>
      <c r="UTA23" s="538"/>
      <c r="UTB23" s="538"/>
      <c r="UTC23" s="538"/>
      <c r="UTD23" s="538"/>
      <c r="UTE23" s="538"/>
      <c r="UTF23" s="538"/>
      <c r="UTG23" s="538"/>
      <c r="UTH23" s="538"/>
      <c r="UTI23" s="538"/>
      <c r="UTJ23" s="538"/>
      <c r="UTK23" s="538"/>
      <c r="UTL23" s="538"/>
      <c r="UTM23" s="538"/>
      <c r="UTN23" s="538"/>
      <c r="UTO23" s="538"/>
      <c r="UTP23" s="538"/>
      <c r="UTQ23" s="538"/>
      <c r="UTR23" s="538"/>
      <c r="UTS23" s="538"/>
      <c r="UTT23" s="538"/>
      <c r="UTU23" s="538"/>
      <c r="UTV23" s="538"/>
      <c r="UTW23" s="538"/>
      <c r="UTX23" s="538"/>
      <c r="UTY23" s="538"/>
      <c r="UTZ23" s="538"/>
      <c r="UUA23" s="538"/>
      <c r="UUB23" s="538"/>
      <c r="UUC23" s="538"/>
      <c r="UUD23" s="538"/>
      <c r="UUE23" s="538"/>
      <c r="UUF23" s="538"/>
      <c r="UUG23" s="538"/>
      <c r="UUH23" s="538"/>
      <c r="UUI23" s="538"/>
      <c r="UUJ23" s="538"/>
      <c r="UUK23" s="538"/>
      <c r="UUL23" s="538"/>
      <c r="UUM23" s="538"/>
      <c r="UUN23" s="538"/>
      <c r="UUO23" s="538"/>
      <c r="UUP23" s="538"/>
      <c r="UUQ23" s="538"/>
      <c r="UUR23" s="538"/>
      <c r="UUS23" s="538"/>
      <c r="UUT23" s="538"/>
      <c r="UUU23" s="538"/>
      <c r="UUV23" s="538"/>
      <c r="UUW23" s="538"/>
      <c r="UUX23" s="538"/>
      <c r="UUY23" s="538"/>
      <c r="UUZ23" s="538"/>
      <c r="UVA23" s="538"/>
      <c r="UVB23" s="538"/>
      <c r="UVC23" s="538"/>
      <c r="UVD23" s="538"/>
      <c r="UVE23" s="538"/>
      <c r="UVF23" s="538"/>
      <c r="UVG23" s="538"/>
      <c r="UVH23" s="538"/>
      <c r="UVI23" s="538"/>
      <c r="UVJ23" s="538"/>
      <c r="UVK23" s="538"/>
      <c r="UVL23" s="538"/>
      <c r="UVM23" s="538"/>
      <c r="UVN23" s="538"/>
      <c r="UVO23" s="538"/>
      <c r="UVP23" s="538"/>
      <c r="UVQ23" s="538"/>
      <c r="UVR23" s="538"/>
      <c r="UVS23" s="538"/>
      <c r="UVT23" s="538"/>
      <c r="UVU23" s="538"/>
      <c r="UVV23" s="538"/>
      <c r="UVW23" s="538"/>
      <c r="UVX23" s="538"/>
      <c r="UVY23" s="538"/>
      <c r="UVZ23" s="538"/>
      <c r="UWA23" s="538"/>
      <c r="UWB23" s="538"/>
      <c r="UWC23" s="538"/>
      <c r="UWD23" s="538"/>
      <c r="UWE23" s="538"/>
      <c r="UWF23" s="538"/>
      <c r="UWG23" s="538"/>
      <c r="UWH23" s="538"/>
      <c r="UWI23" s="538"/>
      <c r="UWJ23" s="538"/>
      <c r="UWK23" s="538"/>
      <c r="UWL23" s="538"/>
      <c r="UWM23" s="538"/>
      <c r="UWN23" s="538"/>
      <c r="UWO23" s="538"/>
      <c r="UWP23" s="538"/>
      <c r="UWQ23" s="538"/>
      <c r="UWR23" s="538"/>
      <c r="UWS23" s="538"/>
      <c r="UWT23" s="538"/>
      <c r="UWU23" s="538"/>
      <c r="UWV23" s="538"/>
      <c r="UWW23" s="538"/>
      <c r="UWX23" s="538"/>
      <c r="UWY23" s="538"/>
      <c r="UWZ23" s="538"/>
      <c r="UXA23" s="538"/>
      <c r="UXB23" s="538"/>
      <c r="UXC23" s="538"/>
      <c r="UXD23" s="538"/>
      <c r="UXE23" s="538"/>
      <c r="UXF23" s="538"/>
      <c r="UXG23" s="538"/>
      <c r="UXH23" s="538"/>
      <c r="UXI23" s="538"/>
      <c r="UXJ23" s="538"/>
      <c r="UXK23" s="538"/>
      <c r="UXL23" s="538"/>
      <c r="UXM23" s="538"/>
      <c r="UXN23" s="538"/>
      <c r="UXO23" s="538"/>
      <c r="UXP23" s="538"/>
      <c r="UXQ23" s="538"/>
      <c r="UXR23" s="538"/>
      <c r="UXS23" s="538"/>
      <c r="UXT23" s="538"/>
      <c r="UXU23" s="538"/>
      <c r="UXV23" s="538"/>
      <c r="UXW23" s="538"/>
      <c r="UXX23" s="538"/>
      <c r="UXY23" s="538"/>
      <c r="UXZ23" s="538"/>
      <c r="UYA23" s="538"/>
      <c r="UYB23" s="538"/>
      <c r="UYC23" s="538"/>
      <c r="UYD23" s="538"/>
      <c r="UYE23" s="538"/>
      <c r="UYF23" s="538"/>
      <c r="UYG23" s="538"/>
      <c r="UYH23" s="538"/>
      <c r="UYI23" s="538"/>
      <c r="UYJ23" s="538"/>
      <c r="UYK23" s="538"/>
      <c r="UYL23" s="538"/>
      <c r="UYM23" s="538"/>
      <c r="UYN23" s="538"/>
      <c r="UYO23" s="538"/>
      <c r="UYP23" s="538"/>
      <c r="UYQ23" s="538"/>
      <c r="UYR23" s="538"/>
      <c r="UYS23" s="538"/>
      <c r="UYT23" s="538"/>
      <c r="UYU23" s="538"/>
      <c r="UYV23" s="538"/>
      <c r="UYW23" s="538"/>
      <c r="UYX23" s="538"/>
      <c r="UYY23" s="538"/>
      <c r="UYZ23" s="538"/>
      <c r="UZA23" s="538"/>
      <c r="UZB23" s="538"/>
      <c r="UZC23" s="538"/>
      <c r="UZD23" s="538"/>
      <c r="UZE23" s="538"/>
      <c r="UZF23" s="538"/>
      <c r="UZG23" s="538"/>
      <c r="UZH23" s="538"/>
      <c r="UZI23" s="538"/>
      <c r="UZJ23" s="538"/>
      <c r="UZK23" s="538"/>
      <c r="UZL23" s="538"/>
      <c r="UZM23" s="538"/>
      <c r="UZN23" s="538"/>
      <c r="UZO23" s="538"/>
      <c r="UZP23" s="538"/>
      <c r="UZQ23" s="538"/>
      <c r="UZR23" s="538"/>
      <c r="UZS23" s="538"/>
      <c r="UZT23" s="538"/>
      <c r="UZU23" s="538"/>
      <c r="UZV23" s="538"/>
      <c r="UZW23" s="538"/>
      <c r="UZX23" s="538"/>
      <c r="UZY23" s="538"/>
      <c r="UZZ23" s="538"/>
      <c r="VAA23" s="538"/>
      <c r="VAB23" s="538"/>
      <c r="VAC23" s="538"/>
      <c r="VAD23" s="538"/>
      <c r="VAE23" s="538"/>
      <c r="VAF23" s="538"/>
      <c r="VAG23" s="538"/>
      <c r="VAH23" s="538"/>
      <c r="VAI23" s="538"/>
      <c r="VAJ23" s="538"/>
      <c r="VAK23" s="538"/>
      <c r="VAL23" s="538"/>
      <c r="VAM23" s="538"/>
      <c r="VAN23" s="538"/>
      <c r="VAO23" s="538"/>
      <c r="VAP23" s="538"/>
      <c r="VAQ23" s="538"/>
      <c r="VAR23" s="538"/>
      <c r="VAS23" s="538"/>
      <c r="VAT23" s="538"/>
      <c r="VAU23" s="538"/>
      <c r="VAV23" s="538"/>
      <c r="VAW23" s="538"/>
      <c r="VAX23" s="538"/>
      <c r="VAY23" s="538"/>
      <c r="VAZ23" s="538"/>
      <c r="VBA23" s="538"/>
      <c r="VBB23" s="538"/>
      <c r="VBC23" s="538"/>
      <c r="VBD23" s="538"/>
      <c r="VBE23" s="538"/>
      <c r="VBF23" s="538"/>
      <c r="VBG23" s="538"/>
      <c r="VBH23" s="538"/>
      <c r="VBI23" s="538"/>
      <c r="VBJ23" s="538"/>
      <c r="VBK23" s="538"/>
      <c r="VBL23" s="538"/>
      <c r="VBM23" s="538"/>
      <c r="VBN23" s="538"/>
      <c r="VBO23" s="538"/>
      <c r="VBP23" s="538"/>
      <c r="VBQ23" s="538"/>
      <c r="VBR23" s="538"/>
      <c r="VBS23" s="538"/>
      <c r="VBT23" s="538"/>
      <c r="VBU23" s="538"/>
      <c r="VBV23" s="538"/>
      <c r="VBW23" s="538"/>
      <c r="VBX23" s="538"/>
      <c r="VBY23" s="538"/>
      <c r="VBZ23" s="538"/>
      <c r="VCA23" s="538"/>
      <c r="VCB23" s="538"/>
      <c r="VCC23" s="538"/>
      <c r="VCD23" s="538"/>
      <c r="VCE23" s="538"/>
      <c r="VCF23" s="538"/>
      <c r="VCG23" s="538"/>
      <c r="VCH23" s="538"/>
      <c r="VCI23" s="538"/>
      <c r="VCJ23" s="538"/>
      <c r="VCK23" s="538"/>
      <c r="VCL23" s="538"/>
      <c r="VCM23" s="538"/>
      <c r="VCN23" s="538"/>
      <c r="VCO23" s="538"/>
      <c r="VCP23" s="538"/>
      <c r="VCQ23" s="538"/>
      <c r="VCR23" s="538"/>
      <c r="VCS23" s="538"/>
      <c r="VCT23" s="538"/>
      <c r="VCU23" s="538"/>
      <c r="VCV23" s="538"/>
      <c r="VCW23" s="538"/>
      <c r="VCX23" s="538"/>
      <c r="VCY23" s="538"/>
      <c r="VCZ23" s="538"/>
      <c r="VDA23" s="538"/>
      <c r="VDB23" s="538"/>
      <c r="VDC23" s="538"/>
      <c r="VDD23" s="538"/>
      <c r="VDE23" s="538"/>
      <c r="VDF23" s="538"/>
      <c r="VDG23" s="538"/>
      <c r="VDH23" s="538"/>
      <c r="VDI23" s="538"/>
      <c r="VDJ23" s="538"/>
      <c r="VDK23" s="538"/>
      <c r="VDL23" s="538"/>
      <c r="VDM23" s="538"/>
      <c r="VDN23" s="538"/>
      <c r="VDO23" s="538"/>
      <c r="VDP23" s="538"/>
      <c r="VDQ23" s="538"/>
      <c r="VDR23" s="538"/>
      <c r="VDS23" s="538"/>
      <c r="VDT23" s="538"/>
      <c r="VDU23" s="538"/>
      <c r="VDV23" s="538"/>
      <c r="VDW23" s="538"/>
      <c r="VDX23" s="538"/>
      <c r="VDY23" s="538"/>
      <c r="VDZ23" s="538"/>
      <c r="VEA23" s="538"/>
      <c r="VEB23" s="538"/>
      <c r="VEC23" s="538"/>
      <c r="VED23" s="538"/>
      <c r="VEE23" s="538"/>
      <c r="VEF23" s="538"/>
      <c r="VEG23" s="538"/>
      <c r="VEH23" s="538"/>
      <c r="VEI23" s="538"/>
      <c r="VEJ23" s="538"/>
      <c r="VEK23" s="538"/>
      <c r="VEL23" s="538"/>
      <c r="VEM23" s="538"/>
      <c r="VEN23" s="538"/>
      <c r="VEO23" s="538"/>
      <c r="VEP23" s="538"/>
      <c r="VEQ23" s="538"/>
      <c r="VER23" s="538"/>
      <c r="VES23" s="538"/>
      <c r="VET23" s="538"/>
      <c r="VEU23" s="538"/>
      <c r="VEV23" s="538"/>
      <c r="VEW23" s="538"/>
      <c r="VEX23" s="538"/>
      <c r="VEY23" s="538"/>
      <c r="VEZ23" s="538"/>
      <c r="VFA23" s="538"/>
      <c r="VFB23" s="538"/>
      <c r="VFC23" s="538"/>
      <c r="VFD23" s="538"/>
      <c r="VFE23" s="538"/>
      <c r="VFF23" s="538"/>
      <c r="VFG23" s="538"/>
      <c r="VFH23" s="538"/>
      <c r="VFI23" s="538"/>
      <c r="VFJ23" s="538"/>
      <c r="VFK23" s="538"/>
      <c r="VFL23" s="538"/>
      <c r="VFM23" s="538"/>
      <c r="VFN23" s="538"/>
      <c r="VFO23" s="538"/>
      <c r="VFP23" s="538"/>
      <c r="VFQ23" s="538"/>
      <c r="VFR23" s="538"/>
      <c r="VFS23" s="538"/>
      <c r="VFT23" s="538"/>
      <c r="VFU23" s="538"/>
      <c r="VFV23" s="538"/>
      <c r="VFW23" s="538"/>
      <c r="VFX23" s="538"/>
      <c r="VFY23" s="538"/>
      <c r="VFZ23" s="538"/>
      <c r="VGA23" s="538"/>
      <c r="VGB23" s="538"/>
      <c r="VGC23" s="538"/>
      <c r="VGD23" s="538"/>
      <c r="VGE23" s="538"/>
      <c r="VGF23" s="538"/>
      <c r="VGG23" s="538"/>
      <c r="VGH23" s="538"/>
      <c r="VGI23" s="538"/>
      <c r="VGJ23" s="538"/>
      <c r="VGK23" s="538"/>
      <c r="VGL23" s="538"/>
      <c r="VGM23" s="538"/>
      <c r="VGN23" s="538"/>
      <c r="VGO23" s="538"/>
      <c r="VGP23" s="538"/>
      <c r="VGQ23" s="538"/>
      <c r="VGR23" s="538"/>
      <c r="VGS23" s="538"/>
      <c r="VGT23" s="538"/>
      <c r="VGU23" s="538"/>
      <c r="VGV23" s="538"/>
      <c r="VGW23" s="538"/>
      <c r="VGX23" s="538"/>
      <c r="VGY23" s="538"/>
      <c r="VGZ23" s="538"/>
      <c r="VHA23" s="538"/>
      <c r="VHB23" s="538"/>
      <c r="VHC23" s="538"/>
      <c r="VHD23" s="538"/>
      <c r="VHE23" s="538"/>
      <c r="VHF23" s="538"/>
      <c r="VHG23" s="538"/>
      <c r="VHH23" s="538"/>
      <c r="VHI23" s="538"/>
      <c r="VHJ23" s="538"/>
      <c r="VHK23" s="538"/>
      <c r="VHL23" s="538"/>
      <c r="VHM23" s="538"/>
      <c r="VHN23" s="538"/>
      <c r="VHO23" s="538"/>
      <c r="VHP23" s="538"/>
      <c r="VHQ23" s="538"/>
      <c r="VHR23" s="538"/>
      <c r="VHS23" s="538"/>
      <c r="VHT23" s="538"/>
      <c r="VHU23" s="538"/>
      <c r="VHV23" s="538"/>
      <c r="VHW23" s="538"/>
      <c r="VHX23" s="538"/>
      <c r="VHY23" s="538"/>
      <c r="VHZ23" s="538"/>
      <c r="VIA23" s="538"/>
      <c r="VIB23" s="538"/>
      <c r="VIC23" s="538"/>
      <c r="VID23" s="538"/>
      <c r="VIE23" s="538"/>
      <c r="VIF23" s="538"/>
      <c r="VIG23" s="538"/>
      <c r="VIH23" s="538"/>
      <c r="VII23" s="538"/>
      <c r="VIJ23" s="538"/>
      <c r="VIK23" s="538"/>
      <c r="VIL23" s="538"/>
      <c r="VIM23" s="538"/>
      <c r="VIN23" s="538"/>
      <c r="VIO23" s="538"/>
      <c r="VIP23" s="538"/>
      <c r="VIQ23" s="538"/>
      <c r="VIR23" s="538"/>
      <c r="VIS23" s="538"/>
      <c r="VIT23" s="538"/>
      <c r="VIU23" s="538"/>
      <c r="VIV23" s="538"/>
      <c r="VIW23" s="538"/>
      <c r="VIX23" s="538"/>
      <c r="VIY23" s="538"/>
      <c r="VIZ23" s="538"/>
      <c r="VJA23" s="538"/>
      <c r="VJB23" s="538"/>
      <c r="VJC23" s="538"/>
      <c r="VJD23" s="538"/>
      <c r="VJE23" s="538"/>
      <c r="VJF23" s="538"/>
      <c r="VJG23" s="538"/>
      <c r="VJH23" s="538"/>
      <c r="VJI23" s="538"/>
      <c r="VJJ23" s="538"/>
      <c r="VJK23" s="538"/>
      <c r="VJL23" s="538"/>
      <c r="VJM23" s="538"/>
      <c r="VJN23" s="538"/>
      <c r="VJO23" s="538"/>
      <c r="VJP23" s="538"/>
      <c r="VJQ23" s="538"/>
      <c r="VJR23" s="538"/>
      <c r="VJS23" s="538"/>
      <c r="VJT23" s="538"/>
      <c r="VJU23" s="538"/>
      <c r="VJV23" s="538"/>
      <c r="VJW23" s="538"/>
      <c r="VJX23" s="538"/>
      <c r="VJY23" s="538"/>
      <c r="VJZ23" s="538"/>
      <c r="VKA23" s="538"/>
      <c r="VKB23" s="538"/>
      <c r="VKC23" s="538"/>
      <c r="VKD23" s="538"/>
      <c r="VKE23" s="538"/>
      <c r="VKF23" s="538"/>
      <c r="VKG23" s="538"/>
      <c r="VKH23" s="538"/>
      <c r="VKI23" s="538"/>
      <c r="VKJ23" s="538"/>
      <c r="VKK23" s="538"/>
      <c r="VKL23" s="538"/>
      <c r="VKM23" s="538"/>
      <c r="VKN23" s="538"/>
      <c r="VKO23" s="538"/>
      <c r="VKP23" s="538"/>
      <c r="VKQ23" s="538"/>
      <c r="VKR23" s="538"/>
      <c r="VKS23" s="538"/>
      <c r="VKT23" s="538"/>
      <c r="VKU23" s="538"/>
      <c r="VKV23" s="538"/>
      <c r="VKW23" s="538"/>
      <c r="VKX23" s="538"/>
      <c r="VKY23" s="538"/>
      <c r="VKZ23" s="538"/>
      <c r="VLA23" s="538"/>
      <c r="VLB23" s="538"/>
      <c r="VLC23" s="538"/>
      <c r="VLD23" s="538"/>
      <c r="VLE23" s="538"/>
      <c r="VLF23" s="538"/>
      <c r="VLG23" s="538"/>
      <c r="VLH23" s="538"/>
      <c r="VLI23" s="538"/>
      <c r="VLJ23" s="538"/>
      <c r="VLK23" s="538"/>
      <c r="VLL23" s="538"/>
      <c r="VLM23" s="538"/>
      <c r="VLN23" s="538"/>
      <c r="VLO23" s="538"/>
      <c r="VLP23" s="538"/>
      <c r="VLQ23" s="538"/>
      <c r="VLR23" s="538"/>
      <c r="VLS23" s="538"/>
      <c r="VLT23" s="538"/>
      <c r="VLU23" s="538"/>
      <c r="VLV23" s="538"/>
      <c r="VLW23" s="538"/>
      <c r="VLX23" s="538"/>
      <c r="VLY23" s="538"/>
      <c r="VLZ23" s="538"/>
      <c r="VMA23" s="538"/>
      <c r="VMB23" s="538"/>
      <c r="VMC23" s="538"/>
      <c r="VMD23" s="538"/>
      <c r="VME23" s="538"/>
      <c r="VMF23" s="538"/>
      <c r="VMG23" s="538"/>
      <c r="VMH23" s="538"/>
      <c r="VMI23" s="538"/>
      <c r="VMJ23" s="538"/>
      <c r="VMK23" s="538"/>
      <c r="VML23" s="538"/>
      <c r="VMM23" s="538"/>
      <c r="VMN23" s="538"/>
      <c r="VMO23" s="538"/>
      <c r="VMP23" s="538"/>
      <c r="VMQ23" s="538"/>
      <c r="VMR23" s="538"/>
      <c r="VMS23" s="538"/>
      <c r="VMT23" s="538"/>
      <c r="VMU23" s="538"/>
      <c r="VMV23" s="538"/>
      <c r="VMW23" s="538"/>
      <c r="VMX23" s="538"/>
      <c r="VMY23" s="538"/>
      <c r="VMZ23" s="538"/>
      <c r="VNA23" s="538"/>
      <c r="VNB23" s="538"/>
      <c r="VNC23" s="538"/>
      <c r="VND23" s="538"/>
      <c r="VNE23" s="538"/>
      <c r="VNF23" s="538"/>
      <c r="VNG23" s="538"/>
      <c r="VNH23" s="538"/>
      <c r="VNI23" s="538"/>
      <c r="VNJ23" s="538"/>
      <c r="VNK23" s="538"/>
      <c r="VNL23" s="538"/>
      <c r="VNM23" s="538"/>
      <c r="VNN23" s="538"/>
      <c r="VNO23" s="538"/>
      <c r="VNP23" s="538"/>
      <c r="VNQ23" s="538"/>
      <c r="VNR23" s="538"/>
      <c r="VNS23" s="538"/>
      <c r="VNT23" s="538"/>
      <c r="VNU23" s="538"/>
      <c r="VNV23" s="538"/>
      <c r="VNW23" s="538"/>
      <c r="VNX23" s="538"/>
      <c r="VNY23" s="538"/>
      <c r="VNZ23" s="538"/>
      <c r="VOA23" s="538"/>
      <c r="VOB23" s="538"/>
      <c r="VOC23" s="538"/>
      <c r="VOD23" s="538"/>
      <c r="VOE23" s="538"/>
      <c r="VOF23" s="538"/>
      <c r="VOG23" s="538"/>
      <c r="VOH23" s="538"/>
      <c r="VOI23" s="538"/>
      <c r="VOJ23" s="538"/>
      <c r="VOK23" s="538"/>
      <c r="VOL23" s="538"/>
      <c r="VOM23" s="538"/>
      <c r="VON23" s="538"/>
      <c r="VOO23" s="538"/>
      <c r="VOP23" s="538"/>
      <c r="VOQ23" s="538"/>
      <c r="VOR23" s="538"/>
      <c r="VOS23" s="538"/>
      <c r="VOT23" s="538"/>
      <c r="VOU23" s="538"/>
      <c r="VOV23" s="538"/>
      <c r="VOW23" s="538"/>
      <c r="VOX23" s="538"/>
      <c r="VOY23" s="538"/>
      <c r="VOZ23" s="538"/>
      <c r="VPA23" s="538"/>
      <c r="VPB23" s="538"/>
      <c r="VPC23" s="538"/>
      <c r="VPD23" s="538"/>
      <c r="VPE23" s="538"/>
      <c r="VPF23" s="538"/>
      <c r="VPG23" s="538"/>
      <c r="VPH23" s="538"/>
      <c r="VPI23" s="538"/>
      <c r="VPJ23" s="538"/>
      <c r="VPK23" s="538"/>
      <c r="VPL23" s="538"/>
      <c r="VPM23" s="538"/>
      <c r="VPN23" s="538"/>
      <c r="VPO23" s="538"/>
      <c r="VPP23" s="538"/>
      <c r="VPQ23" s="538"/>
      <c r="VPR23" s="538"/>
      <c r="VPS23" s="538"/>
      <c r="VPT23" s="538"/>
      <c r="VPU23" s="538"/>
      <c r="VPV23" s="538"/>
      <c r="VPW23" s="538"/>
      <c r="VPX23" s="538"/>
      <c r="VPY23" s="538"/>
      <c r="VPZ23" s="538"/>
      <c r="VQA23" s="538"/>
      <c r="VQB23" s="538"/>
      <c r="VQC23" s="538"/>
      <c r="VQD23" s="538"/>
      <c r="VQE23" s="538"/>
      <c r="VQF23" s="538"/>
      <c r="VQG23" s="538"/>
      <c r="VQH23" s="538"/>
      <c r="VQI23" s="538"/>
      <c r="VQJ23" s="538"/>
      <c r="VQK23" s="538"/>
      <c r="VQL23" s="538"/>
      <c r="VQM23" s="538"/>
      <c r="VQN23" s="538"/>
      <c r="VQO23" s="538"/>
      <c r="VQP23" s="538"/>
      <c r="VQQ23" s="538"/>
      <c r="VQR23" s="538"/>
      <c r="VQS23" s="538"/>
      <c r="VQT23" s="538"/>
      <c r="VQU23" s="538"/>
      <c r="VQV23" s="538"/>
      <c r="VQW23" s="538"/>
      <c r="VQX23" s="538"/>
      <c r="VQY23" s="538"/>
      <c r="VQZ23" s="538"/>
      <c r="VRA23" s="538"/>
      <c r="VRB23" s="538"/>
      <c r="VRC23" s="538"/>
      <c r="VRD23" s="538"/>
      <c r="VRE23" s="538"/>
      <c r="VRF23" s="538"/>
      <c r="VRG23" s="538"/>
      <c r="VRH23" s="538"/>
      <c r="VRI23" s="538"/>
      <c r="VRJ23" s="538"/>
      <c r="VRK23" s="538"/>
      <c r="VRL23" s="538"/>
      <c r="VRM23" s="538"/>
      <c r="VRN23" s="538"/>
      <c r="VRO23" s="538"/>
      <c r="VRP23" s="538"/>
      <c r="VRQ23" s="538"/>
      <c r="VRR23" s="538"/>
      <c r="VRS23" s="538"/>
      <c r="VRT23" s="538"/>
      <c r="VRU23" s="538"/>
      <c r="VRV23" s="538"/>
      <c r="VRW23" s="538"/>
      <c r="VRX23" s="538"/>
      <c r="VRY23" s="538"/>
      <c r="VRZ23" s="538"/>
      <c r="VSA23" s="538"/>
      <c r="VSB23" s="538"/>
      <c r="VSC23" s="538"/>
      <c r="VSD23" s="538"/>
      <c r="VSE23" s="538"/>
      <c r="VSF23" s="538"/>
      <c r="VSG23" s="538"/>
      <c r="VSH23" s="538"/>
      <c r="VSI23" s="538"/>
      <c r="VSJ23" s="538"/>
      <c r="VSK23" s="538"/>
      <c r="VSL23" s="538"/>
      <c r="VSM23" s="538"/>
      <c r="VSN23" s="538"/>
      <c r="VSO23" s="538"/>
      <c r="VSP23" s="538"/>
      <c r="VSQ23" s="538"/>
      <c r="VSR23" s="538"/>
      <c r="VSS23" s="538"/>
      <c r="VST23" s="538"/>
      <c r="VSU23" s="538"/>
      <c r="VSV23" s="538"/>
      <c r="VSW23" s="538"/>
      <c r="VSX23" s="538"/>
      <c r="VSY23" s="538"/>
      <c r="VSZ23" s="538"/>
      <c r="VTA23" s="538"/>
      <c r="VTB23" s="538"/>
      <c r="VTC23" s="538"/>
      <c r="VTD23" s="538"/>
      <c r="VTE23" s="538"/>
      <c r="VTF23" s="538"/>
      <c r="VTG23" s="538"/>
      <c r="VTH23" s="538"/>
      <c r="VTI23" s="538"/>
      <c r="VTJ23" s="538"/>
      <c r="VTK23" s="538"/>
      <c r="VTL23" s="538"/>
      <c r="VTM23" s="538"/>
      <c r="VTN23" s="538"/>
      <c r="VTO23" s="538"/>
      <c r="VTP23" s="538"/>
      <c r="VTQ23" s="538"/>
      <c r="VTR23" s="538"/>
      <c r="VTS23" s="538"/>
      <c r="VTT23" s="538"/>
      <c r="VTU23" s="538"/>
      <c r="VTV23" s="538"/>
      <c r="VTW23" s="538"/>
      <c r="VTX23" s="538"/>
      <c r="VTY23" s="538"/>
      <c r="VTZ23" s="538"/>
      <c r="VUA23" s="538"/>
      <c r="VUB23" s="538"/>
      <c r="VUC23" s="538"/>
      <c r="VUD23" s="538"/>
      <c r="VUE23" s="538"/>
      <c r="VUF23" s="538"/>
      <c r="VUG23" s="538"/>
      <c r="VUH23" s="538"/>
      <c r="VUI23" s="538"/>
      <c r="VUJ23" s="538"/>
      <c r="VUK23" s="538"/>
      <c r="VUL23" s="538"/>
      <c r="VUM23" s="538"/>
      <c r="VUN23" s="538"/>
      <c r="VUO23" s="538"/>
      <c r="VUP23" s="538"/>
      <c r="VUQ23" s="538"/>
      <c r="VUR23" s="538"/>
      <c r="VUS23" s="538"/>
      <c r="VUT23" s="538"/>
      <c r="VUU23" s="538"/>
      <c r="VUV23" s="538"/>
      <c r="VUW23" s="538"/>
      <c r="VUX23" s="538"/>
      <c r="VUY23" s="538"/>
      <c r="VUZ23" s="538"/>
      <c r="VVA23" s="538"/>
      <c r="VVB23" s="538"/>
      <c r="VVC23" s="538"/>
      <c r="VVD23" s="538"/>
      <c r="VVE23" s="538"/>
      <c r="VVF23" s="538"/>
      <c r="VVG23" s="538"/>
      <c r="VVH23" s="538"/>
      <c r="VVI23" s="538"/>
      <c r="VVJ23" s="538"/>
      <c r="VVK23" s="538"/>
      <c r="VVL23" s="538"/>
      <c r="VVM23" s="538"/>
      <c r="VVN23" s="538"/>
      <c r="VVO23" s="538"/>
      <c r="VVP23" s="538"/>
      <c r="VVQ23" s="538"/>
      <c r="VVR23" s="538"/>
      <c r="VVS23" s="538"/>
      <c r="VVT23" s="538"/>
      <c r="VVU23" s="538"/>
      <c r="VVV23" s="538"/>
      <c r="VVW23" s="538"/>
      <c r="VVX23" s="538"/>
      <c r="VVY23" s="538"/>
      <c r="VVZ23" s="538"/>
      <c r="VWA23" s="538"/>
      <c r="VWB23" s="538"/>
      <c r="VWC23" s="538"/>
      <c r="VWD23" s="538"/>
      <c r="VWE23" s="538"/>
      <c r="VWF23" s="538"/>
      <c r="VWG23" s="538"/>
      <c r="VWH23" s="538"/>
      <c r="VWI23" s="538"/>
      <c r="VWJ23" s="538"/>
      <c r="VWK23" s="538"/>
      <c r="VWL23" s="538"/>
      <c r="VWM23" s="538"/>
      <c r="VWN23" s="538"/>
      <c r="VWO23" s="538"/>
      <c r="VWP23" s="538"/>
      <c r="VWQ23" s="538"/>
      <c r="VWR23" s="538"/>
      <c r="VWS23" s="538"/>
      <c r="VWT23" s="538"/>
      <c r="VWU23" s="538"/>
      <c r="VWV23" s="538"/>
      <c r="VWW23" s="538"/>
      <c r="VWX23" s="538"/>
      <c r="VWY23" s="538"/>
      <c r="VWZ23" s="538"/>
      <c r="VXA23" s="538"/>
      <c r="VXB23" s="538"/>
      <c r="VXC23" s="538"/>
      <c r="VXD23" s="538"/>
      <c r="VXE23" s="538"/>
      <c r="VXF23" s="538"/>
      <c r="VXG23" s="538"/>
      <c r="VXH23" s="538"/>
      <c r="VXI23" s="538"/>
      <c r="VXJ23" s="538"/>
      <c r="VXK23" s="538"/>
      <c r="VXL23" s="538"/>
      <c r="VXM23" s="538"/>
      <c r="VXN23" s="538"/>
      <c r="VXO23" s="538"/>
      <c r="VXP23" s="538"/>
      <c r="VXQ23" s="538"/>
      <c r="VXR23" s="538"/>
      <c r="VXS23" s="538"/>
      <c r="VXT23" s="538"/>
      <c r="VXU23" s="538"/>
      <c r="VXV23" s="538"/>
      <c r="VXW23" s="538"/>
      <c r="VXX23" s="538"/>
      <c r="VXY23" s="538"/>
      <c r="VXZ23" s="538"/>
      <c r="VYA23" s="538"/>
      <c r="VYB23" s="538"/>
      <c r="VYC23" s="538"/>
      <c r="VYD23" s="538"/>
      <c r="VYE23" s="538"/>
      <c r="VYF23" s="538"/>
      <c r="VYG23" s="538"/>
      <c r="VYH23" s="538"/>
      <c r="VYI23" s="538"/>
      <c r="VYJ23" s="538"/>
      <c r="VYK23" s="538"/>
      <c r="VYL23" s="538"/>
      <c r="VYM23" s="538"/>
      <c r="VYN23" s="538"/>
      <c r="VYO23" s="538"/>
      <c r="VYP23" s="538"/>
      <c r="VYQ23" s="538"/>
      <c r="VYR23" s="538"/>
      <c r="VYS23" s="538"/>
      <c r="VYT23" s="538"/>
      <c r="VYU23" s="538"/>
      <c r="VYV23" s="538"/>
      <c r="VYW23" s="538"/>
      <c r="VYX23" s="538"/>
      <c r="VYY23" s="538"/>
      <c r="VYZ23" s="538"/>
      <c r="VZA23" s="538"/>
      <c r="VZB23" s="538"/>
      <c r="VZC23" s="538"/>
      <c r="VZD23" s="538"/>
      <c r="VZE23" s="538"/>
      <c r="VZF23" s="538"/>
      <c r="VZG23" s="538"/>
      <c r="VZH23" s="538"/>
      <c r="VZI23" s="538"/>
      <c r="VZJ23" s="538"/>
      <c r="VZK23" s="538"/>
      <c r="VZL23" s="538"/>
      <c r="VZM23" s="538"/>
      <c r="VZN23" s="538"/>
      <c r="VZO23" s="538"/>
      <c r="VZP23" s="538"/>
      <c r="VZQ23" s="538"/>
      <c r="VZR23" s="538"/>
      <c r="VZS23" s="538"/>
      <c r="VZT23" s="538"/>
      <c r="VZU23" s="538"/>
      <c r="VZV23" s="538"/>
      <c r="VZW23" s="538"/>
      <c r="VZX23" s="538"/>
      <c r="VZY23" s="538"/>
      <c r="VZZ23" s="538"/>
      <c r="WAA23" s="538"/>
      <c r="WAB23" s="538"/>
      <c r="WAC23" s="538"/>
      <c r="WAD23" s="538"/>
      <c r="WAE23" s="538"/>
      <c r="WAF23" s="538"/>
      <c r="WAG23" s="538"/>
      <c r="WAH23" s="538"/>
      <c r="WAI23" s="538"/>
      <c r="WAJ23" s="538"/>
      <c r="WAK23" s="538"/>
      <c r="WAL23" s="538"/>
      <c r="WAM23" s="538"/>
      <c r="WAN23" s="538"/>
      <c r="WAO23" s="538"/>
      <c r="WAP23" s="538"/>
      <c r="WAQ23" s="538"/>
      <c r="WAR23" s="538"/>
      <c r="WAS23" s="538"/>
      <c r="WAT23" s="538"/>
      <c r="WAU23" s="538"/>
      <c r="WAV23" s="538"/>
      <c r="WAW23" s="538"/>
      <c r="WAX23" s="538"/>
      <c r="WAY23" s="538"/>
      <c r="WAZ23" s="538"/>
      <c r="WBA23" s="538"/>
      <c r="WBB23" s="538"/>
      <c r="WBC23" s="538"/>
      <c r="WBD23" s="538"/>
      <c r="WBE23" s="538"/>
      <c r="WBF23" s="538"/>
      <c r="WBG23" s="538"/>
      <c r="WBH23" s="538"/>
      <c r="WBI23" s="538"/>
      <c r="WBJ23" s="538"/>
      <c r="WBK23" s="538"/>
      <c r="WBL23" s="538"/>
      <c r="WBM23" s="538"/>
      <c r="WBN23" s="538"/>
      <c r="WBO23" s="538"/>
      <c r="WBP23" s="538"/>
      <c r="WBQ23" s="538"/>
      <c r="WBR23" s="538"/>
      <c r="WBS23" s="538"/>
      <c r="WBT23" s="538"/>
      <c r="WBU23" s="538"/>
      <c r="WBV23" s="538"/>
      <c r="WBW23" s="538"/>
      <c r="WBX23" s="538"/>
      <c r="WBY23" s="538"/>
      <c r="WBZ23" s="538"/>
      <c r="WCA23" s="538"/>
      <c r="WCB23" s="538"/>
      <c r="WCC23" s="538"/>
      <c r="WCD23" s="538"/>
      <c r="WCE23" s="538"/>
      <c r="WCF23" s="538"/>
      <c r="WCG23" s="538"/>
      <c r="WCH23" s="538"/>
      <c r="WCI23" s="538"/>
      <c r="WCJ23" s="538"/>
      <c r="WCK23" s="538"/>
      <c r="WCL23" s="538"/>
      <c r="WCM23" s="538"/>
      <c r="WCN23" s="538"/>
      <c r="WCO23" s="538"/>
      <c r="WCP23" s="538"/>
      <c r="WCQ23" s="538"/>
      <c r="WCR23" s="538"/>
      <c r="WCS23" s="538"/>
      <c r="WCT23" s="538"/>
      <c r="WCU23" s="538"/>
      <c r="WCV23" s="538"/>
      <c r="WCW23" s="538"/>
      <c r="WCX23" s="538"/>
      <c r="WCY23" s="538"/>
      <c r="WCZ23" s="538"/>
      <c r="WDA23" s="538"/>
      <c r="WDB23" s="538"/>
      <c r="WDC23" s="538"/>
      <c r="WDD23" s="538"/>
      <c r="WDE23" s="538"/>
      <c r="WDF23" s="538"/>
      <c r="WDG23" s="538"/>
      <c r="WDH23" s="538"/>
      <c r="WDI23" s="538"/>
      <c r="WDJ23" s="538"/>
      <c r="WDK23" s="538"/>
      <c r="WDL23" s="538"/>
      <c r="WDM23" s="538"/>
      <c r="WDN23" s="538"/>
      <c r="WDO23" s="538"/>
      <c r="WDP23" s="538"/>
      <c r="WDQ23" s="538"/>
      <c r="WDR23" s="538"/>
      <c r="WDS23" s="538"/>
      <c r="WDT23" s="538"/>
      <c r="WDU23" s="538"/>
      <c r="WDV23" s="538"/>
      <c r="WDW23" s="538"/>
      <c r="WDX23" s="538"/>
      <c r="WDY23" s="538"/>
      <c r="WDZ23" s="538"/>
      <c r="WEA23" s="538"/>
      <c r="WEB23" s="538"/>
      <c r="WEC23" s="538"/>
      <c r="WED23" s="538"/>
      <c r="WEE23" s="538"/>
      <c r="WEF23" s="538"/>
      <c r="WEG23" s="538"/>
      <c r="WEH23" s="538"/>
      <c r="WEI23" s="538"/>
      <c r="WEJ23" s="538"/>
      <c r="WEK23" s="538"/>
      <c r="WEL23" s="538"/>
      <c r="WEM23" s="538"/>
      <c r="WEN23" s="538"/>
      <c r="WEO23" s="538"/>
      <c r="WEP23" s="538"/>
      <c r="WEQ23" s="538"/>
      <c r="WER23" s="538"/>
      <c r="WES23" s="538"/>
      <c r="WET23" s="538"/>
      <c r="WEU23" s="538"/>
      <c r="WEV23" s="538"/>
      <c r="WEW23" s="538"/>
      <c r="WEX23" s="538"/>
      <c r="WEY23" s="538"/>
      <c r="WEZ23" s="538"/>
      <c r="WFA23" s="538"/>
      <c r="WFB23" s="538"/>
      <c r="WFC23" s="538"/>
      <c r="WFD23" s="538"/>
      <c r="WFE23" s="538"/>
      <c r="WFF23" s="538"/>
      <c r="WFG23" s="538"/>
      <c r="WFH23" s="538"/>
      <c r="WFI23" s="538"/>
      <c r="WFJ23" s="538"/>
      <c r="WFK23" s="538"/>
      <c r="WFL23" s="538"/>
      <c r="WFM23" s="538"/>
      <c r="WFN23" s="538"/>
      <c r="WFO23" s="538"/>
      <c r="WFP23" s="538"/>
      <c r="WFQ23" s="538"/>
      <c r="WFR23" s="538"/>
      <c r="WFS23" s="538"/>
      <c r="WFT23" s="538"/>
      <c r="WFU23" s="538"/>
      <c r="WFV23" s="538"/>
      <c r="WFW23" s="538"/>
      <c r="WFX23" s="538"/>
      <c r="WFY23" s="538"/>
      <c r="WFZ23" s="538"/>
      <c r="WGA23" s="538"/>
      <c r="WGB23" s="538"/>
      <c r="WGC23" s="538"/>
      <c r="WGD23" s="538"/>
      <c r="WGE23" s="538"/>
      <c r="WGF23" s="538"/>
      <c r="WGG23" s="538"/>
      <c r="WGH23" s="538"/>
      <c r="WGI23" s="538"/>
      <c r="WGJ23" s="538"/>
      <c r="WGK23" s="538"/>
      <c r="WGL23" s="538"/>
      <c r="WGM23" s="538"/>
      <c r="WGN23" s="538"/>
      <c r="WGO23" s="538"/>
      <c r="WGP23" s="538"/>
      <c r="WGQ23" s="538"/>
      <c r="WGR23" s="538"/>
      <c r="WGS23" s="538"/>
      <c r="WGT23" s="538"/>
      <c r="WGU23" s="538"/>
      <c r="WGV23" s="538"/>
      <c r="WGW23" s="538"/>
      <c r="WGX23" s="538"/>
      <c r="WGY23" s="538"/>
      <c r="WGZ23" s="538"/>
      <c r="WHA23" s="538"/>
      <c r="WHB23" s="538"/>
      <c r="WHC23" s="538"/>
      <c r="WHD23" s="538"/>
      <c r="WHE23" s="538"/>
      <c r="WHF23" s="538"/>
      <c r="WHG23" s="538"/>
      <c r="WHH23" s="538"/>
      <c r="WHI23" s="538"/>
      <c r="WHJ23" s="538"/>
      <c r="WHK23" s="538"/>
      <c r="WHL23" s="538"/>
      <c r="WHM23" s="538"/>
      <c r="WHN23" s="538"/>
      <c r="WHO23" s="538"/>
      <c r="WHP23" s="538"/>
      <c r="WHQ23" s="538"/>
      <c r="WHR23" s="538"/>
      <c r="WHS23" s="538"/>
      <c r="WHT23" s="538"/>
      <c r="WHU23" s="538"/>
      <c r="WHV23" s="538"/>
      <c r="WHW23" s="538"/>
      <c r="WHX23" s="538"/>
      <c r="WHY23" s="538"/>
      <c r="WHZ23" s="538"/>
      <c r="WIA23" s="538"/>
      <c r="WIB23" s="538"/>
      <c r="WIC23" s="538"/>
      <c r="WID23" s="538"/>
      <c r="WIE23" s="538"/>
      <c r="WIF23" s="538"/>
      <c r="WIG23" s="538"/>
      <c r="WIH23" s="538"/>
      <c r="WII23" s="538"/>
      <c r="WIJ23" s="538"/>
      <c r="WIK23" s="538"/>
      <c r="WIL23" s="538"/>
      <c r="WIM23" s="538"/>
      <c r="WIN23" s="538"/>
      <c r="WIO23" s="538"/>
      <c r="WIP23" s="538"/>
      <c r="WIQ23" s="538"/>
      <c r="WIR23" s="538"/>
      <c r="WIS23" s="538"/>
      <c r="WIT23" s="538"/>
      <c r="WIU23" s="538"/>
      <c r="WIV23" s="538"/>
      <c r="WIW23" s="538"/>
      <c r="WIX23" s="538"/>
      <c r="WIY23" s="538"/>
      <c r="WIZ23" s="538"/>
      <c r="WJA23" s="538"/>
      <c r="WJB23" s="538"/>
      <c r="WJC23" s="538"/>
      <c r="WJD23" s="538"/>
      <c r="WJE23" s="538"/>
      <c r="WJF23" s="538"/>
      <c r="WJG23" s="538"/>
      <c r="WJH23" s="538"/>
      <c r="WJI23" s="538"/>
      <c r="WJJ23" s="538"/>
      <c r="WJK23" s="538"/>
      <c r="WJL23" s="538"/>
      <c r="WJM23" s="538"/>
      <c r="WJN23" s="538"/>
      <c r="WJO23" s="538"/>
      <c r="WJP23" s="538"/>
      <c r="WJQ23" s="538"/>
      <c r="WJR23" s="538"/>
      <c r="WJS23" s="538"/>
      <c r="WJT23" s="538"/>
      <c r="WJU23" s="538"/>
      <c r="WJV23" s="538"/>
      <c r="WJW23" s="538"/>
      <c r="WJX23" s="538"/>
      <c r="WJY23" s="538"/>
      <c r="WJZ23" s="538"/>
      <c r="WKA23" s="538"/>
      <c r="WKB23" s="538"/>
      <c r="WKC23" s="538"/>
      <c r="WKD23" s="538"/>
      <c r="WKE23" s="538"/>
      <c r="WKF23" s="538"/>
      <c r="WKG23" s="538"/>
      <c r="WKH23" s="538"/>
      <c r="WKI23" s="538"/>
      <c r="WKJ23" s="538"/>
      <c r="WKK23" s="538"/>
      <c r="WKL23" s="538"/>
      <c r="WKM23" s="538"/>
      <c r="WKN23" s="538"/>
      <c r="WKO23" s="538"/>
      <c r="WKP23" s="538"/>
      <c r="WKQ23" s="538"/>
      <c r="WKR23" s="538"/>
      <c r="WKS23" s="538"/>
      <c r="WKT23" s="538"/>
      <c r="WKU23" s="538"/>
      <c r="WKV23" s="538"/>
      <c r="WKW23" s="538"/>
      <c r="WKX23" s="538"/>
      <c r="WKY23" s="538"/>
      <c r="WKZ23" s="538"/>
      <c r="WLA23" s="538"/>
      <c r="WLB23" s="538"/>
      <c r="WLC23" s="538"/>
      <c r="WLD23" s="538"/>
      <c r="WLE23" s="538"/>
      <c r="WLF23" s="538"/>
      <c r="WLG23" s="538"/>
      <c r="WLH23" s="538"/>
      <c r="WLI23" s="538"/>
      <c r="WLJ23" s="538"/>
      <c r="WLK23" s="538"/>
      <c r="WLL23" s="538"/>
      <c r="WLM23" s="538"/>
      <c r="WLN23" s="538"/>
      <c r="WLO23" s="538"/>
      <c r="WLP23" s="538"/>
      <c r="WLQ23" s="538"/>
      <c r="WLR23" s="538"/>
      <c r="WLS23" s="538"/>
      <c r="WLT23" s="538"/>
      <c r="WLU23" s="538"/>
      <c r="WLV23" s="538"/>
      <c r="WLW23" s="538"/>
      <c r="WLX23" s="538"/>
      <c r="WLY23" s="538"/>
      <c r="WLZ23" s="538"/>
      <c r="WMA23" s="538"/>
      <c r="WMB23" s="538"/>
      <c r="WMC23" s="538"/>
      <c r="WMD23" s="538"/>
      <c r="WME23" s="538"/>
      <c r="WMF23" s="538"/>
      <c r="WMG23" s="538"/>
      <c r="WMH23" s="538"/>
      <c r="WMI23" s="538"/>
      <c r="WMJ23" s="538"/>
      <c r="WMK23" s="538"/>
      <c r="WML23" s="538"/>
      <c r="WMM23" s="538"/>
      <c r="WMN23" s="538"/>
      <c r="WMO23" s="538"/>
      <c r="WMP23" s="538"/>
      <c r="WMQ23" s="538"/>
      <c r="WMR23" s="538"/>
      <c r="WMS23" s="538"/>
      <c r="WMT23" s="538"/>
      <c r="WMU23" s="538"/>
      <c r="WMV23" s="538"/>
      <c r="WMW23" s="538"/>
      <c r="WMX23" s="538"/>
      <c r="WMY23" s="538"/>
      <c r="WMZ23" s="538"/>
      <c r="WNA23" s="538"/>
      <c r="WNB23" s="538"/>
      <c r="WNC23" s="538"/>
      <c r="WND23" s="538"/>
      <c r="WNE23" s="538"/>
      <c r="WNF23" s="538"/>
      <c r="WNG23" s="538"/>
      <c r="WNH23" s="538"/>
      <c r="WNI23" s="538"/>
      <c r="WNJ23" s="538"/>
      <c r="WNK23" s="538"/>
      <c r="WNL23" s="538"/>
      <c r="WNM23" s="538"/>
      <c r="WNN23" s="538"/>
      <c r="WNO23" s="538"/>
      <c r="WNP23" s="538"/>
      <c r="WNQ23" s="538"/>
      <c r="WNR23" s="538"/>
      <c r="WNS23" s="538"/>
      <c r="WNT23" s="538"/>
      <c r="WNU23" s="538"/>
      <c r="WNV23" s="538"/>
      <c r="WNW23" s="538"/>
      <c r="WNX23" s="538"/>
      <c r="WNY23" s="538"/>
      <c r="WNZ23" s="538"/>
      <c r="WOA23" s="538"/>
      <c r="WOB23" s="538"/>
      <c r="WOC23" s="538"/>
      <c r="WOD23" s="538"/>
      <c r="WOE23" s="538"/>
      <c r="WOF23" s="538"/>
      <c r="WOG23" s="538"/>
      <c r="WOH23" s="538"/>
      <c r="WOI23" s="538"/>
      <c r="WOJ23" s="538"/>
      <c r="WOK23" s="538"/>
      <c r="WOL23" s="538"/>
      <c r="WOM23" s="538"/>
      <c r="WON23" s="538"/>
      <c r="WOO23" s="538"/>
      <c r="WOP23" s="538"/>
      <c r="WOQ23" s="538"/>
      <c r="WOR23" s="538"/>
      <c r="WOS23" s="538"/>
      <c r="WOT23" s="538"/>
      <c r="WOU23" s="538"/>
      <c r="WOV23" s="538"/>
      <c r="WOW23" s="538"/>
      <c r="WOX23" s="538"/>
      <c r="WOY23" s="538"/>
      <c r="WOZ23" s="538"/>
      <c r="WPA23" s="538"/>
      <c r="WPB23" s="538"/>
      <c r="WPC23" s="538"/>
      <c r="WPD23" s="538"/>
      <c r="WPE23" s="538"/>
      <c r="WPF23" s="538"/>
      <c r="WPG23" s="538"/>
      <c r="WPH23" s="538"/>
      <c r="WPI23" s="538"/>
      <c r="WPJ23" s="538"/>
      <c r="WPK23" s="538"/>
      <c r="WPL23" s="538"/>
      <c r="WPM23" s="538"/>
      <c r="WPN23" s="538"/>
      <c r="WPO23" s="538"/>
      <c r="WPP23" s="538"/>
      <c r="WPQ23" s="538"/>
      <c r="WPR23" s="538"/>
      <c r="WPS23" s="538"/>
      <c r="WPT23" s="538"/>
      <c r="WPU23" s="538"/>
      <c r="WPV23" s="538"/>
      <c r="WPW23" s="538"/>
      <c r="WPX23" s="538"/>
      <c r="WPY23" s="538"/>
      <c r="WPZ23" s="538"/>
      <c r="WQA23" s="538"/>
      <c r="WQB23" s="538"/>
      <c r="WQC23" s="538"/>
      <c r="WQD23" s="538"/>
      <c r="WQE23" s="538"/>
      <c r="WQF23" s="538"/>
      <c r="WQG23" s="538"/>
      <c r="WQH23" s="538"/>
      <c r="WQI23" s="538"/>
      <c r="WQJ23" s="538"/>
      <c r="WQK23" s="538"/>
      <c r="WQL23" s="538"/>
      <c r="WQM23" s="538"/>
      <c r="WQN23" s="538"/>
      <c r="WQO23" s="538"/>
      <c r="WQP23" s="538"/>
      <c r="WQQ23" s="538"/>
      <c r="WQR23" s="538"/>
      <c r="WQS23" s="538"/>
      <c r="WQT23" s="538"/>
      <c r="WQU23" s="538"/>
      <c r="WQV23" s="538"/>
      <c r="WQW23" s="538"/>
      <c r="WQX23" s="538"/>
      <c r="WQY23" s="538"/>
      <c r="WQZ23" s="538"/>
      <c r="WRA23" s="538"/>
      <c r="WRB23" s="538"/>
      <c r="WRC23" s="538"/>
      <c r="WRD23" s="538"/>
      <c r="WRE23" s="538"/>
      <c r="WRF23" s="538"/>
      <c r="WRG23" s="538"/>
      <c r="WRH23" s="538"/>
      <c r="WRI23" s="538"/>
      <c r="WRJ23" s="538"/>
      <c r="WRK23" s="538"/>
      <c r="WRL23" s="538"/>
      <c r="WRM23" s="538"/>
      <c r="WRN23" s="538"/>
      <c r="WRO23" s="538"/>
      <c r="WRP23" s="538"/>
      <c r="WRQ23" s="538"/>
      <c r="WRR23" s="538"/>
      <c r="WRS23" s="538"/>
      <c r="WRT23" s="538"/>
      <c r="WRU23" s="538"/>
      <c r="WRV23" s="538"/>
      <c r="WRW23" s="538"/>
      <c r="WRX23" s="538"/>
      <c r="WRY23" s="538"/>
      <c r="WRZ23" s="538"/>
      <c r="WSA23" s="538"/>
      <c r="WSB23" s="538"/>
      <c r="WSC23" s="538"/>
      <c r="WSD23" s="538"/>
      <c r="WSE23" s="538"/>
      <c r="WSF23" s="538"/>
      <c r="WSG23" s="538"/>
      <c r="WSH23" s="538"/>
      <c r="WSI23" s="538"/>
      <c r="WSJ23" s="538"/>
      <c r="WSK23" s="538"/>
      <c r="WSL23" s="538"/>
      <c r="WSM23" s="538"/>
      <c r="WSN23" s="538"/>
      <c r="WSO23" s="538"/>
      <c r="WSP23" s="538"/>
      <c r="WSQ23" s="538"/>
      <c r="WSR23" s="538"/>
      <c r="WSS23" s="538"/>
      <c r="WST23" s="538"/>
      <c r="WSU23" s="538"/>
      <c r="WSV23" s="538"/>
      <c r="WSW23" s="538"/>
      <c r="WSX23" s="538"/>
      <c r="WSY23" s="538"/>
      <c r="WSZ23" s="538"/>
      <c r="WTA23" s="538"/>
      <c r="WTB23" s="538"/>
      <c r="WTC23" s="538"/>
      <c r="WTD23" s="538"/>
      <c r="WTE23" s="538"/>
      <c r="WTF23" s="538"/>
      <c r="WTG23" s="538"/>
      <c r="WTH23" s="538"/>
      <c r="WTI23" s="538"/>
      <c r="WTJ23" s="538"/>
      <c r="WTK23" s="538"/>
      <c r="WTL23" s="538"/>
      <c r="WTM23" s="538"/>
      <c r="WTN23" s="538"/>
      <c r="WTO23" s="538"/>
      <c r="WTP23" s="538"/>
      <c r="WTQ23" s="538"/>
      <c r="WTR23" s="538"/>
      <c r="WTS23" s="538"/>
      <c r="WTT23" s="538"/>
      <c r="WTU23" s="538"/>
      <c r="WTV23" s="538"/>
      <c r="WTW23" s="538"/>
      <c r="WTX23" s="538"/>
      <c r="WTY23" s="538"/>
      <c r="WTZ23" s="538"/>
      <c r="WUA23" s="538"/>
      <c r="WUB23" s="538"/>
      <c r="WUC23" s="538"/>
      <c r="WUD23" s="538"/>
      <c r="WUE23" s="538"/>
      <c r="WUF23" s="538"/>
      <c r="WUG23" s="538"/>
      <c r="WUH23" s="538"/>
      <c r="WUI23" s="538"/>
      <c r="WUJ23" s="538"/>
      <c r="WUK23" s="538"/>
      <c r="WUL23" s="538"/>
      <c r="WUM23" s="538"/>
      <c r="WUN23" s="538"/>
      <c r="WUO23" s="538"/>
      <c r="WUP23" s="538"/>
      <c r="WUQ23" s="538"/>
      <c r="WUR23" s="538"/>
      <c r="WUS23" s="538"/>
      <c r="WUT23" s="538"/>
      <c r="WUU23" s="538"/>
      <c r="WUV23" s="538"/>
      <c r="WUW23" s="538"/>
      <c r="WUX23" s="538"/>
      <c r="WUY23" s="538"/>
      <c r="WUZ23" s="538"/>
      <c r="WVA23" s="538"/>
      <c r="WVB23" s="538"/>
      <c r="WVC23" s="538"/>
      <c r="WVD23" s="538"/>
      <c r="WVE23" s="538"/>
      <c r="WVF23" s="538"/>
      <c r="WVG23" s="538"/>
      <c r="WVH23" s="538"/>
      <c r="WVI23" s="538"/>
      <c r="WVJ23" s="538"/>
      <c r="WVK23" s="538"/>
      <c r="WVL23" s="538"/>
      <c r="WVM23" s="538"/>
      <c r="WVN23" s="538"/>
      <c r="WVO23" s="538"/>
      <c r="WVP23" s="538"/>
      <c r="WVQ23" s="538"/>
      <c r="WVR23" s="538"/>
      <c r="WVS23" s="538"/>
      <c r="WVT23" s="538"/>
      <c r="WVU23" s="538"/>
      <c r="WVV23" s="538"/>
      <c r="WVW23" s="538"/>
      <c r="WVX23" s="538"/>
      <c r="WVY23" s="538"/>
      <c r="WVZ23" s="538"/>
      <c r="WWA23" s="538"/>
      <c r="WWB23" s="538"/>
      <c r="WWC23" s="538"/>
      <c r="WWD23" s="538"/>
      <c r="WWE23" s="538"/>
      <c r="WWF23" s="538"/>
      <c r="WWG23" s="538"/>
      <c r="WWH23" s="538"/>
      <c r="WWI23" s="538"/>
      <c r="WWJ23" s="538"/>
      <c r="WWK23" s="538"/>
      <c r="WWL23" s="538"/>
      <c r="WWM23" s="538"/>
      <c r="WWN23" s="538"/>
      <c r="WWO23" s="538"/>
      <c r="WWP23" s="538"/>
      <c r="WWQ23" s="538"/>
      <c r="WWR23" s="538"/>
      <c r="WWS23" s="538"/>
      <c r="WWT23" s="538"/>
      <c r="WWU23" s="538"/>
      <c r="WWV23" s="538"/>
      <c r="WWW23" s="538"/>
      <c r="WWX23" s="538"/>
      <c r="WWY23" s="538"/>
      <c r="WWZ23" s="538"/>
      <c r="WXA23" s="538"/>
      <c r="WXB23" s="538"/>
      <c r="WXC23" s="538"/>
      <c r="WXD23" s="538"/>
      <c r="WXE23" s="538"/>
      <c r="WXF23" s="538"/>
      <c r="WXG23" s="538"/>
      <c r="WXH23" s="538"/>
      <c r="WXI23" s="538"/>
      <c r="WXJ23" s="538"/>
      <c r="WXK23" s="538"/>
      <c r="WXL23" s="538"/>
      <c r="WXM23" s="538"/>
      <c r="WXN23" s="538"/>
      <c r="WXO23" s="538"/>
      <c r="WXP23" s="538"/>
      <c r="WXQ23" s="538"/>
      <c r="WXR23" s="538"/>
      <c r="WXS23" s="538"/>
      <c r="WXT23" s="538"/>
      <c r="WXU23" s="538"/>
      <c r="WXV23" s="538"/>
      <c r="WXW23" s="538"/>
      <c r="WXX23" s="538"/>
      <c r="WXY23" s="538"/>
      <c r="WXZ23" s="538"/>
      <c r="WYA23" s="538"/>
      <c r="WYB23" s="538"/>
      <c r="WYC23" s="538"/>
      <c r="WYD23" s="538"/>
      <c r="WYE23" s="538"/>
      <c r="WYF23" s="538"/>
      <c r="WYG23" s="538"/>
      <c r="WYH23" s="538"/>
      <c r="WYI23" s="538"/>
      <c r="WYJ23" s="538"/>
      <c r="WYK23" s="538"/>
      <c r="WYL23" s="538"/>
      <c r="WYM23" s="538"/>
      <c r="WYN23" s="538"/>
      <c r="WYO23" s="538"/>
      <c r="WYP23" s="538"/>
      <c r="WYQ23" s="538"/>
      <c r="WYR23" s="538"/>
      <c r="WYS23" s="538"/>
      <c r="WYT23" s="538"/>
      <c r="WYU23" s="538"/>
      <c r="WYV23" s="538"/>
      <c r="WYW23" s="538"/>
      <c r="WYX23" s="538"/>
      <c r="WYY23" s="538"/>
      <c r="WYZ23" s="538"/>
      <c r="WZA23" s="538"/>
      <c r="WZB23" s="538"/>
      <c r="WZC23" s="538"/>
      <c r="WZD23" s="538"/>
      <c r="WZE23" s="538"/>
      <c r="WZF23" s="538"/>
      <c r="WZG23" s="538"/>
      <c r="WZH23" s="538"/>
      <c r="WZI23" s="538"/>
      <c r="WZJ23" s="538"/>
      <c r="WZK23" s="538"/>
      <c r="WZL23" s="538"/>
      <c r="WZM23" s="538"/>
      <c r="WZN23" s="538"/>
      <c r="WZO23" s="538"/>
      <c r="WZP23" s="538"/>
      <c r="WZQ23" s="538"/>
      <c r="WZR23" s="538"/>
      <c r="WZS23" s="538"/>
      <c r="WZT23" s="538"/>
      <c r="WZU23" s="538"/>
      <c r="WZV23" s="538"/>
      <c r="WZW23" s="538"/>
      <c r="WZX23" s="538"/>
      <c r="WZY23" s="538"/>
      <c r="WZZ23" s="538"/>
      <c r="XAA23" s="538"/>
      <c r="XAB23" s="538"/>
      <c r="XAC23" s="538"/>
      <c r="XAD23" s="538"/>
      <c r="XAE23" s="538"/>
      <c r="XAF23" s="538"/>
      <c r="XAG23" s="538"/>
      <c r="XAH23" s="538"/>
      <c r="XAI23" s="538"/>
      <c r="XAJ23" s="538"/>
      <c r="XAK23" s="538"/>
      <c r="XAL23" s="538"/>
      <c r="XAM23" s="538"/>
      <c r="XAN23" s="538"/>
      <c r="XAO23" s="538"/>
      <c r="XAP23" s="538"/>
      <c r="XAQ23" s="538"/>
      <c r="XAR23" s="538"/>
      <c r="XAS23" s="538"/>
      <c r="XAT23" s="538"/>
      <c r="XAU23" s="538"/>
      <c r="XAV23" s="538"/>
      <c r="XAW23" s="538"/>
      <c r="XAX23" s="538"/>
      <c r="XAY23" s="538"/>
      <c r="XAZ23" s="538"/>
      <c r="XBA23" s="538"/>
      <c r="XBB23" s="538"/>
      <c r="XBC23" s="538"/>
      <c r="XBD23" s="538"/>
      <c r="XBE23" s="538"/>
      <c r="XBF23" s="538"/>
      <c r="XBG23" s="538"/>
      <c r="XBH23" s="538"/>
      <c r="XBI23" s="538"/>
      <c r="XBJ23" s="538"/>
      <c r="XBK23" s="538"/>
      <c r="XBL23" s="538"/>
      <c r="XBM23" s="538"/>
      <c r="XBN23" s="538"/>
      <c r="XBO23" s="538"/>
      <c r="XBP23" s="538"/>
      <c r="XBQ23" s="538"/>
      <c r="XBR23" s="538"/>
      <c r="XBS23" s="538"/>
      <c r="XBT23" s="538"/>
      <c r="XBU23" s="538"/>
      <c r="XBV23" s="538"/>
      <c r="XBW23" s="538"/>
      <c r="XBX23" s="538"/>
      <c r="XBY23" s="538"/>
      <c r="XBZ23" s="538"/>
      <c r="XCA23" s="538"/>
      <c r="XCB23" s="538"/>
      <c r="XCC23" s="538"/>
      <c r="XCD23" s="538"/>
      <c r="XCE23" s="538"/>
      <c r="XCF23" s="538"/>
      <c r="XCG23" s="538"/>
      <c r="XCH23" s="538"/>
      <c r="XCI23" s="538"/>
      <c r="XCJ23" s="538"/>
      <c r="XCK23" s="538"/>
      <c r="XCL23" s="538"/>
      <c r="XCM23" s="538"/>
      <c r="XCN23" s="538"/>
      <c r="XCO23" s="538"/>
      <c r="XCP23" s="538"/>
      <c r="XCQ23" s="538"/>
      <c r="XCR23" s="538"/>
      <c r="XCS23" s="538"/>
      <c r="XCT23" s="538"/>
      <c r="XCU23" s="538"/>
      <c r="XCV23" s="538"/>
      <c r="XCW23" s="538"/>
      <c r="XCX23" s="538"/>
      <c r="XCY23" s="538"/>
      <c r="XCZ23" s="538"/>
      <c r="XDA23" s="538"/>
      <c r="XDB23" s="538"/>
      <c r="XDC23" s="538"/>
      <c r="XDD23" s="538"/>
      <c r="XDE23" s="538"/>
      <c r="XDF23" s="538"/>
      <c r="XDG23" s="538"/>
      <c r="XDH23" s="538"/>
      <c r="XDI23" s="538"/>
      <c r="XDJ23" s="538"/>
      <c r="XDK23" s="538"/>
      <c r="XDL23" s="538"/>
      <c r="XDM23" s="538"/>
      <c r="XDN23" s="538"/>
      <c r="XDO23" s="538"/>
      <c r="XDP23" s="538"/>
      <c r="XDQ23" s="538"/>
      <c r="XDR23" s="538"/>
      <c r="XDS23" s="538"/>
      <c r="XDT23" s="538"/>
      <c r="XDU23" s="538"/>
      <c r="XDV23" s="538"/>
      <c r="XDW23" s="538"/>
      <c r="XDX23" s="538"/>
      <c r="XDY23" s="538"/>
      <c r="XDZ23" s="538"/>
      <c r="XEA23" s="538"/>
      <c r="XEB23" s="538"/>
      <c r="XEC23" s="538"/>
      <c r="XED23" s="538"/>
      <c r="XEE23" s="538"/>
      <c r="XEF23" s="538"/>
      <c r="XEG23" s="538"/>
      <c r="XEH23" s="538"/>
      <c r="XEI23" s="538"/>
      <c r="XEJ23" s="538"/>
      <c r="XEK23" s="538"/>
      <c r="XEL23" s="538"/>
      <c r="XEM23" s="538"/>
      <c r="XEN23" s="538"/>
      <c r="XEO23" s="538"/>
      <c r="XEP23" s="538"/>
      <c r="XEQ23" s="538"/>
      <c r="XER23" s="538"/>
      <c r="XES23" s="538"/>
      <c r="XET23" s="538"/>
      <c r="XEU23" s="538"/>
      <c r="XEV23" s="538"/>
      <c r="XEW23" s="538"/>
      <c r="XEX23" s="538"/>
      <c r="XEY23" s="538"/>
      <c r="XEZ23" s="538"/>
      <c r="XFA23" s="538"/>
      <c r="XFB23" s="538"/>
      <c r="XFC23" s="538"/>
    </row>
    <row r="24" spans="1:16384" s="528" customFormat="1" ht="18.600000000000001" customHeight="1" x14ac:dyDescent="0.3">
      <c r="A24" s="505"/>
      <c r="B24" s="505"/>
      <c r="C24" s="515"/>
      <c r="D24" s="515"/>
      <c r="E24" s="515"/>
      <c r="F24" s="538"/>
      <c r="G24" s="538"/>
      <c r="H24" s="515"/>
      <c r="I24" s="552"/>
      <c r="J24" s="553"/>
      <c r="K24" s="552"/>
      <c r="L24" s="554"/>
      <c r="M24" s="554"/>
      <c r="N24" s="554"/>
      <c r="O24" s="554"/>
      <c r="P24" s="555"/>
      <c r="Q24" s="515"/>
      <c r="R24" s="556"/>
      <c r="S24" s="538"/>
    </row>
    <row r="25" spans="1:16384" s="528" customFormat="1" ht="18.600000000000001" customHeight="1" x14ac:dyDescent="0.3">
      <c r="A25" s="172" t="s">
        <v>3130</v>
      </c>
      <c r="B25" s="505"/>
      <c r="C25" s="515"/>
      <c r="D25" s="515"/>
      <c r="E25" s="515"/>
      <c r="F25" s="538"/>
      <c r="G25" s="538"/>
      <c r="H25" s="515"/>
      <c r="I25" s="552"/>
      <c r="J25" s="553"/>
      <c r="K25" s="552"/>
      <c r="L25" s="554"/>
      <c r="M25" s="554"/>
      <c r="N25" s="554"/>
      <c r="O25" s="554"/>
      <c r="P25" s="555"/>
      <c r="Q25" s="515"/>
      <c r="R25" s="556"/>
      <c r="S25" s="538"/>
    </row>
    <row r="26" spans="1:16384" s="528" customFormat="1" ht="18.600000000000001" customHeight="1" x14ac:dyDescent="0.3">
      <c r="A26" s="173" t="s">
        <v>3131</v>
      </c>
      <c r="B26" s="505"/>
      <c r="C26" s="515"/>
      <c r="D26" s="515"/>
      <c r="E26" s="515"/>
      <c r="F26" s="538"/>
      <c r="G26" s="538"/>
      <c r="H26" s="515"/>
      <c r="I26" s="552"/>
      <c r="J26" s="553"/>
      <c r="K26" s="552"/>
      <c r="L26" s="554"/>
      <c r="M26" s="554"/>
      <c r="N26" s="554"/>
      <c r="O26" s="554"/>
      <c r="P26" s="555"/>
      <c r="Q26" s="515"/>
      <c r="R26" s="556"/>
      <c r="S26" s="538"/>
    </row>
    <row r="27" spans="1:16384" s="528" customFormat="1" ht="18.600000000000001" customHeight="1" x14ac:dyDescent="0.3">
      <c r="A27" s="117" t="s">
        <v>1343</v>
      </c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7"/>
      <c r="CG27" s="117"/>
      <c r="CH27" s="117"/>
      <c r="CI27" s="117"/>
      <c r="CJ27" s="117"/>
      <c r="CK27" s="117"/>
      <c r="CL27" s="117"/>
      <c r="CM27" s="117"/>
      <c r="CN27" s="117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  <c r="DC27" s="117"/>
      <c r="DD27" s="117"/>
      <c r="DE27" s="117"/>
      <c r="DF27" s="117"/>
      <c r="DG27" s="117"/>
      <c r="DH27" s="117"/>
      <c r="DI27" s="117"/>
      <c r="DJ27" s="117"/>
      <c r="DK27" s="117"/>
      <c r="DL27" s="117"/>
      <c r="DM27" s="117"/>
      <c r="DN27" s="117"/>
      <c r="DO27" s="117"/>
      <c r="DP27" s="117"/>
      <c r="DQ27" s="117"/>
      <c r="DR27" s="117"/>
      <c r="DS27" s="117"/>
      <c r="DT27" s="117"/>
      <c r="DU27" s="117"/>
      <c r="DV27" s="117"/>
      <c r="DW27" s="117"/>
      <c r="DX27" s="117"/>
      <c r="DY27" s="117"/>
      <c r="DZ27" s="117"/>
      <c r="EA27" s="117"/>
      <c r="EB27" s="117"/>
      <c r="EC27" s="117"/>
      <c r="ED27" s="117"/>
      <c r="EE27" s="117"/>
      <c r="EF27" s="117"/>
      <c r="EG27" s="117"/>
      <c r="EH27" s="117"/>
      <c r="EI27" s="117"/>
      <c r="EJ27" s="117"/>
      <c r="EK27" s="117"/>
      <c r="EL27" s="117"/>
      <c r="EM27" s="117"/>
      <c r="EN27" s="117"/>
      <c r="EO27" s="117"/>
      <c r="EP27" s="117"/>
      <c r="EQ27" s="117"/>
      <c r="ER27" s="117"/>
      <c r="ES27" s="117"/>
      <c r="ET27" s="117"/>
      <c r="EU27" s="117"/>
      <c r="EV27" s="117"/>
      <c r="EW27" s="117"/>
      <c r="EX27" s="117"/>
      <c r="EY27" s="117"/>
      <c r="EZ27" s="117"/>
      <c r="FA27" s="117"/>
      <c r="FB27" s="117"/>
      <c r="FC27" s="117"/>
      <c r="FD27" s="117"/>
      <c r="FE27" s="117"/>
      <c r="FF27" s="117"/>
      <c r="FG27" s="117"/>
      <c r="FH27" s="117"/>
      <c r="FI27" s="117"/>
      <c r="FJ27" s="117"/>
      <c r="FK27" s="117"/>
      <c r="FL27" s="117"/>
      <c r="FM27" s="117"/>
      <c r="FN27" s="117"/>
      <c r="FO27" s="117"/>
      <c r="FP27" s="117"/>
      <c r="FQ27" s="117"/>
      <c r="FR27" s="117"/>
      <c r="FS27" s="117"/>
      <c r="FT27" s="117"/>
      <c r="FU27" s="117"/>
      <c r="FV27" s="117"/>
      <c r="FW27" s="117"/>
      <c r="FX27" s="117"/>
      <c r="FY27" s="117"/>
      <c r="FZ27" s="117"/>
      <c r="GA27" s="117"/>
      <c r="GB27" s="117"/>
      <c r="GC27" s="117"/>
      <c r="GD27" s="117"/>
      <c r="GE27" s="117"/>
      <c r="GF27" s="117"/>
      <c r="GG27" s="117"/>
      <c r="GH27" s="117"/>
      <c r="GI27" s="117"/>
      <c r="GJ27" s="117"/>
      <c r="GK27" s="117"/>
      <c r="GL27" s="117"/>
      <c r="GM27" s="117"/>
      <c r="GN27" s="117"/>
      <c r="GO27" s="117"/>
      <c r="GP27" s="117"/>
      <c r="GQ27" s="117"/>
      <c r="GR27" s="117"/>
      <c r="GS27" s="117"/>
      <c r="GT27" s="117"/>
      <c r="GU27" s="117"/>
      <c r="GV27" s="117"/>
      <c r="GW27" s="117"/>
      <c r="GX27" s="117"/>
      <c r="GY27" s="117"/>
      <c r="GZ27" s="117"/>
      <c r="HA27" s="117"/>
      <c r="HB27" s="117"/>
      <c r="HC27" s="117"/>
      <c r="HD27" s="117"/>
      <c r="HE27" s="117"/>
      <c r="HF27" s="117"/>
      <c r="HG27" s="117"/>
      <c r="HH27" s="117"/>
      <c r="HI27" s="117"/>
      <c r="HJ27" s="117"/>
      <c r="HK27" s="117"/>
      <c r="HL27" s="117"/>
      <c r="HM27" s="117"/>
      <c r="HN27" s="117"/>
      <c r="HO27" s="117"/>
      <c r="HP27" s="117"/>
      <c r="HQ27" s="117"/>
      <c r="HR27" s="117"/>
      <c r="HS27" s="117"/>
      <c r="HT27" s="117"/>
      <c r="HU27" s="117"/>
      <c r="HV27" s="117"/>
      <c r="HW27" s="117"/>
      <c r="HX27" s="117"/>
      <c r="HY27" s="117"/>
      <c r="HZ27" s="117"/>
      <c r="IA27" s="117"/>
      <c r="IB27" s="117"/>
      <c r="IC27" s="117"/>
      <c r="ID27" s="117"/>
      <c r="IE27" s="117"/>
      <c r="IF27" s="117"/>
      <c r="IG27" s="117"/>
      <c r="IH27" s="117"/>
      <c r="II27" s="117"/>
      <c r="IJ27" s="117"/>
      <c r="IK27" s="117"/>
      <c r="IL27" s="117"/>
      <c r="IM27" s="117"/>
      <c r="IN27" s="117"/>
      <c r="IO27" s="117"/>
      <c r="IP27" s="117"/>
      <c r="IQ27" s="117"/>
      <c r="IR27" s="117"/>
      <c r="IS27" s="117"/>
      <c r="IT27" s="117"/>
      <c r="IU27" s="117"/>
      <c r="IV27" s="117"/>
      <c r="IW27" s="117"/>
      <c r="IX27" s="117"/>
      <c r="IY27" s="117"/>
      <c r="IZ27" s="117"/>
      <c r="JA27" s="117"/>
      <c r="JB27" s="117"/>
      <c r="JC27" s="117"/>
      <c r="JD27" s="117"/>
      <c r="JE27" s="117"/>
      <c r="JF27" s="117"/>
      <c r="JG27" s="117"/>
      <c r="JH27" s="117"/>
      <c r="JI27" s="117"/>
      <c r="JJ27" s="117"/>
      <c r="JK27" s="117"/>
      <c r="JL27" s="117"/>
      <c r="JM27" s="117"/>
      <c r="JN27" s="117"/>
      <c r="JO27" s="117"/>
      <c r="JP27" s="117"/>
      <c r="JQ27" s="117"/>
      <c r="JR27" s="117"/>
      <c r="JS27" s="117"/>
      <c r="JT27" s="117"/>
      <c r="JU27" s="117"/>
      <c r="JV27" s="117"/>
      <c r="JW27" s="117"/>
      <c r="JX27" s="117"/>
      <c r="JY27" s="117"/>
      <c r="JZ27" s="117"/>
      <c r="KA27" s="117"/>
      <c r="KB27" s="117"/>
      <c r="KC27" s="117"/>
      <c r="KD27" s="117"/>
      <c r="KE27" s="117"/>
      <c r="KF27" s="117"/>
      <c r="KG27" s="117"/>
      <c r="KH27" s="117"/>
      <c r="KI27" s="117"/>
      <c r="KJ27" s="117"/>
      <c r="KK27" s="117"/>
      <c r="KL27" s="117"/>
      <c r="KM27" s="117"/>
      <c r="KN27" s="117"/>
      <c r="KO27" s="117"/>
      <c r="KP27" s="117"/>
      <c r="KQ27" s="117"/>
      <c r="KR27" s="117"/>
      <c r="KS27" s="117"/>
      <c r="KT27" s="117"/>
      <c r="KU27" s="117"/>
      <c r="KV27" s="117"/>
      <c r="KW27" s="117"/>
      <c r="KX27" s="117"/>
      <c r="KY27" s="117"/>
      <c r="KZ27" s="117"/>
      <c r="LA27" s="117"/>
      <c r="LB27" s="117"/>
      <c r="LC27" s="117"/>
      <c r="LD27" s="117"/>
      <c r="LE27" s="117"/>
      <c r="LF27" s="117"/>
      <c r="LG27" s="117"/>
      <c r="LH27" s="117"/>
      <c r="LI27" s="117"/>
      <c r="LJ27" s="117"/>
      <c r="LK27" s="117"/>
      <c r="LL27" s="117"/>
      <c r="LM27" s="117"/>
      <c r="LN27" s="117"/>
      <c r="LO27" s="117"/>
      <c r="LP27" s="117"/>
      <c r="LQ27" s="117"/>
      <c r="LR27" s="117"/>
      <c r="LS27" s="117"/>
      <c r="LT27" s="117"/>
      <c r="LU27" s="117"/>
      <c r="LV27" s="117"/>
      <c r="LW27" s="117"/>
      <c r="LX27" s="117"/>
      <c r="LY27" s="117"/>
      <c r="LZ27" s="117"/>
      <c r="MA27" s="117"/>
      <c r="MB27" s="117"/>
      <c r="MC27" s="117"/>
      <c r="MD27" s="117"/>
      <c r="ME27" s="117"/>
      <c r="MF27" s="117"/>
      <c r="MG27" s="117"/>
      <c r="MH27" s="117"/>
      <c r="MI27" s="117"/>
      <c r="MJ27" s="117"/>
      <c r="MK27" s="117"/>
      <c r="ML27" s="117"/>
      <c r="MM27" s="117"/>
      <c r="MN27" s="117"/>
      <c r="MO27" s="117"/>
      <c r="MP27" s="117"/>
      <c r="MQ27" s="117"/>
      <c r="MR27" s="117"/>
      <c r="MS27" s="117"/>
      <c r="MT27" s="117"/>
      <c r="MU27" s="117"/>
      <c r="MV27" s="117"/>
      <c r="MW27" s="117"/>
      <c r="MX27" s="117"/>
      <c r="MY27" s="117"/>
      <c r="MZ27" s="117"/>
      <c r="NA27" s="117"/>
      <c r="NB27" s="117"/>
      <c r="NC27" s="117"/>
      <c r="ND27" s="117"/>
      <c r="NE27" s="117"/>
      <c r="NF27" s="117"/>
      <c r="NG27" s="117"/>
      <c r="NH27" s="117"/>
      <c r="NI27" s="117"/>
      <c r="NJ27" s="117"/>
      <c r="NK27" s="117"/>
      <c r="NL27" s="117"/>
      <c r="NM27" s="117"/>
      <c r="NN27" s="117"/>
      <c r="NO27" s="117"/>
      <c r="NP27" s="117"/>
      <c r="NQ27" s="117"/>
      <c r="NR27" s="117"/>
      <c r="NS27" s="117"/>
      <c r="NT27" s="117"/>
      <c r="NU27" s="117"/>
      <c r="NV27" s="117"/>
      <c r="NW27" s="117"/>
      <c r="NX27" s="117"/>
      <c r="NY27" s="117"/>
      <c r="NZ27" s="117"/>
      <c r="OA27" s="117"/>
      <c r="OB27" s="117"/>
      <c r="OC27" s="117"/>
      <c r="OD27" s="117"/>
      <c r="OE27" s="117"/>
      <c r="OF27" s="117"/>
      <c r="OG27" s="117"/>
      <c r="OH27" s="117"/>
      <c r="OI27" s="117"/>
      <c r="OJ27" s="117"/>
      <c r="OK27" s="117"/>
      <c r="OL27" s="117"/>
      <c r="OM27" s="117"/>
      <c r="ON27" s="117"/>
      <c r="OO27" s="117"/>
      <c r="OP27" s="117"/>
      <c r="OQ27" s="117"/>
      <c r="OR27" s="117"/>
      <c r="OS27" s="117"/>
      <c r="OT27" s="117"/>
      <c r="OU27" s="117"/>
      <c r="OV27" s="117"/>
      <c r="OW27" s="117"/>
      <c r="OX27" s="117"/>
      <c r="OY27" s="117"/>
      <c r="OZ27" s="117"/>
      <c r="PA27" s="117"/>
      <c r="PB27" s="117"/>
      <c r="PC27" s="117"/>
      <c r="PD27" s="117"/>
      <c r="PE27" s="117"/>
      <c r="PF27" s="117"/>
      <c r="PG27" s="117"/>
      <c r="PH27" s="117"/>
      <c r="PI27" s="117"/>
      <c r="PJ27" s="117"/>
      <c r="PK27" s="117"/>
      <c r="PL27" s="117"/>
      <c r="PM27" s="117"/>
      <c r="PN27" s="117"/>
      <c r="PO27" s="117"/>
      <c r="PP27" s="117"/>
      <c r="PQ27" s="117"/>
      <c r="PR27" s="117"/>
      <c r="PS27" s="117"/>
      <c r="PT27" s="117"/>
      <c r="PU27" s="117"/>
      <c r="PV27" s="117"/>
      <c r="PW27" s="117"/>
      <c r="PX27" s="117"/>
      <c r="PY27" s="117"/>
      <c r="PZ27" s="117"/>
      <c r="QA27" s="117"/>
      <c r="QB27" s="117"/>
      <c r="QC27" s="117"/>
      <c r="QD27" s="117"/>
      <c r="QE27" s="117"/>
      <c r="QF27" s="117"/>
      <c r="QG27" s="117"/>
      <c r="QH27" s="117"/>
      <c r="QI27" s="117"/>
      <c r="QJ27" s="117"/>
      <c r="QK27" s="117"/>
      <c r="QL27" s="117"/>
      <c r="QM27" s="117"/>
      <c r="QN27" s="117"/>
      <c r="QO27" s="117"/>
      <c r="QP27" s="117"/>
      <c r="QQ27" s="117"/>
      <c r="QR27" s="117"/>
      <c r="QS27" s="117"/>
      <c r="QT27" s="117"/>
      <c r="QU27" s="117"/>
      <c r="QV27" s="117"/>
      <c r="QW27" s="117"/>
      <c r="QX27" s="117"/>
      <c r="QY27" s="117"/>
      <c r="QZ27" s="117"/>
      <c r="RA27" s="117"/>
      <c r="RB27" s="117"/>
      <c r="RC27" s="117"/>
      <c r="RD27" s="117"/>
      <c r="RE27" s="117"/>
      <c r="RF27" s="117"/>
      <c r="RG27" s="117"/>
      <c r="RH27" s="117"/>
      <c r="RI27" s="117"/>
      <c r="RJ27" s="117"/>
      <c r="RK27" s="117"/>
      <c r="RL27" s="117"/>
      <c r="RM27" s="117"/>
      <c r="RN27" s="117"/>
      <c r="RO27" s="117"/>
      <c r="RP27" s="117"/>
      <c r="RQ27" s="117"/>
      <c r="RR27" s="117"/>
      <c r="RS27" s="117"/>
      <c r="RT27" s="117"/>
      <c r="RU27" s="117"/>
      <c r="RV27" s="117"/>
      <c r="RW27" s="117"/>
      <c r="RX27" s="117"/>
      <c r="RY27" s="117"/>
      <c r="RZ27" s="117"/>
      <c r="SA27" s="117"/>
      <c r="SB27" s="117"/>
      <c r="SC27" s="117"/>
      <c r="SD27" s="117"/>
      <c r="SE27" s="117"/>
      <c r="SF27" s="117"/>
      <c r="SG27" s="117"/>
      <c r="SH27" s="117"/>
      <c r="SI27" s="117"/>
      <c r="SJ27" s="117"/>
      <c r="SK27" s="117"/>
      <c r="SL27" s="117"/>
      <c r="SM27" s="117"/>
      <c r="SN27" s="117"/>
      <c r="SO27" s="117"/>
      <c r="SP27" s="117"/>
      <c r="SQ27" s="117"/>
      <c r="SR27" s="117"/>
      <c r="SS27" s="117"/>
      <c r="ST27" s="117"/>
      <c r="SU27" s="117"/>
      <c r="SV27" s="117"/>
      <c r="SW27" s="117"/>
      <c r="SX27" s="117"/>
      <c r="SY27" s="117"/>
      <c r="SZ27" s="117"/>
      <c r="TA27" s="117"/>
      <c r="TB27" s="117"/>
      <c r="TC27" s="117"/>
      <c r="TD27" s="117"/>
      <c r="TE27" s="117"/>
      <c r="TF27" s="117"/>
      <c r="TG27" s="117"/>
      <c r="TH27" s="117"/>
      <c r="TI27" s="117"/>
      <c r="TJ27" s="117"/>
      <c r="TK27" s="117"/>
      <c r="TL27" s="117"/>
      <c r="TM27" s="117"/>
      <c r="TN27" s="117"/>
      <c r="TO27" s="117"/>
      <c r="TP27" s="117"/>
      <c r="TQ27" s="117"/>
      <c r="TR27" s="117"/>
      <c r="TS27" s="117"/>
      <c r="TT27" s="117"/>
      <c r="TU27" s="117"/>
      <c r="TV27" s="117"/>
      <c r="TW27" s="117"/>
      <c r="TX27" s="117"/>
      <c r="TY27" s="117"/>
      <c r="TZ27" s="117"/>
      <c r="UA27" s="117"/>
      <c r="UB27" s="117"/>
      <c r="UC27" s="117"/>
      <c r="UD27" s="117"/>
      <c r="UE27" s="117"/>
      <c r="UF27" s="117"/>
      <c r="UG27" s="117"/>
      <c r="UH27" s="117"/>
      <c r="UI27" s="117"/>
      <c r="UJ27" s="117"/>
      <c r="UK27" s="117"/>
      <c r="UL27" s="117"/>
      <c r="UM27" s="117"/>
      <c r="UN27" s="117"/>
      <c r="UO27" s="117"/>
      <c r="UP27" s="117"/>
      <c r="UQ27" s="117"/>
      <c r="UR27" s="117"/>
      <c r="US27" s="117"/>
      <c r="UT27" s="117"/>
      <c r="UU27" s="117"/>
      <c r="UV27" s="117"/>
      <c r="UW27" s="117"/>
      <c r="UX27" s="117"/>
      <c r="UY27" s="117"/>
      <c r="UZ27" s="117"/>
      <c r="VA27" s="117"/>
      <c r="VB27" s="117"/>
      <c r="VC27" s="117"/>
      <c r="VD27" s="117"/>
      <c r="VE27" s="117"/>
      <c r="VF27" s="117"/>
      <c r="VG27" s="117"/>
      <c r="VH27" s="117"/>
      <c r="VI27" s="117"/>
      <c r="VJ27" s="117"/>
      <c r="VK27" s="117"/>
      <c r="VL27" s="117"/>
      <c r="VM27" s="117"/>
      <c r="VN27" s="117"/>
      <c r="VO27" s="117"/>
      <c r="VP27" s="117"/>
      <c r="VQ27" s="117"/>
      <c r="VR27" s="117"/>
      <c r="VS27" s="117"/>
      <c r="VT27" s="117"/>
      <c r="VU27" s="117"/>
      <c r="VV27" s="117"/>
      <c r="VW27" s="117"/>
      <c r="VX27" s="117"/>
      <c r="VY27" s="117"/>
      <c r="VZ27" s="117"/>
      <c r="WA27" s="117"/>
      <c r="WB27" s="117"/>
      <c r="WC27" s="117"/>
      <c r="WD27" s="117"/>
      <c r="WE27" s="117"/>
      <c r="WF27" s="117"/>
      <c r="WG27" s="117"/>
      <c r="WH27" s="117"/>
      <c r="WI27" s="117"/>
      <c r="WJ27" s="117"/>
      <c r="WK27" s="117"/>
      <c r="WL27" s="117"/>
      <c r="WM27" s="117"/>
      <c r="WN27" s="117"/>
      <c r="WO27" s="117"/>
      <c r="WP27" s="117"/>
      <c r="WQ27" s="117"/>
      <c r="WR27" s="117"/>
      <c r="WS27" s="117"/>
      <c r="WT27" s="117"/>
      <c r="WU27" s="117"/>
      <c r="WV27" s="117"/>
      <c r="WW27" s="117"/>
      <c r="WX27" s="117"/>
      <c r="WY27" s="117"/>
      <c r="WZ27" s="117"/>
      <c r="XA27" s="117"/>
      <c r="XB27" s="117"/>
      <c r="XC27" s="117"/>
      <c r="XD27" s="117"/>
      <c r="XE27" s="117"/>
      <c r="XF27" s="117"/>
      <c r="XG27" s="117"/>
      <c r="XH27" s="117"/>
      <c r="XI27" s="117"/>
      <c r="XJ27" s="117"/>
      <c r="XK27" s="117"/>
      <c r="XL27" s="117"/>
      <c r="XM27" s="117"/>
      <c r="XN27" s="117"/>
      <c r="XO27" s="117"/>
      <c r="XP27" s="117"/>
      <c r="XQ27" s="117"/>
      <c r="XR27" s="117"/>
      <c r="XS27" s="117"/>
      <c r="XT27" s="117"/>
      <c r="XU27" s="117"/>
      <c r="XV27" s="117"/>
      <c r="XW27" s="117"/>
      <c r="XX27" s="117"/>
      <c r="XY27" s="117"/>
      <c r="XZ27" s="117"/>
      <c r="YA27" s="117"/>
      <c r="YB27" s="117"/>
      <c r="YC27" s="117"/>
      <c r="YD27" s="117"/>
      <c r="YE27" s="117"/>
      <c r="YF27" s="117"/>
      <c r="YG27" s="117"/>
      <c r="YH27" s="117"/>
      <c r="YI27" s="117"/>
      <c r="YJ27" s="117"/>
      <c r="YK27" s="117"/>
      <c r="YL27" s="117"/>
      <c r="YM27" s="117"/>
      <c r="YN27" s="117"/>
      <c r="YO27" s="117"/>
      <c r="YP27" s="117"/>
      <c r="YQ27" s="117"/>
      <c r="YR27" s="117"/>
      <c r="YS27" s="117"/>
      <c r="YT27" s="117"/>
      <c r="YU27" s="117"/>
      <c r="YV27" s="117"/>
      <c r="YW27" s="117"/>
      <c r="YX27" s="117"/>
      <c r="YY27" s="117"/>
      <c r="YZ27" s="117"/>
      <c r="ZA27" s="117"/>
      <c r="ZB27" s="117"/>
      <c r="ZC27" s="117"/>
      <c r="ZD27" s="117"/>
      <c r="ZE27" s="117"/>
      <c r="ZF27" s="117"/>
      <c r="ZG27" s="117"/>
      <c r="ZH27" s="117"/>
      <c r="ZI27" s="117"/>
      <c r="ZJ27" s="117"/>
      <c r="ZK27" s="117"/>
      <c r="ZL27" s="117"/>
      <c r="ZM27" s="117"/>
      <c r="ZN27" s="117"/>
      <c r="ZO27" s="117"/>
      <c r="ZP27" s="117"/>
      <c r="ZQ27" s="117"/>
      <c r="ZR27" s="117"/>
      <c r="ZS27" s="117"/>
      <c r="ZT27" s="117"/>
      <c r="ZU27" s="117"/>
      <c r="ZV27" s="117"/>
      <c r="ZW27" s="117"/>
      <c r="ZX27" s="117"/>
      <c r="ZY27" s="117"/>
      <c r="ZZ27" s="117"/>
      <c r="AAA27" s="117"/>
      <c r="AAB27" s="117"/>
      <c r="AAC27" s="117"/>
      <c r="AAD27" s="117"/>
      <c r="AAE27" s="117"/>
      <c r="AAF27" s="117"/>
      <c r="AAG27" s="117"/>
      <c r="AAH27" s="117"/>
      <c r="AAI27" s="117"/>
      <c r="AAJ27" s="117"/>
      <c r="AAK27" s="117"/>
      <c r="AAL27" s="117"/>
      <c r="AAM27" s="117"/>
      <c r="AAN27" s="117"/>
      <c r="AAO27" s="117"/>
      <c r="AAP27" s="117"/>
      <c r="AAQ27" s="117"/>
      <c r="AAR27" s="117"/>
      <c r="AAS27" s="117"/>
      <c r="AAT27" s="117"/>
      <c r="AAU27" s="117"/>
      <c r="AAV27" s="117"/>
      <c r="AAW27" s="117"/>
      <c r="AAX27" s="117"/>
      <c r="AAY27" s="117"/>
      <c r="AAZ27" s="117"/>
      <c r="ABA27" s="117"/>
      <c r="ABB27" s="117"/>
      <c r="ABC27" s="117"/>
      <c r="ABD27" s="117"/>
      <c r="ABE27" s="117"/>
      <c r="ABF27" s="117"/>
      <c r="ABG27" s="117"/>
      <c r="ABH27" s="117"/>
      <c r="ABI27" s="117"/>
      <c r="ABJ27" s="117"/>
      <c r="ABK27" s="117"/>
      <c r="ABL27" s="117"/>
      <c r="ABM27" s="117"/>
      <c r="ABN27" s="117"/>
      <c r="ABO27" s="117"/>
      <c r="ABP27" s="117"/>
      <c r="ABQ27" s="117"/>
      <c r="ABR27" s="117"/>
      <c r="ABS27" s="117"/>
      <c r="ABT27" s="117"/>
      <c r="ABU27" s="117"/>
      <c r="ABV27" s="117"/>
      <c r="ABW27" s="117"/>
      <c r="ABX27" s="117"/>
      <c r="ABY27" s="117"/>
      <c r="ABZ27" s="117"/>
      <c r="ACA27" s="117"/>
      <c r="ACB27" s="117"/>
      <c r="ACC27" s="117"/>
      <c r="ACD27" s="117"/>
      <c r="ACE27" s="117"/>
      <c r="ACF27" s="117"/>
      <c r="ACG27" s="117"/>
      <c r="ACH27" s="117"/>
      <c r="ACI27" s="117"/>
      <c r="ACJ27" s="117"/>
      <c r="ACK27" s="117"/>
      <c r="ACL27" s="117"/>
      <c r="ACM27" s="117"/>
      <c r="ACN27" s="117"/>
      <c r="ACO27" s="117"/>
      <c r="ACP27" s="117"/>
      <c r="ACQ27" s="117"/>
      <c r="ACR27" s="117"/>
      <c r="ACS27" s="117"/>
      <c r="ACT27" s="117"/>
      <c r="ACU27" s="117"/>
      <c r="ACV27" s="117"/>
      <c r="ACW27" s="117"/>
      <c r="ACX27" s="117"/>
      <c r="ACY27" s="117"/>
      <c r="ACZ27" s="117"/>
      <c r="ADA27" s="117"/>
      <c r="ADB27" s="117"/>
      <c r="ADC27" s="117"/>
      <c r="ADD27" s="117"/>
      <c r="ADE27" s="117"/>
      <c r="ADF27" s="117"/>
      <c r="ADG27" s="117"/>
      <c r="ADH27" s="117"/>
      <c r="ADI27" s="117"/>
      <c r="ADJ27" s="117"/>
      <c r="ADK27" s="117"/>
      <c r="ADL27" s="117"/>
      <c r="ADM27" s="117"/>
      <c r="ADN27" s="117"/>
      <c r="ADO27" s="117"/>
      <c r="ADP27" s="117"/>
      <c r="ADQ27" s="117"/>
      <c r="ADR27" s="117"/>
      <c r="ADS27" s="117"/>
      <c r="ADT27" s="117"/>
      <c r="ADU27" s="117"/>
      <c r="ADV27" s="117"/>
      <c r="ADW27" s="117"/>
      <c r="ADX27" s="117"/>
      <c r="ADY27" s="117"/>
      <c r="ADZ27" s="117"/>
      <c r="AEA27" s="117"/>
      <c r="AEB27" s="117"/>
      <c r="AEC27" s="117"/>
      <c r="AED27" s="117"/>
      <c r="AEE27" s="117"/>
      <c r="AEF27" s="117"/>
      <c r="AEG27" s="117"/>
      <c r="AEH27" s="117"/>
      <c r="AEI27" s="117"/>
      <c r="AEJ27" s="117"/>
      <c r="AEK27" s="117"/>
      <c r="AEL27" s="117"/>
      <c r="AEM27" s="117"/>
      <c r="AEN27" s="117"/>
      <c r="AEO27" s="117"/>
      <c r="AEP27" s="117"/>
      <c r="AEQ27" s="117"/>
      <c r="AER27" s="117"/>
      <c r="AES27" s="117"/>
      <c r="AET27" s="117"/>
      <c r="AEU27" s="117"/>
      <c r="AEV27" s="117"/>
      <c r="AEW27" s="117"/>
      <c r="AEX27" s="117"/>
      <c r="AEY27" s="117"/>
      <c r="AEZ27" s="117"/>
      <c r="AFA27" s="117"/>
      <c r="AFB27" s="117"/>
      <c r="AFC27" s="117"/>
      <c r="AFD27" s="117"/>
      <c r="AFE27" s="117"/>
      <c r="AFF27" s="117"/>
      <c r="AFG27" s="117"/>
      <c r="AFH27" s="117"/>
      <c r="AFI27" s="117"/>
      <c r="AFJ27" s="117"/>
      <c r="AFK27" s="117"/>
      <c r="AFL27" s="117"/>
      <c r="AFM27" s="117"/>
      <c r="AFN27" s="117"/>
      <c r="AFO27" s="117"/>
      <c r="AFP27" s="117"/>
      <c r="AFQ27" s="117"/>
      <c r="AFR27" s="117"/>
      <c r="AFS27" s="117"/>
      <c r="AFT27" s="117"/>
      <c r="AFU27" s="117"/>
      <c r="AFV27" s="117"/>
      <c r="AFW27" s="117"/>
      <c r="AFX27" s="117"/>
      <c r="AFY27" s="117"/>
      <c r="AFZ27" s="117"/>
      <c r="AGA27" s="117"/>
      <c r="AGB27" s="117"/>
      <c r="AGC27" s="117"/>
      <c r="AGD27" s="117"/>
      <c r="AGE27" s="117"/>
      <c r="AGF27" s="117"/>
      <c r="AGG27" s="117"/>
      <c r="AGH27" s="117"/>
      <c r="AGI27" s="117"/>
      <c r="AGJ27" s="117"/>
      <c r="AGK27" s="117"/>
      <c r="AGL27" s="117"/>
      <c r="AGM27" s="117"/>
      <c r="AGN27" s="117"/>
      <c r="AGO27" s="117"/>
      <c r="AGP27" s="117"/>
      <c r="AGQ27" s="117"/>
      <c r="AGR27" s="117"/>
      <c r="AGS27" s="117"/>
      <c r="AGT27" s="117"/>
      <c r="AGU27" s="117"/>
      <c r="AGV27" s="117"/>
      <c r="AGW27" s="117"/>
      <c r="AGX27" s="117"/>
      <c r="AGY27" s="117"/>
      <c r="AGZ27" s="117"/>
      <c r="AHA27" s="117"/>
      <c r="AHB27" s="117"/>
      <c r="AHC27" s="117"/>
      <c r="AHD27" s="117"/>
      <c r="AHE27" s="117"/>
      <c r="AHF27" s="117"/>
      <c r="AHG27" s="117"/>
      <c r="AHH27" s="117"/>
      <c r="AHI27" s="117"/>
      <c r="AHJ27" s="117"/>
      <c r="AHK27" s="117"/>
      <c r="AHL27" s="117"/>
      <c r="AHM27" s="117"/>
      <c r="AHN27" s="117"/>
      <c r="AHO27" s="117"/>
      <c r="AHP27" s="117"/>
      <c r="AHQ27" s="117"/>
      <c r="AHR27" s="117"/>
      <c r="AHS27" s="117"/>
      <c r="AHT27" s="117"/>
      <c r="AHU27" s="117"/>
      <c r="AHV27" s="117"/>
      <c r="AHW27" s="117"/>
      <c r="AHX27" s="117"/>
      <c r="AHY27" s="117"/>
      <c r="AHZ27" s="117"/>
      <c r="AIA27" s="117"/>
      <c r="AIB27" s="117"/>
      <c r="AIC27" s="117"/>
      <c r="AID27" s="117"/>
      <c r="AIE27" s="117"/>
      <c r="AIF27" s="117"/>
      <c r="AIG27" s="117"/>
      <c r="AIH27" s="117"/>
      <c r="AII27" s="117"/>
      <c r="AIJ27" s="117"/>
      <c r="AIK27" s="117"/>
      <c r="AIL27" s="117"/>
      <c r="AIM27" s="117"/>
      <c r="AIN27" s="117"/>
      <c r="AIO27" s="117"/>
      <c r="AIP27" s="117"/>
      <c r="AIQ27" s="117"/>
      <c r="AIR27" s="117"/>
      <c r="AIS27" s="117"/>
      <c r="AIT27" s="117"/>
      <c r="AIU27" s="117"/>
      <c r="AIV27" s="117"/>
      <c r="AIW27" s="117"/>
      <c r="AIX27" s="117"/>
      <c r="AIY27" s="117"/>
      <c r="AIZ27" s="117"/>
      <c r="AJA27" s="117"/>
      <c r="AJB27" s="117"/>
      <c r="AJC27" s="117"/>
      <c r="AJD27" s="117"/>
      <c r="AJE27" s="117"/>
      <c r="AJF27" s="117"/>
      <c r="AJG27" s="117"/>
      <c r="AJH27" s="117"/>
      <c r="AJI27" s="117"/>
      <c r="AJJ27" s="117"/>
      <c r="AJK27" s="117"/>
      <c r="AJL27" s="117"/>
      <c r="AJM27" s="117"/>
      <c r="AJN27" s="117"/>
      <c r="AJO27" s="117"/>
      <c r="AJP27" s="117"/>
      <c r="AJQ27" s="117"/>
      <c r="AJR27" s="117"/>
      <c r="AJS27" s="117"/>
      <c r="AJT27" s="117"/>
      <c r="AJU27" s="117"/>
      <c r="AJV27" s="117"/>
      <c r="AJW27" s="117"/>
      <c r="AJX27" s="117"/>
      <c r="AJY27" s="117"/>
      <c r="AJZ27" s="117"/>
      <c r="AKA27" s="117"/>
      <c r="AKB27" s="117"/>
      <c r="AKC27" s="117"/>
      <c r="AKD27" s="117"/>
      <c r="AKE27" s="117"/>
      <c r="AKF27" s="117"/>
      <c r="AKG27" s="117"/>
      <c r="AKH27" s="117"/>
      <c r="AKI27" s="117"/>
      <c r="AKJ27" s="117"/>
      <c r="AKK27" s="117"/>
      <c r="AKL27" s="117"/>
      <c r="AKM27" s="117"/>
      <c r="AKN27" s="117"/>
      <c r="AKO27" s="117"/>
      <c r="AKP27" s="117"/>
      <c r="AKQ27" s="117"/>
      <c r="AKR27" s="117"/>
      <c r="AKS27" s="117"/>
      <c r="AKT27" s="117"/>
      <c r="AKU27" s="117"/>
      <c r="AKV27" s="117"/>
      <c r="AKW27" s="117"/>
      <c r="AKX27" s="117"/>
      <c r="AKY27" s="117"/>
      <c r="AKZ27" s="117"/>
      <c r="ALA27" s="117"/>
      <c r="ALB27" s="117"/>
      <c r="ALC27" s="117"/>
      <c r="ALD27" s="117"/>
      <c r="ALE27" s="117"/>
      <c r="ALF27" s="117"/>
      <c r="ALG27" s="117"/>
      <c r="ALH27" s="117"/>
      <c r="ALI27" s="117"/>
      <c r="ALJ27" s="117"/>
      <c r="ALK27" s="117"/>
      <c r="ALL27" s="117"/>
      <c r="ALM27" s="117"/>
      <c r="ALN27" s="117"/>
      <c r="ALO27" s="117"/>
      <c r="ALP27" s="117"/>
      <c r="ALQ27" s="117"/>
      <c r="ALR27" s="117"/>
      <c r="ALS27" s="117"/>
      <c r="ALT27" s="117"/>
      <c r="ALU27" s="117"/>
      <c r="ALV27" s="117"/>
      <c r="ALW27" s="117"/>
      <c r="ALX27" s="117"/>
      <c r="ALY27" s="117"/>
      <c r="ALZ27" s="117"/>
      <c r="AMA27" s="117"/>
      <c r="AMB27" s="117"/>
      <c r="AMC27" s="117"/>
      <c r="AMD27" s="117"/>
      <c r="AME27" s="117"/>
      <c r="AMF27" s="117"/>
      <c r="AMG27" s="117"/>
      <c r="AMH27" s="117"/>
      <c r="AMI27" s="117"/>
      <c r="AMJ27" s="117"/>
      <c r="AMK27" s="117"/>
      <c r="AML27" s="117"/>
      <c r="AMM27" s="117"/>
      <c r="AMN27" s="117"/>
      <c r="AMO27" s="117"/>
      <c r="AMP27" s="117"/>
      <c r="AMQ27" s="117"/>
      <c r="AMR27" s="117"/>
      <c r="AMS27" s="117"/>
      <c r="AMT27" s="117"/>
      <c r="AMU27" s="117"/>
      <c r="AMV27" s="117"/>
      <c r="AMW27" s="117"/>
      <c r="AMX27" s="117"/>
      <c r="AMY27" s="117"/>
      <c r="AMZ27" s="117"/>
      <c r="ANA27" s="117"/>
      <c r="ANB27" s="117"/>
      <c r="ANC27" s="117"/>
      <c r="AND27" s="117"/>
      <c r="ANE27" s="117"/>
      <c r="ANF27" s="117"/>
      <c r="ANG27" s="117"/>
      <c r="ANH27" s="117"/>
      <c r="ANI27" s="117"/>
      <c r="ANJ27" s="117"/>
      <c r="ANK27" s="117"/>
      <c r="ANL27" s="117"/>
      <c r="ANM27" s="117"/>
      <c r="ANN27" s="117"/>
      <c r="ANO27" s="117"/>
      <c r="ANP27" s="117"/>
      <c r="ANQ27" s="117"/>
      <c r="ANR27" s="117"/>
      <c r="ANS27" s="117"/>
      <c r="ANT27" s="117"/>
      <c r="ANU27" s="117"/>
      <c r="ANV27" s="117"/>
      <c r="ANW27" s="117"/>
      <c r="ANX27" s="117"/>
      <c r="ANY27" s="117"/>
      <c r="ANZ27" s="117"/>
      <c r="AOA27" s="117"/>
      <c r="AOB27" s="117"/>
      <c r="AOC27" s="117"/>
      <c r="AOD27" s="117"/>
      <c r="AOE27" s="117"/>
      <c r="AOF27" s="117"/>
      <c r="AOG27" s="117"/>
      <c r="AOH27" s="117"/>
      <c r="AOI27" s="117"/>
      <c r="AOJ27" s="117"/>
      <c r="AOK27" s="117"/>
      <c r="AOL27" s="117"/>
      <c r="AOM27" s="117"/>
      <c r="AON27" s="117"/>
      <c r="AOO27" s="117"/>
      <c r="AOP27" s="117"/>
      <c r="AOQ27" s="117"/>
      <c r="AOR27" s="117"/>
      <c r="AOS27" s="117"/>
      <c r="AOT27" s="117"/>
      <c r="AOU27" s="117"/>
      <c r="AOV27" s="117"/>
      <c r="AOW27" s="117"/>
      <c r="AOX27" s="117"/>
      <c r="AOY27" s="117"/>
      <c r="AOZ27" s="117"/>
      <c r="APA27" s="117"/>
      <c r="APB27" s="117"/>
      <c r="APC27" s="117"/>
      <c r="APD27" s="117"/>
      <c r="APE27" s="117"/>
      <c r="APF27" s="117"/>
      <c r="APG27" s="117"/>
      <c r="APH27" s="117"/>
      <c r="API27" s="117"/>
      <c r="APJ27" s="117"/>
      <c r="APK27" s="117"/>
      <c r="APL27" s="117"/>
      <c r="APM27" s="117"/>
      <c r="APN27" s="117"/>
      <c r="APO27" s="117"/>
      <c r="APP27" s="117"/>
      <c r="APQ27" s="117"/>
      <c r="APR27" s="117"/>
      <c r="APS27" s="117"/>
      <c r="APT27" s="117"/>
      <c r="APU27" s="117"/>
      <c r="APV27" s="117"/>
      <c r="APW27" s="117"/>
      <c r="APX27" s="117"/>
      <c r="APY27" s="117"/>
      <c r="APZ27" s="117"/>
      <c r="AQA27" s="117"/>
      <c r="AQB27" s="117"/>
      <c r="AQC27" s="117"/>
      <c r="AQD27" s="117"/>
      <c r="AQE27" s="117"/>
      <c r="AQF27" s="117"/>
      <c r="AQG27" s="117"/>
      <c r="AQH27" s="117"/>
      <c r="AQI27" s="117"/>
      <c r="AQJ27" s="117"/>
      <c r="AQK27" s="117"/>
      <c r="AQL27" s="117"/>
      <c r="AQM27" s="117"/>
      <c r="AQN27" s="117"/>
      <c r="AQO27" s="117"/>
      <c r="AQP27" s="117"/>
      <c r="AQQ27" s="117"/>
      <c r="AQR27" s="117"/>
      <c r="AQS27" s="117"/>
      <c r="AQT27" s="117"/>
      <c r="AQU27" s="117"/>
      <c r="AQV27" s="117"/>
      <c r="AQW27" s="117"/>
      <c r="AQX27" s="117"/>
      <c r="AQY27" s="117"/>
      <c r="AQZ27" s="117"/>
      <c r="ARA27" s="117"/>
      <c r="ARB27" s="117"/>
      <c r="ARC27" s="117"/>
      <c r="ARD27" s="117"/>
      <c r="ARE27" s="117"/>
      <c r="ARF27" s="117"/>
      <c r="ARG27" s="117"/>
      <c r="ARH27" s="117"/>
      <c r="ARI27" s="117"/>
      <c r="ARJ27" s="117"/>
      <c r="ARK27" s="117"/>
      <c r="ARL27" s="117"/>
      <c r="ARM27" s="117"/>
      <c r="ARN27" s="117"/>
      <c r="ARO27" s="117"/>
      <c r="ARP27" s="117"/>
      <c r="ARQ27" s="117"/>
      <c r="ARR27" s="117"/>
      <c r="ARS27" s="117"/>
      <c r="ART27" s="117"/>
      <c r="ARU27" s="117"/>
      <c r="ARV27" s="117"/>
      <c r="ARW27" s="117"/>
      <c r="ARX27" s="117"/>
      <c r="ARY27" s="117"/>
      <c r="ARZ27" s="117"/>
      <c r="ASA27" s="117"/>
      <c r="ASB27" s="117"/>
      <c r="ASC27" s="117"/>
      <c r="ASD27" s="117"/>
      <c r="ASE27" s="117"/>
      <c r="ASF27" s="117"/>
      <c r="ASG27" s="117"/>
      <c r="ASH27" s="117"/>
      <c r="ASI27" s="117"/>
      <c r="ASJ27" s="117"/>
      <c r="ASK27" s="117"/>
      <c r="ASL27" s="117"/>
      <c r="ASM27" s="117"/>
      <c r="ASN27" s="117"/>
      <c r="ASO27" s="117"/>
      <c r="ASP27" s="117"/>
      <c r="ASQ27" s="117"/>
      <c r="ASR27" s="117"/>
      <c r="ASS27" s="117"/>
      <c r="AST27" s="117"/>
      <c r="ASU27" s="117"/>
      <c r="ASV27" s="117"/>
      <c r="ASW27" s="117"/>
      <c r="ASX27" s="117"/>
      <c r="ASY27" s="117"/>
      <c r="ASZ27" s="117"/>
      <c r="ATA27" s="117"/>
      <c r="ATB27" s="117"/>
      <c r="ATC27" s="117"/>
      <c r="ATD27" s="117"/>
      <c r="ATE27" s="117"/>
      <c r="ATF27" s="117"/>
      <c r="ATG27" s="117"/>
      <c r="ATH27" s="117"/>
      <c r="ATI27" s="117"/>
      <c r="ATJ27" s="117"/>
      <c r="ATK27" s="117"/>
      <c r="ATL27" s="117"/>
      <c r="ATM27" s="117"/>
      <c r="ATN27" s="117"/>
      <c r="ATO27" s="117"/>
      <c r="ATP27" s="117"/>
      <c r="ATQ27" s="117"/>
      <c r="ATR27" s="117"/>
      <c r="ATS27" s="117"/>
      <c r="ATT27" s="117"/>
      <c r="ATU27" s="117"/>
      <c r="ATV27" s="117"/>
      <c r="ATW27" s="117"/>
      <c r="ATX27" s="117"/>
      <c r="ATY27" s="117"/>
      <c r="ATZ27" s="117"/>
      <c r="AUA27" s="117"/>
      <c r="AUB27" s="117"/>
      <c r="AUC27" s="117"/>
      <c r="AUD27" s="117"/>
      <c r="AUE27" s="117"/>
      <c r="AUF27" s="117"/>
      <c r="AUG27" s="117"/>
      <c r="AUH27" s="117"/>
      <c r="AUI27" s="117"/>
      <c r="AUJ27" s="117"/>
      <c r="AUK27" s="117"/>
      <c r="AUL27" s="117"/>
      <c r="AUM27" s="117"/>
      <c r="AUN27" s="117"/>
      <c r="AUO27" s="117"/>
      <c r="AUP27" s="117"/>
      <c r="AUQ27" s="117"/>
      <c r="AUR27" s="117"/>
      <c r="AUS27" s="117"/>
      <c r="AUT27" s="117"/>
      <c r="AUU27" s="117"/>
      <c r="AUV27" s="117"/>
      <c r="AUW27" s="117"/>
      <c r="AUX27" s="117"/>
      <c r="AUY27" s="117"/>
      <c r="AUZ27" s="117"/>
      <c r="AVA27" s="117"/>
      <c r="AVB27" s="117"/>
      <c r="AVC27" s="117"/>
      <c r="AVD27" s="117"/>
      <c r="AVE27" s="117"/>
      <c r="AVF27" s="117"/>
      <c r="AVG27" s="117"/>
      <c r="AVH27" s="117"/>
      <c r="AVI27" s="117"/>
      <c r="AVJ27" s="117"/>
      <c r="AVK27" s="117"/>
      <c r="AVL27" s="117"/>
      <c r="AVM27" s="117"/>
      <c r="AVN27" s="117"/>
      <c r="AVO27" s="117"/>
      <c r="AVP27" s="117"/>
      <c r="AVQ27" s="117"/>
      <c r="AVR27" s="117"/>
      <c r="AVS27" s="117"/>
      <c r="AVT27" s="117"/>
      <c r="AVU27" s="117"/>
      <c r="AVV27" s="117"/>
      <c r="AVW27" s="117"/>
      <c r="AVX27" s="117"/>
      <c r="AVY27" s="117"/>
      <c r="AVZ27" s="117"/>
      <c r="AWA27" s="117"/>
      <c r="AWB27" s="117"/>
      <c r="AWC27" s="117"/>
      <c r="AWD27" s="117"/>
      <c r="AWE27" s="117"/>
      <c r="AWF27" s="117"/>
      <c r="AWG27" s="117"/>
      <c r="AWH27" s="117"/>
      <c r="AWI27" s="117"/>
      <c r="AWJ27" s="117"/>
      <c r="AWK27" s="117"/>
      <c r="AWL27" s="117"/>
      <c r="AWM27" s="117"/>
      <c r="AWN27" s="117"/>
      <c r="AWO27" s="117"/>
      <c r="AWP27" s="117"/>
      <c r="AWQ27" s="117"/>
      <c r="AWR27" s="117"/>
      <c r="AWS27" s="117"/>
      <c r="AWT27" s="117"/>
      <c r="AWU27" s="117"/>
      <c r="AWV27" s="117"/>
      <c r="AWW27" s="117"/>
      <c r="AWX27" s="117"/>
      <c r="AWY27" s="117"/>
      <c r="AWZ27" s="117"/>
      <c r="AXA27" s="117"/>
      <c r="AXB27" s="117"/>
      <c r="AXC27" s="117"/>
      <c r="AXD27" s="117"/>
      <c r="AXE27" s="117"/>
      <c r="AXF27" s="117"/>
      <c r="AXG27" s="117"/>
      <c r="AXH27" s="117"/>
      <c r="AXI27" s="117"/>
      <c r="AXJ27" s="117"/>
      <c r="AXK27" s="117"/>
      <c r="AXL27" s="117"/>
      <c r="AXM27" s="117"/>
      <c r="AXN27" s="117"/>
      <c r="AXO27" s="117"/>
      <c r="AXP27" s="117"/>
      <c r="AXQ27" s="117"/>
      <c r="AXR27" s="117"/>
      <c r="AXS27" s="117"/>
      <c r="AXT27" s="117"/>
      <c r="AXU27" s="117"/>
      <c r="AXV27" s="117"/>
      <c r="AXW27" s="117"/>
      <c r="AXX27" s="117"/>
      <c r="AXY27" s="117"/>
      <c r="AXZ27" s="117"/>
      <c r="AYA27" s="117"/>
      <c r="AYB27" s="117"/>
      <c r="AYC27" s="117"/>
      <c r="AYD27" s="117"/>
      <c r="AYE27" s="117"/>
      <c r="AYF27" s="117"/>
      <c r="AYG27" s="117"/>
      <c r="AYH27" s="117"/>
      <c r="AYI27" s="117"/>
      <c r="AYJ27" s="117"/>
      <c r="AYK27" s="117"/>
      <c r="AYL27" s="117"/>
      <c r="AYM27" s="117"/>
      <c r="AYN27" s="117"/>
      <c r="AYO27" s="117"/>
      <c r="AYP27" s="117"/>
      <c r="AYQ27" s="117"/>
      <c r="AYR27" s="117"/>
      <c r="AYS27" s="117"/>
      <c r="AYT27" s="117"/>
      <c r="AYU27" s="117"/>
      <c r="AYV27" s="117"/>
      <c r="AYW27" s="117"/>
      <c r="AYX27" s="117"/>
      <c r="AYY27" s="117"/>
      <c r="AYZ27" s="117"/>
      <c r="AZA27" s="117"/>
      <c r="AZB27" s="117"/>
      <c r="AZC27" s="117"/>
      <c r="AZD27" s="117"/>
      <c r="AZE27" s="117"/>
      <c r="AZF27" s="117"/>
      <c r="AZG27" s="117"/>
      <c r="AZH27" s="117"/>
      <c r="AZI27" s="117"/>
      <c r="AZJ27" s="117"/>
      <c r="AZK27" s="117"/>
      <c r="AZL27" s="117"/>
      <c r="AZM27" s="117"/>
      <c r="AZN27" s="117"/>
      <c r="AZO27" s="117"/>
      <c r="AZP27" s="117"/>
      <c r="AZQ27" s="117"/>
      <c r="AZR27" s="117"/>
      <c r="AZS27" s="117"/>
      <c r="AZT27" s="117"/>
      <c r="AZU27" s="117"/>
      <c r="AZV27" s="117"/>
      <c r="AZW27" s="117"/>
      <c r="AZX27" s="117"/>
      <c r="AZY27" s="117"/>
      <c r="AZZ27" s="117"/>
      <c r="BAA27" s="117"/>
      <c r="BAB27" s="117"/>
      <c r="BAC27" s="117"/>
      <c r="BAD27" s="117"/>
      <c r="BAE27" s="117"/>
      <c r="BAF27" s="117"/>
      <c r="BAG27" s="117"/>
      <c r="BAH27" s="117"/>
      <c r="BAI27" s="117"/>
      <c r="BAJ27" s="117"/>
      <c r="BAK27" s="117"/>
      <c r="BAL27" s="117"/>
      <c r="BAM27" s="117"/>
      <c r="BAN27" s="117"/>
      <c r="BAO27" s="117"/>
      <c r="BAP27" s="117"/>
      <c r="BAQ27" s="117"/>
      <c r="BAR27" s="117"/>
      <c r="BAS27" s="117"/>
      <c r="BAT27" s="117"/>
      <c r="BAU27" s="117"/>
      <c r="BAV27" s="117"/>
      <c r="BAW27" s="117"/>
      <c r="BAX27" s="117"/>
      <c r="BAY27" s="117"/>
      <c r="BAZ27" s="117"/>
      <c r="BBA27" s="117"/>
      <c r="BBB27" s="117"/>
      <c r="BBC27" s="117"/>
      <c r="BBD27" s="117"/>
      <c r="BBE27" s="117"/>
      <c r="BBF27" s="117"/>
      <c r="BBG27" s="117"/>
      <c r="BBH27" s="117"/>
      <c r="BBI27" s="117"/>
      <c r="BBJ27" s="117"/>
      <c r="BBK27" s="117"/>
      <c r="BBL27" s="117"/>
      <c r="BBM27" s="117"/>
      <c r="BBN27" s="117"/>
      <c r="BBO27" s="117"/>
      <c r="BBP27" s="117"/>
      <c r="BBQ27" s="117"/>
      <c r="BBR27" s="117"/>
      <c r="BBS27" s="117"/>
      <c r="BBT27" s="117"/>
      <c r="BBU27" s="117"/>
      <c r="BBV27" s="117"/>
      <c r="BBW27" s="117"/>
      <c r="BBX27" s="117"/>
      <c r="BBY27" s="117"/>
      <c r="BBZ27" s="117"/>
      <c r="BCA27" s="117"/>
      <c r="BCB27" s="117"/>
      <c r="BCC27" s="117"/>
      <c r="BCD27" s="117"/>
      <c r="BCE27" s="117"/>
      <c r="BCF27" s="117"/>
      <c r="BCG27" s="117"/>
      <c r="BCH27" s="117"/>
      <c r="BCI27" s="117"/>
      <c r="BCJ27" s="117"/>
      <c r="BCK27" s="117"/>
      <c r="BCL27" s="117"/>
      <c r="BCM27" s="117"/>
      <c r="BCN27" s="117"/>
      <c r="BCO27" s="117"/>
      <c r="BCP27" s="117"/>
      <c r="BCQ27" s="117"/>
      <c r="BCR27" s="117"/>
      <c r="BCS27" s="117"/>
      <c r="BCT27" s="117"/>
      <c r="BCU27" s="117"/>
      <c r="BCV27" s="117"/>
      <c r="BCW27" s="117"/>
      <c r="BCX27" s="117"/>
      <c r="BCY27" s="117"/>
      <c r="BCZ27" s="117"/>
      <c r="BDA27" s="117"/>
      <c r="BDB27" s="117"/>
      <c r="BDC27" s="117"/>
      <c r="BDD27" s="117"/>
      <c r="BDE27" s="117"/>
      <c r="BDF27" s="117"/>
      <c r="BDG27" s="117"/>
      <c r="BDH27" s="117"/>
      <c r="BDI27" s="117"/>
      <c r="BDJ27" s="117"/>
      <c r="BDK27" s="117"/>
      <c r="BDL27" s="117"/>
      <c r="BDM27" s="117"/>
      <c r="BDN27" s="117"/>
      <c r="BDO27" s="117"/>
      <c r="BDP27" s="117"/>
      <c r="BDQ27" s="117"/>
      <c r="BDR27" s="117"/>
      <c r="BDS27" s="117"/>
      <c r="BDT27" s="117"/>
      <c r="BDU27" s="117"/>
      <c r="BDV27" s="117"/>
      <c r="BDW27" s="117"/>
      <c r="BDX27" s="117"/>
      <c r="BDY27" s="117"/>
      <c r="BDZ27" s="117"/>
      <c r="BEA27" s="117"/>
      <c r="BEB27" s="117"/>
      <c r="BEC27" s="117"/>
      <c r="BED27" s="117"/>
      <c r="BEE27" s="117"/>
      <c r="BEF27" s="117"/>
      <c r="BEG27" s="117"/>
      <c r="BEH27" s="117"/>
      <c r="BEI27" s="117"/>
      <c r="BEJ27" s="117"/>
      <c r="BEK27" s="117"/>
      <c r="BEL27" s="117"/>
      <c r="BEM27" s="117"/>
      <c r="BEN27" s="117"/>
      <c r="BEO27" s="117"/>
      <c r="BEP27" s="117"/>
      <c r="BEQ27" s="117"/>
      <c r="BER27" s="117"/>
      <c r="BES27" s="117"/>
      <c r="BET27" s="117"/>
      <c r="BEU27" s="117"/>
      <c r="BEV27" s="117"/>
      <c r="BEW27" s="117"/>
      <c r="BEX27" s="117"/>
      <c r="BEY27" s="117"/>
      <c r="BEZ27" s="117"/>
      <c r="BFA27" s="117"/>
      <c r="BFB27" s="117"/>
      <c r="BFC27" s="117"/>
      <c r="BFD27" s="117"/>
      <c r="BFE27" s="117"/>
      <c r="BFF27" s="117"/>
      <c r="BFG27" s="117"/>
      <c r="BFH27" s="117"/>
      <c r="BFI27" s="117"/>
      <c r="BFJ27" s="117"/>
      <c r="BFK27" s="117"/>
      <c r="BFL27" s="117"/>
      <c r="BFM27" s="117"/>
      <c r="BFN27" s="117"/>
      <c r="BFO27" s="117"/>
      <c r="BFP27" s="117"/>
      <c r="BFQ27" s="117"/>
      <c r="BFR27" s="117"/>
      <c r="BFS27" s="117"/>
      <c r="BFT27" s="117"/>
      <c r="BFU27" s="117"/>
      <c r="BFV27" s="117"/>
      <c r="BFW27" s="117"/>
      <c r="BFX27" s="117"/>
      <c r="BFY27" s="117"/>
      <c r="BFZ27" s="117"/>
      <c r="BGA27" s="117"/>
      <c r="BGB27" s="117"/>
      <c r="BGC27" s="117"/>
      <c r="BGD27" s="117"/>
      <c r="BGE27" s="117"/>
      <c r="BGF27" s="117"/>
      <c r="BGG27" s="117"/>
      <c r="BGH27" s="117"/>
      <c r="BGI27" s="117"/>
      <c r="BGJ27" s="117"/>
      <c r="BGK27" s="117"/>
      <c r="BGL27" s="117"/>
      <c r="BGM27" s="117"/>
      <c r="BGN27" s="117"/>
      <c r="BGO27" s="117"/>
      <c r="BGP27" s="117"/>
      <c r="BGQ27" s="117"/>
      <c r="BGR27" s="117"/>
      <c r="BGS27" s="117"/>
      <c r="BGT27" s="117"/>
      <c r="BGU27" s="117"/>
      <c r="BGV27" s="117"/>
      <c r="BGW27" s="117"/>
      <c r="BGX27" s="117"/>
      <c r="BGY27" s="117"/>
      <c r="BGZ27" s="117"/>
      <c r="BHA27" s="117"/>
      <c r="BHB27" s="117"/>
      <c r="BHC27" s="117"/>
      <c r="BHD27" s="117"/>
      <c r="BHE27" s="117"/>
      <c r="BHF27" s="117"/>
      <c r="BHG27" s="117"/>
      <c r="BHH27" s="117"/>
      <c r="BHI27" s="117"/>
      <c r="BHJ27" s="117"/>
      <c r="BHK27" s="117"/>
      <c r="BHL27" s="117"/>
      <c r="BHM27" s="117"/>
      <c r="BHN27" s="117"/>
      <c r="BHO27" s="117"/>
      <c r="BHP27" s="117"/>
      <c r="BHQ27" s="117"/>
      <c r="BHR27" s="117"/>
      <c r="BHS27" s="117"/>
      <c r="BHT27" s="117"/>
      <c r="BHU27" s="117"/>
      <c r="BHV27" s="117"/>
      <c r="BHW27" s="117"/>
      <c r="BHX27" s="117"/>
      <c r="BHY27" s="117"/>
      <c r="BHZ27" s="117"/>
      <c r="BIA27" s="117"/>
      <c r="BIB27" s="117"/>
      <c r="BIC27" s="117"/>
      <c r="BID27" s="117"/>
      <c r="BIE27" s="117"/>
      <c r="BIF27" s="117"/>
      <c r="BIG27" s="117"/>
      <c r="BIH27" s="117"/>
      <c r="BII27" s="117"/>
      <c r="BIJ27" s="117"/>
      <c r="BIK27" s="117"/>
      <c r="BIL27" s="117"/>
      <c r="BIM27" s="117"/>
      <c r="BIN27" s="117"/>
      <c r="BIO27" s="117"/>
      <c r="BIP27" s="117"/>
      <c r="BIQ27" s="117"/>
      <c r="BIR27" s="117"/>
      <c r="BIS27" s="117"/>
      <c r="BIT27" s="117"/>
      <c r="BIU27" s="117"/>
      <c r="BIV27" s="117"/>
      <c r="BIW27" s="117"/>
      <c r="BIX27" s="117"/>
      <c r="BIY27" s="117"/>
      <c r="BIZ27" s="117"/>
      <c r="BJA27" s="117"/>
      <c r="BJB27" s="117"/>
      <c r="BJC27" s="117"/>
      <c r="BJD27" s="117"/>
      <c r="BJE27" s="117"/>
      <c r="BJF27" s="117"/>
      <c r="BJG27" s="117"/>
      <c r="BJH27" s="117"/>
      <c r="BJI27" s="117"/>
      <c r="BJJ27" s="117"/>
      <c r="BJK27" s="117"/>
      <c r="BJL27" s="117"/>
      <c r="BJM27" s="117"/>
      <c r="BJN27" s="117"/>
      <c r="BJO27" s="117"/>
      <c r="BJP27" s="117"/>
      <c r="BJQ27" s="117"/>
      <c r="BJR27" s="117"/>
      <c r="BJS27" s="117"/>
      <c r="BJT27" s="117"/>
      <c r="BJU27" s="117"/>
      <c r="BJV27" s="117"/>
      <c r="BJW27" s="117"/>
      <c r="BJX27" s="117"/>
      <c r="BJY27" s="117"/>
      <c r="BJZ27" s="117"/>
      <c r="BKA27" s="117"/>
      <c r="BKB27" s="117"/>
      <c r="BKC27" s="117"/>
      <c r="BKD27" s="117"/>
      <c r="BKE27" s="117"/>
      <c r="BKF27" s="117"/>
      <c r="BKG27" s="117"/>
      <c r="BKH27" s="117"/>
      <c r="BKI27" s="117"/>
      <c r="BKJ27" s="117"/>
      <c r="BKK27" s="117"/>
      <c r="BKL27" s="117"/>
      <c r="BKM27" s="117"/>
      <c r="BKN27" s="117"/>
      <c r="BKO27" s="117"/>
      <c r="BKP27" s="117"/>
      <c r="BKQ27" s="117"/>
      <c r="BKR27" s="117"/>
      <c r="BKS27" s="117"/>
      <c r="BKT27" s="117"/>
      <c r="BKU27" s="117"/>
      <c r="BKV27" s="117"/>
      <c r="BKW27" s="117"/>
      <c r="BKX27" s="117"/>
      <c r="BKY27" s="117"/>
      <c r="BKZ27" s="117"/>
      <c r="BLA27" s="117"/>
      <c r="BLB27" s="117"/>
      <c r="BLC27" s="117"/>
      <c r="BLD27" s="117"/>
      <c r="BLE27" s="117"/>
      <c r="BLF27" s="117"/>
      <c r="BLG27" s="117"/>
      <c r="BLH27" s="117"/>
      <c r="BLI27" s="117"/>
      <c r="BLJ27" s="117"/>
      <c r="BLK27" s="117"/>
      <c r="BLL27" s="117"/>
      <c r="BLM27" s="117"/>
      <c r="BLN27" s="117"/>
      <c r="BLO27" s="117"/>
      <c r="BLP27" s="117"/>
      <c r="BLQ27" s="117"/>
      <c r="BLR27" s="117"/>
      <c r="BLS27" s="117"/>
      <c r="BLT27" s="117"/>
      <c r="BLU27" s="117"/>
      <c r="BLV27" s="117"/>
      <c r="BLW27" s="117"/>
      <c r="BLX27" s="117"/>
      <c r="BLY27" s="117"/>
      <c r="BLZ27" s="117"/>
      <c r="BMA27" s="117"/>
      <c r="BMB27" s="117"/>
      <c r="BMC27" s="117"/>
      <c r="BMD27" s="117"/>
      <c r="BME27" s="117"/>
      <c r="BMF27" s="117"/>
      <c r="BMG27" s="117"/>
      <c r="BMH27" s="117"/>
      <c r="BMI27" s="117"/>
      <c r="BMJ27" s="117"/>
      <c r="BMK27" s="117"/>
      <c r="BML27" s="117"/>
      <c r="BMM27" s="117"/>
      <c r="BMN27" s="117"/>
      <c r="BMO27" s="117"/>
      <c r="BMP27" s="117"/>
      <c r="BMQ27" s="117"/>
      <c r="BMR27" s="117"/>
      <c r="BMS27" s="117"/>
      <c r="BMT27" s="117"/>
      <c r="BMU27" s="117"/>
      <c r="BMV27" s="117"/>
      <c r="BMW27" s="117"/>
      <c r="BMX27" s="117"/>
      <c r="BMY27" s="117"/>
      <c r="BMZ27" s="117"/>
      <c r="BNA27" s="117"/>
      <c r="BNB27" s="117"/>
      <c r="BNC27" s="117"/>
      <c r="BND27" s="117"/>
      <c r="BNE27" s="117"/>
      <c r="BNF27" s="117"/>
      <c r="BNG27" s="117"/>
      <c r="BNH27" s="117"/>
      <c r="BNI27" s="117"/>
      <c r="BNJ27" s="117"/>
      <c r="BNK27" s="117"/>
      <c r="BNL27" s="117"/>
      <c r="BNM27" s="117"/>
      <c r="BNN27" s="117"/>
      <c r="BNO27" s="117"/>
      <c r="BNP27" s="117"/>
      <c r="BNQ27" s="117"/>
      <c r="BNR27" s="117"/>
      <c r="BNS27" s="117"/>
      <c r="BNT27" s="117"/>
      <c r="BNU27" s="117"/>
      <c r="BNV27" s="117"/>
      <c r="BNW27" s="117"/>
      <c r="BNX27" s="117"/>
      <c r="BNY27" s="117"/>
      <c r="BNZ27" s="117"/>
      <c r="BOA27" s="117"/>
      <c r="BOB27" s="117"/>
      <c r="BOC27" s="117"/>
      <c r="BOD27" s="117"/>
      <c r="BOE27" s="117"/>
      <c r="BOF27" s="117"/>
      <c r="BOG27" s="117"/>
      <c r="BOH27" s="117"/>
      <c r="BOI27" s="117"/>
      <c r="BOJ27" s="117"/>
      <c r="BOK27" s="117"/>
      <c r="BOL27" s="117"/>
      <c r="BOM27" s="117"/>
      <c r="BON27" s="117"/>
      <c r="BOO27" s="117"/>
      <c r="BOP27" s="117"/>
      <c r="BOQ27" s="117"/>
      <c r="BOR27" s="117"/>
      <c r="BOS27" s="117"/>
      <c r="BOT27" s="117"/>
      <c r="BOU27" s="117"/>
      <c r="BOV27" s="117"/>
      <c r="BOW27" s="117"/>
      <c r="BOX27" s="117"/>
      <c r="BOY27" s="117"/>
      <c r="BOZ27" s="117"/>
      <c r="BPA27" s="117"/>
      <c r="BPB27" s="117"/>
      <c r="BPC27" s="117"/>
      <c r="BPD27" s="117"/>
      <c r="BPE27" s="117"/>
      <c r="BPF27" s="117"/>
      <c r="BPG27" s="117"/>
      <c r="BPH27" s="117"/>
      <c r="BPI27" s="117"/>
      <c r="BPJ27" s="117"/>
      <c r="BPK27" s="117"/>
      <c r="BPL27" s="117"/>
      <c r="BPM27" s="117"/>
      <c r="BPN27" s="117"/>
      <c r="BPO27" s="117"/>
      <c r="BPP27" s="117"/>
      <c r="BPQ27" s="117"/>
      <c r="BPR27" s="117"/>
      <c r="BPS27" s="117"/>
      <c r="BPT27" s="117"/>
      <c r="BPU27" s="117"/>
      <c r="BPV27" s="117"/>
      <c r="BPW27" s="117"/>
      <c r="BPX27" s="117"/>
      <c r="BPY27" s="117"/>
      <c r="BPZ27" s="117"/>
      <c r="BQA27" s="117"/>
      <c r="BQB27" s="117"/>
      <c r="BQC27" s="117"/>
      <c r="BQD27" s="117"/>
      <c r="BQE27" s="117"/>
      <c r="BQF27" s="117"/>
      <c r="BQG27" s="117"/>
      <c r="BQH27" s="117"/>
      <c r="BQI27" s="117"/>
      <c r="BQJ27" s="117"/>
      <c r="BQK27" s="117"/>
      <c r="BQL27" s="117"/>
      <c r="BQM27" s="117"/>
      <c r="BQN27" s="117"/>
      <c r="BQO27" s="117"/>
      <c r="BQP27" s="117"/>
      <c r="BQQ27" s="117"/>
      <c r="BQR27" s="117"/>
      <c r="BQS27" s="117"/>
      <c r="BQT27" s="117"/>
      <c r="BQU27" s="117"/>
      <c r="BQV27" s="117"/>
      <c r="BQW27" s="117"/>
      <c r="BQX27" s="117"/>
      <c r="BQY27" s="117"/>
      <c r="BQZ27" s="117"/>
      <c r="BRA27" s="117"/>
      <c r="BRB27" s="117"/>
      <c r="BRC27" s="117"/>
      <c r="BRD27" s="117"/>
      <c r="BRE27" s="117"/>
      <c r="BRF27" s="117"/>
      <c r="BRG27" s="117"/>
      <c r="BRH27" s="117"/>
      <c r="BRI27" s="117"/>
      <c r="BRJ27" s="117"/>
      <c r="BRK27" s="117"/>
      <c r="BRL27" s="117"/>
      <c r="BRM27" s="117"/>
      <c r="BRN27" s="117"/>
      <c r="BRO27" s="117"/>
      <c r="BRP27" s="117"/>
      <c r="BRQ27" s="117"/>
      <c r="BRR27" s="117"/>
      <c r="BRS27" s="117"/>
      <c r="BRT27" s="117"/>
      <c r="BRU27" s="117"/>
      <c r="BRV27" s="117"/>
      <c r="BRW27" s="117"/>
      <c r="BRX27" s="117"/>
      <c r="BRY27" s="117"/>
      <c r="BRZ27" s="117"/>
      <c r="BSA27" s="117"/>
      <c r="BSB27" s="117"/>
      <c r="BSC27" s="117"/>
      <c r="BSD27" s="117"/>
      <c r="BSE27" s="117"/>
      <c r="BSF27" s="117"/>
      <c r="BSG27" s="117"/>
      <c r="BSH27" s="117"/>
      <c r="BSI27" s="117"/>
      <c r="BSJ27" s="117"/>
      <c r="BSK27" s="117"/>
      <c r="BSL27" s="117"/>
      <c r="BSM27" s="117"/>
      <c r="BSN27" s="117"/>
      <c r="BSO27" s="117"/>
      <c r="BSP27" s="117"/>
      <c r="BSQ27" s="117"/>
      <c r="BSR27" s="117"/>
      <c r="BSS27" s="117"/>
      <c r="BST27" s="117"/>
      <c r="BSU27" s="117"/>
      <c r="BSV27" s="117"/>
      <c r="BSW27" s="117"/>
      <c r="BSX27" s="117"/>
      <c r="BSY27" s="117"/>
      <c r="BSZ27" s="117"/>
      <c r="BTA27" s="117"/>
      <c r="BTB27" s="117"/>
      <c r="BTC27" s="117"/>
      <c r="BTD27" s="117"/>
      <c r="BTE27" s="117"/>
      <c r="BTF27" s="117"/>
      <c r="BTG27" s="117"/>
      <c r="BTH27" s="117"/>
      <c r="BTI27" s="117"/>
      <c r="BTJ27" s="117"/>
      <c r="BTK27" s="117"/>
      <c r="BTL27" s="117"/>
      <c r="BTM27" s="117"/>
      <c r="BTN27" s="117"/>
      <c r="BTO27" s="117"/>
      <c r="BTP27" s="117"/>
      <c r="BTQ27" s="117"/>
      <c r="BTR27" s="117"/>
      <c r="BTS27" s="117"/>
      <c r="BTT27" s="117"/>
      <c r="BTU27" s="117"/>
      <c r="BTV27" s="117"/>
      <c r="BTW27" s="117"/>
      <c r="BTX27" s="117"/>
      <c r="BTY27" s="117"/>
      <c r="BTZ27" s="117"/>
      <c r="BUA27" s="117"/>
      <c r="BUB27" s="117"/>
      <c r="BUC27" s="117"/>
      <c r="BUD27" s="117"/>
      <c r="BUE27" s="117"/>
      <c r="BUF27" s="117"/>
      <c r="BUG27" s="117"/>
      <c r="BUH27" s="117"/>
      <c r="BUI27" s="117"/>
      <c r="BUJ27" s="117"/>
      <c r="BUK27" s="117"/>
      <c r="BUL27" s="117"/>
      <c r="BUM27" s="117"/>
      <c r="BUN27" s="117"/>
      <c r="BUO27" s="117"/>
      <c r="BUP27" s="117"/>
      <c r="BUQ27" s="117"/>
      <c r="BUR27" s="117"/>
      <c r="BUS27" s="117"/>
      <c r="BUT27" s="117"/>
      <c r="BUU27" s="117"/>
      <c r="BUV27" s="117"/>
      <c r="BUW27" s="117"/>
      <c r="BUX27" s="117"/>
      <c r="BUY27" s="117"/>
      <c r="BUZ27" s="117"/>
      <c r="BVA27" s="117"/>
      <c r="BVB27" s="117"/>
      <c r="BVC27" s="117"/>
      <c r="BVD27" s="117"/>
      <c r="BVE27" s="117"/>
      <c r="BVF27" s="117"/>
      <c r="BVG27" s="117"/>
      <c r="BVH27" s="117"/>
      <c r="BVI27" s="117"/>
      <c r="BVJ27" s="117"/>
      <c r="BVK27" s="117"/>
      <c r="BVL27" s="117"/>
      <c r="BVM27" s="117"/>
      <c r="BVN27" s="117"/>
      <c r="BVO27" s="117"/>
      <c r="BVP27" s="117"/>
      <c r="BVQ27" s="117"/>
      <c r="BVR27" s="117"/>
      <c r="BVS27" s="117"/>
      <c r="BVT27" s="117"/>
      <c r="BVU27" s="117"/>
      <c r="BVV27" s="117"/>
      <c r="BVW27" s="117"/>
      <c r="BVX27" s="117"/>
      <c r="BVY27" s="117"/>
      <c r="BVZ27" s="117"/>
      <c r="BWA27" s="117"/>
      <c r="BWB27" s="117"/>
      <c r="BWC27" s="117"/>
      <c r="BWD27" s="117"/>
      <c r="BWE27" s="117"/>
      <c r="BWF27" s="117"/>
      <c r="BWG27" s="117"/>
      <c r="BWH27" s="117"/>
      <c r="BWI27" s="117"/>
      <c r="BWJ27" s="117"/>
      <c r="BWK27" s="117"/>
      <c r="BWL27" s="117"/>
      <c r="BWM27" s="117"/>
      <c r="BWN27" s="117"/>
      <c r="BWO27" s="117"/>
      <c r="BWP27" s="117"/>
      <c r="BWQ27" s="117"/>
      <c r="BWR27" s="117"/>
      <c r="BWS27" s="117"/>
      <c r="BWT27" s="117"/>
      <c r="BWU27" s="117"/>
      <c r="BWV27" s="117"/>
      <c r="BWW27" s="117"/>
      <c r="BWX27" s="117"/>
      <c r="BWY27" s="117"/>
      <c r="BWZ27" s="117"/>
      <c r="BXA27" s="117"/>
      <c r="BXB27" s="117"/>
      <c r="BXC27" s="117"/>
      <c r="BXD27" s="117"/>
      <c r="BXE27" s="117"/>
      <c r="BXF27" s="117"/>
      <c r="BXG27" s="117"/>
      <c r="BXH27" s="117"/>
      <c r="BXI27" s="117"/>
      <c r="BXJ27" s="117"/>
      <c r="BXK27" s="117"/>
      <c r="BXL27" s="117"/>
      <c r="BXM27" s="117"/>
      <c r="BXN27" s="117"/>
      <c r="BXO27" s="117"/>
      <c r="BXP27" s="117"/>
      <c r="BXQ27" s="117"/>
      <c r="BXR27" s="117"/>
      <c r="BXS27" s="117"/>
      <c r="BXT27" s="117"/>
      <c r="BXU27" s="117"/>
      <c r="BXV27" s="117"/>
      <c r="BXW27" s="117"/>
      <c r="BXX27" s="117"/>
      <c r="BXY27" s="117"/>
      <c r="BXZ27" s="117"/>
      <c r="BYA27" s="117"/>
      <c r="BYB27" s="117"/>
      <c r="BYC27" s="117"/>
      <c r="BYD27" s="117"/>
      <c r="BYE27" s="117"/>
      <c r="BYF27" s="117"/>
      <c r="BYG27" s="117"/>
      <c r="BYH27" s="117"/>
      <c r="BYI27" s="117"/>
      <c r="BYJ27" s="117"/>
      <c r="BYK27" s="117"/>
      <c r="BYL27" s="117"/>
      <c r="BYM27" s="117"/>
      <c r="BYN27" s="117"/>
      <c r="BYO27" s="117"/>
      <c r="BYP27" s="117"/>
      <c r="BYQ27" s="117"/>
      <c r="BYR27" s="117"/>
      <c r="BYS27" s="117"/>
      <c r="BYT27" s="117"/>
      <c r="BYU27" s="117"/>
      <c r="BYV27" s="117"/>
      <c r="BYW27" s="117"/>
      <c r="BYX27" s="117"/>
      <c r="BYY27" s="117"/>
      <c r="BYZ27" s="117"/>
      <c r="BZA27" s="117"/>
      <c r="BZB27" s="117"/>
      <c r="BZC27" s="117"/>
      <c r="BZD27" s="117"/>
      <c r="BZE27" s="117"/>
      <c r="BZF27" s="117"/>
      <c r="BZG27" s="117"/>
      <c r="BZH27" s="117"/>
      <c r="BZI27" s="117"/>
      <c r="BZJ27" s="117"/>
      <c r="BZK27" s="117"/>
      <c r="BZL27" s="117"/>
      <c r="BZM27" s="117"/>
      <c r="BZN27" s="117"/>
      <c r="BZO27" s="117"/>
      <c r="BZP27" s="117"/>
      <c r="BZQ27" s="117"/>
      <c r="BZR27" s="117"/>
      <c r="BZS27" s="117"/>
      <c r="BZT27" s="117"/>
      <c r="BZU27" s="117"/>
      <c r="BZV27" s="117"/>
      <c r="BZW27" s="117"/>
      <c r="BZX27" s="117"/>
      <c r="BZY27" s="117"/>
      <c r="BZZ27" s="117"/>
      <c r="CAA27" s="117"/>
      <c r="CAB27" s="117"/>
      <c r="CAC27" s="117"/>
      <c r="CAD27" s="117"/>
      <c r="CAE27" s="117"/>
      <c r="CAF27" s="117"/>
      <c r="CAG27" s="117"/>
      <c r="CAH27" s="117"/>
      <c r="CAI27" s="117"/>
      <c r="CAJ27" s="117"/>
      <c r="CAK27" s="117"/>
      <c r="CAL27" s="117"/>
      <c r="CAM27" s="117"/>
      <c r="CAN27" s="117"/>
      <c r="CAO27" s="117"/>
      <c r="CAP27" s="117"/>
      <c r="CAQ27" s="117"/>
      <c r="CAR27" s="117"/>
      <c r="CAS27" s="117"/>
      <c r="CAT27" s="117"/>
      <c r="CAU27" s="117"/>
      <c r="CAV27" s="117"/>
      <c r="CAW27" s="117"/>
      <c r="CAX27" s="117"/>
      <c r="CAY27" s="117"/>
      <c r="CAZ27" s="117"/>
      <c r="CBA27" s="117"/>
      <c r="CBB27" s="117"/>
      <c r="CBC27" s="117"/>
      <c r="CBD27" s="117"/>
      <c r="CBE27" s="117"/>
      <c r="CBF27" s="117"/>
      <c r="CBG27" s="117"/>
      <c r="CBH27" s="117"/>
      <c r="CBI27" s="117"/>
      <c r="CBJ27" s="117"/>
      <c r="CBK27" s="117"/>
      <c r="CBL27" s="117"/>
      <c r="CBM27" s="117"/>
      <c r="CBN27" s="117"/>
      <c r="CBO27" s="117"/>
      <c r="CBP27" s="117"/>
      <c r="CBQ27" s="117"/>
      <c r="CBR27" s="117"/>
      <c r="CBS27" s="117"/>
      <c r="CBT27" s="117"/>
      <c r="CBU27" s="117"/>
      <c r="CBV27" s="117"/>
      <c r="CBW27" s="117"/>
      <c r="CBX27" s="117"/>
      <c r="CBY27" s="117"/>
      <c r="CBZ27" s="117"/>
      <c r="CCA27" s="117"/>
      <c r="CCB27" s="117"/>
      <c r="CCC27" s="117"/>
      <c r="CCD27" s="117"/>
      <c r="CCE27" s="117"/>
      <c r="CCF27" s="117"/>
      <c r="CCG27" s="117"/>
      <c r="CCH27" s="117"/>
      <c r="CCI27" s="117"/>
      <c r="CCJ27" s="117"/>
      <c r="CCK27" s="117"/>
      <c r="CCL27" s="117"/>
      <c r="CCM27" s="117"/>
      <c r="CCN27" s="117"/>
      <c r="CCO27" s="117"/>
      <c r="CCP27" s="117"/>
      <c r="CCQ27" s="117"/>
      <c r="CCR27" s="117"/>
      <c r="CCS27" s="117"/>
      <c r="CCT27" s="117"/>
      <c r="CCU27" s="117"/>
      <c r="CCV27" s="117"/>
      <c r="CCW27" s="117"/>
      <c r="CCX27" s="117"/>
      <c r="CCY27" s="117"/>
      <c r="CCZ27" s="117"/>
      <c r="CDA27" s="117"/>
      <c r="CDB27" s="117"/>
      <c r="CDC27" s="117"/>
      <c r="CDD27" s="117"/>
      <c r="CDE27" s="117"/>
      <c r="CDF27" s="117"/>
      <c r="CDG27" s="117"/>
      <c r="CDH27" s="117"/>
      <c r="CDI27" s="117"/>
      <c r="CDJ27" s="117"/>
      <c r="CDK27" s="117"/>
      <c r="CDL27" s="117"/>
      <c r="CDM27" s="117"/>
      <c r="CDN27" s="117"/>
      <c r="CDO27" s="117"/>
      <c r="CDP27" s="117"/>
      <c r="CDQ27" s="117"/>
      <c r="CDR27" s="117"/>
      <c r="CDS27" s="117"/>
      <c r="CDT27" s="117"/>
      <c r="CDU27" s="117"/>
      <c r="CDV27" s="117"/>
      <c r="CDW27" s="117"/>
      <c r="CDX27" s="117"/>
      <c r="CDY27" s="117"/>
      <c r="CDZ27" s="117"/>
      <c r="CEA27" s="117"/>
      <c r="CEB27" s="117"/>
      <c r="CEC27" s="117"/>
      <c r="CED27" s="117"/>
      <c r="CEE27" s="117"/>
      <c r="CEF27" s="117"/>
      <c r="CEG27" s="117"/>
      <c r="CEH27" s="117"/>
      <c r="CEI27" s="117"/>
      <c r="CEJ27" s="117"/>
      <c r="CEK27" s="117"/>
      <c r="CEL27" s="117"/>
      <c r="CEM27" s="117"/>
      <c r="CEN27" s="117"/>
      <c r="CEO27" s="117"/>
      <c r="CEP27" s="117"/>
      <c r="CEQ27" s="117"/>
      <c r="CER27" s="117"/>
      <c r="CES27" s="117"/>
      <c r="CET27" s="117"/>
      <c r="CEU27" s="117"/>
      <c r="CEV27" s="117"/>
      <c r="CEW27" s="117"/>
      <c r="CEX27" s="117"/>
      <c r="CEY27" s="117"/>
      <c r="CEZ27" s="117"/>
      <c r="CFA27" s="117"/>
      <c r="CFB27" s="117"/>
      <c r="CFC27" s="117"/>
      <c r="CFD27" s="117"/>
      <c r="CFE27" s="117"/>
      <c r="CFF27" s="117"/>
      <c r="CFG27" s="117"/>
      <c r="CFH27" s="117"/>
      <c r="CFI27" s="117"/>
      <c r="CFJ27" s="117"/>
      <c r="CFK27" s="117"/>
      <c r="CFL27" s="117"/>
      <c r="CFM27" s="117"/>
      <c r="CFN27" s="117"/>
      <c r="CFO27" s="117"/>
      <c r="CFP27" s="117"/>
      <c r="CFQ27" s="117"/>
      <c r="CFR27" s="117"/>
      <c r="CFS27" s="117"/>
      <c r="CFT27" s="117"/>
      <c r="CFU27" s="117"/>
      <c r="CFV27" s="117"/>
      <c r="CFW27" s="117"/>
      <c r="CFX27" s="117"/>
      <c r="CFY27" s="117"/>
      <c r="CFZ27" s="117"/>
      <c r="CGA27" s="117"/>
      <c r="CGB27" s="117"/>
      <c r="CGC27" s="117"/>
      <c r="CGD27" s="117"/>
      <c r="CGE27" s="117"/>
      <c r="CGF27" s="117"/>
      <c r="CGG27" s="117"/>
      <c r="CGH27" s="117"/>
      <c r="CGI27" s="117"/>
      <c r="CGJ27" s="117"/>
      <c r="CGK27" s="117"/>
      <c r="CGL27" s="117"/>
      <c r="CGM27" s="117"/>
      <c r="CGN27" s="117"/>
      <c r="CGO27" s="117"/>
      <c r="CGP27" s="117"/>
      <c r="CGQ27" s="117"/>
      <c r="CGR27" s="117"/>
      <c r="CGS27" s="117"/>
      <c r="CGT27" s="117"/>
      <c r="CGU27" s="117"/>
      <c r="CGV27" s="117"/>
      <c r="CGW27" s="117"/>
      <c r="CGX27" s="117"/>
      <c r="CGY27" s="117"/>
      <c r="CGZ27" s="117"/>
      <c r="CHA27" s="117"/>
      <c r="CHB27" s="117"/>
      <c r="CHC27" s="117"/>
      <c r="CHD27" s="117"/>
      <c r="CHE27" s="117"/>
      <c r="CHF27" s="117"/>
      <c r="CHG27" s="117"/>
      <c r="CHH27" s="117"/>
      <c r="CHI27" s="117"/>
      <c r="CHJ27" s="117"/>
      <c r="CHK27" s="117"/>
      <c r="CHL27" s="117"/>
      <c r="CHM27" s="117"/>
      <c r="CHN27" s="117"/>
      <c r="CHO27" s="117"/>
      <c r="CHP27" s="117"/>
      <c r="CHQ27" s="117"/>
      <c r="CHR27" s="117"/>
      <c r="CHS27" s="117"/>
      <c r="CHT27" s="117"/>
      <c r="CHU27" s="117"/>
      <c r="CHV27" s="117"/>
      <c r="CHW27" s="117"/>
      <c r="CHX27" s="117"/>
      <c r="CHY27" s="117"/>
      <c r="CHZ27" s="117"/>
      <c r="CIA27" s="117"/>
      <c r="CIB27" s="117"/>
      <c r="CIC27" s="117"/>
      <c r="CID27" s="117"/>
      <c r="CIE27" s="117"/>
      <c r="CIF27" s="117"/>
      <c r="CIG27" s="117"/>
      <c r="CIH27" s="117"/>
      <c r="CII27" s="117"/>
      <c r="CIJ27" s="117"/>
      <c r="CIK27" s="117"/>
      <c r="CIL27" s="117"/>
      <c r="CIM27" s="117"/>
      <c r="CIN27" s="117"/>
      <c r="CIO27" s="117"/>
      <c r="CIP27" s="117"/>
      <c r="CIQ27" s="117"/>
      <c r="CIR27" s="117"/>
      <c r="CIS27" s="117"/>
      <c r="CIT27" s="117"/>
      <c r="CIU27" s="117"/>
      <c r="CIV27" s="117"/>
      <c r="CIW27" s="117"/>
      <c r="CIX27" s="117"/>
      <c r="CIY27" s="117"/>
      <c r="CIZ27" s="117"/>
      <c r="CJA27" s="117"/>
      <c r="CJB27" s="117"/>
      <c r="CJC27" s="117"/>
      <c r="CJD27" s="117"/>
      <c r="CJE27" s="117"/>
      <c r="CJF27" s="117"/>
      <c r="CJG27" s="117"/>
      <c r="CJH27" s="117"/>
      <c r="CJI27" s="117"/>
      <c r="CJJ27" s="117"/>
      <c r="CJK27" s="117"/>
      <c r="CJL27" s="117"/>
      <c r="CJM27" s="117"/>
      <c r="CJN27" s="117"/>
      <c r="CJO27" s="117"/>
      <c r="CJP27" s="117"/>
      <c r="CJQ27" s="117"/>
      <c r="CJR27" s="117"/>
      <c r="CJS27" s="117"/>
      <c r="CJT27" s="117"/>
      <c r="CJU27" s="117"/>
      <c r="CJV27" s="117"/>
      <c r="CJW27" s="117"/>
      <c r="CJX27" s="117"/>
      <c r="CJY27" s="117"/>
      <c r="CJZ27" s="117"/>
      <c r="CKA27" s="117"/>
      <c r="CKB27" s="117"/>
      <c r="CKC27" s="117"/>
      <c r="CKD27" s="117"/>
      <c r="CKE27" s="117"/>
      <c r="CKF27" s="117"/>
      <c r="CKG27" s="117"/>
      <c r="CKH27" s="117"/>
      <c r="CKI27" s="117"/>
      <c r="CKJ27" s="117"/>
      <c r="CKK27" s="117"/>
      <c r="CKL27" s="117"/>
      <c r="CKM27" s="117"/>
      <c r="CKN27" s="117"/>
      <c r="CKO27" s="117"/>
      <c r="CKP27" s="117"/>
      <c r="CKQ27" s="117"/>
      <c r="CKR27" s="117"/>
      <c r="CKS27" s="117"/>
      <c r="CKT27" s="117"/>
      <c r="CKU27" s="117"/>
      <c r="CKV27" s="117"/>
      <c r="CKW27" s="117"/>
      <c r="CKX27" s="117"/>
      <c r="CKY27" s="117"/>
      <c r="CKZ27" s="117"/>
      <c r="CLA27" s="117"/>
      <c r="CLB27" s="117"/>
      <c r="CLC27" s="117"/>
      <c r="CLD27" s="117"/>
      <c r="CLE27" s="117"/>
      <c r="CLF27" s="117"/>
      <c r="CLG27" s="117"/>
      <c r="CLH27" s="117"/>
      <c r="CLI27" s="117"/>
      <c r="CLJ27" s="117"/>
      <c r="CLK27" s="117"/>
      <c r="CLL27" s="117"/>
      <c r="CLM27" s="117"/>
      <c r="CLN27" s="117"/>
      <c r="CLO27" s="117"/>
      <c r="CLP27" s="117"/>
      <c r="CLQ27" s="117"/>
      <c r="CLR27" s="117"/>
      <c r="CLS27" s="117"/>
      <c r="CLT27" s="117"/>
      <c r="CLU27" s="117"/>
      <c r="CLV27" s="117"/>
      <c r="CLW27" s="117"/>
      <c r="CLX27" s="117"/>
      <c r="CLY27" s="117"/>
      <c r="CLZ27" s="117"/>
      <c r="CMA27" s="117"/>
      <c r="CMB27" s="117"/>
      <c r="CMC27" s="117"/>
      <c r="CMD27" s="117"/>
      <c r="CME27" s="117"/>
      <c r="CMF27" s="117"/>
      <c r="CMG27" s="117"/>
      <c r="CMH27" s="117"/>
      <c r="CMI27" s="117"/>
      <c r="CMJ27" s="117"/>
      <c r="CMK27" s="117"/>
      <c r="CML27" s="117"/>
      <c r="CMM27" s="117"/>
      <c r="CMN27" s="117"/>
      <c r="CMO27" s="117"/>
      <c r="CMP27" s="117"/>
      <c r="CMQ27" s="117"/>
      <c r="CMR27" s="117"/>
      <c r="CMS27" s="117"/>
      <c r="CMT27" s="117"/>
      <c r="CMU27" s="117"/>
      <c r="CMV27" s="117"/>
      <c r="CMW27" s="117"/>
      <c r="CMX27" s="117"/>
      <c r="CMY27" s="117"/>
      <c r="CMZ27" s="117"/>
      <c r="CNA27" s="117"/>
      <c r="CNB27" s="117"/>
      <c r="CNC27" s="117"/>
      <c r="CND27" s="117"/>
      <c r="CNE27" s="117"/>
      <c r="CNF27" s="117"/>
      <c r="CNG27" s="117"/>
      <c r="CNH27" s="117"/>
      <c r="CNI27" s="117"/>
      <c r="CNJ27" s="117"/>
      <c r="CNK27" s="117"/>
      <c r="CNL27" s="117"/>
      <c r="CNM27" s="117"/>
      <c r="CNN27" s="117"/>
      <c r="CNO27" s="117"/>
      <c r="CNP27" s="117"/>
      <c r="CNQ27" s="117"/>
      <c r="CNR27" s="117"/>
      <c r="CNS27" s="117"/>
      <c r="CNT27" s="117"/>
      <c r="CNU27" s="117"/>
      <c r="CNV27" s="117"/>
      <c r="CNW27" s="117"/>
      <c r="CNX27" s="117"/>
      <c r="CNY27" s="117"/>
      <c r="CNZ27" s="117"/>
      <c r="COA27" s="117"/>
      <c r="COB27" s="117"/>
      <c r="COC27" s="117"/>
      <c r="COD27" s="117"/>
      <c r="COE27" s="117"/>
      <c r="COF27" s="117"/>
      <c r="COG27" s="117"/>
      <c r="COH27" s="117"/>
      <c r="COI27" s="117"/>
      <c r="COJ27" s="117"/>
      <c r="COK27" s="117"/>
      <c r="COL27" s="117"/>
      <c r="COM27" s="117"/>
      <c r="CON27" s="117"/>
      <c r="COO27" s="117"/>
      <c r="COP27" s="117"/>
      <c r="COQ27" s="117"/>
      <c r="COR27" s="117"/>
      <c r="COS27" s="117"/>
      <c r="COT27" s="117"/>
      <c r="COU27" s="117"/>
      <c r="COV27" s="117"/>
      <c r="COW27" s="117"/>
      <c r="COX27" s="117"/>
      <c r="COY27" s="117"/>
      <c r="COZ27" s="117"/>
      <c r="CPA27" s="117"/>
      <c r="CPB27" s="117"/>
      <c r="CPC27" s="117"/>
      <c r="CPD27" s="117"/>
      <c r="CPE27" s="117"/>
      <c r="CPF27" s="117"/>
      <c r="CPG27" s="117"/>
      <c r="CPH27" s="117"/>
      <c r="CPI27" s="117"/>
      <c r="CPJ27" s="117"/>
      <c r="CPK27" s="117"/>
      <c r="CPL27" s="117"/>
      <c r="CPM27" s="117"/>
      <c r="CPN27" s="117"/>
      <c r="CPO27" s="117"/>
      <c r="CPP27" s="117"/>
      <c r="CPQ27" s="117"/>
      <c r="CPR27" s="117"/>
      <c r="CPS27" s="117"/>
      <c r="CPT27" s="117"/>
      <c r="CPU27" s="117"/>
      <c r="CPV27" s="117"/>
      <c r="CPW27" s="117"/>
      <c r="CPX27" s="117"/>
      <c r="CPY27" s="117"/>
      <c r="CPZ27" s="117"/>
      <c r="CQA27" s="117"/>
      <c r="CQB27" s="117"/>
      <c r="CQC27" s="117"/>
      <c r="CQD27" s="117"/>
      <c r="CQE27" s="117"/>
      <c r="CQF27" s="117"/>
      <c r="CQG27" s="117"/>
      <c r="CQH27" s="117"/>
      <c r="CQI27" s="117"/>
      <c r="CQJ27" s="117"/>
      <c r="CQK27" s="117"/>
      <c r="CQL27" s="117"/>
      <c r="CQM27" s="117"/>
      <c r="CQN27" s="117"/>
      <c r="CQO27" s="117"/>
      <c r="CQP27" s="117"/>
      <c r="CQQ27" s="117"/>
      <c r="CQR27" s="117"/>
      <c r="CQS27" s="117"/>
      <c r="CQT27" s="117"/>
      <c r="CQU27" s="117"/>
      <c r="CQV27" s="117"/>
      <c r="CQW27" s="117"/>
      <c r="CQX27" s="117"/>
      <c r="CQY27" s="117"/>
      <c r="CQZ27" s="117"/>
      <c r="CRA27" s="117"/>
      <c r="CRB27" s="117"/>
      <c r="CRC27" s="117"/>
      <c r="CRD27" s="117"/>
      <c r="CRE27" s="117"/>
      <c r="CRF27" s="117"/>
      <c r="CRG27" s="117"/>
      <c r="CRH27" s="117"/>
      <c r="CRI27" s="117"/>
      <c r="CRJ27" s="117"/>
      <c r="CRK27" s="117"/>
      <c r="CRL27" s="117"/>
      <c r="CRM27" s="117"/>
      <c r="CRN27" s="117"/>
      <c r="CRO27" s="117"/>
      <c r="CRP27" s="117"/>
      <c r="CRQ27" s="117"/>
      <c r="CRR27" s="117"/>
      <c r="CRS27" s="117"/>
      <c r="CRT27" s="117"/>
      <c r="CRU27" s="117"/>
      <c r="CRV27" s="117"/>
      <c r="CRW27" s="117"/>
      <c r="CRX27" s="117"/>
      <c r="CRY27" s="117"/>
      <c r="CRZ27" s="117"/>
      <c r="CSA27" s="117"/>
      <c r="CSB27" s="117"/>
      <c r="CSC27" s="117"/>
      <c r="CSD27" s="117"/>
      <c r="CSE27" s="117"/>
      <c r="CSF27" s="117"/>
      <c r="CSG27" s="117"/>
      <c r="CSH27" s="117"/>
      <c r="CSI27" s="117"/>
      <c r="CSJ27" s="117"/>
      <c r="CSK27" s="117"/>
      <c r="CSL27" s="117"/>
      <c r="CSM27" s="117"/>
      <c r="CSN27" s="117"/>
      <c r="CSO27" s="117"/>
      <c r="CSP27" s="117"/>
      <c r="CSQ27" s="117"/>
      <c r="CSR27" s="117"/>
      <c r="CSS27" s="117"/>
      <c r="CST27" s="117"/>
      <c r="CSU27" s="117"/>
      <c r="CSV27" s="117"/>
      <c r="CSW27" s="117"/>
      <c r="CSX27" s="117"/>
      <c r="CSY27" s="117"/>
      <c r="CSZ27" s="117"/>
      <c r="CTA27" s="117"/>
      <c r="CTB27" s="117"/>
      <c r="CTC27" s="117"/>
      <c r="CTD27" s="117"/>
      <c r="CTE27" s="117"/>
      <c r="CTF27" s="117"/>
      <c r="CTG27" s="117"/>
      <c r="CTH27" s="117"/>
      <c r="CTI27" s="117"/>
      <c r="CTJ27" s="117"/>
      <c r="CTK27" s="117"/>
      <c r="CTL27" s="117"/>
      <c r="CTM27" s="117"/>
      <c r="CTN27" s="117"/>
      <c r="CTO27" s="117"/>
      <c r="CTP27" s="117"/>
      <c r="CTQ27" s="117"/>
      <c r="CTR27" s="117"/>
      <c r="CTS27" s="117"/>
      <c r="CTT27" s="117"/>
      <c r="CTU27" s="117"/>
      <c r="CTV27" s="117"/>
      <c r="CTW27" s="117"/>
      <c r="CTX27" s="117"/>
      <c r="CTY27" s="117"/>
      <c r="CTZ27" s="117"/>
      <c r="CUA27" s="117"/>
      <c r="CUB27" s="117"/>
      <c r="CUC27" s="117"/>
      <c r="CUD27" s="117"/>
      <c r="CUE27" s="117"/>
      <c r="CUF27" s="117"/>
      <c r="CUG27" s="117"/>
      <c r="CUH27" s="117"/>
      <c r="CUI27" s="117"/>
      <c r="CUJ27" s="117"/>
      <c r="CUK27" s="117"/>
      <c r="CUL27" s="117"/>
      <c r="CUM27" s="117"/>
      <c r="CUN27" s="117"/>
      <c r="CUO27" s="117"/>
      <c r="CUP27" s="117"/>
      <c r="CUQ27" s="117"/>
      <c r="CUR27" s="117"/>
      <c r="CUS27" s="117"/>
      <c r="CUT27" s="117"/>
      <c r="CUU27" s="117"/>
      <c r="CUV27" s="117"/>
      <c r="CUW27" s="117"/>
      <c r="CUX27" s="117"/>
      <c r="CUY27" s="117"/>
      <c r="CUZ27" s="117"/>
      <c r="CVA27" s="117"/>
      <c r="CVB27" s="117"/>
      <c r="CVC27" s="117"/>
      <c r="CVD27" s="117"/>
      <c r="CVE27" s="117"/>
      <c r="CVF27" s="117"/>
      <c r="CVG27" s="117"/>
      <c r="CVH27" s="117"/>
      <c r="CVI27" s="117"/>
      <c r="CVJ27" s="117"/>
      <c r="CVK27" s="117"/>
      <c r="CVL27" s="117"/>
      <c r="CVM27" s="117"/>
      <c r="CVN27" s="117"/>
      <c r="CVO27" s="117"/>
      <c r="CVP27" s="117"/>
      <c r="CVQ27" s="117"/>
      <c r="CVR27" s="117"/>
      <c r="CVS27" s="117"/>
      <c r="CVT27" s="117"/>
      <c r="CVU27" s="117"/>
      <c r="CVV27" s="117"/>
      <c r="CVW27" s="117"/>
      <c r="CVX27" s="117"/>
      <c r="CVY27" s="117"/>
      <c r="CVZ27" s="117"/>
      <c r="CWA27" s="117"/>
      <c r="CWB27" s="117"/>
      <c r="CWC27" s="117"/>
      <c r="CWD27" s="117"/>
      <c r="CWE27" s="117"/>
      <c r="CWF27" s="117"/>
      <c r="CWG27" s="117"/>
      <c r="CWH27" s="117"/>
      <c r="CWI27" s="117"/>
      <c r="CWJ27" s="117"/>
      <c r="CWK27" s="117"/>
      <c r="CWL27" s="117"/>
      <c r="CWM27" s="117"/>
      <c r="CWN27" s="117"/>
      <c r="CWO27" s="117"/>
      <c r="CWP27" s="117"/>
      <c r="CWQ27" s="117"/>
      <c r="CWR27" s="117"/>
      <c r="CWS27" s="117"/>
      <c r="CWT27" s="117"/>
      <c r="CWU27" s="117"/>
      <c r="CWV27" s="117"/>
      <c r="CWW27" s="117"/>
      <c r="CWX27" s="117"/>
      <c r="CWY27" s="117"/>
      <c r="CWZ27" s="117"/>
      <c r="CXA27" s="117"/>
      <c r="CXB27" s="117"/>
      <c r="CXC27" s="117"/>
      <c r="CXD27" s="117"/>
      <c r="CXE27" s="117"/>
      <c r="CXF27" s="117"/>
      <c r="CXG27" s="117"/>
      <c r="CXH27" s="117"/>
      <c r="CXI27" s="117"/>
      <c r="CXJ27" s="117"/>
      <c r="CXK27" s="117"/>
      <c r="CXL27" s="117"/>
      <c r="CXM27" s="117"/>
      <c r="CXN27" s="117"/>
      <c r="CXO27" s="117"/>
      <c r="CXP27" s="117"/>
      <c r="CXQ27" s="117"/>
      <c r="CXR27" s="117"/>
      <c r="CXS27" s="117"/>
      <c r="CXT27" s="117"/>
      <c r="CXU27" s="117"/>
      <c r="CXV27" s="117"/>
      <c r="CXW27" s="117"/>
      <c r="CXX27" s="117"/>
      <c r="CXY27" s="117"/>
      <c r="CXZ27" s="117"/>
      <c r="CYA27" s="117"/>
      <c r="CYB27" s="117"/>
      <c r="CYC27" s="117"/>
      <c r="CYD27" s="117"/>
      <c r="CYE27" s="117"/>
      <c r="CYF27" s="117"/>
      <c r="CYG27" s="117"/>
      <c r="CYH27" s="117"/>
      <c r="CYI27" s="117"/>
      <c r="CYJ27" s="117"/>
      <c r="CYK27" s="117"/>
      <c r="CYL27" s="117"/>
      <c r="CYM27" s="117"/>
      <c r="CYN27" s="117"/>
      <c r="CYO27" s="117"/>
      <c r="CYP27" s="117"/>
      <c r="CYQ27" s="117"/>
      <c r="CYR27" s="117"/>
      <c r="CYS27" s="117"/>
      <c r="CYT27" s="117"/>
      <c r="CYU27" s="117"/>
      <c r="CYV27" s="117"/>
      <c r="CYW27" s="117"/>
      <c r="CYX27" s="117"/>
      <c r="CYY27" s="117"/>
      <c r="CYZ27" s="117"/>
      <c r="CZA27" s="117"/>
      <c r="CZB27" s="117"/>
      <c r="CZC27" s="117"/>
      <c r="CZD27" s="117"/>
      <c r="CZE27" s="117"/>
      <c r="CZF27" s="117"/>
      <c r="CZG27" s="117"/>
      <c r="CZH27" s="117"/>
      <c r="CZI27" s="117"/>
      <c r="CZJ27" s="117"/>
      <c r="CZK27" s="117"/>
      <c r="CZL27" s="117"/>
      <c r="CZM27" s="117"/>
      <c r="CZN27" s="117"/>
      <c r="CZO27" s="117"/>
      <c r="CZP27" s="117"/>
      <c r="CZQ27" s="117"/>
      <c r="CZR27" s="117"/>
      <c r="CZS27" s="117"/>
      <c r="CZT27" s="117"/>
      <c r="CZU27" s="117"/>
      <c r="CZV27" s="117"/>
      <c r="CZW27" s="117"/>
      <c r="CZX27" s="117"/>
      <c r="CZY27" s="117"/>
      <c r="CZZ27" s="117"/>
      <c r="DAA27" s="117"/>
      <c r="DAB27" s="117"/>
      <c r="DAC27" s="117"/>
      <c r="DAD27" s="117"/>
      <c r="DAE27" s="117"/>
      <c r="DAF27" s="117"/>
      <c r="DAG27" s="117"/>
      <c r="DAH27" s="117"/>
      <c r="DAI27" s="117"/>
      <c r="DAJ27" s="117"/>
      <c r="DAK27" s="117"/>
      <c r="DAL27" s="117"/>
      <c r="DAM27" s="117"/>
      <c r="DAN27" s="117"/>
      <c r="DAO27" s="117"/>
      <c r="DAP27" s="117"/>
      <c r="DAQ27" s="117"/>
      <c r="DAR27" s="117"/>
      <c r="DAS27" s="117"/>
      <c r="DAT27" s="117"/>
      <c r="DAU27" s="117"/>
      <c r="DAV27" s="117"/>
      <c r="DAW27" s="117"/>
      <c r="DAX27" s="117"/>
      <c r="DAY27" s="117"/>
      <c r="DAZ27" s="117"/>
      <c r="DBA27" s="117"/>
      <c r="DBB27" s="117"/>
      <c r="DBC27" s="117"/>
      <c r="DBD27" s="117"/>
      <c r="DBE27" s="117"/>
      <c r="DBF27" s="117"/>
      <c r="DBG27" s="117"/>
      <c r="DBH27" s="117"/>
      <c r="DBI27" s="117"/>
      <c r="DBJ27" s="117"/>
      <c r="DBK27" s="117"/>
      <c r="DBL27" s="117"/>
      <c r="DBM27" s="117"/>
      <c r="DBN27" s="117"/>
      <c r="DBO27" s="117"/>
      <c r="DBP27" s="117"/>
      <c r="DBQ27" s="117"/>
      <c r="DBR27" s="117"/>
      <c r="DBS27" s="117"/>
      <c r="DBT27" s="117"/>
      <c r="DBU27" s="117"/>
      <c r="DBV27" s="117"/>
      <c r="DBW27" s="117"/>
      <c r="DBX27" s="117"/>
      <c r="DBY27" s="117"/>
      <c r="DBZ27" s="117"/>
      <c r="DCA27" s="117"/>
      <c r="DCB27" s="117"/>
      <c r="DCC27" s="117"/>
      <c r="DCD27" s="117"/>
      <c r="DCE27" s="117"/>
      <c r="DCF27" s="117"/>
      <c r="DCG27" s="117"/>
      <c r="DCH27" s="117"/>
      <c r="DCI27" s="117"/>
      <c r="DCJ27" s="117"/>
      <c r="DCK27" s="117"/>
      <c r="DCL27" s="117"/>
      <c r="DCM27" s="117"/>
      <c r="DCN27" s="117"/>
      <c r="DCO27" s="117"/>
      <c r="DCP27" s="117"/>
      <c r="DCQ27" s="117"/>
      <c r="DCR27" s="117"/>
      <c r="DCS27" s="117"/>
      <c r="DCT27" s="117"/>
      <c r="DCU27" s="117"/>
      <c r="DCV27" s="117"/>
      <c r="DCW27" s="117"/>
      <c r="DCX27" s="117"/>
      <c r="DCY27" s="117"/>
      <c r="DCZ27" s="117"/>
      <c r="DDA27" s="117"/>
      <c r="DDB27" s="117"/>
      <c r="DDC27" s="117"/>
      <c r="DDD27" s="117"/>
      <c r="DDE27" s="117"/>
      <c r="DDF27" s="117"/>
      <c r="DDG27" s="117"/>
      <c r="DDH27" s="117"/>
      <c r="DDI27" s="117"/>
      <c r="DDJ27" s="117"/>
      <c r="DDK27" s="117"/>
      <c r="DDL27" s="117"/>
      <c r="DDM27" s="117"/>
      <c r="DDN27" s="117"/>
      <c r="DDO27" s="117"/>
      <c r="DDP27" s="117"/>
      <c r="DDQ27" s="117"/>
      <c r="DDR27" s="117"/>
      <c r="DDS27" s="117"/>
      <c r="DDT27" s="117"/>
      <c r="DDU27" s="117"/>
      <c r="DDV27" s="117"/>
      <c r="DDW27" s="117"/>
      <c r="DDX27" s="117"/>
      <c r="DDY27" s="117"/>
      <c r="DDZ27" s="117"/>
      <c r="DEA27" s="117"/>
      <c r="DEB27" s="117"/>
      <c r="DEC27" s="117"/>
      <c r="DED27" s="117"/>
      <c r="DEE27" s="117"/>
      <c r="DEF27" s="117"/>
      <c r="DEG27" s="117"/>
      <c r="DEH27" s="117"/>
      <c r="DEI27" s="117"/>
      <c r="DEJ27" s="117"/>
      <c r="DEK27" s="117"/>
      <c r="DEL27" s="117"/>
      <c r="DEM27" s="117"/>
      <c r="DEN27" s="117"/>
      <c r="DEO27" s="117"/>
      <c r="DEP27" s="117"/>
      <c r="DEQ27" s="117"/>
      <c r="DER27" s="117"/>
      <c r="DES27" s="117"/>
      <c r="DET27" s="117"/>
      <c r="DEU27" s="117"/>
      <c r="DEV27" s="117"/>
      <c r="DEW27" s="117"/>
      <c r="DEX27" s="117"/>
      <c r="DEY27" s="117"/>
      <c r="DEZ27" s="117"/>
      <c r="DFA27" s="117"/>
      <c r="DFB27" s="117"/>
      <c r="DFC27" s="117"/>
      <c r="DFD27" s="117"/>
      <c r="DFE27" s="117"/>
      <c r="DFF27" s="117"/>
      <c r="DFG27" s="117"/>
      <c r="DFH27" s="117"/>
      <c r="DFI27" s="117"/>
      <c r="DFJ27" s="117"/>
      <c r="DFK27" s="117"/>
      <c r="DFL27" s="117"/>
      <c r="DFM27" s="117"/>
      <c r="DFN27" s="117"/>
      <c r="DFO27" s="117"/>
      <c r="DFP27" s="117"/>
      <c r="DFQ27" s="117"/>
      <c r="DFR27" s="117"/>
      <c r="DFS27" s="117"/>
      <c r="DFT27" s="117"/>
      <c r="DFU27" s="117"/>
      <c r="DFV27" s="117"/>
      <c r="DFW27" s="117"/>
      <c r="DFX27" s="117"/>
      <c r="DFY27" s="117"/>
      <c r="DFZ27" s="117"/>
      <c r="DGA27" s="117"/>
      <c r="DGB27" s="117"/>
      <c r="DGC27" s="117"/>
      <c r="DGD27" s="117"/>
      <c r="DGE27" s="117"/>
      <c r="DGF27" s="117"/>
      <c r="DGG27" s="117"/>
      <c r="DGH27" s="117"/>
      <c r="DGI27" s="117"/>
      <c r="DGJ27" s="117"/>
      <c r="DGK27" s="117"/>
      <c r="DGL27" s="117"/>
      <c r="DGM27" s="117"/>
      <c r="DGN27" s="117"/>
      <c r="DGO27" s="117"/>
      <c r="DGP27" s="117"/>
      <c r="DGQ27" s="117"/>
      <c r="DGR27" s="117"/>
      <c r="DGS27" s="117"/>
      <c r="DGT27" s="117"/>
      <c r="DGU27" s="117"/>
      <c r="DGV27" s="117"/>
      <c r="DGW27" s="117"/>
      <c r="DGX27" s="117"/>
      <c r="DGY27" s="117"/>
      <c r="DGZ27" s="117"/>
      <c r="DHA27" s="117"/>
      <c r="DHB27" s="117"/>
      <c r="DHC27" s="117"/>
      <c r="DHD27" s="117"/>
      <c r="DHE27" s="117"/>
      <c r="DHF27" s="117"/>
      <c r="DHG27" s="117"/>
      <c r="DHH27" s="117"/>
      <c r="DHI27" s="117"/>
      <c r="DHJ27" s="117"/>
      <c r="DHK27" s="117"/>
      <c r="DHL27" s="117"/>
      <c r="DHM27" s="117"/>
      <c r="DHN27" s="117"/>
      <c r="DHO27" s="117"/>
      <c r="DHP27" s="117"/>
      <c r="DHQ27" s="117"/>
      <c r="DHR27" s="117"/>
      <c r="DHS27" s="117"/>
      <c r="DHT27" s="117"/>
      <c r="DHU27" s="117"/>
      <c r="DHV27" s="117"/>
      <c r="DHW27" s="117"/>
      <c r="DHX27" s="117"/>
      <c r="DHY27" s="117"/>
      <c r="DHZ27" s="117"/>
      <c r="DIA27" s="117"/>
      <c r="DIB27" s="117"/>
      <c r="DIC27" s="117"/>
      <c r="DID27" s="117"/>
      <c r="DIE27" s="117"/>
      <c r="DIF27" s="117"/>
      <c r="DIG27" s="117"/>
      <c r="DIH27" s="117"/>
      <c r="DII27" s="117"/>
      <c r="DIJ27" s="117"/>
      <c r="DIK27" s="117"/>
      <c r="DIL27" s="117"/>
      <c r="DIM27" s="117"/>
      <c r="DIN27" s="117"/>
      <c r="DIO27" s="117"/>
      <c r="DIP27" s="117"/>
      <c r="DIQ27" s="117"/>
      <c r="DIR27" s="117"/>
      <c r="DIS27" s="117"/>
      <c r="DIT27" s="117"/>
      <c r="DIU27" s="117"/>
      <c r="DIV27" s="117"/>
      <c r="DIW27" s="117"/>
      <c r="DIX27" s="117"/>
      <c r="DIY27" s="117"/>
      <c r="DIZ27" s="117"/>
      <c r="DJA27" s="117"/>
      <c r="DJB27" s="117"/>
      <c r="DJC27" s="117"/>
      <c r="DJD27" s="117"/>
      <c r="DJE27" s="117"/>
      <c r="DJF27" s="117"/>
      <c r="DJG27" s="117"/>
      <c r="DJH27" s="117"/>
      <c r="DJI27" s="117"/>
      <c r="DJJ27" s="117"/>
      <c r="DJK27" s="117"/>
      <c r="DJL27" s="117"/>
      <c r="DJM27" s="117"/>
      <c r="DJN27" s="117"/>
      <c r="DJO27" s="117"/>
      <c r="DJP27" s="117"/>
      <c r="DJQ27" s="117"/>
      <c r="DJR27" s="117"/>
      <c r="DJS27" s="117"/>
      <c r="DJT27" s="117"/>
      <c r="DJU27" s="117"/>
      <c r="DJV27" s="117"/>
      <c r="DJW27" s="117"/>
      <c r="DJX27" s="117"/>
      <c r="DJY27" s="117"/>
      <c r="DJZ27" s="117"/>
      <c r="DKA27" s="117"/>
      <c r="DKB27" s="117"/>
      <c r="DKC27" s="117"/>
      <c r="DKD27" s="117"/>
      <c r="DKE27" s="117"/>
      <c r="DKF27" s="117"/>
      <c r="DKG27" s="117"/>
      <c r="DKH27" s="117"/>
      <c r="DKI27" s="117"/>
      <c r="DKJ27" s="117"/>
      <c r="DKK27" s="117"/>
      <c r="DKL27" s="117"/>
      <c r="DKM27" s="117"/>
      <c r="DKN27" s="117"/>
      <c r="DKO27" s="117"/>
      <c r="DKP27" s="117"/>
      <c r="DKQ27" s="117"/>
      <c r="DKR27" s="117"/>
      <c r="DKS27" s="117"/>
      <c r="DKT27" s="117"/>
      <c r="DKU27" s="117"/>
      <c r="DKV27" s="117"/>
      <c r="DKW27" s="117"/>
      <c r="DKX27" s="117"/>
      <c r="DKY27" s="117"/>
      <c r="DKZ27" s="117"/>
      <c r="DLA27" s="117"/>
      <c r="DLB27" s="117"/>
      <c r="DLC27" s="117"/>
      <c r="DLD27" s="117"/>
      <c r="DLE27" s="117"/>
      <c r="DLF27" s="117"/>
      <c r="DLG27" s="117"/>
      <c r="DLH27" s="117"/>
      <c r="DLI27" s="117"/>
      <c r="DLJ27" s="117"/>
      <c r="DLK27" s="117"/>
      <c r="DLL27" s="117"/>
      <c r="DLM27" s="117"/>
      <c r="DLN27" s="117"/>
      <c r="DLO27" s="117"/>
      <c r="DLP27" s="117"/>
      <c r="DLQ27" s="117"/>
      <c r="DLR27" s="117"/>
      <c r="DLS27" s="117"/>
      <c r="DLT27" s="117"/>
      <c r="DLU27" s="117"/>
      <c r="DLV27" s="117"/>
      <c r="DLW27" s="117"/>
      <c r="DLX27" s="117"/>
      <c r="DLY27" s="117"/>
      <c r="DLZ27" s="117"/>
      <c r="DMA27" s="117"/>
      <c r="DMB27" s="117"/>
      <c r="DMC27" s="117"/>
      <c r="DMD27" s="117"/>
      <c r="DME27" s="117"/>
      <c r="DMF27" s="117"/>
      <c r="DMG27" s="117"/>
      <c r="DMH27" s="117"/>
      <c r="DMI27" s="117"/>
      <c r="DMJ27" s="117"/>
      <c r="DMK27" s="117"/>
      <c r="DML27" s="117"/>
      <c r="DMM27" s="117"/>
      <c r="DMN27" s="117"/>
      <c r="DMO27" s="117"/>
      <c r="DMP27" s="117"/>
      <c r="DMQ27" s="117"/>
      <c r="DMR27" s="117"/>
      <c r="DMS27" s="117"/>
      <c r="DMT27" s="117"/>
      <c r="DMU27" s="117"/>
      <c r="DMV27" s="117"/>
      <c r="DMW27" s="117"/>
      <c r="DMX27" s="117"/>
      <c r="DMY27" s="117"/>
      <c r="DMZ27" s="117"/>
      <c r="DNA27" s="117"/>
      <c r="DNB27" s="117"/>
      <c r="DNC27" s="117"/>
      <c r="DND27" s="117"/>
      <c r="DNE27" s="117"/>
      <c r="DNF27" s="117"/>
      <c r="DNG27" s="117"/>
      <c r="DNH27" s="117"/>
      <c r="DNI27" s="117"/>
      <c r="DNJ27" s="117"/>
      <c r="DNK27" s="117"/>
      <c r="DNL27" s="117"/>
      <c r="DNM27" s="117"/>
      <c r="DNN27" s="117"/>
      <c r="DNO27" s="117"/>
      <c r="DNP27" s="117"/>
      <c r="DNQ27" s="117"/>
      <c r="DNR27" s="117"/>
      <c r="DNS27" s="117"/>
      <c r="DNT27" s="117"/>
      <c r="DNU27" s="117"/>
      <c r="DNV27" s="117"/>
      <c r="DNW27" s="117"/>
      <c r="DNX27" s="117"/>
      <c r="DNY27" s="117"/>
      <c r="DNZ27" s="117"/>
      <c r="DOA27" s="117"/>
      <c r="DOB27" s="117"/>
      <c r="DOC27" s="117"/>
      <c r="DOD27" s="117"/>
      <c r="DOE27" s="117"/>
      <c r="DOF27" s="117"/>
      <c r="DOG27" s="117"/>
      <c r="DOH27" s="117"/>
      <c r="DOI27" s="117"/>
      <c r="DOJ27" s="117"/>
      <c r="DOK27" s="117"/>
      <c r="DOL27" s="117"/>
      <c r="DOM27" s="117"/>
      <c r="DON27" s="117"/>
      <c r="DOO27" s="117"/>
      <c r="DOP27" s="117"/>
      <c r="DOQ27" s="117"/>
      <c r="DOR27" s="117"/>
      <c r="DOS27" s="117"/>
      <c r="DOT27" s="117"/>
      <c r="DOU27" s="117"/>
      <c r="DOV27" s="117"/>
      <c r="DOW27" s="117"/>
      <c r="DOX27" s="117"/>
      <c r="DOY27" s="117"/>
      <c r="DOZ27" s="117"/>
      <c r="DPA27" s="117"/>
      <c r="DPB27" s="117"/>
      <c r="DPC27" s="117"/>
      <c r="DPD27" s="117"/>
      <c r="DPE27" s="117"/>
      <c r="DPF27" s="117"/>
      <c r="DPG27" s="117"/>
      <c r="DPH27" s="117"/>
      <c r="DPI27" s="117"/>
      <c r="DPJ27" s="117"/>
      <c r="DPK27" s="117"/>
      <c r="DPL27" s="117"/>
      <c r="DPM27" s="117"/>
      <c r="DPN27" s="117"/>
      <c r="DPO27" s="117"/>
      <c r="DPP27" s="117"/>
      <c r="DPQ27" s="117"/>
      <c r="DPR27" s="117"/>
      <c r="DPS27" s="117"/>
      <c r="DPT27" s="117"/>
      <c r="DPU27" s="117"/>
      <c r="DPV27" s="117"/>
      <c r="DPW27" s="117"/>
      <c r="DPX27" s="117"/>
      <c r="DPY27" s="117"/>
      <c r="DPZ27" s="117"/>
      <c r="DQA27" s="117"/>
      <c r="DQB27" s="117"/>
      <c r="DQC27" s="117"/>
      <c r="DQD27" s="117"/>
      <c r="DQE27" s="117"/>
      <c r="DQF27" s="117"/>
      <c r="DQG27" s="117"/>
      <c r="DQH27" s="117"/>
      <c r="DQI27" s="117"/>
      <c r="DQJ27" s="117"/>
      <c r="DQK27" s="117"/>
      <c r="DQL27" s="117"/>
      <c r="DQM27" s="117"/>
      <c r="DQN27" s="117"/>
      <c r="DQO27" s="117"/>
      <c r="DQP27" s="117"/>
      <c r="DQQ27" s="117"/>
      <c r="DQR27" s="117"/>
      <c r="DQS27" s="117"/>
      <c r="DQT27" s="117"/>
      <c r="DQU27" s="117"/>
      <c r="DQV27" s="117"/>
      <c r="DQW27" s="117"/>
      <c r="DQX27" s="117"/>
      <c r="DQY27" s="117"/>
      <c r="DQZ27" s="117"/>
      <c r="DRA27" s="117"/>
      <c r="DRB27" s="117"/>
      <c r="DRC27" s="117"/>
      <c r="DRD27" s="117"/>
      <c r="DRE27" s="117"/>
      <c r="DRF27" s="117"/>
      <c r="DRG27" s="117"/>
      <c r="DRH27" s="117"/>
      <c r="DRI27" s="117"/>
      <c r="DRJ27" s="117"/>
      <c r="DRK27" s="117"/>
      <c r="DRL27" s="117"/>
      <c r="DRM27" s="117"/>
      <c r="DRN27" s="117"/>
      <c r="DRO27" s="117"/>
      <c r="DRP27" s="117"/>
      <c r="DRQ27" s="117"/>
      <c r="DRR27" s="117"/>
      <c r="DRS27" s="117"/>
      <c r="DRT27" s="117"/>
      <c r="DRU27" s="117"/>
      <c r="DRV27" s="117"/>
      <c r="DRW27" s="117"/>
      <c r="DRX27" s="117"/>
      <c r="DRY27" s="117"/>
      <c r="DRZ27" s="117"/>
      <c r="DSA27" s="117"/>
      <c r="DSB27" s="117"/>
      <c r="DSC27" s="117"/>
      <c r="DSD27" s="117"/>
      <c r="DSE27" s="117"/>
      <c r="DSF27" s="117"/>
      <c r="DSG27" s="117"/>
      <c r="DSH27" s="117"/>
      <c r="DSI27" s="117"/>
      <c r="DSJ27" s="117"/>
      <c r="DSK27" s="117"/>
      <c r="DSL27" s="117"/>
      <c r="DSM27" s="117"/>
      <c r="DSN27" s="117"/>
      <c r="DSO27" s="117"/>
      <c r="DSP27" s="117"/>
      <c r="DSQ27" s="117"/>
      <c r="DSR27" s="117"/>
      <c r="DSS27" s="117"/>
      <c r="DST27" s="117"/>
      <c r="DSU27" s="117"/>
      <c r="DSV27" s="117"/>
      <c r="DSW27" s="117"/>
      <c r="DSX27" s="117"/>
      <c r="DSY27" s="117"/>
      <c r="DSZ27" s="117"/>
      <c r="DTA27" s="117"/>
      <c r="DTB27" s="117"/>
      <c r="DTC27" s="117"/>
      <c r="DTD27" s="117"/>
      <c r="DTE27" s="117"/>
      <c r="DTF27" s="117"/>
      <c r="DTG27" s="117"/>
      <c r="DTH27" s="117"/>
      <c r="DTI27" s="117"/>
      <c r="DTJ27" s="117"/>
      <c r="DTK27" s="117"/>
      <c r="DTL27" s="117"/>
      <c r="DTM27" s="117"/>
      <c r="DTN27" s="117"/>
      <c r="DTO27" s="117"/>
      <c r="DTP27" s="117"/>
      <c r="DTQ27" s="117"/>
      <c r="DTR27" s="117"/>
      <c r="DTS27" s="117"/>
      <c r="DTT27" s="117"/>
      <c r="DTU27" s="117"/>
      <c r="DTV27" s="117"/>
      <c r="DTW27" s="117"/>
      <c r="DTX27" s="117"/>
      <c r="DTY27" s="117"/>
      <c r="DTZ27" s="117"/>
      <c r="DUA27" s="117"/>
      <c r="DUB27" s="117"/>
      <c r="DUC27" s="117"/>
      <c r="DUD27" s="117"/>
      <c r="DUE27" s="117"/>
      <c r="DUF27" s="117"/>
      <c r="DUG27" s="117"/>
      <c r="DUH27" s="117"/>
      <c r="DUI27" s="117"/>
      <c r="DUJ27" s="117"/>
      <c r="DUK27" s="117"/>
      <c r="DUL27" s="117"/>
      <c r="DUM27" s="117"/>
      <c r="DUN27" s="117"/>
      <c r="DUO27" s="117"/>
      <c r="DUP27" s="117"/>
      <c r="DUQ27" s="117"/>
      <c r="DUR27" s="117"/>
      <c r="DUS27" s="117"/>
      <c r="DUT27" s="117"/>
      <c r="DUU27" s="117"/>
      <c r="DUV27" s="117"/>
      <c r="DUW27" s="117"/>
      <c r="DUX27" s="117"/>
      <c r="DUY27" s="117"/>
      <c r="DUZ27" s="117"/>
      <c r="DVA27" s="117"/>
      <c r="DVB27" s="117"/>
      <c r="DVC27" s="117"/>
      <c r="DVD27" s="117"/>
      <c r="DVE27" s="117"/>
      <c r="DVF27" s="117"/>
      <c r="DVG27" s="117"/>
      <c r="DVH27" s="117"/>
      <c r="DVI27" s="117"/>
      <c r="DVJ27" s="117"/>
      <c r="DVK27" s="117"/>
      <c r="DVL27" s="117"/>
      <c r="DVM27" s="117"/>
      <c r="DVN27" s="117"/>
      <c r="DVO27" s="117"/>
      <c r="DVP27" s="117"/>
      <c r="DVQ27" s="117"/>
      <c r="DVR27" s="117"/>
      <c r="DVS27" s="117"/>
      <c r="DVT27" s="117"/>
      <c r="DVU27" s="117"/>
      <c r="DVV27" s="117"/>
      <c r="DVW27" s="117"/>
      <c r="DVX27" s="117"/>
      <c r="DVY27" s="117"/>
      <c r="DVZ27" s="117"/>
      <c r="DWA27" s="117"/>
      <c r="DWB27" s="117"/>
      <c r="DWC27" s="117"/>
      <c r="DWD27" s="117"/>
      <c r="DWE27" s="117"/>
      <c r="DWF27" s="117"/>
      <c r="DWG27" s="117"/>
      <c r="DWH27" s="117"/>
      <c r="DWI27" s="117"/>
      <c r="DWJ27" s="117"/>
      <c r="DWK27" s="117"/>
      <c r="DWL27" s="117"/>
      <c r="DWM27" s="117"/>
      <c r="DWN27" s="117"/>
      <c r="DWO27" s="117"/>
      <c r="DWP27" s="117"/>
      <c r="DWQ27" s="117"/>
      <c r="DWR27" s="117"/>
      <c r="DWS27" s="117"/>
      <c r="DWT27" s="117"/>
      <c r="DWU27" s="117"/>
      <c r="DWV27" s="117"/>
      <c r="DWW27" s="117"/>
      <c r="DWX27" s="117"/>
      <c r="DWY27" s="117"/>
      <c r="DWZ27" s="117"/>
      <c r="DXA27" s="117"/>
      <c r="DXB27" s="117"/>
      <c r="DXC27" s="117"/>
      <c r="DXD27" s="117"/>
      <c r="DXE27" s="117"/>
      <c r="DXF27" s="117"/>
      <c r="DXG27" s="117"/>
      <c r="DXH27" s="117"/>
      <c r="DXI27" s="117"/>
      <c r="DXJ27" s="117"/>
      <c r="DXK27" s="117"/>
      <c r="DXL27" s="117"/>
      <c r="DXM27" s="117"/>
      <c r="DXN27" s="117"/>
      <c r="DXO27" s="117"/>
      <c r="DXP27" s="117"/>
      <c r="DXQ27" s="117"/>
      <c r="DXR27" s="117"/>
      <c r="DXS27" s="117"/>
      <c r="DXT27" s="117"/>
      <c r="DXU27" s="117"/>
      <c r="DXV27" s="117"/>
      <c r="DXW27" s="117"/>
      <c r="DXX27" s="117"/>
      <c r="DXY27" s="117"/>
      <c r="DXZ27" s="117"/>
      <c r="DYA27" s="117"/>
      <c r="DYB27" s="117"/>
      <c r="DYC27" s="117"/>
      <c r="DYD27" s="117"/>
      <c r="DYE27" s="117"/>
      <c r="DYF27" s="117"/>
      <c r="DYG27" s="117"/>
      <c r="DYH27" s="117"/>
      <c r="DYI27" s="117"/>
      <c r="DYJ27" s="117"/>
      <c r="DYK27" s="117"/>
      <c r="DYL27" s="117"/>
      <c r="DYM27" s="117"/>
      <c r="DYN27" s="117"/>
      <c r="DYO27" s="117"/>
      <c r="DYP27" s="117"/>
      <c r="DYQ27" s="117"/>
      <c r="DYR27" s="117"/>
      <c r="DYS27" s="117"/>
      <c r="DYT27" s="117"/>
      <c r="DYU27" s="117"/>
      <c r="DYV27" s="117"/>
      <c r="DYW27" s="117"/>
      <c r="DYX27" s="117"/>
      <c r="DYY27" s="117"/>
      <c r="DYZ27" s="117"/>
      <c r="DZA27" s="117"/>
      <c r="DZB27" s="117"/>
      <c r="DZC27" s="117"/>
      <c r="DZD27" s="117"/>
      <c r="DZE27" s="117"/>
      <c r="DZF27" s="117"/>
      <c r="DZG27" s="117"/>
      <c r="DZH27" s="117"/>
      <c r="DZI27" s="117"/>
      <c r="DZJ27" s="117"/>
      <c r="DZK27" s="117"/>
      <c r="DZL27" s="117"/>
      <c r="DZM27" s="117"/>
      <c r="DZN27" s="117"/>
      <c r="DZO27" s="117"/>
      <c r="DZP27" s="117"/>
      <c r="DZQ27" s="117"/>
      <c r="DZR27" s="117"/>
      <c r="DZS27" s="117"/>
      <c r="DZT27" s="117"/>
      <c r="DZU27" s="117"/>
      <c r="DZV27" s="117"/>
      <c r="DZW27" s="117"/>
      <c r="DZX27" s="117"/>
      <c r="DZY27" s="117"/>
      <c r="DZZ27" s="117"/>
      <c r="EAA27" s="117"/>
      <c r="EAB27" s="117"/>
      <c r="EAC27" s="117"/>
      <c r="EAD27" s="117"/>
      <c r="EAE27" s="117"/>
      <c r="EAF27" s="117"/>
      <c r="EAG27" s="117"/>
      <c r="EAH27" s="117"/>
      <c r="EAI27" s="117"/>
      <c r="EAJ27" s="117"/>
      <c r="EAK27" s="117"/>
      <c r="EAL27" s="117"/>
      <c r="EAM27" s="117"/>
      <c r="EAN27" s="117"/>
      <c r="EAO27" s="117"/>
      <c r="EAP27" s="117"/>
      <c r="EAQ27" s="117"/>
      <c r="EAR27" s="117"/>
      <c r="EAS27" s="117"/>
      <c r="EAT27" s="117"/>
      <c r="EAU27" s="117"/>
      <c r="EAV27" s="117"/>
      <c r="EAW27" s="117"/>
      <c r="EAX27" s="117"/>
      <c r="EAY27" s="117"/>
      <c r="EAZ27" s="117"/>
      <c r="EBA27" s="117"/>
      <c r="EBB27" s="117"/>
      <c r="EBC27" s="117"/>
      <c r="EBD27" s="117"/>
      <c r="EBE27" s="117"/>
      <c r="EBF27" s="117"/>
      <c r="EBG27" s="117"/>
      <c r="EBH27" s="117"/>
      <c r="EBI27" s="117"/>
      <c r="EBJ27" s="117"/>
      <c r="EBK27" s="117"/>
      <c r="EBL27" s="117"/>
      <c r="EBM27" s="117"/>
      <c r="EBN27" s="117"/>
      <c r="EBO27" s="117"/>
      <c r="EBP27" s="117"/>
      <c r="EBQ27" s="117"/>
      <c r="EBR27" s="117"/>
      <c r="EBS27" s="117"/>
      <c r="EBT27" s="117"/>
      <c r="EBU27" s="117"/>
      <c r="EBV27" s="117"/>
      <c r="EBW27" s="117"/>
      <c r="EBX27" s="117"/>
      <c r="EBY27" s="117"/>
      <c r="EBZ27" s="117"/>
      <c r="ECA27" s="117"/>
      <c r="ECB27" s="117"/>
      <c r="ECC27" s="117"/>
      <c r="ECD27" s="117"/>
      <c r="ECE27" s="117"/>
      <c r="ECF27" s="117"/>
      <c r="ECG27" s="117"/>
      <c r="ECH27" s="117"/>
      <c r="ECI27" s="117"/>
      <c r="ECJ27" s="117"/>
      <c r="ECK27" s="117"/>
      <c r="ECL27" s="117"/>
      <c r="ECM27" s="117"/>
      <c r="ECN27" s="117"/>
      <c r="ECO27" s="117"/>
      <c r="ECP27" s="117"/>
      <c r="ECQ27" s="117"/>
      <c r="ECR27" s="117"/>
      <c r="ECS27" s="117"/>
      <c r="ECT27" s="117"/>
      <c r="ECU27" s="117"/>
      <c r="ECV27" s="117"/>
      <c r="ECW27" s="117"/>
      <c r="ECX27" s="117"/>
      <c r="ECY27" s="117"/>
      <c r="ECZ27" s="117"/>
      <c r="EDA27" s="117"/>
      <c r="EDB27" s="117"/>
      <c r="EDC27" s="117"/>
      <c r="EDD27" s="117"/>
      <c r="EDE27" s="117"/>
      <c r="EDF27" s="117"/>
      <c r="EDG27" s="117"/>
      <c r="EDH27" s="117"/>
      <c r="EDI27" s="117"/>
      <c r="EDJ27" s="117"/>
      <c r="EDK27" s="117"/>
      <c r="EDL27" s="117"/>
      <c r="EDM27" s="117"/>
      <c r="EDN27" s="117"/>
      <c r="EDO27" s="117"/>
      <c r="EDP27" s="117"/>
      <c r="EDQ27" s="117"/>
      <c r="EDR27" s="117"/>
      <c r="EDS27" s="117"/>
      <c r="EDT27" s="117"/>
      <c r="EDU27" s="117"/>
      <c r="EDV27" s="117"/>
      <c r="EDW27" s="117"/>
      <c r="EDX27" s="117"/>
      <c r="EDY27" s="117"/>
      <c r="EDZ27" s="117"/>
      <c r="EEA27" s="117"/>
      <c r="EEB27" s="117"/>
      <c r="EEC27" s="117"/>
      <c r="EED27" s="117"/>
      <c r="EEE27" s="117"/>
      <c r="EEF27" s="117"/>
      <c r="EEG27" s="117"/>
      <c r="EEH27" s="117"/>
      <c r="EEI27" s="117"/>
      <c r="EEJ27" s="117"/>
      <c r="EEK27" s="117"/>
      <c r="EEL27" s="117"/>
      <c r="EEM27" s="117"/>
      <c r="EEN27" s="117"/>
      <c r="EEO27" s="117"/>
      <c r="EEP27" s="117"/>
      <c r="EEQ27" s="117"/>
      <c r="EER27" s="117"/>
      <c r="EES27" s="117"/>
      <c r="EET27" s="117"/>
      <c r="EEU27" s="117"/>
      <c r="EEV27" s="117"/>
      <c r="EEW27" s="117"/>
      <c r="EEX27" s="117"/>
      <c r="EEY27" s="117"/>
      <c r="EEZ27" s="117"/>
      <c r="EFA27" s="117"/>
      <c r="EFB27" s="117"/>
      <c r="EFC27" s="117"/>
      <c r="EFD27" s="117"/>
      <c r="EFE27" s="117"/>
      <c r="EFF27" s="117"/>
      <c r="EFG27" s="117"/>
      <c r="EFH27" s="117"/>
      <c r="EFI27" s="117"/>
      <c r="EFJ27" s="117"/>
      <c r="EFK27" s="117"/>
      <c r="EFL27" s="117"/>
      <c r="EFM27" s="117"/>
      <c r="EFN27" s="117"/>
      <c r="EFO27" s="117"/>
      <c r="EFP27" s="117"/>
      <c r="EFQ27" s="117"/>
      <c r="EFR27" s="117"/>
      <c r="EFS27" s="117"/>
      <c r="EFT27" s="117"/>
      <c r="EFU27" s="117"/>
      <c r="EFV27" s="117"/>
      <c r="EFW27" s="117"/>
      <c r="EFX27" s="117"/>
      <c r="EFY27" s="117"/>
      <c r="EFZ27" s="117"/>
      <c r="EGA27" s="117"/>
      <c r="EGB27" s="117"/>
      <c r="EGC27" s="117"/>
      <c r="EGD27" s="117"/>
      <c r="EGE27" s="117"/>
      <c r="EGF27" s="117"/>
      <c r="EGG27" s="117"/>
      <c r="EGH27" s="117"/>
      <c r="EGI27" s="117"/>
      <c r="EGJ27" s="117"/>
      <c r="EGK27" s="117"/>
      <c r="EGL27" s="117"/>
      <c r="EGM27" s="117"/>
      <c r="EGN27" s="117"/>
      <c r="EGO27" s="117"/>
      <c r="EGP27" s="117"/>
      <c r="EGQ27" s="117"/>
      <c r="EGR27" s="117"/>
      <c r="EGS27" s="117"/>
      <c r="EGT27" s="117"/>
      <c r="EGU27" s="117"/>
      <c r="EGV27" s="117"/>
      <c r="EGW27" s="117"/>
      <c r="EGX27" s="117"/>
      <c r="EGY27" s="117"/>
      <c r="EGZ27" s="117"/>
      <c r="EHA27" s="117"/>
      <c r="EHB27" s="117"/>
      <c r="EHC27" s="117"/>
      <c r="EHD27" s="117"/>
      <c r="EHE27" s="117"/>
      <c r="EHF27" s="117"/>
      <c r="EHG27" s="117"/>
      <c r="EHH27" s="117"/>
      <c r="EHI27" s="117"/>
      <c r="EHJ27" s="117"/>
      <c r="EHK27" s="117"/>
      <c r="EHL27" s="117"/>
      <c r="EHM27" s="117"/>
      <c r="EHN27" s="117"/>
      <c r="EHO27" s="117"/>
      <c r="EHP27" s="117"/>
      <c r="EHQ27" s="117"/>
      <c r="EHR27" s="117"/>
      <c r="EHS27" s="117"/>
      <c r="EHT27" s="117"/>
      <c r="EHU27" s="117"/>
      <c r="EHV27" s="117"/>
      <c r="EHW27" s="117"/>
      <c r="EHX27" s="117"/>
      <c r="EHY27" s="117"/>
      <c r="EHZ27" s="117"/>
      <c r="EIA27" s="117"/>
      <c r="EIB27" s="117"/>
      <c r="EIC27" s="117"/>
      <c r="EID27" s="117"/>
      <c r="EIE27" s="117"/>
      <c r="EIF27" s="117"/>
      <c r="EIG27" s="117"/>
      <c r="EIH27" s="117"/>
      <c r="EII27" s="117"/>
      <c r="EIJ27" s="117"/>
      <c r="EIK27" s="117"/>
      <c r="EIL27" s="117"/>
      <c r="EIM27" s="117"/>
      <c r="EIN27" s="117"/>
      <c r="EIO27" s="117"/>
      <c r="EIP27" s="117"/>
      <c r="EIQ27" s="117"/>
      <c r="EIR27" s="117"/>
      <c r="EIS27" s="117"/>
      <c r="EIT27" s="117"/>
      <c r="EIU27" s="117"/>
      <c r="EIV27" s="117"/>
      <c r="EIW27" s="117"/>
      <c r="EIX27" s="117"/>
      <c r="EIY27" s="117"/>
      <c r="EIZ27" s="117"/>
      <c r="EJA27" s="117"/>
      <c r="EJB27" s="117"/>
      <c r="EJC27" s="117"/>
      <c r="EJD27" s="117"/>
      <c r="EJE27" s="117"/>
      <c r="EJF27" s="117"/>
      <c r="EJG27" s="117"/>
      <c r="EJH27" s="117"/>
      <c r="EJI27" s="117"/>
      <c r="EJJ27" s="117"/>
      <c r="EJK27" s="117"/>
      <c r="EJL27" s="117"/>
      <c r="EJM27" s="117"/>
      <c r="EJN27" s="117"/>
      <c r="EJO27" s="117"/>
      <c r="EJP27" s="117"/>
      <c r="EJQ27" s="117"/>
      <c r="EJR27" s="117"/>
      <c r="EJS27" s="117"/>
      <c r="EJT27" s="117"/>
      <c r="EJU27" s="117"/>
      <c r="EJV27" s="117"/>
      <c r="EJW27" s="117"/>
      <c r="EJX27" s="117"/>
      <c r="EJY27" s="117"/>
      <c r="EJZ27" s="117"/>
      <c r="EKA27" s="117"/>
      <c r="EKB27" s="117"/>
      <c r="EKC27" s="117"/>
      <c r="EKD27" s="117"/>
      <c r="EKE27" s="117"/>
      <c r="EKF27" s="117"/>
      <c r="EKG27" s="117"/>
      <c r="EKH27" s="117"/>
      <c r="EKI27" s="117"/>
      <c r="EKJ27" s="117"/>
      <c r="EKK27" s="117"/>
      <c r="EKL27" s="117"/>
      <c r="EKM27" s="117"/>
      <c r="EKN27" s="117"/>
      <c r="EKO27" s="117"/>
      <c r="EKP27" s="117"/>
      <c r="EKQ27" s="117"/>
      <c r="EKR27" s="117"/>
      <c r="EKS27" s="117"/>
      <c r="EKT27" s="117"/>
      <c r="EKU27" s="117"/>
      <c r="EKV27" s="117"/>
      <c r="EKW27" s="117"/>
      <c r="EKX27" s="117"/>
      <c r="EKY27" s="117"/>
      <c r="EKZ27" s="117"/>
      <c r="ELA27" s="117"/>
      <c r="ELB27" s="117"/>
      <c r="ELC27" s="117"/>
      <c r="ELD27" s="117"/>
      <c r="ELE27" s="117"/>
      <c r="ELF27" s="117"/>
      <c r="ELG27" s="117"/>
      <c r="ELH27" s="117"/>
      <c r="ELI27" s="117"/>
      <c r="ELJ27" s="117"/>
      <c r="ELK27" s="117"/>
      <c r="ELL27" s="117"/>
      <c r="ELM27" s="117"/>
      <c r="ELN27" s="117"/>
      <c r="ELO27" s="117"/>
      <c r="ELP27" s="117"/>
      <c r="ELQ27" s="117"/>
      <c r="ELR27" s="117"/>
      <c r="ELS27" s="117"/>
      <c r="ELT27" s="117"/>
      <c r="ELU27" s="117"/>
      <c r="ELV27" s="117"/>
      <c r="ELW27" s="117"/>
      <c r="ELX27" s="117"/>
      <c r="ELY27" s="117"/>
      <c r="ELZ27" s="117"/>
      <c r="EMA27" s="117"/>
      <c r="EMB27" s="117"/>
      <c r="EMC27" s="117"/>
      <c r="EMD27" s="117"/>
      <c r="EME27" s="117"/>
      <c r="EMF27" s="117"/>
      <c r="EMG27" s="117"/>
      <c r="EMH27" s="117"/>
      <c r="EMI27" s="117"/>
      <c r="EMJ27" s="117"/>
      <c r="EMK27" s="117"/>
      <c r="EML27" s="117"/>
      <c r="EMM27" s="117"/>
      <c r="EMN27" s="117"/>
      <c r="EMO27" s="117"/>
      <c r="EMP27" s="117"/>
      <c r="EMQ27" s="117"/>
      <c r="EMR27" s="117"/>
      <c r="EMS27" s="117"/>
      <c r="EMT27" s="117"/>
      <c r="EMU27" s="117"/>
      <c r="EMV27" s="117"/>
      <c r="EMW27" s="117"/>
      <c r="EMX27" s="117"/>
      <c r="EMY27" s="117"/>
      <c r="EMZ27" s="117"/>
      <c r="ENA27" s="117"/>
      <c r="ENB27" s="117"/>
      <c r="ENC27" s="117"/>
      <c r="END27" s="117"/>
      <c r="ENE27" s="117"/>
      <c r="ENF27" s="117"/>
      <c r="ENG27" s="117"/>
      <c r="ENH27" s="117"/>
      <c r="ENI27" s="117"/>
      <c r="ENJ27" s="117"/>
      <c r="ENK27" s="117"/>
      <c r="ENL27" s="117"/>
      <c r="ENM27" s="117"/>
      <c r="ENN27" s="117"/>
      <c r="ENO27" s="117"/>
      <c r="ENP27" s="117"/>
      <c r="ENQ27" s="117"/>
      <c r="ENR27" s="117"/>
      <c r="ENS27" s="117"/>
      <c r="ENT27" s="117"/>
      <c r="ENU27" s="117"/>
      <c r="ENV27" s="117"/>
      <c r="ENW27" s="117"/>
      <c r="ENX27" s="117"/>
      <c r="ENY27" s="117"/>
      <c r="ENZ27" s="117"/>
      <c r="EOA27" s="117"/>
      <c r="EOB27" s="117"/>
      <c r="EOC27" s="117"/>
      <c r="EOD27" s="117"/>
      <c r="EOE27" s="117"/>
      <c r="EOF27" s="117"/>
      <c r="EOG27" s="117"/>
      <c r="EOH27" s="117"/>
      <c r="EOI27" s="117"/>
      <c r="EOJ27" s="117"/>
      <c r="EOK27" s="117"/>
      <c r="EOL27" s="117"/>
      <c r="EOM27" s="117"/>
      <c r="EON27" s="117"/>
      <c r="EOO27" s="117"/>
      <c r="EOP27" s="117"/>
      <c r="EOQ27" s="117"/>
      <c r="EOR27" s="117"/>
      <c r="EOS27" s="117"/>
      <c r="EOT27" s="117"/>
      <c r="EOU27" s="117"/>
      <c r="EOV27" s="117"/>
      <c r="EOW27" s="117"/>
      <c r="EOX27" s="117"/>
      <c r="EOY27" s="117"/>
      <c r="EOZ27" s="117"/>
      <c r="EPA27" s="117"/>
      <c r="EPB27" s="117"/>
      <c r="EPC27" s="117"/>
      <c r="EPD27" s="117"/>
      <c r="EPE27" s="117"/>
      <c r="EPF27" s="117"/>
      <c r="EPG27" s="117"/>
      <c r="EPH27" s="117"/>
      <c r="EPI27" s="117"/>
      <c r="EPJ27" s="117"/>
      <c r="EPK27" s="117"/>
      <c r="EPL27" s="117"/>
      <c r="EPM27" s="117"/>
      <c r="EPN27" s="117"/>
      <c r="EPO27" s="117"/>
      <c r="EPP27" s="117"/>
      <c r="EPQ27" s="117"/>
      <c r="EPR27" s="117"/>
      <c r="EPS27" s="117"/>
      <c r="EPT27" s="117"/>
      <c r="EPU27" s="117"/>
      <c r="EPV27" s="117"/>
      <c r="EPW27" s="117"/>
      <c r="EPX27" s="117"/>
      <c r="EPY27" s="117"/>
      <c r="EPZ27" s="117"/>
      <c r="EQA27" s="117"/>
      <c r="EQB27" s="117"/>
      <c r="EQC27" s="117"/>
      <c r="EQD27" s="117"/>
      <c r="EQE27" s="117"/>
      <c r="EQF27" s="117"/>
      <c r="EQG27" s="117"/>
      <c r="EQH27" s="117"/>
      <c r="EQI27" s="117"/>
      <c r="EQJ27" s="117"/>
      <c r="EQK27" s="117"/>
      <c r="EQL27" s="117"/>
      <c r="EQM27" s="117"/>
      <c r="EQN27" s="117"/>
      <c r="EQO27" s="117"/>
      <c r="EQP27" s="117"/>
      <c r="EQQ27" s="117"/>
      <c r="EQR27" s="117"/>
      <c r="EQS27" s="117"/>
      <c r="EQT27" s="117"/>
      <c r="EQU27" s="117"/>
      <c r="EQV27" s="117"/>
      <c r="EQW27" s="117"/>
      <c r="EQX27" s="117"/>
      <c r="EQY27" s="117"/>
      <c r="EQZ27" s="117"/>
      <c r="ERA27" s="117"/>
      <c r="ERB27" s="117"/>
      <c r="ERC27" s="117"/>
      <c r="ERD27" s="117"/>
      <c r="ERE27" s="117"/>
      <c r="ERF27" s="117"/>
      <c r="ERG27" s="117"/>
      <c r="ERH27" s="117"/>
      <c r="ERI27" s="117"/>
      <c r="ERJ27" s="117"/>
      <c r="ERK27" s="117"/>
      <c r="ERL27" s="117"/>
      <c r="ERM27" s="117"/>
      <c r="ERN27" s="117"/>
      <c r="ERO27" s="117"/>
      <c r="ERP27" s="117"/>
      <c r="ERQ27" s="117"/>
      <c r="ERR27" s="117"/>
      <c r="ERS27" s="117"/>
      <c r="ERT27" s="117"/>
      <c r="ERU27" s="117"/>
      <c r="ERV27" s="117"/>
      <c r="ERW27" s="117"/>
      <c r="ERX27" s="117"/>
      <c r="ERY27" s="117"/>
      <c r="ERZ27" s="117"/>
      <c r="ESA27" s="117"/>
      <c r="ESB27" s="117"/>
      <c r="ESC27" s="117"/>
      <c r="ESD27" s="117"/>
      <c r="ESE27" s="117"/>
      <c r="ESF27" s="117"/>
      <c r="ESG27" s="117"/>
      <c r="ESH27" s="117"/>
      <c r="ESI27" s="117"/>
      <c r="ESJ27" s="117"/>
      <c r="ESK27" s="117"/>
      <c r="ESL27" s="117"/>
      <c r="ESM27" s="117"/>
      <c r="ESN27" s="117"/>
      <c r="ESO27" s="117"/>
      <c r="ESP27" s="117"/>
      <c r="ESQ27" s="117"/>
      <c r="ESR27" s="117"/>
      <c r="ESS27" s="117"/>
      <c r="EST27" s="117"/>
      <c r="ESU27" s="117"/>
      <c r="ESV27" s="117"/>
      <c r="ESW27" s="117"/>
      <c r="ESX27" s="117"/>
      <c r="ESY27" s="117"/>
      <c r="ESZ27" s="117"/>
      <c r="ETA27" s="117"/>
      <c r="ETB27" s="117"/>
      <c r="ETC27" s="117"/>
      <c r="ETD27" s="117"/>
      <c r="ETE27" s="117"/>
      <c r="ETF27" s="117"/>
      <c r="ETG27" s="117"/>
      <c r="ETH27" s="117"/>
      <c r="ETI27" s="117"/>
      <c r="ETJ27" s="117"/>
      <c r="ETK27" s="117"/>
      <c r="ETL27" s="117"/>
      <c r="ETM27" s="117"/>
      <c r="ETN27" s="117"/>
      <c r="ETO27" s="117"/>
      <c r="ETP27" s="117"/>
      <c r="ETQ27" s="117"/>
      <c r="ETR27" s="117"/>
      <c r="ETS27" s="117"/>
      <c r="ETT27" s="117"/>
      <c r="ETU27" s="117"/>
      <c r="ETV27" s="117"/>
      <c r="ETW27" s="117"/>
      <c r="ETX27" s="117"/>
      <c r="ETY27" s="117"/>
      <c r="ETZ27" s="117"/>
      <c r="EUA27" s="117"/>
      <c r="EUB27" s="117"/>
      <c r="EUC27" s="117"/>
      <c r="EUD27" s="117"/>
      <c r="EUE27" s="117"/>
      <c r="EUF27" s="117"/>
      <c r="EUG27" s="117"/>
      <c r="EUH27" s="117"/>
      <c r="EUI27" s="117"/>
      <c r="EUJ27" s="117"/>
      <c r="EUK27" s="117"/>
      <c r="EUL27" s="117"/>
      <c r="EUM27" s="117"/>
      <c r="EUN27" s="117"/>
      <c r="EUO27" s="117"/>
      <c r="EUP27" s="117"/>
      <c r="EUQ27" s="117"/>
      <c r="EUR27" s="117"/>
      <c r="EUS27" s="117"/>
      <c r="EUT27" s="117"/>
      <c r="EUU27" s="117"/>
      <c r="EUV27" s="117"/>
      <c r="EUW27" s="117"/>
      <c r="EUX27" s="117"/>
      <c r="EUY27" s="117"/>
      <c r="EUZ27" s="117"/>
      <c r="EVA27" s="117"/>
      <c r="EVB27" s="117"/>
      <c r="EVC27" s="117"/>
      <c r="EVD27" s="117"/>
      <c r="EVE27" s="117"/>
      <c r="EVF27" s="117"/>
      <c r="EVG27" s="117"/>
      <c r="EVH27" s="117"/>
      <c r="EVI27" s="117"/>
      <c r="EVJ27" s="117"/>
      <c r="EVK27" s="117"/>
      <c r="EVL27" s="117"/>
      <c r="EVM27" s="117"/>
      <c r="EVN27" s="117"/>
      <c r="EVO27" s="117"/>
      <c r="EVP27" s="117"/>
      <c r="EVQ27" s="117"/>
      <c r="EVR27" s="117"/>
      <c r="EVS27" s="117"/>
      <c r="EVT27" s="117"/>
      <c r="EVU27" s="117"/>
      <c r="EVV27" s="117"/>
      <c r="EVW27" s="117"/>
      <c r="EVX27" s="117"/>
      <c r="EVY27" s="117"/>
      <c r="EVZ27" s="117"/>
      <c r="EWA27" s="117"/>
      <c r="EWB27" s="117"/>
      <c r="EWC27" s="117"/>
      <c r="EWD27" s="117"/>
      <c r="EWE27" s="117"/>
      <c r="EWF27" s="117"/>
      <c r="EWG27" s="117"/>
      <c r="EWH27" s="117"/>
      <c r="EWI27" s="117"/>
      <c r="EWJ27" s="117"/>
      <c r="EWK27" s="117"/>
      <c r="EWL27" s="117"/>
      <c r="EWM27" s="117"/>
      <c r="EWN27" s="117"/>
      <c r="EWO27" s="117"/>
      <c r="EWP27" s="117"/>
      <c r="EWQ27" s="117"/>
      <c r="EWR27" s="117"/>
      <c r="EWS27" s="117"/>
      <c r="EWT27" s="117"/>
      <c r="EWU27" s="117"/>
      <c r="EWV27" s="117"/>
      <c r="EWW27" s="117"/>
      <c r="EWX27" s="117"/>
      <c r="EWY27" s="117"/>
      <c r="EWZ27" s="117"/>
      <c r="EXA27" s="117"/>
      <c r="EXB27" s="117"/>
      <c r="EXC27" s="117"/>
      <c r="EXD27" s="117"/>
      <c r="EXE27" s="117"/>
      <c r="EXF27" s="117"/>
      <c r="EXG27" s="117"/>
      <c r="EXH27" s="117"/>
      <c r="EXI27" s="117"/>
      <c r="EXJ27" s="117"/>
      <c r="EXK27" s="117"/>
      <c r="EXL27" s="117"/>
      <c r="EXM27" s="117"/>
      <c r="EXN27" s="117"/>
      <c r="EXO27" s="117"/>
      <c r="EXP27" s="117"/>
      <c r="EXQ27" s="117"/>
      <c r="EXR27" s="117"/>
      <c r="EXS27" s="117"/>
      <c r="EXT27" s="117"/>
      <c r="EXU27" s="117"/>
      <c r="EXV27" s="117"/>
      <c r="EXW27" s="117"/>
      <c r="EXX27" s="117"/>
      <c r="EXY27" s="117"/>
      <c r="EXZ27" s="117"/>
      <c r="EYA27" s="117"/>
      <c r="EYB27" s="117"/>
      <c r="EYC27" s="117"/>
      <c r="EYD27" s="117"/>
      <c r="EYE27" s="117"/>
      <c r="EYF27" s="117"/>
      <c r="EYG27" s="117"/>
      <c r="EYH27" s="117"/>
      <c r="EYI27" s="117"/>
      <c r="EYJ27" s="117"/>
      <c r="EYK27" s="117"/>
      <c r="EYL27" s="117"/>
      <c r="EYM27" s="117"/>
      <c r="EYN27" s="117"/>
      <c r="EYO27" s="117"/>
      <c r="EYP27" s="117"/>
      <c r="EYQ27" s="117"/>
      <c r="EYR27" s="117"/>
      <c r="EYS27" s="117"/>
      <c r="EYT27" s="117"/>
      <c r="EYU27" s="117"/>
      <c r="EYV27" s="117"/>
      <c r="EYW27" s="117"/>
      <c r="EYX27" s="117"/>
      <c r="EYY27" s="117"/>
      <c r="EYZ27" s="117"/>
      <c r="EZA27" s="117"/>
      <c r="EZB27" s="117"/>
      <c r="EZC27" s="117"/>
      <c r="EZD27" s="117"/>
      <c r="EZE27" s="117"/>
      <c r="EZF27" s="117"/>
      <c r="EZG27" s="117"/>
      <c r="EZH27" s="117"/>
      <c r="EZI27" s="117"/>
      <c r="EZJ27" s="117"/>
      <c r="EZK27" s="117"/>
      <c r="EZL27" s="117"/>
      <c r="EZM27" s="117"/>
      <c r="EZN27" s="117"/>
      <c r="EZO27" s="117"/>
      <c r="EZP27" s="117"/>
      <c r="EZQ27" s="117"/>
      <c r="EZR27" s="117"/>
      <c r="EZS27" s="117"/>
      <c r="EZT27" s="117"/>
      <c r="EZU27" s="117"/>
      <c r="EZV27" s="117"/>
      <c r="EZW27" s="117"/>
      <c r="EZX27" s="117"/>
      <c r="EZY27" s="117"/>
      <c r="EZZ27" s="117"/>
      <c r="FAA27" s="117"/>
      <c r="FAB27" s="117"/>
      <c r="FAC27" s="117"/>
      <c r="FAD27" s="117"/>
      <c r="FAE27" s="117"/>
      <c r="FAF27" s="117"/>
      <c r="FAG27" s="117"/>
      <c r="FAH27" s="117"/>
      <c r="FAI27" s="117"/>
      <c r="FAJ27" s="117"/>
      <c r="FAK27" s="117"/>
      <c r="FAL27" s="117"/>
      <c r="FAM27" s="117"/>
      <c r="FAN27" s="117"/>
      <c r="FAO27" s="117"/>
      <c r="FAP27" s="117"/>
      <c r="FAQ27" s="117"/>
      <c r="FAR27" s="117"/>
      <c r="FAS27" s="117"/>
      <c r="FAT27" s="117"/>
      <c r="FAU27" s="117"/>
      <c r="FAV27" s="117"/>
      <c r="FAW27" s="117"/>
      <c r="FAX27" s="117"/>
      <c r="FAY27" s="117"/>
      <c r="FAZ27" s="117"/>
      <c r="FBA27" s="117"/>
      <c r="FBB27" s="117"/>
      <c r="FBC27" s="117"/>
      <c r="FBD27" s="117"/>
      <c r="FBE27" s="117"/>
      <c r="FBF27" s="117"/>
      <c r="FBG27" s="117"/>
      <c r="FBH27" s="117"/>
      <c r="FBI27" s="117"/>
      <c r="FBJ27" s="117"/>
      <c r="FBK27" s="117"/>
      <c r="FBL27" s="117"/>
      <c r="FBM27" s="117"/>
      <c r="FBN27" s="117"/>
      <c r="FBO27" s="117"/>
      <c r="FBP27" s="117"/>
      <c r="FBQ27" s="117"/>
      <c r="FBR27" s="117"/>
      <c r="FBS27" s="117"/>
      <c r="FBT27" s="117"/>
      <c r="FBU27" s="117"/>
      <c r="FBV27" s="117"/>
      <c r="FBW27" s="117"/>
      <c r="FBX27" s="117"/>
      <c r="FBY27" s="117"/>
      <c r="FBZ27" s="117"/>
      <c r="FCA27" s="117"/>
      <c r="FCB27" s="117"/>
      <c r="FCC27" s="117"/>
      <c r="FCD27" s="117"/>
      <c r="FCE27" s="117"/>
      <c r="FCF27" s="117"/>
      <c r="FCG27" s="117"/>
      <c r="FCH27" s="117"/>
      <c r="FCI27" s="117"/>
      <c r="FCJ27" s="117"/>
      <c r="FCK27" s="117"/>
      <c r="FCL27" s="117"/>
      <c r="FCM27" s="117"/>
      <c r="FCN27" s="117"/>
      <c r="FCO27" s="117"/>
      <c r="FCP27" s="117"/>
      <c r="FCQ27" s="117"/>
      <c r="FCR27" s="117"/>
      <c r="FCS27" s="117"/>
      <c r="FCT27" s="117"/>
      <c r="FCU27" s="117"/>
      <c r="FCV27" s="117"/>
      <c r="FCW27" s="117"/>
      <c r="FCX27" s="117"/>
      <c r="FCY27" s="117"/>
      <c r="FCZ27" s="117"/>
      <c r="FDA27" s="117"/>
      <c r="FDB27" s="117"/>
      <c r="FDC27" s="117"/>
      <c r="FDD27" s="117"/>
      <c r="FDE27" s="117"/>
      <c r="FDF27" s="117"/>
      <c r="FDG27" s="117"/>
      <c r="FDH27" s="117"/>
      <c r="FDI27" s="117"/>
      <c r="FDJ27" s="117"/>
      <c r="FDK27" s="117"/>
      <c r="FDL27" s="117"/>
      <c r="FDM27" s="117"/>
      <c r="FDN27" s="117"/>
      <c r="FDO27" s="117"/>
      <c r="FDP27" s="117"/>
      <c r="FDQ27" s="117"/>
      <c r="FDR27" s="117"/>
      <c r="FDS27" s="117"/>
      <c r="FDT27" s="117"/>
      <c r="FDU27" s="117"/>
      <c r="FDV27" s="117"/>
      <c r="FDW27" s="117"/>
      <c r="FDX27" s="117"/>
      <c r="FDY27" s="117"/>
      <c r="FDZ27" s="117"/>
      <c r="FEA27" s="117"/>
      <c r="FEB27" s="117"/>
      <c r="FEC27" s="117"/>
      <c r="FED27" s="117"/>
      <c r="FEE27" s="117"/>
      <c r="FEF27" s="117"/>
      <c r="FEG27" s="117"/>
      <c r="FEH27" s="117"/>
      <c r="FEI27" s="117"/>
      <c r="FEJ27" s="117"/>
      <c r="FEK27" s="117"/>
      <c r="FEL27" s="117"/>
      <c r="FEM27" s="117"/>
      <c r="FEN27" s="117"/>
      <c r="FEO27" s="117"/>
      <c r="FEP27" s="117"/>
      <c r="FEQ27" s="117"/>
      <c r="FER27" s="117"/>
      <c r="FES27" s="117"/>
      <c r="FET27" s="117"/>
      <c r="FEU27" s="117"/>
      <c r="FEV27" s="117"/>
      <c r="FEW27" s="117"/>
      <c r="FEX27" s="117"/>
      <c r="FEY27" s="117"/>
      <c r="FEZ27" s="117"/>
      <c r="FFA27" s="117"/>
      <c r="FFB27" s="117"/>
      <c r="FFC27" s="117"/>
      <c r="FFD27" s="117"/>
      <c r="FFE27" s="117"/>
      <c r="FFF27" s="117"/>
      <c r="FFG27" s="117"/>
      <c r="FFH27" s="117"/>
      <c r="FFI27" s="117"/>
      <c r="FFJ27" s="117"/>
      <c r="FFK27" s="117"/>
      <c r="FFL27" s="117"/>
      <c r="FFM27" s="117"/>
      <c r="FFN27" s="117"/>
      <c r="FFO27" s="117"/>
      <c r="FFP27" s="117"/>
      <c r="FFQ27" s="117"/>
      <c r="FFR27" s="117"/>
      <c r="FFS27" s="117"/>
      <c r="FFT27" s="117"/>
      <c r="FFU27" s="117"/>
      <c r="FFV27" s="117"/>
      <c r="FFW27" s="117"/>
      <c r="FFX27" s="117"/>
      <c r="FFY27" s="117"/>
      <c r="FFZ27" s="117"/>
      <c r="FGA27" s="117"/>
      <c r="FGB27" s="117"/>
      <c r="FGC27" s="117"/>
      <c r="FGD27" s="117"/>
      <c r="FGE27" s="117"/>
      <c r="FGF27" s="117"/>
      <c r="FGG27" s="117"/>
      <c r="FGH27" s="117"/>
      <c r="FGI27" s="117"/>
      <c r="FGJ27" s="117"/>
      <c r="FGK27" s="117"/>
      <c r="FGL27" s="117"/>
      <c r="FGM27" s="117"/>
      <c r="FGN27" s="117"/>
      <c r="FGO27" s="117"/>
      <c r="FGP27" s="117"/>
      <c r="FGQ27" s="117"/>
      <c r="FGR27" s="117"/>
      <c r="FGS27" s="117"/>
      <c r="FGT27" s="117"/>
      <c r="FGU27" s="117"/>
      <c r="FGV27" s="117"/>
      <c r="FGW27" s="117"/>
      <c r="FGX27" s="117"/>
      <c r="FGY27" s="117"/>
      <c r="FGZ27" s="117"/>
      <c r="FHA27" s="117"/>
      <c r="FHB27" s="117"/>
      <c r="FHC27" s="117"/>
      <c r="FHD27" s="117"/>
      <c r="FHE27" s="117"/>
      <c r="FHF27" s="117"/>
      <c r="FHG27" s="117"/>
      <c r="FHH27" s="117"/>
      <c r="FHI27" s="117"/>
      <c r="FHJ27" s="117"/>
      <c r="FHK27" s="117"/>
      <c r="FHL27" s="117"/>
      <c r="FHM27" s="117"/>
      <c r="FHN27" s="117"/>
      <c r="FHO27" s="117"/>
      <c r="FHP27" s="117"/>
      <c r="FHQ27" s="117"/>
      <c r="FHR27" s="117"/>
      <c r="FHS27" s="117"/>
      <c r="FHT27" s="117"/>
      <c r="FHU27" s="117"/>
      <c r="FHV27" s="117"/>
      <c r="FHW27" s="117"/>
      <c r="FHX27" s="117"/>
      <c r="FHY27" s="117"/>
      <c r="FHZ27" s="117"/>
      <c r="FIA27" s="117"/>
      <c r="FIB27" s="117"/>
      <c r="FIC27" s="117"/>
      <c r="FID27" s="117"/>
      <c r="FIE27" s="117"/>
      <c r="FIF27" s="117"/>
      <c r="FIG27" s="117"/>
      <c r="FIH27" s="117"/>
      <c r="FII27" s="117"/>
      <c r="FIJ27" s="117"/>
      <c r="FIK27" s="117"/>
      <c r="FIL27" s="117"/>
      <c r="FIM27" s="117"/>
      <c r="FIN27" s="117"/>
      <c r="FIO27" s="117"/>
      <c r="FIP27" s="117"/>
      <c r="FIQ27" s="117"/>
      <c r="FIR27" s="117"/>
      <c r="FIS27" s="117"/>
      <c r="FIT27" s="117"/>
      <c r="FIU27" s="117"/>
      <c r="FIV27" s="117"/>
      <c r="FIW27" s="117"/>
      <c r="FIX27" s="117"/>
      <c r="FIY27" s="117"/>
      <c r="FIZ27" s="117"/>
      <c r="FJA27" s="117"/>
      <c r="FJB27" s="117"/>
      <c r="FJC27" s="117"/>
      <c r="FJD27" s="117"/>
      <c r="FJE27" s="117"/>
      <c r="FJF27" s="117"/>
      <c r="FJG27" s="117"/>
      <c r="FJH27" s="117"/>
      <c r="FJI27" s="117"/>
      <c r="FJJ27" s="117"/>
      <c r="FJK27" s="117"/>
      <c r="FJL27" s="117"/>
      <c r="FJM27" s="117"/>
      <c r="FJN27" s="117"/>
      <c r="FJO27" s="117"/>
      <c r="FJP27" s="117"/>
      <c r="FJQ27" s="117"/>
      <c r="FJR27" s="117"/>
      <c r="FJS27" s="117"/>
      <c r="FJT27" s="117"/>
      <c r="FJU27" s="117"/>
      <c r="FJV27" s="117"/>
      <c r="FJW27" s="117"/>
      <c r="FJX27" s="117"/>
      <c r="FJY27" s="117"/>
      <c r="FJZ27" s="117"/>
      <c r="FKA27" s="117"/>
      <c r="FKB27" s="117"/>
      <c r="FKC27" s="117"/>
      <c r="FKD27" s="117"/>
      <c r="FKE27" s="117"/>
      <c r="FKF27" s="117"/>
      <c r="FKG27" s="117"/>
      <c r="FKH27" s="117"/>
      <c r="FKI27" s="117"/>
      <c r="FKJ27" s="117"/>
      <c r="FKK27" s="117"/>
      <c r="FKL27" s="117"/>
      <c r="FKM27" s="117"/>
      <c r="FKN27" s="117"/>
      <c r="FKO27" s="117"/>
      <c r="FKP27" s="117"/>
      <c r="FKQ27" s="117"/>
      <c r="FKR27" s="117"/>
      <c r="FKS27" s="117"/>
      <c r="FKT27" s="117"/>
      <c r="FKU27" s="117"/>
      <c r="FKV27" s="117"/>
      <c r="FKW27" s="117"/>
      <c r="FKX27" s="117"/>
      <c r="FKY27" s="117"/>
      <c r="FKZ27" s="117"/>
      <c r="FLA27" s="117"/>
      <c r="FLB27" s="117"/>
      <c r="FLC27" s="117"/>
      <c r="FLD27" s="117"/>
      <c r="FLE27" s="117"/>
      <c r="FLF27" s="117"/>
      <c r="FLG27" s="117"/>
      <c r="FLH27" s="117"/>
      <c r="FLI27" s="117"/>
      <c r="FLJ27" s="117"/>
      <c r="FLK27" s="117"/>
      <c r="FLL27" s="117"/>
      <c r="FLM27" s="117"/>
      <c r="FLN27" s="117"/>
      <c r="FLO27" s="117"/>
      <c r="FLP27" s="117"/>
      <c r="FLQ27" s="117"/>
      <c r="FLR27" s="117"/>
      <c r="FLS27" s="117"/>
      <c r="FLT27" s="117"/>
      <c r="FLU27" s="117"/>
      <c r="FLV27" s="117"/>
      <c r="FLW27" s="117"/>
      <c r="FLX27" s="117"/>
      <c r="FLY27" s="117"/>
      <c r="FLZ27" s="117"/>
      <c r="FMA27" s="117"/>
      <c r="FMB27" s="117"/>
      <c r="FMC27" s="117"/>
      <c r="FMD27" s="117"/>
      <c r="FME27" s="117"/>
      <c r="FMF27" s="117"/>
      <c r="FMG27" s="117"/>
      <c r="FMH27" s="117"/>
      <c r="FMI27" s="117"/>
      <c r="FMJ27" s="117"/>
      <c r="FMK27" s="117"/>
      <c r="FML27" s="117"/>
      <c r="FMM27" s="117"/>
      <c r="FMN27" s="117"/>
      <c r="FMO27" s="117"/>
      <c r="FMP27" s="117"/>
      <c r="FMQ27" s="117"/>
      <c r="FMR27" s="117"/>
      <c r="FMS27" s="117"/>
      <c r="FMT27" s="117"/>
      <c r="FMU27" s="117"/>
      <c r="FMV27" s="117"/>
      <c r="FMW27" s="117"/>
      <c r="FMX27" s="117"/>
      <c r="FMY27" s="117"/>
      <c r="FMZ27" s="117"/>
      <c r="FNA27" s="117"/>
      <c r="FNB27" s="117"/>
      <c r="FNC27" s="117"/>
      <c r="FND27" s="117"/>
      <c r="FNE27" s="117"/>
      <c r="FNF27" s="117"/>
      <c r="FNG27" s="117"/>
      <c r="FNH27" s="117"/>
      <c r="FNI27" s="117"/>
      <c r="FNJ27" s="117"/>
      <c r="FNK27" s="117"/>
      <c r="FNL27" s="117"/>
      <c r="FNM27" s="117"/>
      <c r="FNN27" s="117"/>
      <c r="FNO27" s="117"/>
      <c r="FNP27" s="117"/>
      <c r="FNQ27" s="117"/>
      <c r="FNR27" s="117"/>
      <c r="FNS27" s="117"/>
      <c r="FNT27" s="117"/>
      <c r="FNU27" s="117"/>
      <c r="FNV27" s="117"/>
      <c r="FNW27" s="117"/>
      <c r="FNX27" s="117"/>
      <c r="FNY27" s="117"/>
      <c r="FNZ27" s="117"/>
      <c r="FOA27" s="117"/>
      <c r="FOB27" s="117"/>
      <c r="FOC27" s="117"/>
      <c r="FOD27" s="117"/>
      <c r="FOE27" s="117"/>
      <c r="FOF27" s="117"/>
      <c r="FOG27" s="117"/>
      <c r="FOH27" s="117"/>
      <c r="FOI27" s="117"/>
      <c r="FOJ27" s="117"/>
      <c r="FOK27" s="117"/>
      <c r="FOL27" s="117"/>
      <c r="FOM27" s="117"/>
      <c r="FON27" s="117"/>
      <c r="FOO27" s="117"/>
      <c r="FOP27" s="117"/>
      <c r="FOQ27" s="117"/>
      <c r="FOR27" s="117"/>
      <c r="FOS27" s="117"/>
      <c r="FOT27" s="117"/>
      <c r="FOU27" s="117"/>
      <c r="FOV27" s="117"/>
      <c r="FOW27" s="117"/>
      <c r="FOX27" s="117"/>
      <c r="FOY27" s="117"/>
      <c r="FOZ27" s="117"/>
      <c r="FPA27" s="117"/>
      <c r="FPB27" s="117"/>
      <c r="FPC27" s="117"/>
      <c r="FPD27" s="117"/>
      <c r="FPE27" s="117"/>
      <c r="FPF27" s="117"/>
      <c r="FPG27" s="117"/>
      <c r="FPH27" s="117"/>
      <c r="FPI27" s="117"/>
      <c r="FPJ27" s="117"/>
      <c r="FPK27" s="117"/>
      <c r="FPL27" s="117"/>
      <c r="FPM27" s="117"/>
      <c r="FPN27" s="117"/>
      <c r="FPO27" s="117"/>
      <c r="FPP27" s="117"/>
      <c r="FPQ27" s="117"/>
      <c r="FPR27" s="117"/>
      <c r="FPS27" s="117"/>
      <c r="FPT27" s="117"/>
      <c r="FPU27" s="117"/>
      <c r="FPV27" s="117"/>
      <c r="FPW27" s="117"/>
      <c r="FPX27" s="117"/>
      <c r="FPY27" s="117"/>
      <c r="FPZ27" s="117"/>
      <c r="FQA27" s="117"/>
      <c r="FQB27" s="117"/>
      <c r="FQC27" s="117"/>
      <c r="FQD27" s="117"/>
      <c r="FQE27" s="117"/>
      <c r="FQF27" s="117"/>
      <c r="FQG27" s="117"/>
      <c r="FQH27" s="117"/>
      <c r="FQI27" s="117"/>
      <c r="FQJ27" s="117"/>
      <c r="FQK27" s="117"/>
      <c r="FQL27" s="117"/>
      <c r="FQM27" s="117"/>
      <c r="FQN27" s="117"/>
      <c r="FQO27" s="117"/>
      <c r="FQP27" s="117"/>
      <c r="FQQ27" s="117"/>
      <c r="FQR27" s="117"/>
      <c r="FQS27" s="117"/>
      <c r="FQT27" s="117"/>
      <c r="FQU27" s="117"/>
      <c r="FQV27" s="117"/>
      <c r="FQW27" s="117"/>
      <c r="FQX27" s="117"/>
      <c r="FQY27" s="117"/>
      <c r="FQZ27" s="117"/>
      <c r="FRA27" s="117"/>
      <c r="FRB27" s="117"/>
      <c r="FRC27" s="117"/>
      <c r="FRD27" s="117"/>
      <c r="FRE27" s="117"/>
      <c r="FRF27" s="117"/>
      <c r="FRG27" s="117"/>
      <c r="FRH27" s="117"/>
      <c r="FRI27" s="117"/>
      <c r="FRJ27" s="117"/>
      <c r="FRK27" s="117"/>
      <c r="FRL27" s="117"/>
      <c r="FRM27" s="117"/>
      <c r="FRN27" s="117"/>
      <c r="FRO27" s="117"/>
      <c r="FRP27" s="117"/>
      <c r="FRQ27" s="117"/>
      <c r="FRR27" s="117"/>
      <c r="FRS27" s="117"/>
      <c r="FRT27" s="117"/>
      <c r="FRU27" s="117"/>
      <c r="FRV27" s="117"/>
      <c r="FRW27" s="117"/>
      <c r="FRX27" s="117"/>
      <c r="FRY27" s="117"/>
      <c r="FRZ27" s="117"/>
      <c r="FSA27" s="117"/>
      <c r="FSB27" s="117"/>
      <c r="FSC27" s="117"/>
      <c r="FSD27" s="117"/>
      <c r="FSE27" s="117"/>
      <c r="FSF27" s="117"/>
      <c r="FSG27" s="117"/>
      <c r="FSH27" s="117"/>
      <c r="FSI27" s="117"/>
      <c r="FSJ27" s="117"/>
      <c r="FSK27" s="117"/>
      <c r="FSL27" s="117"/>
      <c r="FSM27" s="117"/>
      <c r="FSN27" s="117"/>
      <c r="FSO27" s="117"/>
      <c r="FSP27" s="117"/>
      <c r="FSQ27" s="117"/>
      <c r="FSR27" s="117"/>
      <c r="FSS27" s="117"/>
      <c r="FST27" s="117"/>
      <c r="FSU27" s="117"/>
      <c r="FSV27" s="117"/>
      <c r="FSW27" s="117"/>
      <c r="FSX27" s="117"/>
      <c r="FSY27" s="117"/>
      <c r="FSZ27" s="117"/>
      <c r="FTA27" s="117"/>
      <c r="FTB27" s="117"/>
      <c r="FTC27" s="117"/>
      <c r="FTD27" s="117"/>
      <c r="FTE27" s="117"/>
      <c r="FTF27" s="117"/>
      <c r="FTG27" s="117"/>
      <c r="FTH27" s="117"/>
      <c r="FTI27" s="117"/>
      <c r="FTJ27" s="117"/>
      <c r="FTK27" s="117"/>
      <c r="FTL27" s="117"/>
      <c r="FTM27" s="117"/>
      <c r="FTN27" s="117"/>
      <c r="FTO27" s="117"/>
      <c r="FTP27" s="117"/>
      <c r="FTQ27" s="117"/>
      <c r="FTR27" s="117"/>
      <c r="FTS27" s="117"/>
      <c r="FTT27" s="117"/>
      <c r="FTU27" s="117"/>
      <c r="FTV27" s="117"/>
      <c r="FTW27" s="117"/>
      <c r="FTX27" s="117"/>
      <c r="FTY27" s="117"/>
      <c r="FTZ27" s="117"/>
      <c r="FUA27" s="117"/>
      <c r="FUB27" s="117"/>
      <c r="FUC27" s="117"/>
      <c r="FUD27" s="117"/>
      <c r="FUE27" s="117"/>
      <c r="FUF27" s="117"/>
      <c r="FUG27" s="117"/>
      <c r="FUH27" s="117"/>
      <c r="FUI27" s="117"/>
      <c r="FUJ27" s="117"/>
      <c r="FUK27" s="117"/>
      <c r="FUL27" s="117"/>
      <c r="FUM27" s="117"/>
      <c r="FUN27" s="117"/>
      <c r="FUO27" s="117"/>
      <c r="FUP27" s="117"/>
      <c r="FUQ27" s="117"/>
      <c r="FUR27" s="117"/>
      <c r="FUS27" s="117"/>
      <c r="FUT27" s="117"/>
      <c r="FUU27" s="117"/>
      <c r="FUV27" s="117"/>
      <c r="FUW27" s="117"/>
      <c r="FUX27" s="117"/>
      <c r="FUY27" s="117"/>
      <c r="FUZ27" s="117"/>
      <c r="FVA27" s="117"/>
      <c r="FVB27" s="117"/>
      <c r="FVC27" s="117"/>
      <c r="FVD27" s="117"/>
      <c r="FVE27" s="117"/>
      <c r="FVF27" s="117"/>
      <c r="FVG27" s="117"/>
      <c r="FVH27" s="117"/>
      <c r="FVI27" s="117"/>
      <c r="FVJ27" s="117"/>
      <c r="FVK27" s="117"/>
      <c r="FVL27" s="117"/>
      <c r="FVM27" s="117"/>
      <c r="FVN27" s="117"/>
      <c r="FVO27" s="117"/>
      <c r="FVP27" s="117"/>
      <c r="FVQ27" s="117"/>
      <c r="FVR27" s="117"/>
      <c r="FVS27" s="117"/>
      <c r="FVT27" s="117"/>
      <c r="FVU27" s="117"/>
      <c r="FVV27" s="117"/>
      <c r="FVW27" s="117"/>
      <c r="FVX27" s="117"/>
      <c r="FVY27" s="117"/>
      <c r="FVZ27" s="117"/>
      <c r="FWA27" s="117"/>
      <c r="FWB27" s="117"/>
      <c r="FWC27" s="117"/>
      <c r="FWD27" s="117"/>
      <c r="FWE27" s="117"/>
      <c r="FWF27" s="117"/>
      <c r="FWG27" s="117"/>
      <c r="FWH27" s="117"/>
      <c r="FWI27" s="117"/>
      <c r="FWJ27" s="117"/>
      <c r="FWK27" s="117"/>
      <c r="FWL27" s="117"/>
      <c r="FWM27" s="117"/>
      <c r="FWN27" s="117"/>
      <c r="FWO27" s="117"/>
      <c r="FWP27" s="117"/>
      <c r="FWQ27" s="117"/>
      <c r="FWR27" s="117"/>
      <c r="FWS27" s="117"/>
      <c r="FWT27" s="117"/>
      <c r="FWU27" s="117"/>
      <c r="FWV27" s="117"/>
      <c r="FWW27" s="117"/>
      <c r="FWX27" s="117"/>
      <c r="FWY27" s="117"/>
      <c r="FWZ27" s="117"/>
      <c r="FXA27" s="117"/>
      <c r="FXB27" s="117"/>
      <c r="FXC27" s="117"/>
      <c r="FXD27" s="117"/>
      <c r="FXE27" s="117"/>
      <c r="FXF27" s="117"/>
      <c r="FXG27" s="117"/>
      <c r="FXH27" s="117"/>
      <c r="FXI27" s="117"/>
      <c r="FXJ27" s="117"/>
      <c r="FXK27" s="117"/>
      <c r="FXL27" s="117"/>
      <c r="FXM27" s="117"/>
      <c r="FXN27" s="117"/>
      <c r="FXO27" s="117"/>
      <c r="FXP27" s="117"/>
      <c r="FXQ27" s="117"/>
      <c r="FXR27" s="117"/>
      <c r="FXS27" s="117"/>
      <c r="FXT27" s="117"/>
      <c r="FXU27" s="117"/>
      <c r="FXV27" s="117"/>
      <c r="FXW27" s="117"/>
      <c r="FXX27" s="117"/>
      <c r="FXY27" s="117"/>
      <c r="FXZ27" s="117"/>
      <c r="FYA27" s="117"/>
      <c r="FYB27" s="117"/>
      <c r="FYC27" s="117"/>
      <c r="FYD27" s="117"/>
      <c r="FYE27" s="117"/>
      <c r="FYF27" s="117"/>
      <c r="FYG27" s="117"/>
      <c r="FYH27" s="117"/>
      <c r="FYI27" s="117"/>
      <c r="FYJ27" s="117"/>
      <c r="FYK27" s="117"/>
      <c r="FYL27" s="117"/>
      <c r="FYM27" s="117"/>
      <c r="FYN27" s="117"/>
      <c r="FYO27" s="117"/>
      <c r="FYP27" s="117"/>
      <c r="FYQ27" s="117"/>
      <c r="FYR27" s="117"/>
      <c r="FYS27" s="117"/>
      <c r="FYT27" s="117"/>
      <c r="FYU27" s="117"/>
      <c r="FYV27" s="117"/>
      <c r="FYW27" s="117"/>
      <c r="FYX27" s="117"/>
      <c r="FYY27" s="117"/>
      <c r="FYZ27" s="117"/>
      <c r="FZA27" s="117"/>
      <c r="FZB27" s="117"/>
      <c r="FZC27" s="117"/>
      <c r="FZD27" s="117"/>
      <c r="FZE27" s="117"/>
      <c r="FZF27" s="117"/>
      <c r="FZG27" s="117"/>
      <c r="FZH27" s="117"/>
      <c r="FZI27" s="117"/>
      <c r="FZJ27" s="117"/>
      <c r="FZK27" s="117"/>
      <c r="FZL27" s="117"/>
      <c r="FZM27" s="117"/>
      <c r="FZN27" s="117"/>
      <c r="FZO27" s="117"/>
      <c r="FZP27" s="117"/>
      <c r="FZQ27" s="117"/>
      <c r="FZR27" s="117"/>
      <c r="FZS27" s="117"/>
      <c r="FZT27" s="117"/>
      <c r="FZU27" s="117"/>
      <c r="FZV27" s="117"/>
      <c r="FZW27" s="117"/>
      <c r="FZX27" s="117"/>
      <c r="FZY27" s="117"/>
      <c r="FZZ27" s="117"/>
      <c r="GAA27" s="117"/>
      <c r="GAB27" s="117"/>
      <c r="GAC27" s="117"/>
      <c r="GAD27" s="117"/>
      <c r="GAE27" s="117"/>
      <c r="GAF27" s="117"/>
      <c r="GAG27" s="117"/>
      <c r="GAH27" s="117"/>
      <c r="GAI27" s="117"/>
      <c r="GAJ27" s="117"/>
      <c r="GAK27" s="117"/>
      <c r="GAL27" s="117"/>
      <c r="GAM27" s="117"/>
      <c r="GAN27" s="117"/>
      <c r="GAO27" s="117"/>
      <c r="GAP27" s="117"/>
      <c r="GAQ27" s="117"/>
      <c r="GAR27" s="117"/>
      <c r="GAS27" s="117"/>
      <c r="GAT27" s="117"/>
      <c r="GAU27" s="117"/>
      <c r="GAV27" s="117"/>
      <c r="GAW27" s="117"/>
      <c r="GAX27" s="117"/>
      <c r="GAY27" s="117"/>
      <c r="GAZ27" s="117"/>
      <c r="GBA27" s="117"/>
      <c r="GBB27" s="117"/>
      <c r="GBC27" s="117"/>
      <c r="GBD27" s="117"/>
      <c r="GBE27" s="117"/>
      <c r="GBF27" s="117"/>
      <c r="GBG27" s="117"/>
      <c r="GBH27" s="117"/>
      <c r="GBI27" s="117"/>
      <c r="GBJ27" s="117"/>
      <c r="GBK27" s="117"/>
      <c r="GBL27" s="117"/>
      <c r="GBM27" s="117"/>
      <c r="GBN27" s="117"/>
      <c r="GBO27" s="117"/>
      <c r="GBP27" s="117"/>
      <c r="GBQ27" s="117"/>
      <c r="GBR27" s="117"/>
      <c r="GBS27" s="117"/>
      <c r="GBT27" s="117"/>
      <c r="GBU27" s="117"/>
      <c r="GBV27" s="117"/>
      <c r="GBW27" s="117"/>
      <c r="GBX27" s="117"/>
      <c r="GBY27" s="117"/>
      <c r="GBZ27" s="117"/>
      <c r="GCA27" s="117"/>
      <c r="GCB27" s="117"/>
      <c r="GCC27" s="117"/>
      <c r="GCD27" s="117"/>
      <c r="GCE27" s="117"/>
      <c r="GCF27" s="117"/>
      <c r="GCG27" s="117"/>
      <c r="GCH27" s="117"/>
      <c r="GCI27" s="117"/>
      <c r="GCJ27" s="117"/>
      <c r="GCK27" s="117"/>
      <c r="GCL27" s="117"/>
      <c r="GCM27" s="117"/>
      <c r="GCN27" s="117"/>
      <c r="GCO27" s="117"/>
      <c r="GCP27" s="117"/>
      <c r="GCQ27" s="117"/>
      <c r="GCR27" s="117"/>
      <c r="GCS27" s="117"/>
      <c r="GCT27" s="117"/>
      <c r="GCU27" s="117"/>
      <c r="GCV27" s="117"/>
      <c r="GCW27" s="117"/>
      <c r="GCX27" s="117"/>
      <c r="GCY27" s="117"/>
      <c r="GCZ27" s="117"/>
      <c r="GDA27" s="117"/>
      <c r="GDB27" s="117"/>
      <c r="GDC27" s="117"/>
      <c r="GDD27" s="117"/>
      <c r="GDE27" s="117"/>
      <c r="GDF27" s="117"/>
      <c r="GDG27" s="117"/>
      <c r="GDH27" s="117"/>
      <c r="GDI27" s="117"/>
      <c r="GDJ27" s="117"/>
      <c r="GDK27" s="117"/>
      <c r="GDL27" s="117"/>
      <c r="GDM27" s="117"/>
      <c r="GDN27" s="117"/>
      <c r="GDO27" s="117"/>
      <c r="GDP27" s="117"/>
      <c r="GDQ27" s="117"/>
      <c r="GDR27" s="117"/>
      <c r="GDS27" s="117"/>
      <c r="GDT27" s="117"/>
      <c r="GDU27" s="117"/>
      <c r="GDV27" s="117"/>
      <c r="GDW27" s="117"/>
      <c r="GDX27" s="117"/>
      <c r="GDY27" s="117"/>
      <c r="GDZ27" s="117"/>
      <c r="GEA27" s="117"/>
      <c r="GEB27" s="117"/>
      <c r="GEC27" s="117"/>
      <c r="GED27" s="117"/>
      <c r="GEE27" s="117"/>
      <c r="GEF27" s="117"/>
      <c r="GEG27" s="117"/>
      <c r="GEH27" s="117"/>
      <c r="GEI27" s="117"/>
      <c r="GEJ27" s="117"/>
      <c r="GEK27" s="117"/>
      <c r="GEL27" s="117"/>
      <c r="GEM27" s="117"/>
      <c r="GEN27" s="117"/>
      <c r="GEO27" s="117"/>
      <c r="GEP27" s="117"/>
      <c r="GEQ27" s="117"/>
      <c r="GER27" s="117"/>
      <c r="GES27" s="117"/>
      <c r="GET27" s="117"/>
      <c r="GEU27" s="117"/>
      <c r="GEV27" s="117"/>
      <c r="GEW27" s="117"/>
      <c r="GEX27" s="117"/>
      <c r="GEY27" s="117"/>
      <c r="GEZ27" s="117"/>
      <c r="GFA27" s="117"/>
      <c r="GFB27" s="117"/>
      <c r="GFC27" s="117"/>
      <c r="GFD27" s="117"/>
      <c r="GFE27" s="117"/>
      <c r="GFF27" s="117"/>
      <c r="GFG27" s="117"/>
      <c r="GFH27" s="117"/>
      <c r="GFI27" s="117"/>
      <c r="GFJ27" s="117"/>
      <c r="GFK27" s="117"/>
      <c r="GFL27" s="117"/>
      <c r="GFM27" s="117"/>
      <c r="GFN27" s="117"/>
      <c r="GFO27" s="117"/>
      <c r="GFP27" s="117"/>
      <c r="GFQ27" s="117"/>
      <c r="GFR27" s="117"/>
      <c r="GFS27" s="117"/>
      <c r="GFT27" s="117"/>
      <c r="GFU27" s="117"/>
      <c r="GFV27" s="117"/>
      <c r="GFW27" s="117"/>
      <c r="GFX27" s="117"/>
      <c r="GFY27" s="117"/>
      <c r="GFZ27" s="117"/>
      <c r="GGA27" s="117"/>
      <c r="GGB27" s="117"/>
      <c r="GGC27" s="117"/>
      <c r="GGD27" s="117"/>
      <c r="GGE27" s="117"/>
      <c r="GGF27" s="117"/>
      <c r="GGG27" s="117"/>
      <c r="GGH27" s="117"/>
      <c r="GGI27" s="117"/>
      <c r="GGJ27" s="117"/>
      <c r="GGK27" s="117"/>
      <c r="GGL27" s="117"/>
      <c r="GGM27" s="117"/>
      <c r="GGN27" s="117"/>
      <c r="GGO27" s="117"/>
      <c r="GGP27" s="117"/>
      <c r="GGQ27" s="117"/>
      <c r="GGR27" s="117"/>
      <c r="GGS27" s="117"/>
      <c r="GGT27" s="117"/>
      <c r="GGU27" s="117"/>
      <c r="GGV27" s="117"/>
      <c r="GGW27" s="117"/>
      <c r="GGX27" s="117"/>
      <c r="GGY27" s="117"/>
      <c r="GGZ27" s="117"/>
      <c r="GHA27" s="117"/>
      <c r="GHB27" s="117"/>
      <c r="GHC27" s="117"/>
      <c r="GHD27" s="117"/>
      <c r="GHE27" s="117"/>
      <c r="GHF27" s="117"/>
      <c r="GHG27" s="117"/>
      <c r="GHH27" s="117"/>
      <c r="GHI27" s="117"/>
      <c r="GHJ27" s="117"/>
      <c r="GHK27" s="117"/>
      <c r="GHL27" s="117"/>
      <c r="GHM27" s="117"/>
      <c r="GHN27" s="117"/>
      <c r="GHO27" s="117"/>
      <c r="GHP27" s="117"/>
      <c r="GHQ27" s="117"/>
      <c r="GHR27" s="117"/>
      <c r="GHS27" s="117"/>
      <c r="GHT27" s="117"/>
      <c r="GHU27" s="117"/>
      <c r="GHV27" s="117"/>
      <c r="GHW27" s="117"/>
      <c r="GHX27" s="117"/>
      <c r="GHY27" s="117"/>
      <c r="GHZ27" s="117"/>
      <c r="GIA27" s="117"/>
      <c r="GIB27" s="117"/>
      <c r="GIC27" s="117"/>
      <c r="GID27" s="117"/>
      <c r="GIE27" s="117"/>
      <c r="GIF27" s="117"/>
      <c r="GIG27" s="117"/>
      <c r="GIH27" s="117"/>
      <c r="GII27" s="117"/>
      <c r="GIJ27" s="117"/>
      <c r="GIK27" s="117"/>
      <c r="GIL27" s="117"/>
      <c r="GIM27" s="117"/>
      <c r="GIN27" s="117"/>
      <c r="GIO27" s="117"/>
      <c r="GIP27" s="117"/>
      <c r="GIQ27" s="117"/>
      <c r="GIR27" s="117"/>
      <c r="GIS27" s="117"/>
      <c r="GIT27" s="117"/>
      <c r="GIU27" s="117"/>
      <c r="GIV27" s="117"/>
      <c r="GIW27" s="117"/>
      <c r="GIX27" s="117"/>
      <c r="GIY27" s="117"/>
      <c r="GIZ27" s="117"/>
      <c r="GJA27" s="117"/>
      <c r="GJB27" s="117"/>
      <c r="GJC27" s="117"/>
      <c r="GJD27" s="117"/>
      <c r="GJE27" s="117"/>
      <c r="GJF27" s="117"/>
      <c r="GJG27" s="117"/>
      <c r="GJH27" s="117"/>
      <c r="GJI27" s="117"/>
      <c r="GJJ27" s="117"/>
      <c r="GJK27" s="117"/>
      <c r="GJL27" s="117"/>
      <c r="GJM27" s="117"/>
      <c r="GJN27" s="117"/>
      <c r="GJO27" s="117"/>
      <c r="GJP27" s="117"/>
      <c r="GJQ27" s="117"/>
      <c r="GJR27" s="117"/>
      <c r="GJS27" s="117"/>
      <c r="GJT27" s="117"/>
      <c r="GJU27" s="117"/>
      <c r="GJV27" s="117"/>
      <c r="GJW27" s="117"/>
      <c r="GJX27" s="117"/>
      <c r="GJY27" s="117"/>
      <c r="GJZ27" s="117"/>
      <c r="GKA27" s="117"/>
      <c r="GKB27" s="117"/>
      <c r="GKC27" s="117"/>
      <c r="GKD27" s="117"/>
      <c r="GKE27" s="117"/>
      <c r="GKF27" s="117"/>
      <c r="GKG27" s="117"/>
      <c r="GKH27" s="117"/>
      <c r="GKI27" s="117"/>
      <c r="GKJ27" s="117"/>
      <c r="GKK27" s="117"/>
      <c r="GKL27" s="117"/>
      <c r="GKM27" s="117"/>
      <c r="GKN27" s="117"/>
      <c r="GKO27" s="117"/>
      <c r="GKP27" s="117"/>
      <c r="GKQ27" s="117"/>
      <c r="GKR27" s="117"/>
      <c r="GKS27" s="117"/>
      <c r="GKT27" s="117"/>
      <c r="GKU27" s="117"/>
      <c r="GKV27" s="117"/>
      <c r="GKW27" s="117"/>
      <c r="GKX27" s="117"/>
      <c r="GKY27" s="117"/>
      <c r="GKZ27" s="117"/>
      <c r="GLA27" s="117"/>
      <c r="GLB27" s="117"/>
      <c r="GLC27" s="117"/>
      <c r="GLD27" s="117"/>
      <c r="GLE27" s="117"/>
      <c r="GLF27" s="117"/>
      <c r="GLG27" s="117"/>
      <c r="GLH27" s="117"/>
      <c r="GLI27" s="117"/>
      <c r="GLJ27" s="117"/>
      <c r="GLK27" s="117"/>
      <c r="GLL27" s="117"/>
      <c r="GLM27" s="117"/>
      <c r="GLN27" s="117"/>
      <c r="GLO27" s="117"/>
      <c r="GLP27" s="117"/>
      <c r="GLQ27" s="117"/>
      <c r="GLR27" s="117"/>
      <c r="GLS27" s="117"/>
      <c r="GLT27" s="117"/>
      <c r="GLU27" s="117"/>
      <c r="GLV27" s="117"/>
      <c r="GLW27" s="117"/>
      <c r="GLX27" s="117"/>
      <c r="GLY27" s="117"/>
      <c r="GLZ27" s="117"/>
      <c r="GMA27" s="117"/>
      <c r="GMB27" s="117"/>
      <c r="GMC27" s="117"/>
      <c r="GMD27" s="117"/>
      <c r="GME27" s="117"/>
      <c r="GMF27" s="117"/>
      <c r="GMG27" s="117"/>
      <c r="GMH27" s="117"/>
      <c r="GMI27" s="117"/>
      <c r="GMJ27" s="117"/>
      <c r="GMK27" s="117"/>
      <c r="GML27" s="117"/>
      <c r="GMM27" s="117"/>
      <c r="GMN27" s="117"/>
      <c r="GMO27" s="117"/>
      <c r="GMP27" s="117"/>
      <c r="GMQ27" s="117"/>
      <c r="GMR27" s="117"/>
      <c r="GMS27" s="117"/>
      <c r="GMT27" s="117"/>
      <c r="GMU27" s="117"/>
      <c r="GMV27" s="117"/>
      <c r="GMW27" s="117"/>
      <c r="GMX27" s="117"/>
      <c r="GMY27" s="117"/>
      <c r="GMZ27" s="117"/>
      <c r="GNA27" s="117"/>
      <c r="GNB27" s="117"/>
      <c r="GNC27" s="117"/>
      <c r="GND27" s="117"/>
      <c r="GNE27" s="117"/>
      <c r="GNF27" s="117"/>
      <c r="GNG27" s="117"/>
      <c r="GNH27" s="117"/>
      <c r="GNI27" s="117"/>
      <c r="GNJ27" s="117"/>
      <c r="GNK27" s="117"/>
      <c r="GNL27" s="117"/>
      <c r="GNM27" s="117"/>
      <c r="GNN27" s="117"/>
      <c r="GNO27" s="117"/>
      <c r="GNP27" s="117"/>
      <c r="GNQ27" s="117"/>
      <c r="GNR27" s="117"/>
      <c r="GNS27" s="117"/>
      <c r="GNT27" s="117"/>
      <c r="GNU27" s="117"/>
      <c r="GNV27" s="117"/>
      <c r="GNW27" s="117"/>
      <c r="GNX27" s="117"/>
      <c r="GNY27" s="117"/>
      <c r="GNZ27" s="117"/>
      <c r="GOA27" s="117"/>
      <c r="GOB27" s="117"/>
      <c r="GOC27" s="117"/>
      <c r="GOD27" s="117"/>
      <c r="GOE27" s="117"/>
      <c r="GOF27" s="117"/>
      <c r="GOG27" s="117"/>
      <c r="GOH27" s="117"/>
      <c r="GOI27" s="117"/>
      <c r="GOJ27" s="117"/>
      <c r="GOK27" s="117"/>
      <c r="GOL27" s="117"/>
      <c r="GOM27" s="117"/>
      <c r="GON27" s="117"/>
      <c r="GOO27" s="117"/>
      <c r="GOP27" s="117"/>
      <c r="GOQ27" s="117"/>
      <c r="GOR27" s="117"/>
      <c r="GOS27" s="117"/>
      <c r="GOT27" s="117"/>
      <c r="GOU27" s="117"/>
      <c r="GOV27" s="117"/>
      <c r="GOW27" s="117"/>
      <c r="GOX27" s="117"/>
      <c r="GOY27" s="117"/>
      <c r="GOZ27" s="117"/>
      <c r="GPA27" s="117"/>
      <c r="GPB27" s="117"/>
      <c r="GPC27" s="117"/>
      <c r="GPD27" s="117"/>
      <c r="GPE27" s="117"/>
      <c r="GPF27" s="117"/>
      <c r="GPG27" s="117"/>
      <c r="GPH27" s="117"/>
      <c r="GPI27" s="117"/>
      <c r="GPJ27" s="117"/>
      <c r="GPK27" s="117"/>
      <c r="GPL27" s="117"/>
      <c r="GPM27" s="117"/>
      <c r="GPN27" s="117"/>
      <c r="GPO27" s="117"/>
      <c r="GPP27" s="117"/>
      <c r="GPQ27" s="117"/>
      <c r="GPR27" s="117"/>
      <c r="GPS27" s="117"/>
      <c r="GPT27" s="117"/>
      <c r="GPU27" s="117"/>
      <c r="GPV27" s="117"/>
      <c r="GPW27" s="117"/>
      <c r="GPX27" s="117"/>
      <c r="GPY27" s="117"/>
      <c r="GPZ27" s="117"/>
      <c r="GQA27" s="117"/>
      <c r="GQB27" s="117"/>
      <c r="GQC27" s="117"/>
      <c r="GQD27" s="117"/>
      <c r="GQE27" s="117"/>
      <c r="GQF27" s="117"/>
      <c r="GQG27" s="117"/>
      <c r="GQH27" s="117"/>
      <c r="GQI27" s="117"/>
      <c r="GQJ27" s="117"/>
      <c r="GQK27" s="117"/>
      <c r="GQL27" s="117"/>
      <c r="GQM27" s="117"/>
      <c r="GQN27" s="117"/>
      <c r="GQO27" s="117"/>
      <c r="GQP27" s="117"/>
      <c r="GQQ27" s="117"/>
      <c r="GQR27" s="117"/>
      <c r="GQS27" s="117"/>
      <c r="GQT27" s="117"/>
      <c r="GQU27" s="117"/>
      <c r="GQV27" s="117"/>
      <c r="GQW27" s="117"/>
      <c r="GQX27" s="117"/>
      <c r="GQY27" s="117"/>
      <c r="GQZ27" s="117"/>
      <c r="GRA27" s="117"/>
      <c r="GRB27" s="117"/>
      <c r="GRC27" s="117"/>
      <c r="GRD27" s="117"/>
      <c r="GRE27" s="117"/>
      <c r="GRF27" s="117"/>
      <c r="GRG27" s="117"/>
      <c r="GRH27" s="117"/>
      <c r="GRI27" s="117"/>
      <c r="GRJ27" s="117"/>
      <c r="GRK27" s="117"/>
      <c r="GRL27" s="117"/>
      <c r="GRM27" s="117"/>
      <c r="GRN27" s="117"/>
      <c r="GRO27" s="117"/>
      <c r="GRP27" s="117"/>
      <c r="GRQ27" s="117"/>
      <c r="GRR27" s="117"/>
      <c r="GRS27" s="117"/>
      <c r="GRT27" s="117"/>
      <c r="GRU27" s="117"/>
      <c r="GRV27" s="117"/>
      <c r="GRW27" s="117"/>
      <c r="GRX27" s="117"/>
      <c r="GRY27" s="117"/>
      <c r="GRZ27" s="117"/>
      <c r="GSA27" s="117"/>
      <c r="GSB27" s="117"/>
      <c r="GSC27" s="117"/>
      <c r="GSD27" s="117"/>
      <c r="GSE27" s="117"/>
      <c r="GSF27" s="117"/>
      <c r="GSG27" s="117"/>
      <c r="GSH27" s="117"/>
      <c r="GSI27" s="117"/>
      <c r="GSJ27" s="117"/>
      <c r="GSK27" s="117"/>
      <c r="GSL27" s="117"/>
      <c r="GSM27" s="117"/>
      <c r="GSN27" s="117"/>
      <c r="GSO27" s="117"/>
      <c r="GSP27" s="117"/>
      <c r="GSQ27" s="117"/>
      <c r="GSR27" s="117"/>
      <c r="GSS27" s="117"/>
      <c r="GST27" s="117"/>
      <c r="GSU27" s="117"/>
      <c r="GSV27" s="117"/>
      <c r="GSW27" s="117"/>
      <c r="GSX27" s="117"/>
      <c r="GSY27" s="117"/>
      <c r="GSZ27" s="117"/>
      <c r="GTA27" s="117"/>
      <c r="GTB27" s="117"/>
      <c r="GTC27" s="117"/>
      <c r="GTD27" s="117"/>
      <c r="GTE27" s="117"/>
      <c r="GTF27" s="117"/>
      <c r="GTG27" s="117"/>
      <c r="GTH27" s="117"/>
      <c r="GTI27" s="117"/>
      <c r="GTJ27" s="117"/>
      <c r="GTK27" s="117"/>
      <c r="GTL27" s="117"/>
      <c r="GTM27" s="117"/>
      <c r="GTN27" s="117"/>
      <c r="GTO27" s="117"/>
      <c r="GTP27" s="117"/>
      <c r="GTQ27" s="117"/>
      <c r="GTR27" s="117"/>
      <c r="GTS27" s="117"/>
      <c r="GTT27" s="117"/>
      <c r="GTU27" s="117"/>
      <c r="GTV27" s="117"/>
      <c r="GTW27" s="117"/>
      <c r="GTX27" s="117"/>
      <c r="GTY27" s="117"/>
      <c r="GTZ27" s="117"/>
      <c r="GUA27" s="117"/>
      <c r="GUB27" s="117"/>
      <c r="GUC27" s="117"/>
      <c r="GUD27" s="117"/>
      <c r="GUE27" s="117"/>
      <c r="GUF27" s="117"/>
      <c r="GUG27" s="117"/>
      <c r="GUH27" s="117"/>
      <c r="GUI27" s="117"/>
      <c r="GUJ27" s="117"/>
      <c r="GUK27" s="117"/>
      <c r="GUL27" s="117"/>
      <c r="GUM27" s="117"/>
      <c r="GUN27" s="117"/>
      <c r="GUO27" s="117"/>
      <c r="GUP27" s="117"/>
      <c r="GUQ27" s="117"/>
      <c r="GUR27" s="117"/>
      <c r="GUS27" s="117"/>
      <c r="GUT27" s="117"/>
      <c r="GUU27" s="117"/>
      <c r="GUV27" s="117"/>
      <c r="GUW27" s="117"/>
      <c r="GUX27" s="117"/>
      <c r="GUY27" s="117"/>
      <c r="GUZ27" s="117"/>
      <c r="GVA27" s="117"/>
      <c r="GVB27" s="117"/>
      <c r="GVC27" s="117"/>
      <c r="GVD27" s="117"/>
      <c r="GVE27" s="117"/>
      <c r="GVF27" s="117"/>
      <c r="GVG27" s="117"/>
      <c r="GVH27" s="117"/>
      <c r="GVI27" s="117"/>
      <c r="GVJ27" s="117"/>
      <c r="GVK27" s="117"/>
      <c r="GVL27" s="117"/>
      <c r="GVM27" s="117"/>
      <c r="GVN27" s="117"/>
      <c r="GVO27" s="117"/>
      <c r="GVP27" s="117"/>
      <c r="GVQ27" s="117"/>
      <c r="GVR27" s="117"/>
      <c r="GVS27" s="117"/>
      <c r="GVT27" s="117"/>
      <c r="GVU27" s="117"/>
      <c r="GVV27" s="117"/>
      <c r="GVW27" s="117"/>
      <c r="GVX27" s="117"/>
      <c r="GVY27" s="117"/>
      <c r="GVZ27" s="117"/>
      <c r="GWA27" s="117"/>
      <c r="GWB27" s="117"/>
      <c r="GWC27" s="117"/>
      <c r="GWD27" s="117"/>
      <c r="GWE27" s="117"/>
      <c r="GWF27" s="117"/>
      <c r="GWG27" s="117"/>
      <c r="GWH27" s="117"/>
      <c r="GWI27" s="117"/>
      <c r="GWJ27" s="117"/>
      <c r="GWK27" s="117"/>
      <c r="GWL27" s="117"/>
      <c r="GWM27" s="117"/>
      <c r="GWN27" s="117"/>
      <c r="GWO27" s="117"/>
      <c r="GWP27" s="117"/>
      <c r="GWQ27" s="117"/>
      <c r="GWR27" s="117"/>
      <c r="GWS27" s="117"/>
      <c r="GWT27" s="117"/>
      <c r="GWU27" s="117"/>
      <c r="GWV27" s="117"/>
      <c r="GWW27" s="117"/>
      <c r="GWX27" s="117"/>
      <c r="GWY27" s="117"/>
      <c r="GWZ27" s="117"/>
      <c r="GXA27" s="117"/>
      <c r="GXB27" s="117"/>
      <c r="GXC27" s="117"/>
      <c r="GXD27" s="117"/>
      <c r="GXE27" s="117"/>
      <c r="GXF27" s="117"/>
      <c r="GXG27" s="117"/>
      <c r="GXH27" s="117"/>
      <c r="GXI27" s="117"/>
      <c r="GXJ27" s="117"/>
      <c r="GXK27" s="117"/>
      <c r="GXL27" s="117"/>
      <c r="GXM27" s="117"/>
      <c r="GXN27" s="117"/>
      <c r="GXO27" s="117"/>
      <c r="GXP27" s="117"/>
      <c r="GXQ27" s="117"/>
      <c r="GXR27" s="117"/>
      <c r="GXS27" s="117"/>
      <c r="GXT27" s="117"/>
      <c r="GXU27" s="117"/>
      <c r="GXV27" s="117"/>
      <c r="GXW27" s="117"/>
      <c r="GXX27" s="117"/>
      <c r="GXY27" s="117"/>
      <c r="GXZ27" s="117"/>
      <c r="GYA27" s="117"/>
      <c r="GYB27" s="117"/>
      <c r="GYC27" s="117"/>
      <c r="GYD27" s="117"/>
      <c r="GYE27" s="117"/>
      <c r="GYF27" s="117"/>
      <c r="GYG27" s="117"/>
      <c r="GYH27" s="117"/>
      <c r="GYI27" s="117"/>
      <c r="GYJ27" s="117"/>
      <c r="GYK27" s="117"/>
      <c r="GYL27" s="117"/>
      <c r="GYM27" s="117"/>
      <c r="GYN27" s="117"/>
      <c r="GYO27" s="117"/>
      <c r="GYP27" s="117"/>
      <c r="GYQ27" s="117"/>
      <c r="GYR27" s="117"/>
      <c r="GYS27" s="117"/>
      <c r="GYT27" s="117"/>
      <c r="GYU27" s="117"/>
      <c r="GYV27" s="117"/>
      <c r="GYW27" s="117"/>
      <c r="GYX27" s="117"/>
      <c r="GYY27" s="117"/>
      <c r="GYZ27" s="117"/>
      <c r="GZA27" s="117"/>
      <c r="GZB27" s="117"/>
      <c r="GZC27" s="117"/>
      <c r="GZD27" s="117"/>
      <c r="GZE27" s="117"/>
      <c r="GZF27" s="117"/>
      <c r="GZG27" s="117"/>
      <c r="GZH27" s="117"/>
      <c r="GZI27" s="117"/>
      <c r="GZJ27" s="117"/>
      <c r="GZK27" s="117"/>
      <c r="GZL27" s="117"/>
      <c r="GZM27" s="117"/>
      <c r="GZN27" s="117"/>
      <c r="GZO27" s="117"/>
      <c r="GZP27" s="117"/>
      <c r="GZQ27" s="117"/>
      <c r="GZR27" s="117"/>
      <c r="GZS27" s="117"/>
      <c r="GZT27" s="117"/>
      <c r="GZU27" s="117"/>
      <c r="GZV27" s="117"/>
      <c r="GZW27" s="117"/>
      <c r="GZX27" s="117"/>
      <c r="GZY27" s="117"/>
      <c r="GZZ27" s="117"/>
      <c r="HAA27" s="117"/>
      <c r="HAB27" s="117"/>
      <c r="HAC27" s="117"/>
      <c r="HAD27" s="117"/>
      <c r="HAE27" s="117"/>
      <c r="HAF27" s="117"/>
      <c r="HAG27" s="117"/>
      <c r="HAH27" s="117"/>
      <c r="HAI27" s="117"/>
      <c r="HAJ27" s="117"/>
      <c r="HAK27" s="117"/>
      <c r="HAL27" s="117"/>
      <c r="HAM27" s="117"/>
      <c r="HAN27" s="117"/>
      <c r="HAO27" s="117"/>
      <c r="HAP27" s="117"/>
      <c r="HAQ27" s="117"/>
      <c r="HAR27" s="117"/>
      <c r="HAS27" s="117"/>
      <c r="HAT27" s="117"/>
      <c r="HAU27" s="117"/>
      <c r="HAV27" s="117"/>
      <c r="HAW27" s="117"/>
      <c r="HAX27" s="117"/>
      <c r="HAY27" s="117"/>
      <c r="HAZ27" s="117"/>
      <c r="HBA27" s="117"/>
      <c r="HBB27" s="117"/>
      <c r="HBC27" s="117"/>
      <c r="HBD27" s="117"/>
      <c r="HBE27" s="117"/>
      <c r="HBF27" s="117"/>
      <c r="HBG27" s="117"/>
      <c r="HBH27" s="117"/>
      <c r="HBI27" s="117"/>
      <c r="HBJ27" s="117"/>
      <c r="HBK27" s="117"/>
      <c r="HBL27" s="117"/>
      <c r="HBM27" s="117"/>
      <c r="HBN27" s="117"/>
      <c r="HBO27" s="117"/>
      <c r="HBP27" s="117"/>
      <c r="HBQ27" s="117"/>
      <c r="HBR27" s="117"/>
      <c r="HBS27" s="117"/>
      <c r="HBT27" s="117"/>
      <c r="HBU27" s="117"/>
      <c r="HBV27" s="117"/>
      <c r="HBW27" s="117"/>
      <c r="HBX27" s="117"/>
      <c r="HBY27" s="117"/>
      <c r="HBZ27" s="117"/>
      <c r="HCA27" s="117"/>
      <c r="HCB27" s="117"/>
      <c r="HCC27" s="117"/>
      <c r="HCD27" s="117"/>
      <c r="HCE27" s="117"/>
      <c r="HCF27" s="117"/>
      <c r="HCG27" s="117"/>
      <c r="HCH27" s="117"/>
      <c r="HCI27" s="117"/>
      <c r="HCJ27" s="117"/>
      <c r="HCK27" s="117"/>
      <c r="HCL27" s="117"/>
      <c r="HCM27" s="117"/>
      <c r="HCN27" s="117"/>
      <c r="HCO27" s="117"/>
      <c r="HCP27" s="117"/>
      <c r="HCQ27" s="117"/>
      <c r="HCR27" s="117"/>
      <c r="HCS27" s="117"/>
      <c r="HCT27" s="117"/>
      <c r="HCU27" s="117"/>
      <c r="HCV27" s="117"/>
      <c r="HCW27" s="117"/>
      <c r="HCX27" s="117"/>
      <c r="HCY27" s="117"/>
      <c r="HCZ27" s="117"/>
      <c r="HDA27" s="117"/>
      <c r="HDB27" s="117"/>
      <c r="HDC27" s="117"/>
      <c r="HDD27" s="117"/>
      <c r="HDE27" s="117"/>
      <c r="HDF27" s="117"/>
      <c r="HDG27" s="117"/>
      <c r="HDH27" s="117"/>
      <c r="HDI27" s="117"/>
      <c r="HDJ27" s="117"/>
      <c r="HDK27" s="117"/>
      <c r="HDL27" s="117"/>
      <c r="HDM27" s="117"/>
      <c r="HDN27" s="117"/>
      <c r="HDO27" s="117"/>
      <c r="HDP27" s="117"/>
      <c r="HDQ27" s="117"/>
      <c r="HDR27" s="117"/>
      <c r="HDS27" s="117"/>
      <c r="HDT27" s="117"/>
      <c r="HDU27" s="117"/>
      <c r="HDV27" s="117"/>
      <c r="HDW27" s="117"/>
      <c r="HDX27" s="117"/>
      <c r="HDY27" s="117"/>
      <c r="HDZ27" s="117"/>
      <c r="HEA27" s="117"/>
      <c r="HEB27" s="117"/>
      <c r="HEC27" s="117"/>
      <c r="HED27" s="117"/>
      <c r="HEE27" s="117"/>
      <c r="HEF27" s="117"/>
      <c r="HEG27" s="117"/>
      <c r="HEH27" s="117"/>
      <c r="HEI27" s="117"/>
      <c r="HEJ27" s="117"/>
      <c r="HEK27" s="117"/>
      <c r="HEL27" s="117"/>
      <c r="HEM27" s="117"/>
      <c r="HEN27" s="117"/>
      <c r="HEO27" s="117"/>
      <c r="HEP27" s="117"/>
      <c r="HEQ27" s="117"/>
      <c r="HER27" s="117"/>
      <c r="HES27" s="117"/>
      <c r="HET27" s="117"/>
      <c r="HEU27" s="117"/>
      <c r="HEV27" s="117"/>
      <c r="HEW27" s="117"/>
      <c r="HEX27" s="117"/>
      <c r="HEY27" s="117"/>
      <c r="HEZ27" s="117"/>
      <c r="HFA27" s="117"/>
      <c r="HFB27" s="117"/>
      <c r="HFC27" s="117"/>
      <c r="HFD27" s="117"/>
      <c r="HFE27" s="117"/>
      <c r="HFF27" s="117"/>
      <c r="HFG27" s="117"/>
      <c r="HFH27" s="117"/>
      <c r="HFI27" s="117"/>
      <c r="HFJ27" s="117"/>
      <c r="HFK27" s="117"/>
      <c r="HFL27" s="117"/>
      <c r="HFM27" s="117"/>
      <c r="HFN27" s="117"/>
      <c r="HFO27" s="117"/>
      <c r="HFP27" s="117"/>
      <c r="HFQ27" s="117"/>
      <c r="HFR27" s="117"/>
      <c r="HFS27" s="117"/>
      <c r="HFT27" s="117"/>
      <c r="HFU27" s="117"/>
      <c r="HFV27" s="117"/>
      <c r="HFW27" s="117"/>
      <c r="HFX27" s="117"/>
      <c r="HFY27" s="117"/>
      <c r="HFZ27" s="117"/>
      <c r="HGA27" s="117"/>
      <c r="HGB27" s="117"/>
      <c r="HGC27" s="117"/>
      <c r="HGD27" s="117"/>
      <c r="HGE27" s="117"/>
      <c r="HGF27" s="117"/>
      <c r="HGG27" s="117"/>
      <c r="HGH27" s="117"/>
      <c r="HGI27" s="117"/>
      <c r="HGJ27" s="117"/>
      <c r="HGK27" s="117"/>
      <c r="HGL27" s="117"/>
      <c r="HGM27" s="117"/>
      <c r="HGN27" s="117"/>
      <c r="HGO27" s="117"/>
      <c r="HGP27" s="117"/>
      <c r="HGQ27" s="117"/>
      <c r="HGR27" s="117"/>
      <c r="HGS27" s="117"/>
      <c r="HGT27" s="117"/>
      <c r="HGU27" s="117"/>
      <c r="HGV27" s="117"/>
      <c r="HGW27" s="117"/>
      <c r="HGX27" s="117"/>
      <c r="HGY27" s="117"/>
      <c r="HGZ27" s="117"/>
      <c r="HHA27" s="117"/>
      <c r="HHB27" s="117"/>
      <c r="HHC27" s="117"/>
      <c r="HHD27" s="117"/>
      <c r="HHE27" s="117"/>
      <c r="HHF27" s="117"/>
      <c r="HHG27" s="117"/>
      <c r="HHH27" s="117"/>
      <c r="HHI27" s="117"/>
      <c r="HHJ27" s="117"/>
      <c r="HHK27" s="117"/>
      <c r="HHL27" s="117"/>
      <c r="HHM27" s="117"/>
      <c r="HHN27" s="117"/>
      <c r="HHO27" s="117"/>
      <c r="HHP27" s="117"/>
      <c r="HHQ27" s="117"/>
      <c r="HHR27" s="117"/>
      <c r="HHS27" s="117"/>
      <c r="HHT27" s="117"/>
      <c r="HHU27" s="117"/>
      <c r="HHV27" s="117"/>
      <c r="HHW27" s="117"/>
      <c r="HHX27" s="117"/>
      <c r="HHY27" s="117"/>
      <c r="HHZ27" s="117"/>
      <c r="HIA27" s="117"/>
      <c r="HIB27" s="117"/>
      <c r="HIC27" s="117"/>
      <c r="HID27" s="117"/>
      <c r="HIE27" s="117"/>
      <c r="HIF27" s="117"/>
      <c r="HIG27" s="117"/>
      <c r="HIH27" s="117"/>
      <c r="HII27" s="117"/>
      <c r="HIJ27" s="117"/>
      <c r="HIK27" s="117"/>
      <c r="HIL27" s="117"/>
      <c r="HIM27" s="117"/>
      <c r="HIN27" s="117"/>
      <c r="HIO27" s="117"/>
      <c r="HIP27" s="117"/>
      <c r="HIQ27" s="117"/>
      <c r="HIR27" s="117"/>
      <c r="HIS27" s="117"/>
      <c r="HIT27" s="117"/>
      <c r="HIU27" s="117"/>
      <c r="HIV27" s="117"/>
      <c r="HIW27" s="117"/>
      <c r="HIX27" s="117"/>
      <c r="HIY27" s="117"/>
      <c r="HIZ27" s="117"/>
      <c r="HJA27" s="117"/>
      <c r="HJB27" s="117"/>
      <c r="HJC27" s="117"/>
      <c r="HJD27" s="117"/>
      <c r="HJE27" s="117"/>
      <c r="HJF27" s="117"/>
      <c r="HJG27" s="117"/>
      <c r="HJH27" s="117"/>
      <c r="HJI27" s="117"/>
      <c r="HJJ27" s="117"/>
      <c r="HJK27" s="117"/>
      <c r="HJL27" s="117"/>
      <c r="HJM27" s="117"/>
      <c r="HJN27" s="117"/>
      <c r="HJO27" s="117"/>
      <c r="HJP27" s="117"/>
      <c r="HJQ27" s="117"/>
      <c r="HJR27" s="117"/>
      <c r="HJS27" s="117"/>
      <c r="HJT27" s="117"/>
      <c r="HJU27" s="117"/>
      <c r="HJV27" s="117"/>
      <c r="HJW27" s="117"/>
      <c r="HJX27" s="117"/>
      <c r="HJY27" s="117"/>
      <c r="HJZ27" s="117"/>
      <c r="HKA27" s="117"/>
      <c r="HKB27" s="117"/>
      <c r="HKC27" s="117"/>
      <c r="HKD27" s="117"/>
      <c r="HKE27" s="117"/>
      <c r="HKF27" s="117"/>
      <c r="HKG27" s="117"/>
      <c r="HKH27" s="117"/>
      <c r="HKI27" s="117"/>
      <c r="HKJ27" s="117"/>
      <c r="HKK27" s="117"/>
      <c r="HKL27" s="117"/>
      <c r="HKM27" s="117"/>
      <c r="HKN27" s="117"/>
      <c r="HKO27" s="117"/>
      <c r="HKP27" s="117"/>
      <c r="HKQ27" s="117"/>
      <c r="HKR27" s="117"/>
      <c r="HKS27" s="117"/>
      <c r="HKT27" s="117"/>
      <c r="HKU27" s="117"/>
      <c r="HKV27" s="117"/>
      <c r="HKW27" s="117"/>
      <c r="HKX27" s="117"/>
      <c r="HKY27" s="117"/>
      <c r="HKZ27" s="117"/>
      <c r="HLA27" s="117"/>
      <c r="HLB27" s="117"/>
      <c r="HLC27" s="117"/>
      <c r="HLD27" s="117"/>
      <c r="HLE27" s="117"/>
      <c r="HLF27" s="117"/>
      <c r="HLG27" s="117"/>
      <c r="HLH27" s="117"/>
      <c r="HLI27" s="117"/>
      <c r="HLJ27" s="117"/>
      <c r="HLK27" s="117"/>
      <c r="HLL27" s="117"/>
      <c r="HLM27" s="117"/>
      <c r="HLN27" s="117"/>
      <c r="HLO27" s="117"/>
      <c r="HLP27" s="117"/>
      <c r="HLQ27" s="117"/>
      <c r="HLR27" s="117"/>
      <c r="HLS27" s="117"/>
      <c r="HLT27" s="117"/>
      <c r="HLU27" s="117"/>
      <c r="HLV27" s="117"/>
      <c r="HLW27" s="117"/>
      <c r="HLX27" s="117"/>
      <c r="HLY27" s="117"/>
      <c r="HLZ27" s="117"/>
      <c r="HMA27" s="117"/>
      <c r="HMB27" s="117"/>
      <c r="HMC27" s="117"/>
      <c r="HMD27" s="117"/>
      <c r="HME27" s="117"/>
      <c r="HMF27" s="117"/>
      <c r="HMG27" s="117"/>
      <c r="HMH27" s="117"/>
      <c r="HMI27" s="117"/>
      <c r="HMJ27" s="117"/>
      <c r="HMK27" s="117"/>
      <c r="HML27" s="117"/>
      <c r="HMM27" s="117"/>
      <c r="HMN27" s="117"/>
      <c r="HMO27" s="117"/>
      <c r="HMP27" s="117"/>
      <c r="HMQ27" s="117"/>
      <c r="HMR27" s="117"/>
      <c r="HMS27" s="117"/>
      <c r="HMT27" s="117"/>
      <c r="HMU27" s="117"/>
      <c r="HMV27" s="117"/>
      <c r="HMW27" s="117"/>
      <c r="HMX27" s="117"/>
      <c r="HMY27" s="117"/>
      <c r="HMZ27" s="117"/>
      <c r="HNA27" s="117"/>
      <c r="HNB27" s="117"/>
      <c r="HNC27" s="117"/>
      <c r="HND27" s="117"/>
      <c r="HNE27" s="117"/>
      <c r="HNF27" s="117"/>
      <c r="HNG27" s="117"/>
      <c r="HNH27" s="117"/>
      <c r="HNI27" s="117"/>
      <c r="HNJ27" s="117"/>
      <c r="HNK27" s="117"/>
      <c r="HNL27" s="117"/>
      <c r="HNM27" s="117"/>
      <c r="HNN27" s="117"/>
      <c r="HNO27" s="117"/>
      <c r="HNP27" s="117"/>
      <c r="HNQ27" s="117"/>
      <c r="HNR27" s="117"/>
      <c r="HNS27" s="117"/>
      <c r="HNT27" s="117"/>
      <c r="HNU27" s="117"/>
      <c r="HNV27" s="117"/>
      <c r="HNW27" s="117"/>
      <c r="HNX27" s="117"/>
      <c r="HNY27" s="117"/>
      <c r="HNZ27" s="117"/>
      <c r="HOA27" s="117"/>
      <c r="HOB27" s="117"/>
      <c r="HOC27" s="117"/>
      <c r="HOD27" s="117"/>
      <c r="HOE27" s="117"/>
      <c r="HOF27" s="117"/>
      <c r="HOG27" s="117"/>
      <c r="HOH27" s="117"/>
      <c r="HOI27" s="117"/>
      <c r="HOJ27" s="117"/>
      <c r="HOK27" s="117"/>
      <c r="HOL27" s="117"/>
      <c r="HOM27" s="117"/>
      <c r="HON27" s="117"/>
      <c r="HOO27" s="117"/>
      <c r="HOP27" s="117"/>
      <c r="HOQ27" s="117"/>
      <c r="HOR27" s="117"/>
      <c r="HOS27" s="117"/>
      <c r="HOT27" s="117"/>
      <c r="HOU27" s="117"/>
      <c r="HOV27" s="117"/>
      <c r="HOW27" s="117"/>
      <c r="HOX27" s="117"/>
      <c r="HOY27" s="117"/>
      <c r="HOZ27" s="117"/>
      <c r="HPA27" s="117"/>
      <c r="HPB27" s="117"/>
      <c r="HPC27" s="117"/>
      <c r="HPD27" s="117"/>
      <c r="HPE27" s="117"/>
      <c r="HPF27" s="117"/>
      <c r="HPG27" s="117"/>
      <c r="HPH27" s="117"/>
      <c r="HPI27" s="117"/>
      <c r="HPJ27" s="117"/>
      <c r="HPK27" s="117"/>
      <c r="HPL27" s="117"/>
      <c r="HPM27" s="117"/>
      <c r="HPN27" s="117"/>
      <c r="HPO27" s="117"/>
      <c r="HPP27" s="117"/>
      <c r="HPQ27" s="117"/>
      <c r="HPR27" s="117"/>
      <c r="HPS27" s="117"/>
      <c r="HPT27" s="117"/>
      <c r="HPU27" s="117"/>
      <c r="HPV27" s="117"/>
      <c r="HPW27" s="117"/>
      <c r="HPX27" s="117"/>
      <c r="HPY27" s="117"/>
      <c r="HPZ27" s="117"/>
      <c r="HQA27" s="117"/>
      <c r="HQB27" s="117"/>
      <c r="HQC27" s="117"/>
      <c r="HQD27" s="117"/>
      <c r="HQE27" s="117"/>
      <c r="HQF27" s="117"/>
      <c r="HQG27" s="117"/>
      <c r="HQH27" s="117"/>
      <c r="HQI27" s="117"/>
      <c r="HQJ27" s="117"/>
      <c r="HQK27" s="117"/>
      <c r="HQL27" s="117"/>
      <c r="HQM27" s="117"/>
      <c r="HQN27" s="117"/>
      <c r="HQO27" s="117"/>
      <c r="HQP27" s="117"/>
      <c r="HQQ27" s="117"/>
      <c r="HQR27" s="117"/>
      <c r="HQS27" s="117"/>
      <c r="HQT27" s="117"/>
      <c r="HQU27" s="117"/>
      <c r="HQV27" s="117"/>
      <c r="HQW27" s="117"/>
      <c r="HQX27" s="117"/>
      <c r="HQY27" s="117"/>
      <c r="HQZ27" s="117"/>
      <c r="HRA27" s="117"/>
      <c r="HRB27" s="117"/>
      <c r="HRC27" s="117"/>
      <c r="HRD27" s="117"/>
      <c r="HRE27" s="117"/>
      <c r="HRF27" s="117"/>
      <c r="HRG27" s="117"/>
      <c r="HRH27" s="117"/>
      <c r="HRI27" s="117"/>
      <c r="HRJ27" s="117"/>
      <c r="HRK27" s="117"/>
      <c r="HRL27" s="117"/>
      <c r="HRM27" s="117"/>
      <c r="HRN27" s="117"/>
      <c r="HRO27" s="117"/>
      <c r="HRP27" s="117"/>
      <c r="HRQ27" s="117"/>
      <c r="HRR27" s="117"/>
      <c r="HRS27" s="117"/>
      <c r="HRT27" s="117"/>
      <c r="HRU27" s="117"/>
      <c r="HRV27" s="117"/>
      <c r="HRW27" s="117"/>
      <c r="HRX27" s="117"/>
      <c r="HRY27" s="117"/>
      <c r="HRZ27" s="117"/>
      <c r="HSA27" s="117"/>
      <c r="HSB27" s="117"/>
      <c r="HSC27" s="117"/>
      <c r="HSD27" s="117"/>
      <c r="HSE27" s="117"/>
      <c r="HSF27" s="117"/>
      <c r="HSG27" s="117"/>
      <c r="HSH27" s="117"/>
      <c r="HSI27" s="117"/>
      <c r="HSJ27" s="117"/>
      <c r="HSK27" s="117"/>
      <c r="HSL27" s="117"/>
      <c r="HSM27" s="117"/>
      <c r="HSN27" s="117"/>
      <c r="HSO27" s="117"/>
      <c r="HSP27" s="117"/>
      <c r="HSQ27" s="117"/>
      <c r="HSR27" s="117"/>
      <c r="HSS27" s="117"/>
      <c r="HST27" s="117"/>
      <c r="HSU27" s="117"/>
      <c r="HSV27" s="117"/>
      <c r="HSW27" s="117"/>
      <c r="HSX27" s="117"/>
      <c r="HSY27" s="117"/>
      <c r="HSZ27" s="117"/>
      <c r="HTA27" s="117"/>
      <c r="HTB27" s="117"/>
      <c r="HTC27" s="117"/>
      <c r="HTD27" s="117"/>
      <c r="HTE27" s="117"/>
      <c r="HTF27" s="117"/>
      <c r="HTG27" s="117"/>
      <c r="HTH27" s="117"/>
      <c r="HTI27" s="117"/>
      <c r="HTJ27" s="117"/>
      <c r="HTK27" s="117"/>
      <c r="HTL27" s="117"/>
      <c r="HTM27" s="117"/>
      <c r="HTN27" s="117"/>
      <c r="HTO27" s="117"/>
      <c r="HTP27" s="117"/>
      <c r="HTQ27" s="117"/>
      <c r="HTR27" s="117"/>
      <c r="HTS27" s="117"/>
      <c r="HTT27" s="117"/>
      <c r="HTU27" s="117"/>
      <c r="HTV27" s="117"/>
      <c r="HTW27" s="117"/>
      <c r="HTX27" s="117"/>
      <c r="HTY27" s="117"/>
      <c r="HTZ27" s="117"/>
      <c r="HUA27" s="117"/>
      <c r="HUB27" s="117"/>
      <c r="HUC27" s="117"/>
      <c r="HUD27" s="117"/>
      <c r="HUE27" s="117"/>
      <c r="HUF27" s="117"/>
      <c r="HUG27" s="117"/>
      <c r="HUH27" s="117"/>
      <c r="HUI27" s="117"/>
      <c r="HUJ27" s="117"/>
      <c r="HUK27" s="117"/>
      <c r="HUL27" s="117"/>
      <c r="HUM27" s="117"/>
      <c r="HUN27" s="117"/>
      <c r="HUO27" s="117"/>
      <c r="HUP27" s="117"/>
      <c r="HUQ27" s="117"/>
      <c r="HUR27" s="117"/>
      <c r="HUS27" s="117"/>
      <c r="HUT27" s="117"/>
      <c r="HUU27" s="117"/>
      <c r="HUV27" s="117"/>
      <c r="HUW27" s="117"/>
      <c r="HUX27" s="117"/>
      <c r="HUY27" s="117"/>
      <c r="HUZ27" s="117"/>
      <c r="HVA27" s="117"/>
      <c r="HVB27" s="117"/>
      <c r="HVC27" s="117"/>
      <c r="HVD27" s="117"/>
      <c r="HVE27" s="117"/>
      <c r="HVF27" s="117"/>
      <c r="HVG27" s="117"/>
      <c r="HVH27" s="117"/>
      <c r="HVI27" s="117"/>
      <c r="HVJ27" s="117"/>
      <c r="HVK27" s="117"/>
      <c r="HVL27" s="117"/>
      <c r="HVM27" s="117"/>
      <c r="HVN27" s="117"/>
      <c r="HVO27" s="117"/>
      <c r="HVP27" s="117"/>
      <c r="HVQ27" s="117"/>
      <c r="HVR27" s="117"/>
      <c r="HVS27" s="117"/>
      <c r="HVT27" s="117"/>
      <c r="HVU27" s="117"/>
      <c r="HVV27" s="117"/>
      <c r="HVW27" s="117"/>
      <c r="HVX27" s="117"/>
      <c r="HVY27" s="117"/>
      <c r="HVZ27" s="117"/>
      <c r="HWA27" s="117"/>
      <c r="HWB27" s="117"/>
      <c r="HWC27" s="117"/>
      <c r="HWD27" s="117"/>
      <c r="HWE27" s="117"/>
      <c r="HWF27" s="117"/>
      <c r="HWG27" s="117"/>
      <c r="HWH27" s="117"/>
      <c r="HWI27" s="117"/>
      <c r="HWJ27" s="117"/>
      <c r="HWK27" s="117"/>
      <c r="HWL27" s="117"/>
      <c r="HWM27" s="117"/>
      <c r="HWN27" s="117"/>
      <c r="HWO27" s="117"/>
      <c r="HWP27" s="117"/>
      <c r="HWQ27" s="117"/>
      <c r="HWR27" s="117"/>
      <c r="HWS27" s="117"/>
      <c r="HWT27" s="117"/>
      <c r="HWU27" s="117"/>
      <c r="HWV27" s="117"/>
      <c r="HWW27" s="117"/>
      <c r="HWX27" s="117"/>
      <c r="HWY27" s="117"/>
      <c r="HWZ27" s="117"/>
      <c r="HXA27" s="117"/>
      <c r="HXB27" s="117"/>
      <c r="HXC27" s="117"/>
      <c r="HXD27" s="117"/>
      <c r="HXE27" s="117"/>
      <c r="HXF27" s="117"/>
      <c r="HXG27" s="117"/>
      <c r="HXH27" s="117"/>
      <c r="HXI27" s="117"/>
      <c r="HXJ27" s="117"/>
      <c r="HXK27" s="117"/>
      <c r="HXL27" s="117"/>
      <c r="HXM27" s="117"/>
      <c r="HXN27" s="117"/>
      <c r="HXO27" s="117"/>
      <c r="HXP27" s="117"/>
      <c r="HXQ27" s="117"/>
      <c r="HXR27" s="117"/>
      <c r="HXS27" s="117"/>
      <c r="HXT27" s="117"/>
      <c r="HXU27" s="117"/>
      <c r="HXV27" s="117"/>
      <c r="HXW27" s="117"/>
      <c r="HXX27" s="117"/>
      <c r="HXY27" s="117"/>
      <c r="HXZ27" s="117"/>
      <c r="HYA27" s="117"/>
      <c r="HYB27" s="117"/>
      <c r="HYC27" s="117"/>
      <c r="HYD27" s="117"/>
      <c r="HYE27" s="117"/>
      <c r="HYF27" s="117"/>
      <c r="HYG27" s="117"/>
      <c r="HYH27" s="117"/>
      <c r="HYI27" s="117"/>
      <c r="HYJ27" s="117"/>
      <c r="HYK27" s="117"/>
      <c r="HYL27" s="117"/>
      <c r="HYM27" s="117"/>
      <c r="HYN27" s="117"/>
      <c r="HYO27" s="117"/>
      <c r="HYP27" s="117"/>
      <c r="HYQ27" s="117"/>
      <c r="HYR27" s="117"/>
      <c r="HYS27" s="117"/>
      <c r="HYT27" s="117"/>
      <c r="HYU27" s="117"/>
      <c r="HYV27" s="117"/>
      <c r="HYW27" s="117"/>
      <c r="HYX27" s="117"/>
      <c r="HYY27" s="117"/>
      <c r="HYZ27" s="117"/>
      <c r="HZA27" s="117"/>
      <c r="HZB27" s="117"/>
      <c r="HZC27" s="117"/>
      <c r="HZD27" s="117"/>
      <c r="HZE27" s="117"/>
      <c r="HZF27" s="117"/>
      <c r="HZG27" s="117"/>
      <c r="HZH27" s="117"/>
      <c r="HZI27" s="117"/>
      <c r="HZJ27" s="117"/>
      <c r="HZK27" s="117"/>
      <c r="HZL27" s="117"/>
      <c r="HZM27" s="117"/>
      <c r="HZN27" s="117"/>
      <c r="HZO27" s="117"/>
      <c r="HZP27" s="117"/>
      <c r="HZQ27" s="117"/>
      <c r="HZR27" s="117"/>
      <c r="HZS27" s="117"/>
      <c r="HZT27" s="117"/>
      <c r="HZU27" s="117"/>
      <c r="HZV27" s="117"/>
      <c r="HZW27" s="117"/>
      <c r="HZX27" s="117"/>
      <c r="HZY27" s="117"/>
      <c r="HZZ27" s="117"/>
      <c r="IAA27" s="117"/>
      <c r="IAB27" s="117"/>
      <c r="IAC27" s="117"/>
      <c r="IAD27" s="117"/>
      <c r="IAE27" s="117"/>
      <c r="IAF27" s="117"/>
      <c r="IAG27" s="117"/>
      <c r="IAH27" s="117"/>
      <c r="IAI27" s="117"/>
      <c r="IAJ27" s="117"/>
      <c r="IAK27" s="117"/>
      <c r="IAL27" s="117"/>
      <c r="IAM27" s="117"/>
      <c r="IAN27" s="117"/>
      <c r="IAO27" s="117"/>
      <c r="IAP27" s="117"/>
      <c r="IAQ27" s="117"/>
      <c r="IAR27" s="117"/>
      <c r="IAS27" s="117"/>
      <c r="IAT27" s="117"/>
      <c r="IAU27" s="117"/>
      <c r="IAV27" s="117"/>
      <c r="IAW27" s="117"/>
      <c r="IAX27" s="117"/>
      <c r="IAY27" s="117"/>
      <c r="IAZ27" s="117"/>
      <c r="IBA27" s="117"/>
      <c r="IBB27" s="117"/>
      <c r="IBC27" s="117"/>
      <c r="IBD27" s="117"/>
      <c r="IBE27" s="117"/>
      <c r="IBF27" s="117"/>
      <c r="IBG27" s="117"/>
      <c r="IBH27" s="117"/>
      <c r="IBI27" s="117"/>
      <c r="IBJ27" s="117"/>
      <c r="IBK27" s="117"/>
      <c r="IBL27" s="117"/>
      <c r="IBM27" s="117"/>
      <c r="IBN27" s="117"/>
      <c r="IBO27" s="117"/>
      <c r="IBP27" s="117"/>
      <c r="IBQ27" s="117"/>
      <c r="IBR27" s="117"/>
      <c r="IBS27" s="117"/>
      <c r="IBT27" s="117"/>
      <c r="IBU27" s="117"/>
      <c r="IBV27" s="117"/>
      <c r="IBW27" s="117"/>
      <c r="IBX27" s="117"/>
      <c r="IBY27" s="117"/>
      <c r="IBZ27" s="117"/>
      <c r="ICA27" s="117"/>
      <c r="ICB27" s="117"/>
      <c r="ICC27" s="117"/>
      <c r="ICD27" s="117"/>
      <c r="ICE27" s="117"/>
      <c r="ICF27" s="117"/>
      <c r="ICG27" s="117"/>
      <c r="ICH27" s="117"/>
      <c r="ICI27" s="117"/>
      <c r="ICJ27" s="117"/>
      <c r="ICK27" s="117"/>
      <c r="ICL27" s="117"/>
      <c r="ICM27" s="117"/>
      <c r="ICN27" s="117"/>
      <c r="ICO27" s="117"/>
      <c r="ICP27" s="117"/>
      <c r="ICQ27" s="117"/>
      <c r="ICR27" s="117"/>
      <c r="ICS27" s="117"/>
      <c r="ICT27" s="117"/>
      <c r="ICU27" s="117"/>
      <c r="ICV27" s="117"/>
      <c r="ICW27" s="117"/>
      <c r="ICX27" s="117"/>
      <c r="ICY27" s="117"/>
      <c r="ICZ27" s="117"/>
      <c r="IDA27" s="117"/>
      <c r="IDB27" s="117"/>
      <c r="IDC27" s="117"/>
      <c r="IDD27" s="117"/>
      <c r="IDE27" s="117"/>
      <c r="IDF27" s="117"/>
      <c r="IDG27" s="117"/>
      <c r="IDH27" s="117"/>
      <c r="IDI27" s="117"/>
      <c r="IDJ27" s="117"/>
      <c r="IDK27" s="117"/>
      <c r="IDL27" s="117"/>
      <c r="IDM27" s="117"/>
      <c r="IDN27" s="117"/>
      <c r="IDO27" s="117"/>
      <c r="IDP27" s="117"/>
      <c r="IDQ27" s="117"/>
      <c r="IDR27" s="117"/>
      <c r="IDS27" s="117"/>
      <c r="IDT27" s="117"/>
      <c r="IDU27" s="117"/>
      <c r="IDV27" s="117"/>
      <c r="IDW27" s="117"/>
      <c r="IDX27" s="117"/>
      <c r="IDY27" s="117"/>
      <c r="IDZ27" s="117"/>
      <c r="IEA27" s="117"/>
      <c r="IEB27" s="117"/>
      <c r="IEC27" s="117"/>
      <c r="IED27" s="117"/>
      <c r="IEE27" s="117"/>
      <c r="IEF27" s="117"/>
      <c r="IEG27" s="117"/>
      <c r="IEH27" s="117"/>
      <c r="IEI27" s="117"/>
      <c r="IEJ27" s="117"/>
      <c r="IEK27" s="117"/>
      <c r="IEL27" s="117"/>
      <c r="IEM27" s="117"/>
      <c r="IEN27" s="117"/>
      <c r="IEO27" s="117"/>
      <c r="IEP27" s="117"/>
      <c r="IEQ27" s="117"/>
      <c r="IER27" s="117"/>
      <c r="IES27" s="117"/>
      <c r="IET27" s="117"/>
      <c r="IEU27" s="117"/>
      <c r="IEV27" s="117"/>
      <c r="IEW27" s="117"/>
      <c r="IEX27" s="117"/>
      <c r="IEY27" s="117"/>
      <c r="IEZ27" s="117"/>
      <c r="IFA27" s="117"/>
      <c r="IFB27" s="117"/>
      <c r="IFC27" s="117"/>
      <c r="IFD27" s="117"/>
      <c r="IFE27" s="117"/>
      <c r="IFF27" s="117"/>
      <c r="IFG27" s="117"/>
      <c r="IFH27" s="117"/>
      <c r="IFI27" s="117"/>
      <c r="IFJ27" s="117"/>
      <c r="IFK27" s="117"/>
      <c r="IFL27" s="117"/>
      <c r="IFM27" s="117"/>
      <c r="IFN27" s="117"/>
      <c r="IFO27" s="117"/>
      <c r="IFP27" s="117"/>
      <c r="IFQ27" s="117"/>
      <c r="IFR27" s="117"/>
      <c r="IFS27" s="117"/>
      <c r="IFT27" s="117"/>
      <c r="IFU27" s="117"/>
      <c r="IFV27" s="117"/>
      <c r="IFW27" s="117"/>
      <c r="IFX27" s="117"/>
      <c r="IFY27" s="117"/>
      <c r="IFZ27" s="117"/>
      <c r="IGA27" s="117"/>
      <c r="IGB27" s="117"/>
      <c r="IGC27" s="117"/>
      <c r="IGD27" s="117"/>
      <c r="IGE27" s="117"/>
      <c r="IGF27" s="117"/>
      <c r="IGG27" s="117"/>
      <c r="IGH27" s="117"/>
      <c r="IGI27" s="117"/>
      <c r="IGJ27" s="117"/>
      <c r="IGK27" s="117"/>
      <c r="IGL27" s="117"/>
      <c r="IGM27" s="117"/>
      <c r="IGN27" s="117"/>
      <c r="IGO27" s="117"/>
      <c r="IGP27" s="117"/>
      <c r="IGQ27" s="117"/>
      <c r="IGR27" s="117"/>
      <c r="IGS27" s="117"/>
      <c r="IGT27" s="117"/>
      <c r="IGU27" s="117"/>
      <c r="IGV27" s="117"/>
      <c r="IGW27" s="117"/>
      <c r="IGX27" s="117"/>
      <c r="IGY27" s="117"/>
      <c r="IGZ27" s="117"/>
      <c r="IHA27" s="117"/>
      <c r="IHB27" s="117"/>
      <c r="IHC27" s="117"/>
      <c r="IHD27" s="117"/>
      <c r="IHE27" s="117"/>
      <c r="IHF27" s="117"/>
      <c r="IHG27" s="117"/>
      <c r="IHH27" s="117"/>
      <c r="IHI27" s="117"/>
      <c r="IHJ27" s="117"/>
      <c r="IHK27" s="117"/>
      <c r="IHL27" s="117"/>
      <c r="IHM27" s="117"/>
      <c r="IHN27" s="117"/>
      <c r="IHO27" s="117"/>
      <c r="IHP27" s="117"/>
      <c r="IHQ27" s="117"/>
      <c r="IHR27" s="117"/>
      <c r="IHS27" s="117"/>
      <c r="IHT27" s="117"/>
      <c r="IHU27" s="117"/>
      <c r="IHV27" s="117"/>
      <c r="IHW27" s="117"/>
      <c r="IHX27" s="117"/>
      <c r="IHY27" s="117"/>
      <c r="IHZ27" s="117"/>
      <c r="IIA27" s="117"/>
      <c r="IIB27" s="117"/>
      <c r="IIC27" s="117"/>
      <c r="IID27" s="117"/>
      <c r="IIE27" s="117"/>
      <c r="IIF27" s="117"/>
      <c r="IIG27" s="117"/>
      <c r="IIH27" s="117"/>
      <c r="III27" s="117"/>
      <c r="IIJ27" s="117"/>
      <c r="IIK27" s="117"/>
      <c r="IIL27" s="117"/>
      <c r="IIM27" s="117"/>
      <c r="IIN27" s="117"/>
      <c r="IIO27" s="117"/>
      <c r="IIP27" s="117"/>
      <c r="IIQ27" s="117"/>
      <c r="IIR27" s="117"/>
      <c r="IIS27" s="117"/>
      <c r="IIT27" s="117"/>
      <c r="IIU27" s="117"/>
      <c r="IIV27" s="117"/>
      <c r="IIW27" s="117"/>
      <c r="IIX27" s="117"/>
      <c r="IIY27" s="117"/>
      <c r="IIZ27" s="117"/>
      <c r="IJA27" s="117"/>
      <c r="IJB27" s="117"/>
      <c r="IJC27" s="117"/>
      <c r="IJD27" s="117"/>
      <c r="IJE27" s="117"/>
      <c r="IJF27" s="117"/>
      <c r="IJG27" s="117"/>
      <c r="IJH27" s="117"/>
      <c r="IJI27" s="117"/>
      <c r="IJJ27" s="117"/>
      <c r="IJK27" s="117"/>
      <c r="IJL27" s="117"/>
      <c r="IJM27" s="117"/>
      <c r="IJN27" s="117"/>
      <c r="IJO27" s="117"/>
      <c r="IJP27" s="117"/>
      <c r="IJQ27" s="117"/>
      <c r="IJR27" s="117"/>
      <c r="IJS27" s="117"/>
      <c r="IJT27" s="117"/>
      <c r="IJU27" s="117"/>
      <c r="IJV27" s="117"/>
      <c r="IJW27" s="117"/>
      <c r="IJX27" s="117"/>
      <c r="IJY27" s="117"/>
      <c r="IJZ27" s="117"/>
      <c r="IKA27" s="117"/>
      <c r="IKB27" s="117"/>
      <c r="IKC27" s="117"/>
      <c r="IKD27" s="117"/>
      <c r="IKE27" s="117"/>
      <c r="IKF27" s="117"/>
      <c r="IKG27" s="117"/>
      <c r="IKH27" s="117"/>
      <c r="IKI27" s="117"/>
      <c r="IKJ27" s="117"/>
      <c r="IKK27" s="117"/>
      <c r="IKL27" s="117"/>
      <c r="IKM27" s="117"/>
      <c r="IKN27" s="117"/>
      <c r="IKO27" s="117"/>
      <c r="IKP27" s="117"/>
      <c r="IKQ27" s="117"/>
      <c r="IKR27" s="117"/>
      <c r="IKS27" s="117"/>
      <c r="IKT27" s="117"/>
      <c r="IKU27" s="117"/>
      <c r="IKV27" s="117"/>
      <c r="IKW27" s="117"/>
      <c r="IKX27" s="117"/>
      <c r="IKY27" s="117"/>
      <c r="IKZ27" s="117"/>
      <c r="ILA27" s="117"/>
      <c r="ILB27" s="117"/>
      <c r="ILC27" s="117"/>
      <c r="ILD27" s="117"/>
      <c r="ILE27" s="117"/>
      <c r="ILF27" s="117"/>
      <c r="ILG27" s="117"/>
      <c r="ILH27" s="117"/>
      <c r="ILI27" s="117"/>
      <c r="ILJ27" s="117"/>
      <c r="ILK27" s="117"/>
      <c r="ILL27" s="117"/>
      <c r="ILM27" s="117"/>
      <c r="ILN27" s="117"/>
      <c r="ILO27" s="117"/>
      <c r="ILP27" s="117"/>
      <c r="ILQ27" s="117"/>
      <c r="ILR27" s="117"/>
      <c r="ILS27" s="117"/>
      <c r="ILT27" s="117"/>
      <c r="ILU27" s="117"/>
      <c r="ILV27" s="117"/>
      <c r="ILW27" s="117"/>
      <c r="ILX27" s="117"/>
      <c r="ILY27" s="117"/>
      <c r="ILZ27" s="117"/>
      <c r="IMA27" s="117"/>
      <c r="IMB27" s="117"/>
      <c r="IMC27" s="117"/>
      <c r="IMD27" s="117"/>
      <c r="IME27" s="117"/>
      <c r="IMF27" s="117"/>
      <c r="IMG27" s="117"/>
      <c r="IMH27" s="117"/>
      <c r="IMI27" s="117"/>
      <c r="IMJ27" s="117"/>
      <c r="IMK27" s="117"/>
      <c r="IML27" s="117"/>
      <c r="IMM27" s="117"/>
      <c r="IMN27" s="117"/>
      <c r="IMO27" s="117"/>
      <c r="IMP27" s="117"/>
      <c r="IMQ27" s="117"/>
      <c r="IMR27" s="117"/>
      <c r="IMS27" s="117"/>
      <c r="IMT27" s="117"/>
      <c r="IMU27" s="117"/>
      <c r="IMV27" s="117"/>
      <c r="IMW27" s="117"/>
      <c r="IMX27" s="117"/>
      <c r="IMY27" s="117"/>
      <c r="IMZ27" s="117"/>
      <c r="INA27" s="117"/>
      <c r="INB27" s="117"/>
      <c r="INC27" s="117"/>
      <c r="IND27" s="117"/>
      <c r="INE27" s="117"/>
      <c r="INF27" s="117"/>
      <c r="ING27" s="117"/>
      <c r="INH27" s="117"/>
      <c r="INI27" s="117"/>
      <c r="INJ27" s="117"/>
      <c r="INK27" s="117"/>
      <c r="INL27" s="117"/>
      <c r="INM27" s="117"/>
      <c r="INN27" s="117"/>
      <c r="INO27" s="117"/>
      <c r="INP27" s="117"/>
      <c r="INQ27" s="117"/>
      <c r="INR27" s="117"/>
      <c r="INS27" s="117"/>
      <c r="INT27" s="117"/>
      <c r="INU27" s="117"/>
      <c r="INV27" s="117"/>
      <c r="INW27" s="117"/>
      <c r="INX27" s="117"/>
      <c r="INY27" s="117"/>
      <c r="INZ27" s="117"/>
      <c r="IOA27" s="117"/>
      <c r="IOB27" s="117"/>
      <c r="IOC27" s="117"/>
      <c r="IOD27" s="117"/>
      <c r="IOE27" s="117"/>
      <c r="IOF27" s="117"/>
      <c r="IOG27" s="117"/>
      <c r="IOH27" s="117"/>
      <c r="IOI27" s="117"/>
      <c r="IOJ27" s="117"/>
      <c r="IOK27" s="117"/>
      <c r="IOL27" s="117"/>
      <c r="IOM27" s="117"/>
      <c r="ION27" s="117"/>
      <c r="IOO27" s="117"/>
      <c r="IOP27" s="117"/>
      <c r="IOQ27" s="117"/>
      <c r="IOR27" s="117"/>
      <c r="IOS27" s="117"/>
      <c r="IOT27" s="117"/>
      <c r="IOU27" s="117"/>
      <c r="IOV27" s="117"/>
      <c r="IOW27" s="117"/>
      <c r="IOX27" s="117"/>
      <c r="IOY27" s="117"/>
      <c r="IOZ27" s="117"/>
      <c r="IPA27" s="117"/>
      <c r="IPB27" s="117"/>
      <c r="IPC27" s="117"/>
      <c r="IPD27" s="117"/>
      <c r="IPE27" s="117"/>
      <c r="IPF27" s="117"/>
      <c r="IPG27" s="117"/>
      <c r="IPH27" s="117"/>
      <c r="IPI27" s="117"/>
      <c r="IPJ27" s="117"/>
      <c r="IPK27" s="117"/>
      <c r="IPL27" s="117"/>
      <c r="IPM27" s="117"/>
      <c r="IPN27" s="117"/>
      <c r="IPO27" s="117"/>
      <c r="IPP27" s="117"/>
      <c r="IPQ27" s="117"/>
      <c r="IPR27" s="117"/>
      <c r="IPS27" s="117"/>
      <c r="IPT27" s="117"/>
      <c r="IPU27" s="117"/>
      <c r="IPV27" s="117"/>
      <c r="IPW27" s="117"/>
      <c r="IPX27" s="117"/>
      <c r="IPY27" s="117"/>
      <c r="IPZ27" s="117"/>
      <c r="IQA27" s="117"/>
      <c r="IQB27" s="117"/>
      <c r="IQC27" s="117"/>
      <c r="IQD27" s="117"/>
      <c r="IQE27" s="117"/>
      <c r="IQF27" s="117"/>
      <c r="IQG27" s="117"/>
      <c r="IQH27" s="117"/>
      <c r="IQI27" s="117"/>
      <c r="IQJ27" s="117"/>
      <c r="IQK27" s="117"/>
      <c r="IQL27" s="117"/>
      <c r="IQM27" s="117"/>
      <c r="IQN27" s="117"/>
      <c r="IQO27" s="117"/>
      <c r="IQP27" s="117"/>
      <c r="IQQ27" s="117"/>
      <c r="IQR27" s="117"/>
      <c r="IQS27" s="117"/>
      <c r="IQT27" s="117"/>
      <c r="IQU27" s="117"/>
      <c r="IQV27" s="117"/>
      <c r="IQW27" s="117"/>
      <c r="IQX27" s="117"/>
      <c r="IQY27" s="117"/>
      <c r="IQZ27" s="117"/>
      <c r="IRA27" s="117"/>
      <c r="IRB27" s="117"/>
      <c r="IRC27" s="117"/>
      <c r="IRD27" s="117"/>
      <c r="IRE27" s="117"/>
      <c r="IRF27" s="117"/>
      <c r="IRG27" s="117"/>
      <c r="IRH27" s="117"/>
      <c r="IRI27" s="117"/>
      <c r="IRJ27" s="117"/>
      <c r="IRK27" s="117"/>
      <c r="IRL27" s="117"/>
      <c r="IRM27" s="117"/>
      <c r="IRN27" s="117"/>
      <c r="IRO27" s="117"/>
      <c r="IRP27" s="117"/>
      <c r="IRQ27" s="117"/>
      <c r="IRR27" s="117"/>
      <c r="IRS27" s="117"/>
      <c r="IRT27" s="117"/>
      <c r="IRU27" s="117"/>
      <c r="IRV27" s="117"/>
      <c r="IRW27" s="117"/>
      <c r="IRX27" s="117"/>
      <c r="IRY27" s="117"/>
      <c r="IRZ27" s="117"/>
      <c r="ISA27" s="117"/>
      <c r="ISB27" s="117"/>
      <c r="ISC27" s="117"/>
      <c r="ISD27" s="117"/>
      <c r="ISE27" s="117"/>
      <c r="ISF27" s="117"/>
      <c r="ISG27" s="117"/>
      <c r="ISH27" s="117"/>
      <c r="ISI27" s="117"/>
      <c r="ISJ27" s="117"/>
      <c r="ISK27" s="117"/>
      <c r="ISL27" s="117"/>
      <c r="ISM27" s="117"/>
      <c r="ISN27" s="117"/>
      <c r="ISO27" s="117"/>
      <c r="ISP27" s="117"/>
      <c r="ISQ27" s="117"/>
      <c r="ISR27" s="117"/>
      <c r="ISS27" s="117"/>
      <c r="IST27" s="117"/>
      <c r="ISU27" s="117"/>
      <c r="ISV27" s="117"/>
      <c r="ISW27" s="117"/>
      <c r="ISX27" s="117"/>
      <c r="ISY27" s="117"/>
      <c r="ISZ27" s="117"/>
      <c r="ITA27" s="117"/>
      <c r="ITB27" s="117"/>
      <c r="ITC27" s="117"/>
      <c r="ITD27" s="117"/>
      <c r="ITE27" s="117"/>
      <c r="ITF27" s="117"/>
      <c r="ITG27" s="117"/>
      <c r="ITH27" s="117"/>
      <c r="ITI27" s="117"/>
      <c r="ITJ27" s="117"/>
      <c r="ITK27" s="117"/>
      <c r="ITL27" s="117"/>
      <c r="ITM27" s="117"/>
      <c r="ITN27" s="117"/>
      <c r="ITO27" s="117"/>
      <c r="ITP27" s="117"/>
      <c r="ITQ27" s="117"/>
      <c r="ITR27" s="117"/>
      <c r="ITS27" s="117"/>
      <c r="ITT27" s="117"/>
      <c r="ITU27" s="117"/>
      <c r="ITV27" s="117"/>
      <c r="ITW27" s="117"/>
      <c r="ITX27" s="117"/>
      <c r="ITY27" s="117"/>
      <c r="ITZ27" s="117"/>
      <c r="IUA27" s="117"/>
      <c r="IUB27" s="117"/>
      <c r="IUC27" s="117"/>
      <c r="IUD27" s="117"/>
      <c r="IUE27" s="117"/>
      <c r="IUF27" s="117"/>
      <c r="IUG27" s="117"/>
      <c r="IUH27" s="117"/>
      <c r="IUI27" s="117"/>
      <c r="IUJ27" s="117"/>
      <c r="IUK27" s="117"/>
      <c r="IUL27" s="117"/>
      <c r="IUM27" s="117"/>
      <c r="IUN27" s="117"/>
      <c r="IUO27" s="117"/>
      <c r="IUP27" s="117"/>
      <c r="IUQ27" s="117"/>
      <c r="IUR27" s="117"/>
      <c r="IUS27" s="117"/>
      <c r="IUT27" s="117"/>
      <c r="IUU27" s="117"/>
      <c r="IUV27" s="117"/>
      <c r="IUW27" s="117"/>
      <c r="IUX27" s="117"/>
      <c r="IUY27" s="117"/>
      <c r="IUZ27" s="117"/>
      <c r="IVA27" s="117"/>
      <c r="IVB27" s="117"/>
      <c r="IVC27" s="117"/>
      <c r="IVD27" s="117"/>
      <c r="IVE27" s="117"/>
      <c r="IVF27" s="117"/>
      <c r="IVG27" s="117"/>
      <c r="IVH27" s="117"/>
      <c r="IVI27" s="117"/>
      <c r="IVJ27" s="117"/>
      <c r="IVK27" s="117"/>
      <c r="IVL27" s="117"/>
      <c r="IVM27" s="117"/>
      <c r="IVN27" s="117"/>
      <c r="IVO27" s="117"/>
      <c r="IVP27" s="117"/>
      <c r="IVQ27" s="117"/>
      <c r="IVR27" s="117"/>
      <c r="IVS27" s="117"/>
      <c r="IVT27" s="117"/>
      <c r="IVU27" s="117"/>
      <c r="IVV27" s="117"/>
      <c r="IVW27" s="117"/>
      <c r="IVX27" s="117"/>
      <c r="IVY27" s="117"/>
      <c r="IVZ27" s="117"/>
      <c r="IWA27" s="117"/>
      <c r="IWB27" s="117"/>
      <c r="IWC27" s="117"/>
      <c r="IWD27" s="117"/>
      <c r="IWE27" s="117"/>
      <c r="IWF27" s="117"/>
      <c r="IWG27" s="117"/>
      <c r="IWH27" s="117"/>
      <c r="IWI27" s="117"/>
      <c r="IWJ27" s="117"/>
      <c r="IWK27" s="117"/>
      <c r="IWL27" s="117"/>
      <c r="IWM27" s="117"/>
      <c r="IWN27" s="117"/>
      <c r="IWO27" s="117"/>
      <c r="IWP27" s="117"/>
      <c r="IWQ27" s="117"/>
      <c r="IWR27" s="117"/>
      <c r="IWS27" s="117"/>
      <c r="IWT27" s="117"/>
      <c r="IWU27" s="117"/>
      <c r="IWV27" s="117"/>
      <c r="IWW27" s="117"/>
      <c r="IWX27" s="117"/>
      <c r="IWY27" s="117"/>
      <c r="IWZ27" s="117"/>
      <c r="IXA27" s="117"/>
      <c r="IXB27" s="117"/>
      <c r="IXC27" s="117"/>
      <c r="IXD27" s="117"/>
      <c r="IXE27" s="117"/>
      <c r="IXF27" s="117"/>
      <c r="IXG27" s="117"/>
      <c r="IXH27" s="117"/>
      <c r="IXI27" s="117"/>
      <c r="IXJ27" s="117"/>
      <c r="IXK27" s="117"/>
      <c r="IXL27" s="117"/>
      <c r="IXM27" s="117"/>
      <c r="IXN27" s="117"/>
      <c r="IXO27" s="117"/>
      <c r="IXP27" s="117"/>
      <c r="IXQ27" s="117"/>
      <c r="IXR27" s="117"/>
      <c r="IXS27" s="117"/>
      <c r="IXT27" s="117"/>
      <c r="IXU27" s="117"/>
      <c r="IXV27" s="117"/>
      <c r="IXW27" s="117"/>
      <c r="IXX27" s="117"/>
      <c r="IXY27" s="117"/>
      <c r="IXZ27" s="117"/>
      <c r="IYA27" s="117"/>
      <c r="IYB27" s="117"/>
      <c r="IYC27" s="117"/>
      <c r="IYD27" s="117"/>
      <c r="IYE27" s="117"/>
      <c r="IYF27" s="117"/>
      <c r="IYG27" s="117"/>
      <c r="IYH27" s="117"/>
      <c r="IYI27" s="117"/>
      <c r="IYJ27" s="117"/>
      <c r="IYK27" s="117"/>
      <c r="IYL27" s="117"/>
      <c r="IYM27" s="117"/>
      <c r="IYN27" s="117"/>
      <c r="IYO27" s="117"/>
      <c r="IYP27" s="117"/>
      <c r="IYQ27" s="117"/>
      <c r="IYR27" s="117"/>
      <c r="IYS27" s="117"/>
      <c r="IYT27" s="117"/>
      <c r="IYU27" s="117"/>
      <c r="IYV27" s="117"/>
      <c r="IYW27" s="117"/>
      <c r="IYX27" s="117"/>
      <c r="IYY27" s="117"/>
      <c r="IYZ27" s="117"/>
      <c r="IZA27" s="117"/>
      <c r="IZB27" s="117"/>
      <c r="IZC27" s="117"/>
      <c r="IZD27" s="117"/>
      <c r="IZE27" s="117"/>
      <c r="IZF27" s="117"/>
      <c r="IZG27" s="117"/>
      <c r="IZH27" s="117"/>
      <c r="IZI27" s="117"/>
      <c r="IZJ27" s="117"/>
      <c r="IZK27" s="117"/>
      <c r="IZL27" s="117"/>
      <c r="IZM27" s="117"/>
      <c r="IZN27" s="117"/>
      <c r="IZO27" s="117"/>
      <c r="IZP27" s="117"/>
      <c r="IZQ27" s="117"/>
      <c r="IZR27" s="117"/>
      <c r="IZS27" s="117"/>
      <c r="IZT27" s="117"/>
      <c r="IZU27" s="117"/>
      <c r="IZV27" s="117"/>
      <c r="IZW27" s="117"/>
      <c r="IZX27" s="117"/>
      <c r="IZY27" s="117"/>
      <c r="IZZ27" s="117"/>
      <c r="JAA27" s="117"/>
      <c r="JAB27" s="117"/>
      <c r="JAC27" s="117"/>
      <c r="JAD27" s="117"/>
      <c r="JAE27" s="117"/>
      <c r="JAF27" s="117"/>
      <c r="JAG27" s="117"/>
      <c r="JAH27" s="117"/>
      <c r="JAI27" s="117"/>
      <c r="JAJ27" s="117"/>
      <c r="JAK27" s="117"/>
      <c r="JAL27" s="117"/>
      <c r="JAM27" s="117"/>
      <c r="JAN27" s="117"/>
      <c r="JAO27" s="117"/>
      <c r="JAP27" s="117"/>
      <c r="JAQ27" s="117"/>
      <c r="JAR27" s="117"/>
      <c r="JAS27" s="117"/>
      <c r="JAT27" s="117"/>
      <c r="JAU27" s="117"/>
      <c r="JAV27" s="117"/>
      <c r="JAW27" s="117"/>
      <c r="JAX27" s="117"/>
      <c r="JAY27" s="117"/>
      <c r="JAZ27" s="117"/>
      <c r="JBA27" s="117"/>
      <c r="JBB27" s="117"/>
      <c r="JBC27" s="117"/>
      <c r="JBD27" s="117"/>
      <c r="JBE27" s="117"/>
      <c r="JBF27" s="117"/>
      <c r="JBG27" s="117"/>
      <c r="JBH27" s="117"/>
      <c r="JBI27" s="117"/>
      <c r="JBJ27" s="117"/>
      <c r="JBK27" s="117"/>
      <c r="JBL27" s="117"/>
      <c r="JBM27" s="117"/>
      <c r="JBN27" s="117"/>
      <c r="JBO27" s="117"/>
      <c r="JBP27" s="117"/>
      <c r="JBQ27" s="117"/>
      <c r="JBR27" s="117"/>
      <c r="JBS27" s="117"/>
      <c r="JBT27" s="117"/>
      <c r="JBU27" s="117"/>
      <c r="JBV27" s="117"/>
      <c r="JBW27" s="117"/>
      <c r="JBX27" s="117"/>
      <c r="JBY27" s="117"/>
      <c r="JBZ27" s="117"/>
      <c r="JCA27" s="117"/>
      <c r="JCB27" s="117"/>
      <c r="JCC27" s="117"/>
      <c r="JCD27" s="117"/>
      <c r="JCE27" s="117"/>
      <c r="JCF27" s="117"/>
      <c r="JCG27" s="117"/>
      <c r="JCH27" s="117"/>
      <c r="JCI27" s="117"/>
      <c r="JCJ27" s="117"/>
      <c r="JCK27" s="117"/>
      <c r="JCL27" s="117"/>
      <c r="JCM27" s="117"/>
      <c r="JCN27" s="117"/>
      <c r="JCO27" s="117"/>
      <c r="JCP27" s="117"/>
      <c r="JCQ27" s="117"/>
      <c r="JCR27" s="117"/>
      <c r="JCS27" s="117"/>
      <c r="JCT27" s="117"/>
      <c r="JCU27" s="117"/>
      <c r="JCV27" s="117"/>
      <c r="JCW27" s="117"/>
      <c r="JCX27" s="117"/>
      <c r="JCY27" s="117"/>
      <c r="JCZ27" s="117"/>
      <c r="JDA27" s="117"/>
      <c r="JDB27" s="117"/>
      <c r="JDC27" s="117"/>
      <c r="JDD27" s="117"/>
      <c r="JDE27" s="117"/>
      <c r="JDF27" s="117"/>
      <c r="JDG27" s="117"/>
      <c r="JDH27" s="117"/>
      <c r="JDI27" s="117"/>
      <c r="JDJ27" s="117"/>
      <c r="JDK27" s="117"/>
      <c r="JDL27" s="117"/>
      <c r="JDM27" s="117"/>
      <c r="JDN27" s="117"/>
      <c r="JDO27" s="117"/>
      <c r="JDP27" s="117"/>
      <c r="JDQ27" s="117"/>
      <c r="JDR27" s="117"/>
      <c r="JDS27" s="117"/>
      <c r="JDT27" s="117"/>
      <c r="JDU27" s="117"/>
      <c r="JDV27" s="117"/>
      <c r="JDW27" s="117"/>
      <c r="JDX27" s="117"/>
      <c r="JDY27" s="117"/>
      <c r="JDZ27" s="117"/>
      <c r="JEA27" s="117"/>
      <c r="JEB27" s="117"/>
      <c r="JEC27" s="117"/>
      <c r="JED27" s="117"/>
      <c r="JEE27" s="117"/>
      <c r="JEF27" s="117"/>
      <c r="JEG27" s="117"/>
      <c r="JEH27" s="117"/>
      <c r="JEI27" s="117"/>
      <c r="JEJ27" s="117"/>
      <c r="JEK27" s="117"/>
      <c r="JEL27" s="117"/>
      <c r="JEM27" s="117"/>
      <c r="JEN27" s="117"/>
      <c r="JEO27" s="117"/>
      <c r="JEP27" s="117"/>
      <c r="JEQ27" s="117"/>
      <c r="JER27" s="117"/>
      <c r="JES27" s="117"/>
      <c r="JET27" s="117"/>
      <c r="JEU27" s="117"/>
      <c r="JEV27" s="117"/>
      <c r="JEW27" s="117"/>
      <c r="JEX27" s="117"/>
      <c r="JEY27" s="117"/>
      <c r="JEZ27" s="117"/>
      <c r="JFA27" s="117"/>
      <c r="JFB27" s="117"/>
      <c r="JFC27" s="117"/>
      <c r="JFD27" s="117"/>
      <c r="JFE27" s="117"/>
      <c r="JFF27" s="117"/>
      <c r="JFG27" s="117"/>
      <c r="JFH27" s="117"/>
      <c r="JFI27" s="117"/>
      <c r="JFJ27" s="117"/>
      <c r="JFK27" s="117"/>
      <c r="JFL27" s="117"/>
      <c r="JFM27" s="117"/>
      <c r="JFN27" s="117"/>
      <c r="JFO27" s="117"/>
      <c r="JFP27" s="117"/>
      <c r="JFQ27" s="117"/>
      <c r="JFR27" s="117"/>
      <c r="JFS27" s="117"/>
      <c r="JFT27" s="117"/>
      <c r="JFU27" s="117"/>
      <c r="JFV27" s="117"/>
      <c r="JFW27" s="117"/>
      <c r="JFX27" s="117"/>
      <c r="JFY27" s="117"/>
      <c r="JFZ27" s="117"/>
      <c r="JGA27" s="117"/>
      <c r="JGB27" s="117"/>
      <c r="JGC27" s="117"/>
      <c r="JGD27" s="117"/>
      <c r="JGE27" s="117"/>
      <c r="JGF27" s="117"/>
      <c r="JGG27" s="117"/>
      <c r="JGH27" s="117"/>
      <c r="JGI27" s="117"/>
      <c r="JGJ27" s="117"/>
      <c r="JGK27" s="117"/>
      <c r="JGL27" s="117"/>
      <c r="JGM27" s="117"/>
      <c r="JGN27" s="117"/>
      <c r="JGO27" s="117"/>
      <c r="JGP27" s="117"/>
      <c r="JGQ27" s="117"/>
      <c r="JGR27" s="117"/>
      <c r="JGS27" s="117"/>
      <c r="JGT27" s="117"/>
      <c r="JGU27" s="117"/>
      <c r="JGV27" s="117"/>
      <c r="JGW27" s="117"/>
      <c r="JGX27" s="117"/>
      <c r="JGY27" s="117"/>
      <c r="JGZ27" s="117"/>
      <c r="JHA27" s="117"/>
      <c r="JHB27" s="117"/>
      <c r="JHC27" s="117"/>
      <c r="JHD27" s="117"/>
      <c r="JHE27" s="117"/>
      <c r="JHF27" s="117"/>
      <c r="JHG27" s="117"/>
      <c r="JHH27" s="117"/>
      <c r="JHI27" s="117"/>
      <c r="JHJ27" s="117"/>
      <c r="JHK27" s="117"/>
      <c r="JHL27" s="117"/>
      <c r="JHM27" s="117"/>
      <c r="JHN27" s="117"/>
      <c r="JHO27" s="117"/>
      <c r="JHP27" s="117"/>
      <c r="JHQ27" s="117"/>
      <c r="JHR27" s="117"/>
      <c r="JHS27" s="117"/>
      <c r="JHT27" s="117"/>
      <c r="JHU27" s="117"/>
      <c r="JHV27" s="117"/>
      <c r="JHW27" s="117"/>
      <c r="JHX27" s="117"/>
      <c r="JHY27" s="117"/>
      <c r="JHZ27" s="117"/>
      <c r="JIA27" s="117"/>
      <c r="JIB27" s="117"/>
      <c r="JIC27" s="117"/>
      <c r="JID27" s="117"/>
      <c r="JIE27" s="117"/>
      <c r="JIF27" s="117"/>
      <c r="JIG27" s="117"/>
      <c r="JIH27" s="117"/>
      <c r="JII27" s="117"/>
      <c r="JIJ27" s="117"/>
      <c r="JIK27" s="117"/>
      <c r="JIL27" s="117"/>
      <c r="JIM27" s="117"/>
      <c r="JIN27" s="117"/>
      <c r="JIO27" s="117"/>
      <c r="JIP27" s="117"/>
      <c r="JIQ27" s="117"/>
      <c r="JIR27" s="117"/>
      <c r="JIS27" s="117"/>
      <c r="JIT27" s="117"/>
      <c r="JIU27" s="117"/>
      <c r="JIV27" s="117"/>
      <c r="JIW27" s="117"/>
      <c r="JIX27" s="117"/>
      <c r="JIY27" s="117"/>
      <c r="JIZ27" s="117"/>
      <c r="JJA27" s="117"/>
      <c r="JJB27" s="117"/>
      <c r="JJC27" s="117"/>
      <c r="JJD27" s="117"/>
      <c r="JJE27" s="117"/>
      <c r="JJF27" s="117"/>
      <c r="JJG27" s="117"/>
      <c r="JJH27" s="117"/>
      <c r="JJI27" s="117"/>
      <c r="JJJ27" s="117"/>
      <c r="JJK27" s="117"/>
      <c r="JJL27" s="117"/>
      <c r="JJM27" s="117"/>
      <c r="JJN27" s="117"/>
      <c r="JJO27" s="117"/>
      <c r="JJP27" s="117"/>
      <c r="JJQ27" s="117"/>
      <c r="JJR27" s="117"/>
      <c r="JJS27" s="117"/>
      <c r="JJT27" s="117"/>
      <c r="JJU27" s="117"/>
      <c r="JJV27" s="117"/>
      <c r="JJW27" s="117"/>
      <c r="JJX27" s="117"/>
      <c r="JJY27" s="117"/>
      <c r="JJZ27" s="117"/>
      <c r="JKA27" s="117"/>
      <c r="JKB27" s="117"/>
      <c r="JKC27" s="117"/>
      <c r="JKD27" s="117"/>
      <c r="JKE27" s="117"/>
      <c r="JKF27" s="117"/>
      <c r="JKG27" s="117"/>
      <c r="JKH27" s="117"/>
      <c r="JKI27" s="117"/>
      <c r="JKJ27" s="117"/>
      <c r="JKK27" s="117"/>
      <c r="JKL27" s="117"/>
      <c r="JKM27" s="117"/>
      <c r="JKN27" s="117"/>
      <c r="JKO27" s="117"/>
      <c r="JKP27" s="117"/>
      <c r="JKQ27" s="117"/>
      <c r="JKR27" s="117"/>
      <c r="JKS27" s="117"/>
      <c r="JKT27" s="117"/>
      <c r="JKU27" s="117"/>
      <c r="JKV27" s="117"/>
      <c r="JKW27" s="117"/>
      <c r="JKX27" s="117"/>
      <c r="JKY27" s="117"/>
      <c r="JKZ27" s="117"/>
      <c r="JLA27" s="117"/>
      <c r="JLB27" s="117"/>
      <c r="JLC27" s="117"/>
      <c r="JLD27" s="117"/>
      <c r="JLE27" s="117"/>
      <c r="JLF27" s="117"/>
      <c r="JLG27" s="117"/>
      <c r="JLH27" s="117"/>
      <c r="JLI27" s="117"/>
      <c r="JLJ27" s="117"/>
      <c r="JLK27" s="117"/>
      <c r="JLL27" s="117"/>
      <c r="JLM27" s="117"/>
      <c r="JLN27" s="117"/>
      <c r="JLO27" s="117"/>
      <c r="JLP27" s="117"/>
      <c r="JLQ27" s="117"/>
      <c r="JLR27" s="117"/>
      <c r="JLS27" s="117"/>
      <c r="JLT27" s="117"/>
      <c r="JLU27" s="117"/>
      <c r="JLV27" s="117"/>
      <c r="JLW27" s="117"/>
      <c r="JLX27" s="117"/>
      <c r="JLY27" s="117"/>
      <c r="JLZ27" s="117"/>
      <c r="JMA27" s="117"/>
      <c r="JMB27" s="117"/>
      <c r="JMC27" s="117"/>
      <c r="JMD27" s="117"/>
      <c r="JME27" s="117"/>
      <c r="JMF27" s="117"/>
      <c r="JMG27" s="117"/>
      <c r="JMH27" s="117"/>
      <c r="JMI27" s="117"/>
      <c r="JMJ27" s="117"/>
      <c r="JMK27" s="117"/>
      <c r="JML27" s="117"/>
      <c r="JMM27" s="117"/>
      <c r="JMN27" s="117"/>
      <c r="JMO27" s="117"/>
      <c r="JMP27" s="117"/>
      <c r="JMQ27" s="117"/>
      <c r="JMR27" s="117"/>
      <c r="JMS27" s="117"/>
      <c r="JMT27" s="117"/>
      <c r="JMU27" s="117"/>
      <c r="JMV27" s="117"/>
      <c r="JMW27" s="117"/>
      <c r="JMX27" s="117"/>
      <c r="JMY27" s="117"/>
      <c r="JMZ27" s="117"/>
      <c r="JNA27" s="117"/>
      <c r="JNB27" s="117"/>
      <c r="JNC27" s="117"/>
      <c r="JND27" s="117"/>
      <c r="JNE27" s="117"/>
      <c r="JNF27" s="117"/>
      <c r="JNG27" s="117"/>
      <c r="JNH27" s="117"/>
      <c r="JNI27" s="117"/>
      <c r="JNJ27" s="117"/>
      <c r="JNK27" s="117"/>
      <c r="JNL27" s="117"/>
      <c r="JNM27" s="117"/>
      <c r="JNN27" s="117"/>
      <c r="JNO27" s="117"/>
      <c r="JNP27" s="117"/>
      <c r="JNQ27" s="117"/>
      <c r="JNR27" s="117"/>
      <c r="JNS27" s="117"/>
      <c r="JNT27" s="117"/>
      <c r="JNU27" s="117"/>
      <c r="JNV27" s="117"/>
      <c r="JNW27" s="117"/>
      <c r="JNX27" s="117"/>
      <c r="JNY27" s="117"/>
      <c r="JNZ27" s="117"/>
      <c r="JOA27" s="117"/>
      <c r="JOB27" s="117"/>
      <c r="JOC27" s="117"/>
      <c r="JOD27" s="117"/>
      <c r="JOE27" s="117"/>
      <c r="JOF27" s="117"/>
      <c r="JOG27" s="117"/>
      <c r="JOH27" s="117"/>
      <c r="JOI27" s="117"/>
      <c r="JOJ27" s="117"/>
      <c r="JOK27" s="117"/>
      <c r="JOL27" s="117"/>
      <c r="JOM27" s="117"/>
      <c r="JON27" s="117"/>
      <c r="JOO27" s="117"/>
      <c r="JOP27" s="117"/>
      <c r="JOQ27" s="117"/>
      <c r="JOR27" s="117"/>
      <c r="JOS27" s="117"/>
      <c r="JOT27" s="117"/>
      <c r="JOU27" s="117"/>
      <c r="JOV27" s="117"/>
      <c r="JOW27" s="117"/>
      <c r="JOX27" s="117"/>
      <c r="JOY27" s="117"/>
      <c r="JOZ27" s="117"/>
      <c r="JPA27" s="117"/>
      <c r="JPB27" s="117"/>
      <c r="JPC27" s="117"/>
      <c r="JPD27" s="117"/>
      <c r="JPE27" s="117"/>
      <c r="JPF27" s="117"/>
      <c r="JPG27" s="117"/>
      <c r="JPH27" s="117"/>
      <c r="JPI27" s="117"/>
      <c r="JPJ27" s="117"/>
      <c r="JPK27" s="117"/>
      <c r="JPL27" s="117"/>
      <c r="JPM27" s="117"/>
      <c r="JPN27" s="117"/>
      <c r="JPO27" s="117"/>
      <c r="JPP27" s="117"/>
      <c r="JPQ27" s="117"/>
      <c r="JPR27" s="117"/>
      <c r="JPS27" s="117"/>
      <c r="JPT27" s="117"/>
      <c r="JPU27" s="117"/>
      <c r="JPV27" s="117"/>
      <c r="JPW27" s="117"/>
      <c r="JPX27" s="117"/>
      <c r="JPY27" s="117"/>
      <c r="JPZ27" s="117"/>
      <c r="JQA27" s="117"/>
      <c r="JQB27" s="117"/>
      <c r="JQC27" s="117"/>
      <c r="JQD27" s="117"/>
      <c r="JQE27" s="117"/>
      <c r="JQF27" s="117"/>
      <c r="JQG27" s="117"/>
      <c r="JQH27" s="117"/>
      <c r="JQI27" s="117"/>
      <c r="JQJ27" s="117"/>
      <c r="JQK27" s="117"/>
      <c r="JQL27" s="117"/>
      <c r="JQM27" s="117"/>
      <c r="JQN27" s="117"/>
      <c r="JQO27" s="117"/>
      <c r="JQP27" s="117"/>
      <c r="JQQ27" s="117"/>
      <c r="JQR27" s="117"/>
      <c r="JQS27" s="117"/>
      <c r="JQT27" s="117"/>
      <c r="JQU27" s="117"/>
      <c r="JQV27" s="117"/>
      <c r="JQW27" s="117"/>
      <c r="JQX27" s="117"/>
      <c r="JQY27" s="117"/>
      <c r="JQZ27" s="117"/>
      <c r="JRA27" s="117"/>
      <c r="JRB27" s="117"/>
      <c r="JRC27" s="117"/>
      <c r="JRD27" s="117"/>
      <c r="JRE27" s="117"/>
      <c r="JRF27" s="117"/>
      <c r="JRG27" s="117"/>
      <c r="JRH27" s="117"/>
      <c r="JRI27" s="117"/>
      <c r="JRJ27" s="117"/>
      <c r="JRK27" s="117"/>
      <c r="JRL27" s="117"/>
      <c r="JRM27" s="117"/>
      <c r="JRN27" s="117"/>
      <c r="JRO27" s="117"/>
      <c r="JRP27" s="117"/>
      <c r="JRQ27" s="117"/>
      <c r="JRR27" s="117"/>
      <c r="JRS27" s="117"/>
      <c r="JRT27" s="117"/>
      <c r="JRU27" s="117"/>
      <c r="JRV27" s="117"/>
      <c r="JRW27" s="117"/>
      <c r="JRX27" s="117"/>
      <c r="JRY27" s="117"/>
      <c r="JRZ27" s="117"/>
      <c r="JSA27" s="117"/>
      <c r="JSB27" s="117"/>
      <c r="JSC27" s="117"/>
      <c r="JSD27" s="117"/>
      <c r="JSE27" s="117"/>
      <c r="JSF27" s="117"/>
      <c r="JSG27" s="117"/>
      <c r="JSH27" s="117"/>
      <c r="JSI27" s="117"/>
      <c r="JSJ27" s="117"/>
      <c r="JSK27" s="117"/>
      <c r="JSL27" s="117"/>
      <c r="JSM27" s="117"/>
      <c r="JSN27" s="117"/>
      <c r="JSO27" s="117"/>
      <c r="JSP27" s="117"/>
      <c r="JSQ27" s="117"/>
      <c r="JSR27" s="117"/>
      <c r="JSS27" s="117"/>
      <c r="JST27" s="117"/>
      <c r="JSU27" s="117"/>
      <c r="JSV27" s="117"/>
      <c r="JSW27" s="117"/>
      <c r="JSX27" s="117"/>
      <c r="JSY27" s="117"/>
      <c r="JSZ27" s="117"/>
      <c r="JTA27" s="117"/>
      <c r="JTB27" s="117"/>
      <c r="JTC27" s="117"/>
      <c r="JTD27" s="117"/>
      <c r="JTE27" s="117"/>
      <c r="JTF27" s="117"/>
      <c r="JTG27" s="117"/>
      <c r="JTH27" s="117"/>
      <c r="JTI27" s="117"/>
      <c r="JTJ27" s="117"/>
      <c r="JTK27" s="117"/>
      <c r="JTL27" s="117"/>
      <c r="JTM27" s="117"/>
      <c r="JTN27" s="117"/>
      <c r="JTO27" s="117"/>
      <c r="JTP27" s="117"/>
      <c r="JTQ27" s="117"/>
      <c r="JTR27" s="117"/>
      <c r="JTS27" s="117"/>
      <c r="JTT27" s="117"/>
      <c r="JTU27" s="117"/>
      <c r="JTV27" s="117"/>
      <c r="JTW27" s="117"/>
      <c r="JTX27" s="117"/>
      <c r="JTY27" s="117"/>
      <c r="JTZ27" s="117"/>
      <c r="JUA27" s="117"/>
      <c r="JUB27" s="117"/>
      <c r="JUC27" s="117"/>
      <c r="JUD27" s="117"/>
      <c r="JUE27" s="117"/>
      <c r="JUF27" s="117"/>
      <c r="JUG27" s="117"/>
      <c r="JUH27" s="117"/>
      <c r="JUI27" s="117"/>
      <c r="JUJ27" s="117"/>
      <c r="JUK27" s="117"/>
      <c r="JUL27" s="117"/>
      <c r="JUM27" s="117"/>
      <c r="JUN27" s="117"/>
      <c r="JUO27" s="117"/>
      <c r="JUP27" s="117"/>
      <c r="JUQ27" s="117"/>
      <c r="JUR27" s="117"/>
      <c r="JUS27" s="117"/>
      <c r="JUT27" s="117"/>
      <c r="JUU27" s="117"/>
      <c r="JUV27" s="117"/>
      <c r="JUW27" s="117"/>
      <c r="JUX27" s="117"/>
      <c r="JUY27" s="117"/>
      <c r="JUZ27" s="117"/>
      <c r="JVA27" s="117"/>
      <c r="JVB27" s="117"/>
      <c r="JVC27" s="117"/>
      <c r="JVD27" s="117"/>
      <c r="JVE27" s="117"/>
      <c r="JVF27" s="117"/>
      <c r="JVG27" s="117"/>
      <c r="JVH27" s="117"/>
      <c r="JVI27" s="117"/>
      <c r="JVJ27" s="117"/>
      <c r="JVK27" s="117"/>
      <c r="JVL27" s="117"/>
      <c r="JVM27" s="117"/>
      <c r="JVN27" s="117"/>
      <c r="JVO27" s="117"/>
      <c r="JVP27" s="117"/>
      <c r="JVQ27" s="117"/>
      <c r="JVR27" s="117"/>
      <c r="JVS27" s="117"/>
      <c r="JVT27" s="117"/>
      <c r="JVU27" s="117"/>
      <c r="JVV27" s="117"/>
      <c r="JVW27" s="117"/>
      <c r="JVX27" s="117"/>
      <c r="JVY27" s="117"/>
      <c r="JVZ27" s="117"/>
      <c r="JWA27" s="117"/>
      <c r="JWB27" s="117"/>
      <c r="JWC27" s="117"/>
      <c r="JWD27" s="117"/>
      <c r="JWE27" s="117"/>
      <c r="JWF27" s="117"/>
      <c r="JWG27" s="117"/>
      <c r="JWH27" s="117"/>
      <c r="JWI27" s="117"/>
      <c r="JWJ27" s="117"/>
      <c r="JWK27" s="117"/>
      <c r="JWL27" s="117"/>
      <c r="JWM27" s="117"/>
      <c r="JWN27" s="117"/>
      <c r="JWO27" s="117"/>
      <c r="JWP27" s="117"/>
      <c r="JWQ27" s="117"/>
      <c r="JWR27" s="117"/>
      <c r="JWS27" s="117"/>
      <c r="JWT27" s="117"/>
      <c r="JWU27" s="117"/>
      <c r="JWV27" s="117"/>
      <c r="JWW27" s="117"/>
      <c r="JWX27" s="117"/>
      <c r="JWY27" s="117"/>
      <c r="JWZ27" s="117"/>
      <c r="JXA27" s="117"/>
      <c r="JXB27" s="117"/>
      <c r="JXC27" s="117"/>
      <c r="JXD27" s="117"/>
      <c r="JXE27" s="117"/>
      <c r="JXF27" s="117"/>
      <c r="JXG27" s="117"/>
      <c r="JXH27" s="117"/>
      <c r="JXI27" s="117"/>
      <c r="JXJ27" s="117"/>
      <c r="JXK27" s="117"/>
      <c r="JXL27" s="117"/>
      <c r="JXM27" s="117"/>
      <c r="JXN27" s="117"/>
      <c r="JXO27" s="117"/>
      <c r="JXP27" s="117"/>
      <c r="JXQ27" s="117"/>
      <c r="JXR27" s="117"/>
      <c r="JXS27" s="117"/>
      <c r="JXT27" s="117"/>
      <c r="JXU27" s="117"/>
      <c r="JXV27" s="117"/>
      <c r="JXW27" s="117"/>
      <c r="JXX27" s="117"/>
      <c r="JXY27" s="117"/>
      <c r="JXZ27" s="117"/>
      <c r="JYA27" s="117"/>
      <c r="JYB27" s="117"/>
      <c r="JYC27" s="117"/>
      <c r="JYD27" s="117"/>
      <c r="JYE27" s="117"/>
      <c r="JYF27" s="117"/>
      <c r="JYG27" s="117"/>
      <c r="JYH27" s="117"/>
      <c r="JYI27" s="117"/>
      <c r="JYJ27" s="117"/>
      <c r="JYK27" s="117"/>
      <c r="JYL27" s="117"/>
      <c r="JYM27" s="117"/>
      <c r="JYN27" s="117"/>
      <c r="JYO27" s="117"/>
      <c r="JYP27" s="117"/>
      <c r="JYQ27" s="117"/>
      <c r="JYR27" s="117"/>
      <c r="JYS27" s="117"/>
      <c r="JYT27" s="117"/>
      <c r="JYU27" s="117"/>
      <c r="JYV27" s="117"/>
      <c r="JYW27" s="117"/>
      <c r="JYX27" s="117"/>
      <c r="JYY27" s="117"/>
      <c r="JYZ27" s="117"/>
      <c r="JZA27" s="117"/>
      <c r="JZB27" s="117"/>
      <c r="JZC27" s="117"/>
      <c r="JZD27" s="117"/>
      <c r="JZE27" s="117"/>
      <c r="JZF27" s="117"/>
      <c r="JZG27" s="117"/>
      <c r="JZH27" s="117"/>
      <c r="JZI27" s="117"/>
      <c r="JZJ27" s="117"/>
      <c r="JZK27" s="117"/>
      <c r="JZL27" s="117"/>
      <c r="JZM27" s="117"/>
      <c r="JZN27" s="117"/>
      <c r="JZO27" s="117"/>
      <c r="JZP27" s="117"/>
      <c r="JZQ27" s="117"/>
      <c r="JZR27" s="117"/>
      <c r="JZS27" s="117"/>
      <c r="JZT27" s="117"/>
      <c r="JZU27" s="117"/>
      <c r="JZV27" s="117"/>
      <c r="JZW27" s="117"/>
      <c r="JZX27" s="117"/>
      <c r="JZY27" s="117"/>
      <c r="JZZ27" s="117"/>
      <c r="KAA27" s="117"/>
      <c r="KAB27" s="117"/>
      <c r="KAC27" s="117"/>
      <c r="KAD27" s="117"/>
      <c r="KAE27" s="117"/>
      <c r="KAF27" s="117"/>
      <c r="KAG27" s="117"/>
      <c r="KAH27" s="117"/>
      <c r="KAI27" s="117"/>
      <c r="KAJ27" s="117"/>
      <c r="KAK27" s="117"/>
      <c r="KAL27" s="117"/>
      <c r="KAM27" s="117"/>
      <c r="KAN27" s="117"/>
      <c r="KAO27" s="117"/>
      <c r="KAP27" s="117"/>
      <c r="KAQ27" s="117"/>
      <c r="KAR27" s="117"/>
      <c r="KAS27" s="117"/>
      <c r="KAT27" s="117"/>
      <c r="KAU27" s="117"/>
      <c r="KAV27" s="117"/>
      <c r="KAW27" s="117"/>
      <c r="KAX27" s="117"/>
      <c r="KAY27" s="117"/>
      <c r="KAZ27" s="117"/>
      <c r="KBA27" s="117"/>
      <c r="KBB27" s="117"/>
      <c r="KBC27" s="117"/>
      <c r="KBD27" s="117"/>
      <c r="KBE27" s="117"/>
      <c r="KBF27" s="117"/>
      <c r="KBG27" s="117"/>
      <c r="KBH27" s="117"/>
      <c r="KBI27" s="117"/>
      <c r="KBJ27" s="117"/>
      <c r="KBK27" s="117"/>
      <c r="KBL27" s="117"/>
      <c r="KBM27" s="117"/>
      <c r="KBN27" s="117"/>
      <c r="KBO27" s="117"/>
      <c r="KBP27" s="117"/>
      <c r="KBQ27" s="117"/>
      <c r="KBR27" s="117"/>
      <c r="KBS27" s="117"/>
      <c r="KBT27" s="117"/>
      <c r="KBU27" s="117"/>
      <c r="KBV27" s="117"/>
      <c r="KBW27" s="117"/>
      <c r="KBX27" s="117"/>
      <c r="KBY27" s="117"/>
      <c r="KBZ27" s="117"/>
      <c r="KCA27" s="117"/>
      <c r="KCB27" s="117"/>
      <c r="KCC27" s="117"/>
      <c r="KCD27" s="117"/>
      <c r="KCE27" s="117"/>
      <c r="KCF27" s="117"/>
      <c r="KCG27" s="117"/>
      <c r="KCH27" s="117"/>
      <c r="KCI27" s="117"/>
      <c r="KCJ27" s="117"/>
      <c r="KCK27" s="117"/>
      <c r="KCL27" s="117"/>
      <c r="KCM27" s="117"/>
      <c r="KCN27" s="117"/>
      <c r="KCO27" s="117"/>
      <c r="KCP27" s="117"/>
      <c r="KCQ27" s="117"/>
      <c r="KCR27" s="117"/>
      <c r="KCS27" s="117"/>
      <c r="KCT27" s="117"/>
      <c r="KCU27" s="117"/>
      <c r="KCV27" s="117"/>
      <c r="KCW27" s="117"/>
      <c r="KCX27" s="117"/>
      <c r="KCY27" s="117"/>
      <c r="KCZ27" s="117"/>
      <c r="KDA27" s="117"/>
      <c r="KDB27" s="117"/>
      <c r="KDC27" s="117"/>
      <c r="KDD27" s="117"/>
      <c r="KDE27" s="117"/>
      <c r="KDF27" s="117"/>
      <c r="KDG27" s="117"/>
      <c r="KDH27" s="117"/>
      <c r="KDI27" s="117"/>
      <c r="KDJ27" s="117"/>
      <c r="KDK27" s="117"/>
      <c r="KDL27" s="117"/>
      <c r="KDM27" s="117"/>
      <c r="KDN27" s="117"/>
      <c r="KDO27" s="117"/>
      <c r="KDP27" s="117"/>
      <c r="KDQ27" s="117"/>
      <c r="KDR27" s="117"/>
      <c r="KDS27" s="117"/>
      <c r="KDT27" s="117"/>
      <c r="KDU27" s="117"/>
      <c r="KDV27" s="117"/>
      <c r="KDW27" s="117"/>
      <c r="KDX27" s="117"/>
      <c r="KDY27" s="117"/>
      <c r="KDZ27" s="117"/>
      <c r="KEA27" s="117"/>
      <c r="KEB27" s="117"/>
      <c r="KEC27" s="117"/>
      <c r="KED27" s="117"/>
      <c r="KEE27" s="117"/>
      <c r="KEF27" s="117"/>
      <c r="KEG27" s="117"/>
      <c r="KEH27" s="117"/>
      <c r="KEI27" s="117"/>
      <c r="KEJ27" s="117"/>
      <c r="KEK27" s="117"/>
      <c r="KEL27" s="117"/>
      <c r="KEM27" s="117"/>
      <c r="KEN27" s="117"/>
      <c r="KEO27" s="117"/>
      <c r="KEP27" s="117"/>
      <c r="KEQ27" s="117"/>
      <c r="KER27" s="117"/>
      <c r="KES27" s="117"/>
      <c r="KET27" s="117"/>
      <c r="KEU27" s="117"/>
      <c r="KEV27" s="117"/>
      <c r="KEW27" s="117"/>
      <c r="KEX27" s="117"/>
      <c r="KEY27" s="117"/>
      <c r="KEZ27" s="117"/>
      <c r="KFA27" s="117"/>
      <c r="KFB27" s="117"/>
      <c r="KFC27" s="117"/>
      <c r="KFD27" s="117"/>
      <c r="KFE27" s="117"/>
      <c r="KFF27" s="117"/>
      <c r="KFG27" s="117"/>
      <c r="KFH27" s="117"/>
      <c r="KFI27" s="117"/>
      <c r="KFJ27" s="117"/>
      <c r="KFK27" s="117"/>
      <c r="KFL27" s="117"/>
      <c r="KFM27" s="117"/>
      <c r="KFN27" s="117"/>
      <c r="KFO27" s="117"/>
      <c r="KFP27" s="117"/>
      <c r="KFQ27" s="117"/>
      <c r="KFR27" s="117"/>
      <c r="KFS27" s="117"/>
      <c r="KFT27" s="117"/>
      <c r="KFU27" s="117"/>
      <c r="KFV27" s="117"/>
      <c r="KFW27" s="117"/>
      <c r="KFX27" s="117"/>
      <c r="KFY27" s="117"/>
      <c r="KFZ27" s="117"/>
      <c r="KGA27" s="117"/>
      <c r="KGB27" s="117"/>
      <c r="KGC27" s="117"/>
      <c r="KGD27" s="117"/>
      <c r="KGE27" s="117"/>
      <c r="KGF27" s="117"/>
      <c r="KGG27" s="117"/>
      <c r="KGH27" s="117"/>
      <c r="KGI27" s="117"/>
      <c r="KGJ27" s="117"/>
      <c r="KGK27" s="117"/>
      <c r="KGL27" s="117"/>
      <c r="KGM27" s="117"/>
      <c r="KGN27" s="117"/>
      <c r="KGO27" s="117"/>
      <c r="KGP27" s="117"/>
      <c r="KGQ27" s="117"/>
      <c r="KGR27" s="117"/>
      <c r="KGS27" s="117"/>
      <c r="KGT27" s="117"/>
      <c r="KGU27" s="117"/>
      <c r="KGV27" s="117"/>
      <c r="KGW27" s="117"/>
      <c r="KGX27" s="117"/>
      <c r="KGY27" s="117"/>
      <c r="KGZ27" s="117"/>
      <c r="KHA27" s="117"/>
      <c r="KHB27" s="117"/>
      <c r="KHC27" s="117"/>
      <c r="KHD27" s="117"/>
      <c r="KHE27" s="117"/>
      <c r="KHF27" s="117"/>
      <c r="KHG27" s="117"/>
      <c r="KHH27" s="117"/>
      <c r="KHI27" s="117"/>
      <c r="KHJ27" s="117"/>
      <c r="KHK27" s="117"/>
      <c r="KHL27" s="117"/>
      <c r="KHM27" s="117"/>
      <c r="KHN27" s="117"/>
      <c r="KHO27" s="117"/>
      <c r="KHP27" s="117"/>
      <c r="KHQ27" s="117"/>
      <c r="KHR27" s="117"/>
      <c r="KHS27" s="117"/>
      <c r="KHT27" s="117"/>
      <c r="KHU27" s="117"/>
      <c r="KHV27" s="117"/>
      <c r="KHW27" s="117"/>
      <c r="KHX27" s="117"/>
      <c r="KHY27" s="117"/>
      <c r="KHZ27" s="117"/>
      <c r="KIA27" s="117"/>
      <c r="KIB27" s="117"/>
      <c r="KIC27" s="117"/>
      <c r="KID27" s="117"/>
      <c r="KIE27" s="117"/>
      <c r="KIF27" s="117"/>
      <c r="KIG27" s="117"/>
      <c r="KIH27" s="117"/>
      <c r="KII27" s="117"/>
      <c r="KIJ27" s="117"/>
      <c r="KIK27" s="117"/>
      <c r="KIL27" s="117"/>
      <c r="KIM27" s="117"/>
      <c r="KIN27" s="117"/>
      <c r="KIO27" s="117"/>
      <c r="KIP27" s="117"/>
      <c r="KIQ27" s="117"/>
      <c r="KIR27" s="117"/>
      <c r="KIS27" s="117"/>
      <c r="KIT27" s="117"/>
      <c r="KIU27" s="117"/>
      <c r="KIV27" s="117"/>
      <c r="KIW27" s="117"/>
      <c r="KIX27" s="117"/>
      <c r="KIY27" s="117"/>
      <c r="KIZ27" s="117"/>
      <c r="KJA27" s="117"/>
      <c r="KJB27" s="117"/>
      <c r="KJC27" s="117"/>
      <c r="KJD27" s="117"/>
      <c r="KJE27" s="117"/>
      <c r="KJF27" s="117"/>
      <c r="KJG27" s="117"/>
      <c r="KJH27" s="117"/>
      <c r="KJI27" s="117"/>
      <c r="KJJ27" s="117"/>
      <c r="KJK27" s="117"/>
      <c r="KJL27" s="117"/>
      <c r="KJM27" s="117"/>
      <c r="KJN27" s="117"/>
      <c r="KJO27" s="117"/>
      <c r="KJP27" s="117"/>
      <c r="KJQ27" s="117"/>
      <c r="KJR27" s="117"/>
      <c r="KJS27" s="117"/>
      <c r="KJT27" s="117"/>
      <c r="KJU27" s="117"/>
      <c r="KJV27" s="117"/>
      <c r="KJW27" s="117"/>
      <c r="KJX27" s="117"/>
      <c r="KJY27" s="117"/>
      <c r="KJZ27" s="117"/>
      <c r="KKA27" s="117"/>
      <c r="KKB27" s="117"/>
      <c r="KKC27" s="117"/>
      <c r="KKD27" s="117"/>
      <c r="KKE27" s="117"/>
      <c r="KKF27" s="117"/>
      <c r="KKG27" s="117"/>
      <c r="KKH27" s="117"/>
      <c r="KKI27" s="117"/>
      <c r="KKJ27" s="117"/>
      <c r="KKK27" s="117"/>
      <c r="KKL27" s="117"/>
      <c r="KKM27" s="117"/>
      <c r="KKN27" s="117"/>
      <c r="KKO27" s="117"/>
      <c r="KKP27" s="117"/>
      <c r="KKQ27" s="117"/>
      <c r="KKR27" s="117"/>
      <c r="KKS27" s="117"/>
      <c r="KKT27" s="117"/>
      <c r="KKU27" s="117"/>
      <c r="KKV27" s="117"/>
      <c r="KKW27" s="117"/>
      <c r="KKX27" s="117"/>
      <c r="KKY27" s="117"/>
      <c r="KKZ27" s="117"/>
      <c r="KLA27" s="117"/>
      <c r="KLB27" s="117"/>
      <c r="KLC27" s="117"/>
      <c r="KLD27" s="117"/>
      <c r="KLE27" s="117"/>
      <c r="KLF27" s="117"/>
      <c r="KLG27" s="117"/>
      <c r="KLH27" s="117"/>
      <c r="KLI27" s="117"/>
      <c r="KLJ27" s="117"/>
      <c r="KLK27" s="117"/>
      <c r="KLL27" s="117"/>
      <c r="KLM27" s="117"/>
      <c r="KLN27" s="117"/>
      <c r="KLO27" s="117"/>
      <c r="KLP27" s="117"/>
      <c r="KLQ27" s="117"/>
      <c r="KLR27" s="117"/>
      <c r="KLS27" s="117"/>
      <c r="KLT27" s="117"/>
      <c r="KLU27" s="117"/>
      <c r="KLV27" s="117"/>
      <c r="KLW27" s="117"/>
      <c r="KLX27" s="117"/>
      <c r="KLY27" s="117"/>
      <c r="KLZ27" s="117"/>
      <c r="KMA27" s="117"/>
      <c r="KMB27" s="117"/>
      <c r="KMC27" s="117"/>
      <c r="KMD27" s="117"/>
      <c r="KME27" s="117"/>
      <c r="KMF27" s="117"/>
      <c r="KMG27" s="117"/>
      <c r="KMH27" s="117"/>
      <c r="KMI27" s="117"/>
      <c r="KMJ27" s="117"/>
      <c r="KMK27" s="117"/>
      <c r="KML27" s="117"/>
      <c r="KMM27" s="117"/>
      <c r="KMN27" s="117"/>
      <c r="KMO27" s="117"/>
      <c r="KMP27" s="117"/>
      <c r="KMQ27" s="117"/>
      <c r="KMR27" s="117"/>
      <c r="KMS27" s="117"/>
      <c r="KMT27" s="117"/>
      <c r="KMU27" s="117"/>
      <c r="KMV27" s="117"/>
      <c r="KMW27" s="117"/>
      <c r="KMX27" s="117"/>
      <c r="KMY27" s="117"/>
      <c r="KMZ27" s="117"/>
      <c r="KNA27" s="117"/>
      <c r="KNB27" s="117"/>
      <c r="KNC27" s="117"/>
      <c r="KND27" s="117"/>
      <c r="KNE27" s="117"/>
      <c r="KNF27" s="117"/>
      <c r="KNG27" s="117"/>
      <c r="KNH27" s="117"/>
      <c r="KNI27" s="117"/>
      <c r="KNJ27" s="117"/>
      <c r="KNK27" s="117"/>
      <c r="KNL27" s="117"/>
      <c r="KNM27" s="117"/>
      <c r="KNN27" s="117"/>
      <c r="KNO27" s="117"/>
      <c r="KNP27" s="117"/>
      <c r="KNQ27" s="117"/>
      <c r="KNR27" s="117"/>
      <c r="KNS27" s="117"/>
      <c r="KNT27" s="117"/>
      <c r="KNU27" s="117"/>
      <c r="KNV27" s="117"/>
      <c r="KNW27" s="117"/>
      <c r="KNX27" s="117"/>
      <c r="KNY27" s="117"/>
      <c r="KNZ27" s="117"/>
      <c r="KOA27" s="117"/>
      <c r="KOB27" s="117"/>
      <c r="KOC27" s="117"/>
      <c r="KOD27" s="117"/>
      <c r="KOE27" s="117"/>
      <c r="KOF27" s="117"/>
      <c r="KOG27" s="117"/>
      <c r="KOH27" s="117"/>
      <c r="KOI27" s="117"/>
      <c r="KOJ27" s="117"/>
      <c r="KOK27" s="117"/>
      <c r="KOL27" s="117"/>
      <c r="KOM27" s="117"/>
      <c r="KON27" s="117"/>
      <c r="KOO27" s="117"/>
      <c r="KOP27" s="117"/>
      <c r="KOQ27" s="117"/>
      <c r="KOR27" s="117"/>
      <c r="KOS27" s="117"/>
      <c r="KOT27" s="117"/>
      <c r="KOU27" s="117"/>
      <c r="KOV27" s="117"/>
      <c r="KOW27" s="117"/>
      <c r="KOX27" s="117"/>
      <c r="KOY27" s="117"/>
      <c r="KOZ27" s="117"/>
      <c r="KPA27" s="117"/>
      <c r="KPB27" s="117"/>
      <c r="KPC27" s="117"/>
      <c r="KPD27" s="117"/>
      <c r="KPE27" s="117"/>
      <c r="KPF27" s="117"/>
      <c r="KPG27" s="117"/>
      <c r="KPH27" s="117"/>
      <c r="KPI27" s="117"/>
      <c r="KPJ27" s="117"/>
      <c r="KPK27" s="117"/>
      <c r="KPL27" s="117"/>
      <c r="KPM27" s="117"/>
      <c r="KPN27" s="117"/>
      <c r="KPO27" s="117"/>
      <c r="KPP27" s="117"/>
      <c r="KPQ27" s="117"/>
      <c r="KPR27" s="117"/>
      <c r="KPS27" s="117"/>
      <c r="KPT27" s="117"/>
      <c r="KPU27" s="117"/>
      <c r="KPV27" s="117"/>
      <c r="KPW27" s="117"/>
      <c r="KPX27" s="117"/>
      <c r="KPY27" s="117"/>
      <c r="KPZ27" s="117"/>
      <c r="KQA27" s="117"/>
      <c r="KQB27" s="117"/>
      <c r="KQC27" s="117"/>
      <c r="KQD27" s="117"/>
      <c r="KQE27" s="117"/>
      <c r="KQF27" s="117"/>
      <c r="KQG27" s="117"/>
      <c r="KQH27" s="117"/>
      <c r="KQI27" s="117"/>
      <c r="KQJ27" s="117"/>
      <c r="KQK27" s="117"/>
      <c r="KQL27" s="117"/>
      <c r="KQM27" s="117"/>
      <c r="KQN27" s="117"/>
      <c r="KQO27" s="117"/>
      <c r="KQP27" s="117"/>
      <c r="KQQ27" s="117"/>
      <c r="KQR27" s="117"/>
      <c r="KQS27" s="117"/>
      <c r="KQT27" s="117"/>
      <c r="KQU27" s="117"/>
      <c r="KQV27" s="117"/>
      <c r="KQW27" s="117"/>
      <c r="KQX27" s="117"/>
      <c r="KQY27" s="117"/>
      <c r="KQZ27" s="117"/>
      <c r="KRA27" s="117"/>
      <c r="KRB27" s="117"/>
      <c r="KRC27" s="117"/>
      <c r="KRD27" s="117"/>
      <c r="KRE27" s="117"/>
      <c r="KRF27" s="117"/>
      <c r="KRG27" s="117"/>
      <c r="KRH27" s="117"/>
      <c r="KRI27" s="117"/>
      <c r="KRJ27" s="117"/>
      <c r="KRK27" s="117"/>
      <c r="KRL27" s="117"/>
      <c r="KRM27" s="117"/>
      <c r="KRN27" s="117"/>
      <c r="KRO27" s="117"/>
      <c r="KRP27" s="117"/>
      <c r="KRQ27" s="117"/>
      <c r="KRR27" s="117"/>
      <c r="KRS27" s="117"/>
      <c r="KRT27" s="117"/>
      <c r="KRU27" s="117"/>
      <c r="KRV27" s="117"/>
      <c r="KRW27" s="117"/>
      <c r="KRX27" s="117"/>
      <c r="KRY27" s="117"/>
      <c r="KRZ27" s="117"/>
      <c r="KSA27" s="117"/>
      <c r="KSB27" s="117"/>
      <c r="KSC27" s="117"/>
      <c r="KSD27" s="117"/>
      <c r="KSE27" s="117"/>
      <c r="KSF27" s="117"/>
      <c r="KSG27" s="117"/>
      <c r="KSH27" s="117"/>
      <c r="KSI27" s="117"/>
      <c r="KSJ27" s="117"/>
      <c r="KSK27" s="117"/>
      <c r="KSL27" s="117"/>
      <c r="KSM27" s="117"/>
      <c r="KSN27" s="117"/>
      <c r="KSO27" s="117"/>
      <c r="KSP27" s="117"/>
      <c r="KSQ27" s="117"/>
      <c r="KSR27" s="117"/>
      <c r="KSS27" s="117"/>
      <c r="KST27" s="117"/>
      <c r="KSU27" s="117"/>
      <c r="KSV27" s="117"/>
      <c r="KSW27" s="117"/>
      <c r="KSX27" s="117"/>
      <c r="KSY27" s="117"/>
      <c r="KSZ27" s="117"/>
      <c r="KTA27" s="117"/>
      <c r="KTB27" s="117"/>
      <c r="KTC27" s="117"/>
      <c r="KTD27" s="117"/>
      <c r="KTE27" s="117"/>
      <c r="KTF27" s="117"/>
      <c r="KTG27" s="117"/>
      <c r="KTH27" s="117"/>
      <c r="KTI27" s="117"/>
      <c r="KTJ27" s="117"/>
      <c r="KTK27" s="117"/>
      <c r="KTL27" s="117"/>
      <c r="KTM27" s="117"/>
      <c r="KTN27" s="117"/>
      <c r="KTO27" s="117"/>
      <c r="KTP27" s="117"/>
      <c r="KTQ27" s="117"/>
      <c r="KTR27" s="117"/>
      <c r="KTS27" s="117"/>
      <c r="KTT27" s="117"/>
      <c r="KTU27" s="117"/>
      <c r="KTV27" s="117"/>
      <c r="KTW27" s="117"/>
      <c r="KTX27" s="117"/>
      <c r="KTY27" s="117"/>
      <c r="KTZ27" s="117"/>
      <c r="KUA27" s="117"/>
      <c r="KUB27" s="117"/>
      <c r="KUC27" s="117"/>
      <c r="KUD27" s="117"/>
      <c r="KUE27" s="117"/>
      <c r="KUF27" s="117"/>
      <c r="KUG27" s="117"/>
      <c r="KUH27" s="117"/>
      <c r="KUI27" s="117"/>
      <c r="KUJ27" s="117"/>
      <c r="KUK27" s="117"/>
      <c r="KUL27" s="117"/>
      <c r="KUM27" s="117"/>
      <c r="KUN27" s="117"/>
      <c r="KUO27" s="117"/>
      <c r="KUP27" s="117"/>
      <c r="KUQ27" s="117"/>
      <c r="KUR27" s="117"/>
      <c r="KUS27" s="117"/>
      <c r="KUT27" s="117"/>
      <c r="KUU27" s="117"/>
      <c r="KUV27" s="117"/>
      <c r="KUW27" s="117"/>
      <c r="KUX27" s="117"/>
      <c r="KUY27" s="117"/>
      <c r="KUZ27" s="117"/>
      <c r="KVA27" s="117"/>
      <c r="KVB27" s="117"/>
      <c r="KVC27" s="117"/>
      <c r="KVD27" s="117"/>
      <c r="KVE27" s="117"/>
      <c r="KVF27" s="117"/>
      <c r="KVG27" s="117"/>
      <c r="KVH27" s="117"/>
      <c r="KVI27" s="117"/>
      <c r="KVJ27" s="117"/>
      <c r="KVK27" s="117"/>
      <c r="KVL27" s="117"/>
      <c r="KVM27" s="117"/>
      <c r="KVN27" s="117"/>
      <c r="KVO27" s="117"/>
      <c r="KVP27" s="117"/>
      <c r="KVQ27" s="117"/>
      <c r="KVR27" s="117"/>
      <c r="KVS27" s="117"/>
      <c r="KVT27" s="117"/>
      <c r="KVU27" s="117"/>
      <c r="KVV27" s="117"/>
      <c r="KVW27" s="117"/>
      <c r="KVX27" s="117"/>
      <c r="KVY27" s="117"/>
      <c r="KVZ27" s="117"/>
      <c r="KWA27" s="117"/>
      <c r="KWB27" s="117"/>
      <c r="KWC27" s="117"/>
      <c r="KWD27" s="117"/>
      <c r="KWE27" s="117"/>
      <c r="KWF27" s="117"/>
      <c r="KWG27" s="117"/>
      <c r="KWH27" s="117"/>
      <c r="KWI27" s="117"/>
      <c r="KWJ27" s="117"/>
      <c r="KWK27" s="117"/>
      <c r="KWL27" s="117"/>
      <c r="KWM27" s="117"/>
      <c r="KWN27" s="117"/>
      <c r="KWO27" s="117"/>
      <c r="KWP27" s="117"/>
      <c r="KWQ27" s="117"/>
      <c r="KWR27" s="117"/>
      <c r="KWS27" s="117"/>
      <c r="KWT27" s="117"/>
      <c r="KWU27" s="117"/>
      <c r="KWV27" s="117"/>
      <c r="KWW27" s="117"/>
      <c r="KWX27" s="117"/>
      <c r="KWY27" s="117"/>
      <c r="KWZ27" s="117"/>
      <c r="KXA27" s="117"/>
      <c r="KXB27" s="117"/>
      <c r="KXC27" s="117"/>
      <c r="KXD27" s="117"/>
      <c r="KXE27" s="117"/>
      <c r="KXF27" s="117"/>
      <c r="KXG27" s="117"/>
      <c r="KXH27" s="117"/>
      <c r="KXI27" s="117"/>
      <c r="KXJ27" s="117"/>
      <c r="KXK27" s="117"/>
      <c r="KXL27" s="117"/>
      <c r="KXM27" s="117"/>
      <c r="KXN27" s="117"/>
      <c r="KXO27" s="117"/>
      <c r="KXP27" s="117"/>
      <c r="KXQ27" s="117"/>
      <c r="KXR27" s="117"/>
      <c r="KXS27" s="117"/>
      <c r="KXT27" s="117"/>
      <c r="KXU27" s="117"/>
      <c r="KXV27" s="117"/>
      <c r="KXW27" s="117"/>
      <c r="KXX27" s="117"/>
      <c r="KXY27" s="117"/>
      <c r="KXZ27" s="117"/>
      <c r="KYA27" s="117"/>
      <c r="KYB27" s="117"/>
      <c r="KYC27" s="117"/>
      <c r="KYD27" s="117"/>
      <c r="KYE27" s="117"/>
      <c r="KYF27" s="117"/>
      <c r="KYG27" s="117"/>
      <c r="KYH27" s="117"/>
      <c r="KYI27" s="117"/>
      <c r="KYJ27" s="117"/>
      <c r="KYK27" s="117"/>
      <c r="KYL27" s="117"/>
      <c r="KYM27" s="117"/>
      <c r="KYN27" s="117"/>
      <c r="KYO27" s="117"/>
      <c r="KYP27" s="117"/>
      <c r="KYQ27" s="117"/>
      <c r="KYR27" s="117"/>
      <c r="KYS27" s="117"/>
      <c r="KYT27" s="117"/>
      <c r="KYU27" s="117"/>
      <c r="KYV27" s="117"/>
      <c r="KYW27" s="117"/>
      <c r="KYX27" s="117"/>
      <c r="KYY27" s="117"/>
      <c r="KYZ27" s="117"/>
      <c r="KZA27" s="117"/>
      <c r="KZB27" s="117"/>
      <c r="KZC27" s="117"/>
      <c r="KZD27" s="117"/>
      <c r="KZE27" s="117"/>
      <c r="KZF27" s="117"/>
      <c r="KZG27" s="117"/>
      <c r="KZH27" s="117"/>
      <c r="KZI27" s="117"/>
      <c r="KZJ27" s="117"/>
      <c r="KZK27" s="117"/>
      <c r="KZL27" s="117"/>
      <c r="KZM27" s="117"/>
      <c r="KZN27" s="117"/>
      <c r="KZO27" s="117"/>
      <c r="KZP27" s="117"/>
      <c r="KZQ27" s="117"/>
      <c r="KZR27" s="117"/>
      <c r="KZS27" s="117"/>
      <c r="KZT27" s="117"/>
      <c r="KZU27" s="117"/>
      <c r="KZV27" s="117"/>
      <c r="KZW27" s="117"/>
      <c r="KZX27" s="117"/>
      <c r="KZY27" s="117"/>
      <c r="KZZ27" s="117"/>
      <c r="LAA27" s="117"/>
      <c r="LAB27" s="117"/>
      <c r="LAC27" s="117"/>
      <c r="LAD27" s="117"/>
      <c r="LAE27" s="117"/>
      <c r="LAF27" s="117"/>
      <c r="LAG27" s="117"/>
      <c r="LAH27" s="117"/>
      <c r="LAI27" s="117"/>
      <c r="LAJ27" s="117"/>
      <c r="LAK27" s="117"/>
      <c r="LAL27" s="117"/>
      <c r="LAM27" s="117"/>
      <c r="LAN27" s="117"/>
      <c r="LAO27" s="117"/>
      <c r="LAP27" s="117"/>
      <c r="LAQ27" s="117"/>
      <c r="LAR27" s="117"/>
      <c r="LAS27" s="117"/>
      <c r="LAT27" s="117"/>
      <c r="LAU27" s="117"/>
      <c r="LAV27" s="117"/>
      <c r="LAW27" s="117"/>
      <c r="LAX27" s="117"/>
      <c r="LAY27" s="117"/>
      <c r="LAZ27" s="117"/>
      <c r="LBA27" s="117"/>
      <c r="LBB27" s="117"/>
      <c r="LBC27" s="117"/>
      <c r="LBD27" s="117"/>
      <c r="LBE27" s="117"/>
      <c r="LBF27" s="117"/>
      <c r="LBG27" s="117"/>
      <c r="LBH27" s="117"/>
      <c r="LBI27" s="117"/>
      <c r="LBJ27" s="117"/>
      <c r="LBK27" s="117"/>
      <c r="LBL27" s="117"/>
      <c r="LBM27" s="117"/>
      <c r="LBN27" s="117"/>
      <c r="LBO27" s="117"/>
      <c r="LBP27" s="117"/>
      <c r="LBQ27" s="117"/>
      <c r="LBR27" s="117"/>
      <c r="LBS27" s="117"/>
      <c r="LBT27" s="117"/>
      <c r="LBU27" s="117"/>
      <c r="LBV27" s="117"/>
      <c r="LBW27" s="117"/>
      <c r="LBX27" s="117"/>
      <c r="LBY27" s="117"/>
      <c r="LBZ27" s="117"/>
      <c r="LCA27" s="117"/>
      <c r="LCB27" s="117"/>
      <c r="LCC27" s="117"/>
      <c r="LCD27" s="117"/>
      <c r="LCE27" s="117"/>
      <c r="LCF27" s="117"/>
      <c r="LCG27" s="117"/>
      <c r="LCH27" s="117"/>
      <c r="LCI27" s="117"/>
      <c r="LCJ27" s="117"/>
      <c r="LCK27" s="117"/>
      <c r="LCL27" s="117"/>
      <c r="LCM27" s="117"/>
      <c r="LCN27" s="117"/>
      <c r="LCO27" s="117"/>
      <c r="LCP27" s="117"/>
      <c r="LCQ27" s="117"/>
      <c r="LCR27" s="117"/>
      <c r="LCS27" s="117"/>
      <c r="LCT27" s="117"/>
      <c r="LCU27" s="117"/>
      <c r="LCV27" s="117"/>
      <c r="LCW27" s="117"/>
      <c r="LCX27" s="117"/>
      <c r="LCY27" s="117"/>
      <c r="LCZ27" s="117"/>
      <c r="LDA27" s="117"/>
      <c r="LDB27" s="117"/>
      <c r="LDC27" s="117"/>
      <c r="LDD27" s="117"/>
      <c r="LDE27" s="117"/>
      <c r="LDF27" s="117"/>
      <c r="LDG27" s="117"/>
      <c r="LDH27" s="117"/>
      <c r="LDI27" s="117"/>
      <c r="LDJ27" s="117"/>
      <c r="LDK27" s="117"/>
      <c r="LDL27" s="117"/>
      <c r="LDM27" s="117"/>
      <c r="LDN27" s="117"/>
      <c r="LDO27" s="117"/>
      <c r="LDP27" s="117"/>
      <c r="LDQ27" s="117"/>
      <c r="LDR27" s="117"/>
      <c r="LDS27" s="117"/>
      <c r="LDT27" s="117"/>
      <c r="LDU27" s="117"/>
      <c r="LDV27" s="117"/>
      <c r="LDW27" s="117"/>
      <c r="LDX27" s="117"/>
      <c r="LDY27" s="117"/>
      <c r="LDZ27" s="117"/>
      <c r="LEA27" s="117"/>
      <c r="LEB27" s="117"/>
      <c r="LEC27" s="117"/>
      <c r="LED27" s="117"/>
      <c r="LEE27" s="117"/>
      <c r="LEF27" s="117"/>
      <c r="LEG27" s="117"/>
      <c r="LEH27" s="117"/>
      <c r="LEI27" s="117"/>
      <c r="LEJ27" s="117"/>
      <c r="LEK27" s="117"/>
      <c r="LEL27" s="117"/>
      <c r="LEM27" s="117"/>
      <c r="LEN27" s="117"/>
      <c r="LEO27" s="117"/>
      <c r="LEP27" s="117"/>
      <c r="LEQ27" s="117"/>
      <c r="LER27" s="117"/>
      <c r="LES27" s="117"/>
      <c r="LET27" s="117"/>
      <c r="LEU27" s="117"/>
      <c r="LEV27" s="117"/>
      <c r="LEW27" s="117"/>
      <c r="LEX27" s="117"/>
      <c r="LEY27" s="117"/>
      <c r="LEZ27" s="117"/>
      <c r="LFA27" s="117"/>
      <c r="LFB27" s="117"/>
      <c r="LFC27" s="117"/>
      <c r="LFD27" s="117"/>
      <c r="LFE27" s="117"/>
      <c r="LFF27" s="117"/>
      <c r="LFG27" s="117"/>
      <c r="LFH27" s="117"/>
      <c r="LFI27" s="117"/>
      <c r="LFJ27" s="117"/>
      <c r="LFK27" s="117"/>
      <c r="LFL27" s="117"/>
      <c r="LFM27" s="117"/>
      <c r="LFN27" s="117"/>
      <c r="LFO27" s="117"/>
      <c r="LFP27" s="117"/>
      <c r="LFQ27" s="117"/>
      <c r="LFR27" s="117"/>
      <c r="LFS27" s="117"/>
      <c r="LFT27" s="117"/>
      <c r="LFU27" s="117"/>
      <c r="LFV27" s="117"/>
      <c r="LFW27" s="117"/>
      <c r="LFX27" s="117"/>
      <c r="LFY27" s="117"/>
      <c r="LFZ27" s="117"/>
      <c r="LGA27" s="117"/>
      <c r="LGB27" s="117"/>
      <c r="LGC27" s="117"/>
      <c r="LGD27" s="117"/>
      <c r="LGE27" s="117"/>
      <c r="LGF27" s="117"/>
      <c r="LGG27" s="117"/>
      <c r="LGH27" s="117"/>
      <c r="LGI27" s="117"/>
      <c r="LGJ27" s="117"/>
      <c r="LGK27" s="117"/>
      <c r="LGL27" s="117"/>
      <c r="LGM27" s="117"/>
      <c r="LGN27" s="117"/>
      <c r="LGO27" s="117"/>
      <c r="LGP27" s="117"/>
      <c r="LGQ27" s="117"/>
      <c r="LGR27" s="117"/>
      <c r="LGS27" s="117"/>
      <c r="LGT27" s="117"/>
      <c r="LGU27" s="117"/>
      <c r="LGV27" s="117"/>
      <c r="LGW27" s="117"/>
      <c r="LGX27" s="117"/>
      <c r="LGY27" s="117"/>
      <c r="LGZ27" s="117"/>
      <c r="LHA27" s="117"/>
      <c r="LHB27" s="117"/>
      <c r="LHC27" s="117"/>
      <c r="LHD27" s="117"/>
      <c r="LHE27" s="117"/>
      <c r="LHF27" s="117"/>
      <c r="LHG27" s="117"/>
      <c r="LHH27" s="117"/>
      <c r="LHI27" s="117"/>
      <c r="LHJ27" s="117"/>
      <c r="LHK27" s="117"/>
      <c r="LHL27" s="117"/>
      <c r="LHM27" s="117"/>
      <c r="LHN27" s="117"/>
      <c r="LHO27" s="117"/>
      <c r="LHP27" s="117"/>
      <c r="LHQ27" s="117"/>
      <c r="LHR27" s="117"/>
      <c r="LHS27" s="117"/>
      <c r="LHT27" s="117"/>
      <c r="LHU27" s="117"/>
      <c r="LHV27" s="117"/>
      <c r="LHW27" s="117"/>
      <c r="LHX27" s="117"/>
      <c r="LHY27" s="117"/>
      <c r="LHZ27" s="117"/>
      <c r="LIA27" s="117"/>
      <c r="LIB27" s="117"/>
      <c r="LIC27" s="117"/>
      <c r="LID27" s="117"/>
      <c r="LIE27" s="117"/>
      <c r="LIF27" s="117"/>
      <c r="LIG27" s="117"/>
      <c r="LIH27" s="117"/>
      <c r="LII27" s="117"/>
      <c r="LIJ27" s="117"/>
      <c r="LIK27" s="117"/>
      <c r="LIL27" s="117"/>
      <c r="LIM27" s="117"/>
      <c r="LIN27" s="117"/>
      <c r="LIO27" s="117"/>
      <c r="LIP27" s="117"/>
      <c r="LIQ27" s="117"/>
      <c r="LIR27" s="117"/>
      <c r="LIS27" s="117"/>
      <c r="LIT27" s="117"/>
      <c r="LIU27" s="117"/>
      <c r="LIV27" s="117"/>
      <c r="LIW27" s="117"/>
      <c r="LIX27" s="117"/>
      <c r="LIY27" s="117"/>
      <c r="LIZ27" s="117"/>
      <c r="LJA27" s="117"/>
      <c r="LJB27" s="117"/>
      <c r="LJC27" s="117"/>
      <c r="LJD27" s="117"/>
      <c r="LJE27" s="117"/>
      <c r="LJF27" s="117"/>
      <c r="LJG27" s="117"/>
      <c r="LJH27" s="117"/>
      <c r="LJI27" s="117"/>
      <c r="LJJ27" s="117"/>
      <c r="LJK27" s="117"/>
      <c r="LJL27" s="117"/>
      <c r="LJM27" s="117"/>
      <c r="LJN27" s="117"/>
      <c r="LJO27" s="117"/>
      <c r="LJP27" s="117"/>
      <c r="LJQ27" s="117"/>
      <c r="LJR27" s="117"/>
      <c r="LJS27" s="117"/>
      <c r="LJT27" s="117"/>
      <c r="LJU27" s="117"/>
      <c r="LJV27" s="117"/>
      <c r="LJW27" s="117"/>
      <c r="LJX27" s="117"/>
      <c r="LJY27" s="117"/>
      <c r="LJZ27" s="117"/>
      <c r="LKA27" s="117"/>
      <c r="LKB27" s="117"/>
      <c r="LKC27" s="117"/>
      <c r="LKD27" s="117"/>
      <c r="LKE27" s="117"/>
      <c r="LKF27" s="117"/>
      <c r="LKG27" s="117"/>
      <c r="LKH27" s="117"/>
      <c r="LKI27" s="117"/>
      <c r="LKJ27" s="117"/>
      <c r="LKK27" s="117"/>
      <c r="LKL27" s="117"/>
      <c r="LKM27" s="117"/>
      <c r="LKN27" s="117"/>
      <c r="LKO27" s="117"/>
      <c r="LKP27" s="117"/>
      <c r="LKQ27" s="117"/>
      <c r="LKR27" s="117"/>
      <c r="LKS27" s="117"/>
      <c r="LKT27" s="117"/>
      <c r="LKU27" s="117"/>
      <c r="LKV27" s="117"/>
      <c r="LKW27" s="117"/>
      <c r="LKX27" s="117"/>
      <c r="LKY27" s="117"/>
      <c r="LKZ27" s="117"/>
      <c r="LLA27" s="117"/>
      <c r="LLB27" s="117"/>
      <c r="LLC27" s="117"/>
      <c r="LLD27" s="117"/>
      <c r="LLE27" s="117"/>
      <c r="LLF27" s="117"/>
      <c r="LLG27" s="117"/>
      <c r="LLH27" s="117"/>
      <c r="LLI27" s="117"/>
      <c r="LLJ27" s="117"/>
      <c r="LLK27" s="117"/>
      <c r="LLL27" s="117"/>
      <c r="LLM27" s="117"/>
      <c r="LLN27" s="117"/>
      <c r="LLO27" s="117"/>
      <c r="LLP27" s="117"/>
      <c r="LLQ27" s="117"/>
      <c r="LLR27" s="117"/>
      <c r="LLS27" s="117"/>
      <c r="LLT27" s="117"/>
      <c r="LLU27" s="117"/>
      <c r="LLV27" s="117"/>
      <c r="LLW27" s="117"/>
      <c r="LLX27" s="117"/>
      <c r="LLY27" s="117"/>
      <c r="LLZ27" s="117"/>
      <c r="LMA27" s="117"/>
      <c r="LMB27" s="117"/>
      <c r="LMC27" s="117"/>
      <c r="LMD27" s="117"/>
      <c r="LME27" s="117"/>
      <c r="LMF27" s="117"/>
      <c r="LMG27" s="117"/>
      <c r="LMH27" s="117"/>
      <c r="LMI27" s="117"/>
      <c r="LMJ27" s="117"/>
      <c r="LMK27" s="117"/>
      <c r="LML27" s="117"/>
      <c r="LMM27" s="117"/>
      <c r="LMN27" s="117"/>
      <c r="LMO27" s="117"/>
      <c r="LMP27" s="117"/>
      <c r="LMQ27" s="117"/>
      <c r="LMR27" s="117"/>
      <c r="LMS27" s="117"/>
      <c r="LMT27" s="117"/>
      <c r="LMU27" s="117"/>
      <c r="LMV27" s="117"/>
      <c r="LMW27" s="117"/>
      <c r="LMX27" s="117"/>
      <c r="LMY27" s="117"/>
      <c r="LMZ27" s="117"/>
      <c r="LNA27" s="117"/>
      <c r="LNB27" s="117"/>
      <c r="LNC27" s="117"/>
      <c r="LND27" s="117"/>
      <c r="LNE27" s="117"/>
      <c r="LNF27" s="117"/>
      <c r="LNG27" s="117"/>
      <c r="LNH27" s="117"/>
      <c r="LNI27" s="117"/>
      <c r="LNJ27" s="117"/>
      <c r="LNK27" s="117"/>
      <c r="LNL27" s="117"/>
      <c r="LNM27" s="117"/>
      <c r="LNN27" s="117"/>
      <c r="LNO27" s="117"/>
      <c r="LNP27" s="117"/>
      <c r="LNQ27" s="117"/>
      <c r="LNR27" s="117"/>
      <c r="LNS27" s="117"/>
      <c r="LNT27" s="117"/>
      <c r="LNU27" s="117"/>
      <c r="LNV27" s="117"/>
      <c r="LNW27" s="117"/>
      <c r="LNX27" s="117"/>
      <c r="LNY27" s="117"/>
      <c r="LNZ27" s="117"/>
      <c r="LOA27" s="117"/>
      <c r="LOB27" s="117"/>
      <c r="LOC27" s="117"/>
      <c r="LOD27" s="117"/>
      <c r="LOE27" s="117"/>
      <c r="LOF27" s="117"/>
      <c r="LOG27" s="117"/>
      <c r="LOH27" s="117"/>
      <c r="LOI27" s="117"/>
      <c r="LOJ27" s="117"/>
      <c r="LOK27" s="117"/>
      <c r="LOL27" s="117"/>
      <c r="LOM27" s="117"/>
      <c r="LON27" s="117"/>
      <c r="LOO27" s="117"/>
      <c r="LOP27" s="117"/>
      <c r="LOQ27" s="117"/>
      <c r="LOR27" s="117"/>
      <c r="LOS27" s="117"/>
      <c r="LOT27" s="117"/>
      <c r="LOU27" s="117"/>
      <c r="LOV27" s="117"/>
      <c r="LOW27" s="117"/>
      <c r="LOX27" s="117"/>
      <c r="LOY27" s="117"/>
      <c r="LOZ27" s="117"/>
      <c r="LPA27" s="117"/>
      <c r="LPB27" s="117"/>
      <c r="LPC27" s="117"/>
      <c r="LPD27" s="117"/>
      <c r="LPE27" s="117"/>
      <c r="LPF27" s="117"/>
      <c r="LPG27" s="117"/>
      <c r="LPH27" s="117"/>
      <c r="LPI27" s="117"/>
      <c r="LPJ27" s="117"/>
      <c r="LPK27" s="117"/>
      <c r="LPL27" s="117"/>
      <c r="LPM27" s="117"/>
      <c r="LPN27" s="117"/>
      <c r="LPO27" s="117"/>
      <c r="LPP27" s="117"/>
      <c r="LPQ27" s="117"/>
      <c r="LPR27" s="117"/>
      <c r="LPS27" s="117"/>
      <c r="LPT27" s="117"/>
      <c r="LPU27" s="117"/>
      <c r="LPV27" s="117"/>
      <c r="LPW27" s="117"/>
      <c r="LPX27" s="117"/>
      <c r="LPY27" s="117"/>
      <c r="LPZ27" s="117"/>
      <c r="LQA27" s="117"/>
      <c r="LQB27" s="117"/>
      <c r="LQC27" s="117"/>
      <c r="LQD27" s="117"/>
      <c r="LQE27" s="117"/>
      <c r="LQF27" s="117"/>
      <c r="LQG27" s="117"/>
      <c r="LQH27" s="117"/>
      <c r="LQI27" s="117"/>
      <c r="LQJ27" s="117"/>
      <c r="LQK27" s="117"/>
      <c r="LQL27" s="117"/>
      <c r="LQM27" s="117"/>
      <c r="LQN27" s="117"/>
      <c r="LQO27" s="117"/>
      <c r="LQP27" s="117"/>
      <c r="LQQ27" s="117"/>
      <c r="LQR27" s="117"/>
      <c r="LQS27" s="117"/>
      <c r="LQT27" s="117"/>
      <c r="LQU27" s="117"/>
      <c r="LQV27" s="117"/>
      <c r="LQW27" s="117"/>
      <c r="LQX27" s="117"/>
      <c r="LQY27" s="117"/>
      <c r="LQZ27" s="117"/>
      <c r="LRA27" s="117"/>
      <c r="LRB27" s="117"/>
      <c r="LRC27" s="117"/>
      <c r="LRD27" s="117"/>
      <c r="LRE27" s="117"/>
      <c r="LRF27" s="117"/>
      <c r="LRG27" s="117"/>
      <c r="LRH27" s="117"/>
      <c r="LRI27" s="117"/>
      <c r="LRJ27" s="117"/>
      <c r="LRK27" s="117"/>
      <c r="LRL27" s="117"/>
      <c r="LRM27" s="117"/>
      <c r="LRN27" s="117"/>
      <c r="LRO27" s="117"/>
      <c r="LRP27" s="117"/>
      <c r="LRQ27" s="117"/>
      <c r="LRR27" s="117"/>
      <c r="LRS27" s="117"/>
      <c r="LRT27" s="117"/>
      <c r="LRU27" s="117"/>
      <c r="LRV27" s="117"/>
      <c r="LRW27" s="117"/>
      <c r="LRX27" s="117"/>
      <c r="LRY27" s="117"/>
      <c r="LRZ27" s="117"/>
      <c r="LSA27" s="117"/>
      <c r="LSB27" s="117"/>
      <c r="LSC27" s="117"/>
      <c r="LSD27" s="117"/>
      <c r="LSE27" s="117"/>
      <c r="LSF27" s="117"/>
      <c r="LSG27" s="117"/>
      <c r="LSH27" s="117"/>
      <c r="LSI27" s="117"/>
      <c r="LSJ27" s="117"/>
      <c r="LSK27" s="117"/>
      <c r="LSL27" s="117"/>
      <c r="LSM27" s="117"/>
      <c r="LSN27" s="117"/>
      <c r="LSO27" s="117"/>
      <c r="LSP27" s="117"/>
      <c r="LSQ27" s="117"/>
      <c r="LSR27" s="117"/>
      <c r="LSS27" s="117"/>
      <c r="LST27" s="117"/>
      <c r="LSU27" s="117"/>
      <c r="LSV27" s="117"/>
      <c r="LSW27" s="117"/>
      <c r="LSX27" s="117"/>
      <c r="LSY27" s="117"/>
      <c r="LSZ27" s="117"/>
      <c r="LTA27" s="117"/>
      <c r="LTB27" s="117"/>
      <c r="LTC27" s="117"/>
      <c r="LTD27" s="117"/>
      <c r="LTE27" s="117"/>
      <c r="LTF27" s="117"/>
      <c r="LTG27" s="117"/>
      <c r="LTH27" s="117"/>
      <c r="LTI27" s="117"/>
      <c r="LTJ27" s="117"/>
      <c r="LTK27" s="117"/>
      <c r="LTL27" s="117"/>
      <c r="LTM27" s="117"/>
      <c r="LTN27" s="117"/>
      <c r="LTO27" s="117"/>
      <c r="LTP27" s="117"/>
      <c r="LTQ27" s="117"/>
      <c r="LTR27" s="117"/>
      <c r="LTS27" s="117"/>
      <c r="LTT27" s="117"/>
      <c r="LTU27" s="117"/>
      <c r="LTV27" s="117"/>
      <c r="LTW27" s="117"/>
      <c r="LTX27" s="117"/>
      <c r="LTY27" s="117"/>
      <c r="LTZ27" s="117"/>
      <c r="LUA27" s="117"/>
      <c r="LUB27" s="117"/>
      <c r="LUC27" s="117"/>
      <c r="LUD27" s="117"/>
      <c r="LUE27" s="117"/>
      <c r="LUF27" s="117"/>
      <c r="LUG27" s="117"/>
      <c r="LUH27" s="117"/>
      <c r="LUI27" s="117"/>
      <c r="LUJ27" s="117"/>
      <c r="LUK27" s="117"/>
      <c r="LUL27" s="117"/>
      <c r="LUM27" s="117"/>
      <c r="LUN27" s="117"/>
      <c r="LUO27" s="117"/>
      <c r="LUP27" s="117"/>
      <c r="LUQ27" s="117"/>
      <c r="LUR27" s="117"/>
      <c r="LUS27" s="117"/>
      <c r="LUT27" s="117"/>
      <c r="LUU27" s="117"/>
      <c r="LUV27" s="117"/>
      <c r="LUW27" s="117"/>
      <c r="LUX27" s="117"/>
      <c r="LUY27" s="117"/>
      <c r="LUZ27" s="117"/>
      <c r="LVA27" s="117"/>
      <c r="LVB27" s="117"/>
      <c r="LVC27" s="117"/>
      <c r="LVD27" s="117"/>
      <c r="LVE27" s="117"/>
      <c r="LVF27" s="117"/>
      <c r="LVG27" s="117"/>
      <c r="LVH27" s="117"/>
      <c r="LVI27" s="117"/>
      <c r="LVJ27" s="117"/>
      <c r="LVK27" s="117"/>
      <c r="LVL27" s="117"/>
      <c r="LVM27" s="117"/>
      <c r="LVN27" s="117"/>
      <c r="LVO27" s="117"/>
      <c r="LVP27" s="117"/>
      <c r="LVQ27" s="117"/>
      <c r="LVR27" s="117"/>
      <c r="LVS27" s="117"/>
      <c r="LVT27" s="117"/>
      <c r="LVU27" s="117"/>
      <c r="LVV27" s="117"/>
      <c r="LVW27" s="117"/>
      <c r="LVX27" s="117"/>
      <c r="LVY27" s="117"/>
      <c r="LVZ27" s="117"/>
      <c r="LWA27" s="117"/>
      <c r="LWB27" s="117"/>
      <c r="LWC27" s="117"/>
      <c r="LWD27" s="117"/>
      <c r="LWE27" s="117"/>
      <c r="LWF27" s="117"/>
      <c r="LWG27" s="117"/>
      <c r="LWH27" s="117"/>
      <c r="LWI27" s="117"/>
      <c r="LWJ27" s="117"/>
      <c r="LWK27" s="117"/>
      <c r="LWL27" s="117"/>
      <c r="LWM27" s="117"/>
      <c r="LWN27" s="117"/>
      <c r="LWO27" s="117"/>
      <c r="LWP27" s="117"/>
      <c r="LWQ27" s="117"/>
      <c r="LWR27" s="117"/>
      <c r="LWS27" s="117"/>
      <c r="LWT27" s="117"/>
      <c r="LWU27" s="117"/>
      <c r="LWV27" s="117"/>
      <c r="LWW27" s="117"/>
      <c r="LWX27" s="117"/>
      <c r="LWY27" s="117"/>
      <c r="LWZ27" s="117"/>
      <c r="LXA27" s="117"/>
      <c r="LXB27" s="117"/>
      <c r="LXC27" s="117"/>
      <c r="LXD27" s="117"/>
      <c r="LXE27" s="117"/>
      <c r="LXF27" s="117"/>
      <c r="LXG27" s="117"/>
      <c r="LXH27" s="117"/>
      <c r="LXI27" s="117"/>
      <c r="LXJ27" s="117"/>
      <c r="LXK27" s="117"/>
      <c r="LXL27" s="117"/>
      <c r="LXM27" s="117"/>
      <c r="LXN27" s="117"/>
      <c r="LXO27" s="117"/>
      <c r="LXP27" s="117"/>
      <c r="LXQ27" s="117"/>
      <c r="LXR27" s="117"/>
      <c r="LXS27" s="117"/>
      <c r="LXT27" s="117"/>
      <c r="LXU27" s="117"/>
      <c r="LXV27" s="117"/>
      <c r="LXW27" s="117"/>
      <c r="LXX27" s="117"/>
      <c r="LXY27" s="117"/>
      <c r="LXZ27" s="117"/>
      <c r="LYA27" s="117"/>
      <c r="LYB27" s="117"/>
      <c r="LYC27" s="117"/>
      <c r="LYD27" s="117"/>
      <c r="LYE27" s="117"/>
      <c r="LYF27" s="117"/>
      <c r="LYG27" s="117"/>
      <c r="LYH27" s="117"/>
      <c r="LYI27" s="117"/>
      <c r="LYJ27" s="117"/>
      <c r="LYK27" s="117"/>
      <c r="LYL27" s="117"/>
      <c r="LYM27" s="117"/>
      <c r="LYN27" s="117"/>
      <c r="LYO27" s="117"/>
      <c r="LYP27" s="117"/>
      <c r="LYQ27" s="117"/>
      <c r="LYR27" s="117"/>
      <c r="LYS27" s="117"/>
      <c r="LYT27" s="117"/>
      <c r="LYU27" s="117"/>
      <c r="LYV27" s="117"/>
      <c r="LYW27" s="117"/>
      <c r="LYX27" s="117"/>
      <c r="LYY27" s="117"/>
      <c r="LYZ27" s="117"/>
      <c r="LZA27" s="117"/>
      <c r="LZB27" s="117"/>
      <c r="LZC27" s="117"/>
      <c r="LZD27" s="117"/>
      <c r="LZE27" s="117"/>
      <c r="LZF27" s="117"/>
      <c r="LZG27" s="117"/>
      <c r="LZH27" s="117"/>
      <c r="LZI27" s="117"/>
      <c r="LZJ27" s="117"/>
      <c r="LZK27" s="117"/>
      <c r="LZL27" s="117"/>
      <c r="LZM27" s="117"/>
      <c r="LZN27" s="117"/>
      <c r="LZO27" s="117"/>
      <c r="LZP27" s="117"/>
      <c r="LZQ27" s="117"/>
      <c r="LZR27" s="117"/>
      <c r="LZS27" s="117"/>
      <c r="LZT27" s="117"/>
      <c r="LZU27" s="117"/>
      <c r="LZV27" s="117"/>
      <c r="LZW27" s="117"/>
      <c r="LZX27" s="117"/>
      <c r="LZY27" s="117"/>
      <c r="LZZ27" s="117"/>
      <c r="MAA27" s="117"/>
      <c r="MAB27" s="117"/>
      <c r="MAC27" s="117"/>
      <c r="MAD27" s="117"/>
      <c r="MAE27" s="117"/>
      <c r="MAF27" s="117"/>
      <c r="MAG27" s="117"/>
      <c r="MAH27" s="117"/>
      <c r="MAI27" s="117"/>
      <c r="MAJ27" s="117"/>
      <c r="MAK27" s="117"/>
      <c r="MAL27" s="117"/>
      <c r="MAM27" s="117"/>
      <c r="MAN27" s="117"/>
      <c r="MAO27" s="117"/>
      <c r="MAP27" s="117"/>
      <c r="MAQ27" s="117"/>
      <c r="MAR27" s="117"/>
      <c r="MAS27" s="117"/>
      <c r="MAT27" s="117"/>
      <c r="MAU27" s="117"/>
      <c r="MAV27" s="117"/>
      <c r="MAW27" s="117"/>
      <c r="MAX27" s="117"/>
      <c r="MAY27" s="117"/>
      <c r="MAZ27" s="117"/>
      <c r="MBA27" s="117"/>
      <c r="MBB27" s="117"/>
      <c r="MBC27" s="117"/>
      <c r="MBD27" s="117"/>
      <c r="MBE27" s="117"/>
      <c r="MBF27" s="117"/>
      <c r="MBG27" s="117"/>
      <c r="MBH27" s="117"/>
      <c r="MBI27" s="117"/>
      <c r="MBJ27" s="117"/>
      <c r="MBK27" s="117"/>
      <c r="MBL27" s="117"/>
      <c r="MBM27" s="117"/>
      <c r="MBN27" s="117"/>
      <c r="MBO27" s="117"/>
      <c r="MBP27" s="117"/>
      <c r="MBQ27" s="117"/>
      <c r="MBR27" s="117"/>
      <c r="MBS27" s="117"/>
      <c r="MBT27" s="117"/>
      <c r="MBU27" s="117"/>
      <c r="MBV27" s="117"/>
      <c r="MBW27" s="117"/>
      <c r="MBX27" s="117"/>
      <c r="MBY27" s="117"/>
      <c r="MBZ27" s="117"/>
      <c r="MCA27" s="117"/>
      <c r="MCB27" s="117"/>
      <c r="MCC27" s="117"/>
      <c r="MCD27" s="117"/>
      <c r="MCE27" s="117"/>
      <c r="MCF27" s="117"/>
      <c r="MCG27" s="117"/>
      <c r="MCH27" s="117"/>
      <c r="MCI27" s="117"/>
      <c r="MCJ27" s="117"/>
      <c r="MCK27" s="117"/>
      <c r="MCL27" s="117"/>
      <c r="MCM27" s="117"/>
      <c r="MCN27" s="117"/>
      <c r="MCO27" s="117"/>
      <c r="MCP27" s="117"/>
      <c r="MCQ27" s="117"/>
      <c r="MCR27" s="117"/>
      <c r="MCS27" s="117"/>
      <c r="MCT27" s="117"/>
      <c r="MCU27" s="117"/>
      <c r="MCV27" s="117"/>
      <c r="MCW27" s="117"/>
      <c r="MCX27" s="117"/>
      <c r="MCY27" s="117"/>
      <c r="MCZ27" s="117"/>
      <c r="MDA27" s="117"/>
      <c r="MDB27" s="117"/>
      <c r="MDC27" s="117"/>
      <c r="MDD27" s="117"/>
      <c r="MDE27" s="117"/>
      <c r="MDF27" s="117"/>
      <c r="MDG27" s="117"/>
      <c r="MDH27" s="117"/>
      <c r="MDI27" s="117"/>
      <c r="MDJ27" s="117"/>
      <c r="MDK27" s="117"/>
      <c r="MDL27" s="117"/>
      <c r="MDM27" s="117"/>
      <c r="MDN27" s="117"/>
      <c r="MDO27" s="117"/>
      <c r="MDP27" s="117"/>
      <c r="MDQ27" s="117"/>
      <c r="MDR27" s="117"/>
      <c r="MDS27" s="117"/>
      <c r="MDT27" s="117"/>
      <c r="MDU27" s="117"/>
      <c r="MDV27" s="117"/>
      <c r="MDW27" s="117"/>
      <c r="MDX27" s="117"/>
      <c r="MDY27" s="117"/>
      <c r="MDZ27" s="117"/>
      <c r="MEA27" s="117"/>
      <c r="MEB27" s="117"/>
      <c r="MEC27" s="117"/>
      <c r="MED27" s="117"/>
      <c r="MEE27" s="117"/>
      <c r="MEF27" s="117"/>
      <c r="MEG27" s="117"/>
      <c r="MEH27" s="117"/>
      <c r="MEI27" s="117"/>
      <c r="MEJ27" s="117"/>
      <c r="MEK27" s="117"/>
      <c r="MEL27" s="117"/>
      <c r="MEM27" s="117"/>
      <c r="MEN27" s="117"/>
      <c r="MEO27" s="117"/>
      <c r="MEP27" s="117"/>
      <c r="MEQ27" s="117"/>
      <c r="MER27" s="117"/>
      <c r="MES27" s="117"/>
      <c r="MET27" s="117"/>
      <c r="MEU27" s="117"/>
      <c r="MEV27" s="117"/>
      <c r="MEW27" s="117"/>
      <c r="MEX27" s="117"/>
      <c r="MEY27" s="117"/>
      <c r="MEZ27" s="117"/>
      <c r="MFA27" s="117"/>
      <c r="MFB27" s="117"/>
      <c r="MFC27" s="117"/>
      <c r="MFD27" s="117"/>
      <c r="MFE27" s="117"/>
      <c r="MFF27" s="117"/>
      <c r="MFG27" s="117"/>
      <c r="MFH27" s="117"/>
      <c r="MFI27" s="117"/>
      <c r="MFJ27" s="117"/>
      <c r="MFK27" s="117"/>
      <c r="MFL27" s="117"/>
      <c r="MFM27" s="117"/>
      <c r="MFN27" s="117"/>
      <c r="MFO27" s="117"/>
      <c r="MFP27" s="117"/>
      <c r="MFQ27" s="117"/>
      <c r="MFR27" s="117"/>
      <c r="MFS27" s="117"/>
      <c r="MFT27" s="117"/>
      <c r="MFU27" s="117"/>
      <c r="MFV27" s="117"/>
      <c r="MFW27" s="117"/>
      <c r="MFX27" s="117"/>
      <c r="MFY27" s="117"/>
      <c r="MFZ27" s="117"/>
      <c r="MGA27" s="117"/>
      <c r="MGB27" s="117"/>
      <c r="MGC27" s="117"/>
      <c r="MGD27" s="117"/>
      <c r="MGE27" s="117"/>
      <c r="MGF27" s="117"/>
      <c r="MGG27" s="117"/>
      <c r="MGH27" s="117"/>
      <c r="MGI27" s="117"/>
      <c r="MGJ27" s="117"/>
      <c r="MGK27" s="117"/>
      <c r="MGL27" s="117"/>
      <c r="MGM27" s="117"/>
      <c r="MGN27" s="117"/>
      <c r="MGO27" s="117"/>
      <c r="MGP27" s="117"/>
      <c r="MGQ27" s="117"/>
      <c r="MGR27" s="117"/>
      <c r="MGS27" s="117"/>
      <c r="MGT27" s="117"/>
      <c r="MGU27" s="117"/>
      <c r="MGV27" s="117"/>
      <c r="MGW27" s="117"/>
      <c r="MGX27" s="117"/>
      <c r="MGY27" s="117"/>
      <c r="MGZ27" s="117"/>
      <c r="MHA27" s="117"/>
      <c r="MHB27" s="117"/>
      <c r="MHC27" s="117"/>
      <c r="MHD27" s="117"/>
      <c r="MHE27" s="117"/>
      <c r="MHF27" s="117"/>
      <c r="MHG27" s="117"/>
      <c r="MHH27" s="117"/>
      <c r="MHI27" s="117"/>
      <c r="MHJ27" s="117"/>
      <c r="MHK27" s="117"/>
      <c r="MHL27" s="117"/>
      <c r="MHM27" s="117"/>
      <c r="MHN27" s="117"/>
      <c r="MHO27" s="117"/>
      <c r="MHP27" s="117"/>
      <c r="MHQ27" s="117"/>
      <c r="MHR27" s="117"/>
      <c r="MHS27" s="117"/>
      <c r="MHT27" s="117"/>
      <c r="MHU27" s="117"/>
      <c r="MHV27" s="117"/>
      <c r="MHW27" s="117"/>
      <c r="MHX27" s="117"/>
      <c r="MHY27" s="117"/>
      <c r="MHZ27" s="117"/>
      <c r="MIA27" s="117"/>
      <c r="MIB27" s="117"/>
      <c r="MIC27" s="117"/>
      <c r="MID27" s="117"/>
      <c r="MIE27" s="117"/>
      <c r="MIF27" s="117"/>
      <c r="MIG27" s="117"/>
      <c r="MIH27" s="117"/>
      <c r="MII27" s="117"/>
      <c r="MIJ27" s="117"/>
      <c r="MIK27" s="117"/>
      <c r="MIL27" s="117"/>
      <c r="MIM27" s="117"/>
      <c r="MIN27" s="117"/>
      <c r="MIO27" s="117"/>
      <c r="MIP27" s="117"/>
      <c r="MIQ27" s="117"/>
      <c r="MIR27" s="117"/>
      <c r="MIS27" s="117"/>
      <c r="MIT27" s="117"/>
      <c r="MIU27" s="117"/>
      <c r="MIV27" s="117"/>
      <c r="MIW27" s="117"/>
      <c r="MIX27" s="117"/>
      <c r="MIY27" s="117"/>
      <c r="MIZ27" s="117"/>
      <c r="MJA27" s="117"/>
      <c r="MJB27" s="117"/>
      <c r="MJC27" s="117"/>
      <c r="MJD27" s="117"/>
      <c r="MJE27" s="117"/>
      <c r="MJF27" s="117"/>
      <c r="MJG27" s="117"/>
      <c r="MJH27" s="117"/>
      <c r="MJI27" s="117"/>
      <c r="MJJ27" s="117"/>
      <c r="MJK27" s="117"/>
      <c r="MJL27" s="117"/>
      <c r="MJM27" s="117"/>
      <c r="MJN27" s="117"/>
      <c r="MJO27" s="117"/>
      <c r="MJP27" s="117"/>
      <c r="MJQ27" s="117"/>
      <c r="MJR27" s="117"/>
      <c r="MJS27" s="117"/>
      <c r="MJT27" s="117"/>
      <c r="MJU27" s="117"/>
      <c r="MJV27" s="117"/>
      <c r="MJW27" s="117"/>
      <c r="MJX27" s="117"/>
      <c r="MJY27" s="117"/>
      <c r="MJZ27" s="117"/>
      <c r="MKA27" s="117"/>
      <c r="MKB27" s="117"/>
      <c r="MKC27" s="117"/>
      <c r="MKD27" s="117"/>
      <c r="MKE27" s="117"/>
      <c r="MKF27" s="117"/>
      <c r="MKG27" s="117"/>
      <c r="MKH27" s="117"/>
      <c r="MKI27" s="117"/>
      <c r="MKJ27" s="117"/>
      <c r="MKK27" s="117"/>
      <c r="MKL27" s="117"/>
      <c r="MKM27" s="117"/>
      <c r="MKN27" s="117"/>
      <c r="MKO27" s="117"/>
      <c r="MKP27" s="117"/>
      <c r="MKQ27" s="117"/>
      <c r="MKR27" s="117"/>
      <c r="MKS27" s="117"/>
      <c r="MKT27" s="117"/>
      <c r="MKU27" s="117"/>
      <c r="MKV27" s="117"/>
      <c r="MKW27" s="117"/>
      <c r="MKX27" s="117"/>
      <c r="MKY27" s="117"/>
      <c r="MKZ27" s="117"/>
      <c r="MLA27" s="117"/>
      <c r="MLB27" s="117"/>
      <c r="MLC27" s="117"/>
      <c r="MLD27" s="117"/>
      <c r="MLE27" s="117"/>
      <c r="MLF27" s="117"/>
      <c r="MLG27" s="117"/>
      <c r="MLH27" s="117"/>
      <c r="MLI27" s="117"/>
      <c r="MLJ27" s="117"/>
      <c r="MLK27" s="117"/>
      <c r="MLL27" s="117"/>
      <c r="MLM27" s="117"/>
      <c r="MLN27" s="117"/>
      <c r="MLO27" s="117"/>
      <c r="MLP27" s="117"/>
      <c r="MLQ27" s="117"/>
      <c r="MLR27" s="117"/>
      <c r="MLS27" s="117"/>
      <c r="MLT27" s="117"/>
      <c r="MLU27" s="117"/>
      <c r="MLV27" s="117"/>
      <c r="MLW27" s="117"/>
      <c r="MLX27" s="117"/>
      <c r="MLY27" s="117"/>
      <c r="MLZ27" s="117"/>
      <c r="MMA27" s="117"/>
      <c r="MMB27" s="117"/>
      <c r="MMC27" s="117"/>
      <c r="MMD27" s="117"/>
      <c r="MME27" s="117"/>
      <c r="MMF27" s="117"/>
      <c r="MMG27" s="117"/>
      <c r="MMH27" s="117"/>
      <c r="MMI27" s="117"/>
      <c r="MMJ27" s="117"/>
      <c r="MMK27" s="117"/>
      <c r="MML27" s="117"/>
      <c r="MMM27" s="117"/>
      <c r="MMN27" s="117"/>
      <c r="MMO27" s="117"/>
      <c r="MMP27" s="117"/>
      <c r="MMQ27" s="117"/>
      <c r="MMR27" s="117"/>
      <c r="MMS27" s="117"/>
      <c r="MMT27" s="117"/>
      <c r="MMU27" s="117"/>
      <c r="MMV27" s="117"/>
      <c r="MMW27" s="117"/>
      <c r="MMX27" s="117"/>
      <c r="MMY27" s="117"/>
      <c r="MMZ27" s="117"/>
      <c r="MNA27" s="117"/>
      <c r="MNB27" s="117"/>
      <c r="MNC27" s="117"/>
      <c r="MND27" s="117"/>
      <c r="MNE27" s="117"/>
      <c r="MNF27" s="117"/>
      <c r="MNG27" s="117"/>
      <c r="MNH27" s="117"/>
      <c r="MNI27" s="117"/>
      <c r="MNJ27" s="117"/>
      <c r="MNK27" s="117"/>
      <c r="MNL27" s="117"/>
      <c r="MNM27" s="117"/>
      <c r="MNN27" s="117"/>
      <c r="MNO27" s="117"/>
      <c r="MNP27" s="117"/>
      <c r="MNQ27" s="117"/>
      <c r="MNR27" s="117"/>
      <c r="MNS27" s="117"/>
      <c r="MNT27" s="117"/>
      <c r="MNU27" s="117"/>
      <c r="MNV27" s="117"/>
      <c r="MNW27" s="117"/>
      <c r="MNX27" s="117"/>
      <c r="MNY27" s="117"/>
      <c r="MNZ27" s="117"/>
      <c r="MOA27" s="117"/>
      <c r="MOB27" s="117"/>
      <c r="MOC27" s="117"/>
      <c r="MOD27" s="117"/>
      <c r="MOE27" s="117"/>
      <c r="MOF27" s="117"/>
      <c r="MOG27" s="117"/>
      <c r="MOH27" s="117"/>
      <c r="MOI27" s="117"/>
      <c r="MOJ27" s="117"/>
      <c r="MOK27" s="117"/>
      <c r="MOL27" s="117"/>
      <c r="MOM27" s="117"/>
      <c r="MON27" s="117"/>
      <c r="MOO27" s="117"/>
      <c r="MOP27" s="117"/>
      <c r="MOQ27" s="117"/>
      <c r="MOR27" s="117"/>
      <c r="MOS27" s="117"/>
      <c r="MOT27" s="117"/>
      <c r="MOU27" s="117"/>
      <c r="MOV27" s="117"/>
      <c r="MOW27" s="117"/>
      <c r="MOX27" s="117"/>
      <c r="MOY27" s="117"/>
      <c r="MOZ27" s="117"/>
      <c r="MPA27" s="117"/>
      <c r="MPB27" s="117"/>
      <c r="MPC27" s="117"/>
      <c r="MPD27" s="117"/>
      <c r="MPE27" s="117"/>
      <c r="MPF27" s="117"/>
      <c r="MPG27" s="117"/>
      <c r="MPH27" s="117"/>
      <c r="MPI27" s="117"/>
      <c r="MPJ27" s="117"/>
      <c r="MPK27" s="117"/>
      <c r="MPL27" s="117"/>
      <c r="MPM27" s="117"/>
      <c r="MPN27" s="117"/>
      <c r="MPO27" s="117"/>
      <c r="MPP27" s="117"/>
      <c r="MPQ27" s="117"/>
      <c r="MPR27" s="117"/>
      <c r="MPS27" s="117"/>
      <c r="MPT27" s="117"/>
      <c r="MPU27" s="117"/>
      <c r="MPV27" s="117"/>
      <c r="MPW27" s="117"/>
      <c r="MPX27" s="117"/>
      <c r="MPY27" s="117"/>
      <c r="MPZ27" s="117"/>
      <c r="MQA27" s="117"/>
      <c r="MQB27" s="117"/>
      <c r="MQC27" s="117"/>
      <c r="MQD27" s="117"/>
      <c r="MQE27" s="117"/>
      <c r="MQF27" s="117"/>
      <c r="MQG27" s="117"/>
      <c r="MQH27" s="117"/>
      <c r="MQI27" s="117"/>
      <c r="MQJ27" s="117"/>
      <c r="MQK27" s="117"/>
      <c r="MQL27" s="117"/>
      <c r="MQM27" s="117"/>
      <c r="MQN27" s="117"/>
      <c r="MQO27" s="117"/>
      <c r="MQP27" s="117"/>
      <c r="MQQ27" s="117"/>
      <c r="MQR27" s="117"/>
      <c r="MQS27" s="117"/>
      <c r="MQT27" s="117"/>
      <c r="MQU27" s="117"/>
      <c r="MQV27" s="117"/>
      <c r="MQW27" s="117"/>
      <c r="MQX27" s="117"/>
      <c r="MQY27" s="117"/>
      <c r="MQZ27" s="117"/>
      <c r="MRA27" s="117"/>
      <c r="MRB27" s="117"/>
      <c r="MRC27" s="117"/>
      <c r="MRD27" s="117"/>
      <c r="MRE27" s="117"/>
      <c r="MRF27" s="117"/>
      <c r="MRG27" s="117"/>
      <c r="MRH27" s="117"/>
      <c r="MRI27" s="117"/>
      <c r="MRJ27" s="117"/>
      <c r="MRK27" s="117"/>
      <c r="MRL27" s="117"/>
      <c r="MRM27" s="117"/>
      <c r="MRN27" s="117"/>
      <c r="MRO27" s="117"/>
      <c r="MRP27" s="117"/>
      <c r="MRQ27" s="117"/>
      <c r="MRR27" s="117"/>
      <c r="MRS27" s="117"/>
      <c r="MRT27" s="117"/>
      <c r="MRU27" s="117"/>
      <c r="MRV27" s="117"/>
      <c r="MRW27" s="117"/>
      <c r="MRX27" s="117"/>
      <c r="MRY27" s="117"/>
      <c r="MRZ27" s="117"/>
      <c r="MSA27" s="117"/>
      <c r="MSB27" s="117"/>
      <c r="MSC27" s="117"/>
      <c r="MSD27" s="117"/>
      <c r="MSE27" s="117"/>
      <c r="MSF27" s="117"/>
      <c r="MSG27" s="117"/>
      <c r="MSH27" s="117"/>
      <c r="MSI27" s="117"/>
      <c r="MSJ27" s="117"/>
      <c r="MSK27" s="117"/>
      <c r="MSL27" s="117"/>
      <c r="MSM27" s="117"/>
      <c r="MSN27" s="117"/>
      <c r="MSO27" s="117"/>
      <c r="MSP27" s="117"/>
      <c r="MSQ27" s="117"/>
      <c r="MSR27" s="117"/>
      <c r="MSS27" s="117"/>
      <c r="MST27" s="117"/>
      <c r="MSU27" s="117"/>
      <c r="MSV27" s="117"/>
      <c r="MSW27" s="117"/>
      <c r="MSX27" s="117"/>
      <c r="MSY27" s="117"/>
      <c r="MSZ27" s="117"/>
      <c r="MTA27" s="117"/>
      <c r="MTB27" s="117"/>
      <c r="MTC27" s="117"/>
      <c r="MTD27" s="117"/>
      <c r="MTE27" s="117"/>
      <c r="MTF27" s="117"/>
      <c r="MTG27" s="117"/>
      <c r="MTH27" s="117"/>
      <c r="MTI27" s="117"/>
      <c r="MTJ27" s="117"/>
      <c r="MTK27" s="117"/>
      <c r="MTL27" s="117"/>
      <c r="MTM27" s="117"/>
      <c r="MTN27" s="117"/>
      <c r="MTO27" s="117"/>
      <c r="MTP27" s="117"/>
      <c r="MTQ27" s="117"/>
      <c r="MTR27" s="117"/>
      <c r="MTS27" s="117"/>
      <c r="MTT27" s="117"/>
      <c r="MTU27" s="117"/>
      <c r="MTV27" s="117"/>
      <c r="MTW27" s="117"/>
      <c r="MTX27" s="117"/>
      <c r="MTY27" s="117"/>
      <c r="MTZ27" s="117"/>
      <c r="MUA27" s="117"/>
      <c r="MUB27" s="117"/>
      <c r="MUC27" s="117"/>
      <c r="MUD27" s="117"/>
      <c r="MUE27" s="117"/>
      <c r="MUF27" s="117"/>
      <c r="MUG27" s="117"/>
      <c r="MUH27" s="117"/>
      <c r="MUI27" s="117"/>
      <c r="MUJ27" s="117"/>
      <c r="MUK27" s="117"/>
      <c r="MUL27" s="117"/>
      <c r="MUM27" s="117"/>
      <c r="MUN27" s="117"/>
      <c r="MUO27" s="117"/>
      <c r="MUP27" s="117"/>
      <c r="MUQ27" s="117"/>
      <c r="MUR27" s="117"/>
      <c r="MUS27" s="117"/>
      <c r="MUT27" s="117"/>
      <c r="MUU27" s="117"/>
      <c r="MUV27" s="117"/>
      <c r="MUW27" s="117"/>
      <c r="MUX27" s="117"/>
      <c r="MUY27" s="117"/>
      <c r="MUZ27" s="117"/>
      <c r="MVA27" s="117"/>
      <c r="MVB27" s="117"/>
      <c r="MVC27" s="117"/>
      <c r="MVD27" s="117"/>
      <c r="MVE27" s="117"/>
      <c r="MVF27" s="117"/>
      <c r="MVG27" s="117"/>
      <c r="MVH27" s="117"/>
      <c r="MVI27" s="117"/>
      <c r="MVJ27" s="117"/>
      <c r="MVK27" s="117"/>
      <c r="MVL27" s="117"/>
      <c r="MVM27" s="117"/>
      <c r="MVN27" s="117"/>
      <c r="MVO27" s="117"/>
      <c r="MVP27" s="117"/>
      <c r="MVQ27" s="117"/>
      <c r="MVR27" s="117"/>
      <c r="MVS27" s="117"/>
      <c r="MVT27" s="117"/>
      <c r="MVU27" s="117"/>
      <c r="MVV27" s="117"/>
      <c r="MVW27" s="117"/>
      <c r="MVX27" s="117"/>
      <c r="MVY27" s="117"/>
      <c r="MVZ27" s="117"/>
      <c r="MWA27" s="117"/>
      <c r="MWB27" s="117"/>
      <c r="MWC27" s="117"/>
      <c r="MWD27" s="117"/>
      <c r="MWE27" s="117"/>
      <c r="MWF27" s="117"/>
      <c r="MWG27" s="117"/>
      <c r="MWH27" s="117"/>
      <c r="MWI27" s="117"/>
      <c r="MWJ27" s="117"/>
      <c r="MWK27" s="117"/>
      <c r="MWL27" s="117"/>
      <c r="MWM27" s="117"/>
      <c r="MWN27" s="117"/>
      <c r="MWO27" s="117"/>
      <c r="MWP27" s="117"/>
      <c r="MWQ27" s="117"/>
      <c r="MWR27" s="117"/>
      <c r="MWS27" s="117"/>
      <c r="MWT27" s="117"/>
      <c r="MWU27" s="117"/>
      <c r="MWV27" s="117"/>
      <c r="MWW27" s="117"/>
      <c r="MWX27" s="117"/>
      <c r="MWY27" s="117"/>
      <c r="MWZ27" s="117"/>
      <c r="MXA27" s="117"/>
      <c r="MXB27" s="117"/>
      <c r="MXC27" s="117"/>
      <c r="MXD27" s="117"/>
      <c r="MXE27" s="117"/>
      <c r="MXF27" s="117"/>
      <c r="MXG27" s="117"/>
      <c r="MXH27" s="117"/>
      <c r="MXI27" s="117"/>
      <c r="MXJ27" s="117"/>
      <c r="MXK27" s="117"/>
      <c r="MXL27" s="117"/>
      <c r="MXM27" s="117"/>
      <c r="MXN27" s="117"/>
      <c r="MXO27" s="117"/>
      <c r="MXP27" s="117"/>
      <c r="MXQ27" s="117"/>
      <c r="MXR27" s="117"/>
      <c r="MXS27" s="117"/>
      <c r="MXT27" s="117"/>
      <c r="MXU27" s="117"/>
      <c r="MXV27" s="117"/>
      <c r="MXW27" s="117"/>
      <c r="MXX27" s="117"/>
      <c r="MXY27" s="117"/>
      <c r="MXZ27" s="117"/>
      <c r="MYA27" s="117"/>
      <c r="MYB27" s="117"/>
      <c r="MYC27" s="117"/>
      <c r="MYD27" s="117"/>
      <c r="MYE27" s="117"/>
      <c r="MYF27" s="117"/>
      <c r="MYG27" s="117"/>
      <c r="MYH27" s="117"/>
      <c r="MYI27" s="117"/>
      <c r="MYJ27" s="117"/>
      <c r="MYK27" s="117"/>
      <c r="MYL27" s="117"/>
      <c r="MYM27" s="117"/>
      <c r="MYN27" s="117"/>
      <c r="MYO27" s="117"/>
      <c r="MYP27" s="117"/>
      <c r="MYQ27" s="117"/>
      <c r="MYR27" s="117"/>
      <c r="MYS27" s="117"/>
      <c r="MYT27" s="117"/>
      <c r="MYU27" s="117"/>
      <c r="MYV27" s="117"/>
      <c r="MYW27" s="117"/>
      <c r="MYX27" s="117"/>
      <c r="MYY27" s="117"/>
      <c r="MYZ27" s="117"/>
      <c r="MZA27" s="117"/>
      <c r="MZB27" s="117"/>
      <c r="MZC27" s="117"/>
      <c r="MZD27" s="117"/>
      <c r="MZE27" s="117"/>
      <c r="MZF27" s="117"/>
      <c r="MZG27" s="117"/>
      <c r="MZH27" s="117"/>
      <c r="MZI27" s="117"/>
      <c r="MZJ27" s="117"/>
      <c r="MZK27" s="117"/>
      <c r="MZL27" s="117"/>
      <c r="MZM27" s="117"/>
      <c r="MZN27" s="117"/>
      <c r="MZO27" s="117"/>
      <c r="MZP27" s="117"/>
      <c r="MZQ27" s="117"/>
      <c r="MZR27" s="117"/>
      <c r="MZS27" s="117"/>
      <c r="MZT27" s="117"/>
      <c r="MZU27" s="117"/>
      <c r="MZV27" s="117"/>
      <c r="MZW27" s="117"/>
      <c r="MZX27" s="117"/>
      <c r="MZY27" s="117"/>
      <c r="MZZ27" s="117"/>
      <c r="NAA27" s="117"/>
      <c r="NAB27" s="117"/>
      <c r="NAC27" s="117"/>
      <c r="NAD27" s="117"/>
      <c r="NAE27" s="117"/>
      <c r="NAF27" s="117"/>
      <c r="NAG27" s="117"/>
      <c r="NAH27" s="117"/>
      <c r="NAI27" s="117"/>
      <c r="NAJ27" s="117"/>
      <c r="NAK27" s="117"/>
      <c r="NAL27" s="117"/>
      <c r="NAM27" s="117"/>
      <c r="NAN27" s="117"/>
      <c r="NAO27" s="117"/>
      <c r="NAP27" s="117"/>
      <c r="NAQ27" s="117"/>
      <c r="NAR27" s="117"/>
      <c r="NAS27" s="117"/>
      <c r="NAT27" s="117"/>
      <c r="NAU27" s="117"/>
      <c r="NAV27" s="117"/>
      <c r="NAW27" s="117"/>
      <c r="NAX27" s="117"/>
      <c r="NAY27" s="117"/>
      <c r="NAZ27" s="117"/>
      <c r="NBA27" s="117"/>
      <c r="NBB27" s="117"/>
      <c r="NBC27" s="117"/>
      <c r="NBD27" s="117"/>
      <c r="NBE27" s="117"/>
      <c r="NBF27" s="117"/>
      <c r="NBG27" s="117"/>
      <c r="NBH27" s="117"/>
      <c r="NBI27" s="117"/>
      <c r="NBJ27" s="117"/>
      <c r="NBK27" s="117"/>
      <c r="NBL27" s="117"/>
      <c r="NBM27" s="117"/>
      <c r="NBN27" s="117"/>
      <c r="NBO27" s="117"/>
      <c r="NBP27" s="117"/>
      <c r="NBQ27" s="117"/>
      <c r="NBR27" s="117"/>
      <c r="NBS27" s="117"/>
      <c r="NBT27" s="117"/>
      <c r="NBU27" s="117"/>
      <c r="NBV27" s="117"/>
      <c r="NBW27" s="117"/>
      <c r="NBX27" s="117"/>
      <c r="NBY27" s="117"/>
      <c r="NBZ27" s="117"/>
      <c r="NCA27" s="117"/>
      <c r="NCB27" s="117"/>
      <c r="NCC27" s="117"/>
      <c r="NCD27" s="117"/>
      <c r="NCE27" s="117"/>
      <c r="NCF27" s="117"/>
      <c r="NCG27" s="117"/>
      <c r="NCH27" s="117"/>
      <c r="NCI27" s="117"/>
      <c r="NCJ27" s="117"/>
      <c r="NCK27" s="117"/>
      <c r="NCL27" s="117"/>
      <c r="NCM27" s="117"/>
      <c r="NCN27" s="117"/>
      <c r="NCO27" s="117"/>
      <c r="NCP27" s="117"/>
      <c r="NCQ27" s="117"/>
      <c r="NCR27" s="117"/>
      <c r="NCS27" s="117"/>
      <c r="NCT27" s="117"/>
      <c r="NCU27" s="117"/>
      <c r="NCV27" s="117"/>
      <c r="NCW27" s="117"/>
      <c r="NCX27" s="117"/>
      <c r="NCY27" s="117"/>
      <c r="NCZ27" s="117"/>
      <c r="NDA27" s="117"/>
      <c r="NDB27" s="117"/>
      <c r="NDC27" s="117"/>
      <c r="NDD27" s="117"/>
      <c r="NDE27" s="117"/>
      <c r="NDF27" s="117"/>
      <c r="NDG27" s="117"/>
      <c r="NDH27" s="117"/>
      <c r="NDI27" s="117"/>
      <c r="NDJ27" s="117"/>
      <c r="NDK27" s="117"/>
      <c r="NDL27" s="117"/>
      <c r="NDM27" s="117"/>
      <c r="NDN27" s="117"/>
      <c r="NDO27" s="117"/>
      <c r="NDP27" s="117"/>
      <c r="NDQ27" s="117"/>
      <c r="NDR27" s="117"/>
      <c r="NDS27" s="117"/>
      <c r="NDT27" s="117"/>
      <c r="NDU27" s="117"/>
      <c r="NDV27" s="117"/>
      <c r="NDW27" s="117"/>
      <c r="NDX27" s="117"/>
      <c r="NDY27" s="117"/>
      <c r="NDZ27" s="117"/>
      <c r="NEA27" s="117"/>
      <c r="NEB27" s="117"/>
      <c r="NEC27" s="117"/>
      <c r="NED27" s="117"/>
      <c r="NEE27" s="117"/>
      <c r="NEF27" s="117"/>
      <c r="NEG27" s="117"/>
      <c r="NEH27" s="117"/>
      <c r="NEI27" s="117"/>
      <c r="NEJ27" s="117"/>
      <c r="NEK27" s="117"/>
      <c r="NEL27" s="117"/>
      <c r="NEM27" s="117"/>
      <c r="NEN27" s="117"/>
      <c r="NEO27" s="117"/>
      <c r="NEP27" s="117"/>
      <c r="NEQ27" s="117"/>
      <c r="NER27" s="117"/>
      <c r="NES27" s="117"/>
      <c r="NET27" s="117"/>
      <c r="NEU27" s="117"/>
      <c r="NEV27" s="117"/>
      <c r="NEW27" s="117"/>
      <c r="NEX27" s="117"/>
      <c r="NEY27" s="117"/>
      <c r="NEZ27" s="117"/>
      <c r="NFA27" s="117"/>
      <c r="NFB27" s="117"/>
      <c r="NFC27" s="117"/>
      <c r="NFD27" s="117"/>
      <c r="NFE27" s="117"/>
      <c r="NFF27" s="117"/>
      <c r="NFG27" s="117"/>
      <c r="NFH27" s="117"/>
      <c r="NFI27" s="117"/>
      <c r="NFJ27" s="117"/>
      <c r="NFK27" s="117"/>
      <c r="NFL27" s="117"/>
      <c r="NFM27" s="117"/>
      <c r="NFN27" s="117"/>
      <c r="NFO27" s="117"/>
      <c r="NFP27" s="117"/>
      <c r="NFQ27" s="117"/>
      <c r="NFR27" s="117"/>
      <c r="NFS27" s="117"/>
      <c r="NFT27" s="117"/>
      <c r="NFU27" s="117"/>
      <c r="NFV27" s="117"/>
      <c r="NFW27" s="117"/>
      <c r="NFX27" s="117"/>
      <c r="NFY27" s="117"/>
      <c r="NFZ27" s="117"/>
      <c r="NGA27" s="117"/>
      <c r="NGB27" s="117"/>
      <c r="NGC27" s="117"/>
      <c r="NGD27" s="117"/>
      <c r="NGE27" s="117"/>
      <c r="NGF27" s="117"/>
      <c r="NGG27" s="117"/>
      <c r="NGH27" s="117"/>
      <c r="NGI27" s="117"/>
      <c r="NGJ27" s="117"/>
      <c r="NGK27" s="117"/>
      <c r="NGL27" s="117"/>
      <c r="NGM27" s="117"/>
      <c r="NGN27" s="117"/>
      <c r="NGO27" s="117"/>
      <c r="NGP27" s="117"/>
      <c r="NGQ27" s="117"/>
      <c r="NGR27" s="117"/>
      <c r="NGS27" s="117"/>
      <c r="NGT27" s="117"/>
      <c r="NGU27" s="117"/>
      <c r="NGV27" s="117"/>
      <c r="NGW27" s="117"/>
      <c r="NGX27" s="117"/>
      <c r="NGY27" s="117"/>
      <c r="NGZ27" s="117"/>
      <c r="NHA27" s="117"/>
      <c r="NHB27" s="117"/>
      <c r="NHC27" s="117"/>
      <c r="NHD27" s="117"/>
      <c r="NHE27" s="117"/>
      <c r="NHF27" s="117"/>
      <c r="NHG27" s="117"/>
      <c r="NHH27" s="117"/>
      <c r="NHI27" s="117"/>
      <c r="NHJ27" s="117"/>
      <c r="NHK27" s="117"/>
      <c r="NHL27" s="117"/>
      <c r="NHM27" s="117"/>
      <c r="NHN27" s="117"/>
      <c r="NHO27" s="117"/>
      <c r="NHP27" s="117"/>
      <c r="NHQ27" s="117"/>
      <c r="NHR27" s="117"/>
      <c r="NHS27" s="117"/>
      <c r="NHT27" s="117"/>
      <c r="NHU27" s="117"/>
      <c r="NHV27" s="117"/>
      <c r="NHW27" s="117"/>
      <c r="NHX27" s="117"/>
      <c r="NHY27" s="117"/>
      <c r="NHZ27" s="117"/>
      <c r="NIA27" s="117"/>
      <c r="NIB27" s="117"/>
      <c r="NIC27" s="117"/>
      <c r="NID27" s="117"/>
      <c r="NIE27" s="117"/>
      <c r="NIF27" s="117"/>
      <c r="NIG27" s="117"/>
      <c r="NIH27" s="117"/>
      <c r="NII27" s="117"/>
      <c r="NIJ27" s="117"/>
      <c r="NIK27" s="117"/>
      <c r="NIL27" s="117"/>
      <c r="NIM27" s="117"/>
      <c r="NIN27" s="117"/>
      <c r="NIO27" s="117"/>
      <c r="NIP27" s="117"/>
      <c r="NIQ27" s="117"/>
      <c r="NIR27" s="117"/>
      <c r="NIS27" s="117"/>
      <c r="NIT27" s="117"/>
      <c r="NIU27" s="117"/>
      <c r="NIV27" s="117"/>
      <c r="NIW27" s="117"/>
      <c r="NIX27" s="117"/>
      <c r="NIY27" s="117"/>
      <c r="NIZ27" s="117"/>
      <c r="NJA27" s="117"/>
      <c r="NJB27" s="117"/>
      <c r="NJC27" s="117"/>
      <c r="NJD27" s="117"/>
      <c r="NJE27" s="117"/>
      <c r="NJF27" s="117"/>
      <c r="NJG27" s="117"/>
      <c r="NJH27" s="117"/>
      <c r="NJI27" s="117"/>
      <c r="NJJ27" s="117"/>
      <c r="NJK27" s="117"/>
      <c r="NJL27" s="117"/>
      <c r="NJM27" s="117"/>
      <c r="NJN27" s="117"/>
      <c r="NJO27" s="117"/>
      <c r="NJP27" s="117"/>
      <c r="NJQ27" s="117"/>
      <c r="NJR27" s="117"/>
      <c r="NJS27" s="117"/>
      <c r="NJT27" s="117"/>
      <c r="NJU27" s="117"/>
      <c r="NJV27" s="117"/>
      <c r="NJW27" s="117"/>
      <c r="NJX27" s="117"/>
      <c r="NJY27" s="117"/>
      <c r="NJZ27" s="117"/>
      <c r="NKA27" s="117"/>
      <c r="NKB27" s="117"/>
      <c r="NKC27" s="117"/>
      <c r="NKD27" s="117"/>
      <c r="NKE27" s="117"/>
      <c r="NKF27" s="117"/>
      <c r="NKG27" s="117"/>
      <c r="NKH27" s="117"/>
      <c r="NKI27" s="117"/>
      <c r="NKJ27" s="117"/>
      <c r="NKK27" s="117"/>
      <c r="NKL27" s="117"/>
      <c r="NKM27" s="117"/>
      <c r="NKN27" s="117"/>
      <c r="NKO27" s="117"/>
      <c r="NKP27" s="117"/>
      <c r="NKQ27" s="117"/>
      <c r="NKR27" s="117"/>
      <c r="NKS27" s="117"/>
      <c r="NKT27" s="117"/>
      <c r="NKU27" s="117"/>
      <c r="NKV27" s="117"/>
      <c r="NKW27" s="117"/>
      <c r="NKX27" s="117"/>
      <c r="NKY27" s="117"/>
      <c r="NKZ27" s="117"/>
      <c r="NLA27" s="117"/>
      <c r="NLB27" s="117"/>
      <c r="NLC27" s="117"/>
      <c r="NLD27" s="117"/>
      <c r="NLE27" s="117"/>
      <c r="NLF27" s="117"/>
      <c r="NLG27" s="117"/>
      <c r="NLH27" s="117"/>
      <c r="NLI27" s="117"/>
      <c r="NLJ27" s="117"/>
      <c r="NLK27" s="117"/>
      <c r="NLL27" s="117"/>
      <c r="NLM27" s="117"/>
      <c r="NLN27" s="117"/>
      <c r="NLO27" s="117"/>
      <c r="NLP27" s="117"/>
      <c r="NLQ27" s="117"/>
      <c r="NLR27" s="117"/>
      <c r="NLS27" s="117"/>
      <c r="NLT27" s="117"/>
      <c r="NLU27" s="117"/>
      <c r="NLV27" s="117"/>
      <c r="NLW27" s="117"/>
      <c r="NLX27" s="117"/>
      <c r="NLY27" s="117"/>
      <c r="NLZ27" s="117"/>
      <c r="NMA27" s="117"/>
      <c r="NMB27" s="117"/>
      <c r="NMC27" s="117"/>
      <c r="NMD27" s="117"/>
      <c r="NME27" s="117"/>
      <c r="NMF27" s="117"/>
      <c r="NMG27" s="117"/>
      <c r="NMH27" s="117"/>
      <c r="NMI27" s="117"/>
      <c r="NMJ27" s="117"/>
      <c r="NMK27" s="117"/>
      <c r="NML27" s="117"/>
      <c r="NMM27" s="117"/>
      <c r="NMN27" s="117"/>
      <c r="NMO27" s="117"/>
      <c r="NMP27" s="117"/>
      <c r="NMQ27" s="117"/>
      <c r="NMR27" s="117"/>
      <c r="NMS27" s="117"/>
      <c r="NMT27" s="117"/>
      <c r="NMU27" s="117"/>
      <c r="NMV27" s="117"/>
      <c r="NMW27" s="117"/>
      <c r="NMX27" s="117"/>
      <c r="NMY27" s="117"/>
      <c r="NMZ27" s="117"/>
      <c r="NNA27" s="117"/>
      <c r="NNB27" s="117"/>
      <c r="NNC27" s="117"/>
      <c r="NND27" s="117"/>
      <c r="NNE27" s="117"/>
      <c r="NNF27" s="117"/>
      <c r="NNG27" s="117"/>
      <c r="NNH27" s="117"/>
      <c r="NNI27" s="117"/>
      <c r="NNJ27" s="117"/>
      <c r="NNK27" s="117"/>
      <c r="NNL27" s="117"/>
      <c r="NNM27" s="117"/>
      <c r="NNN27" s="117"/>
      <c r="NNO27" s="117"/>
      <c r="NNP27" s="117"/>
      <c r="NNQ27" s="117"/>
      <c r="NNR27" s="117"/>
      <c r="NNS27" s="117"/>
      <c r="NNT27" s="117"/>
      <c r="NNU27" s="117"/>
      <c r="NNV27" s="117"/>
      <c r="NNW27" s="117"/>
      <c r="NNX27" s="117"/>
      <c r="NNY27" s="117"/>
      <c r="NNZ27" s="117"/>
      <c r="NOA27" s="117"/>
      <c r="NOB27" s="117"/>
      <c r="NOC27" s="117"/>
      <c r="NOD27" s="117"/>
      <c r="NOE27" s="117"/>
      <c r="NOF27" s="117"/>
      <c r="NOG27" s="117"/>
      <c r="NOH27" s="117"/>
      <c r="NOI27" s="117"/>
      <c r="NOJ27" s="117"/>
      <c r="NOK27" s="117"/>
      <c r="NOL27" s="117"/>
      <c r="NOM27" s="117"/>
      <c r="NON27" s="117"/>
      <c r="NOO27" s="117"/>
      <c r="NOP27" s="117"/>
      <c r="NOQ27" s="117"/>
      <c r="NOR27" s="117"/>
      <c r="NOS27" s="117"/>
      <c r="NOT27" s="117"/>
      <c r="NOU27" s="117"/>
      <c r="NOV27" s="117"/>
      <c r="NOW27" s="117"/>
      <c r="NOX27" s="117"/>
      <c r="NOY27" s="117"/>
      <c r="NOZ27" s="117"/>
      <c r="NPA27" s="117"/>
      <c r="NPB27" s="117"/>
      <c r="NPC27" s="117"/>
      <c r="NPD27" s="117"/>
      <c r="NPE27" s="117"/>
      <c r="NPF27" s="117"/>
      <c r="NPG27" s="117"/>
      <c r="NPH27" s="117"/>
      <c r="NPI27" s="117"/>
      <c r="NPJ27" s="117"/>
      <c r="NPK27" s="117"/>
      <c r="NPL27" s="117"/>
      <c r="NPM27" s="117"/>
      <c r="NPN27" s="117"/>
      <c r="NPO27" s="117"/>
      <c r="NPP27" s="117"/>
      <c r="NPQ27" s="117"/>
      <c r="NPR27" s="117"/>
      <c r="NPS27" s="117"/>
      <c r="NPT27" s="117"/>
      <c r="NPU27" s="117"/>
      <c r="NPV27" s="117"/>
      <c r="NPW27" s="117"/>
      <c r="NPX27" s="117"/>
      <c r="NPY27" s="117"/>
      <c r="NPZ27" s="117"/>
      <c r="NQA27" s="117"/>
      <c r="NQB27" s="117"/>
      <c r="NQC27" s="117"/>
      <c r="NQD27" s="117"/>
      <c r="NQE27" s="117"/>
      <c r="NQF27" s="117"/>
      <c r="NQG27" s="117"/>
      <c r="NQH27" s="117"/>
      <c r="NQI27" s="117"/>
      <c r="NQJ27" s="117"/>
      <c r="NQK27" s="117"/>
      <c r="NQL27" s="117"/>
      <c r="NQM27" s="117"/>
      <c r="NQN27" s="117"/>
      <c r="NQO27" s="117"/>
      <c r="NQP27" s="117"/>
      <c r="NQQ27" s="117"/>
      <c r="NQR27" s="117"/>
      <c r="NQS27" s="117"/>
      <c r="NQT27" s="117"/>
      <c r="NQU27" s="117"/>
      <c r="NQV27" s="117"/>
      <c r="NQW27" s="117"/>
      <c r="NQX27" s="117"/>
      <c r="NQY27" s="117"/>
      <c r="NQZ27" s="117"/>
      <c r="NRA27" s="117"/>
      <c r="NRB27" s="117"/>
      <c r="NRC27" s="117"/>
      <c r="NRD27" s="117"/>
      <c r="NRE27" s="117"/>
      <c r="NRF27" s="117"/>
      <c r="NRG27" s="117"/>
      <c r="NRH27" s="117"/>
      <c r="NRI27" s="117"/>
      <c r="NRJ27" s="117"/>
      <c r="NRK27" s="117"/>
      <c r="NRL27" s="117"/>
      <c r="NRM27" s="117"/>
      <c r="NRN27" s="117"/>
      <c r="NRO27" s="117"/>
      <c r="NRP27" s="117"/>
      <c r="NRQ27" s="117"/>
      <c r="NRR27" s="117"/>
      <c r="NRS27" s="117"/>
      <c r="NRT27" s="117"/>
      <c r="NRU27" s="117"/>
      <c r="NRV27" s="117"/>
      <c r="NRW27" s="117"/>
      <c r="NRX27" s="117"/>
      <c r="NRY27" s="117"/>
      <c r="NRZ27" s="117"/>
      <c r="NSA27" s="117"/>
      <c r="NSB27" s="117"/>
      <c r="NSC27" s="117"/>
      <c r="NSD27" s="117"/>
      <c r="NSE27" s="117"/>
      <c r="NSF27" s="117"/>
      <c r="NSG27" s="117"/>
      <c r="NSH27" s="117"/>
      <c r="NSI27" s="117"/>
      <c r="NSJ27" s="117"/>
      <c r="NSK27" s="117"/>
      <c r="NSL27" s="117"/>
      <c r="NSM27" s="117"/>
      <c r="NSN27" s="117"/>
      <c r="NSO27" s="117"/>
      <c r="NSP27" s="117"/>
      <c r="NSQ27" s="117"/>
      <c r="NSR27" s="117"/>
      <c r="NSS27" s="117"/>
      <c r="NST27" s="117"/>
      <c r="NSU27" s="117"/>
      <c r="NSV27" s="117"/>
      <c r="NSW27" s="117"/>
      <c r="NSX27" s="117"/>
      <c r="NSY27" s="117"/>
      <c r="NSZ27" s="117"/>
      <c r="NTA27" s="117"/>
      <c r="NTB27" s="117"/>
      <c r="NTC27" s="117"/>
      <c r="NTD27" s="117"/>
      <c r="NTE27" s="117"/>
      <c r="NTF27" s="117"/>
      <c r="NTG27" s="117"/>
      <c r="NTH27" s="117"/>
      <c r="NTI27" s="117"/>
      <c r="NTJ27" s="117"/>
      <c r="NTK27" s="117"/>
      <c r="NTL27" s="117"/>
      <c r="NTM27" s="117"/>
      <c r="NTN27" s="117"/>
      <c r="NTO27" s="117"/>
      <c r="NTP27" s="117"/>
      <c r="NTQ27" s="117"/>
      <c r="NTR27" s="117"/>
      <c r="NTS27" s="117"/>
      <c r="NTT27" s="117"/>
      <c r="NTU27" s="117"/>
      <c r="NTV27" s="117"/>
      <c r="NTW27" s="117"/>
      <c r="NTX27" s="117"/>
      <c r="NTY27" s="117"/>
      <c r="NTZ27" s="117"/>
      <c r="NUA27" s="117"/>
      <c r="NUB27" s="117"/>
      <c r="NUC27" s="117"/>
      <c r="NUD27" s="117"/>
      <c r="NUE27" s="117"/>
      <c r="NUF27" s="117"/>
      <c r="NUG27" s="117"/>
      <c r="NUH27" s="117"/>
      <c r="NUI27" s="117"/>
      <c r="NUJ27" s="117"/>
      <c r="NUK27" s="117"/>
      <c r="NUL27" s="117"/>
      <c r="NUM27" s="117"/>
      <c r="NUN27" s="117"/>
      <c r="NUO27" s="117"/>
      <c r="NUP27" s="117"/>
      <c r="NUQ27" s="117"/>
      <c r="NUR27" s="117"/>
      <c r="NUS27" s="117"/>
      <c r="NUT27" s="117"/>
      <c r="NUU27" s="117"/>
      <c r="NUV27" s="117"/>
      <c r="NUW27" s="117"/>
      <c r="NUX27" s="117"/>
      <c r="NUY27" s="117"/>
      <c r="NUZ27" s="117"/>
      <c r="NVA27" s="117"/>
      <c r="NVB27" s="117"/>
      <c r="NVC27" s="117"/>
      <c r="NVD27" s="117"/>
      <c r="NVE27" s="117"/>
      <c r="NVF27" s="117"/>
      <c r="NVG27" s="117"/>
      <c r="NVH27" s="117"/>
      <c r="NVI27" s="117"/>
      <c r="NVJ27" s="117"/>
      <c r="NVK27" s="117"/>
      <c r="NVL27" s="117"/>
      <c r="NVM27" s="117"/>
      <c r="NVN27" s="117"/>
      <c r="NVO27" s="117"/>
      <c r="NVP27" s="117"/>
      <c r="NVQ27" s="117"/>
      <c r="NVR27" s="117"/>
      <c r="NVS27" s="117"/>
      <c r="NVT27" s="117"/>
      <c r="NVU27" s="117"/>
      <c r="NVV27" s="117"/>
      <c r="NVW27" s="117"/>
      <c r="NVX27" s="117"/>
      <c r="NVY27" s="117"/>
      <c r="NVZ27" s="117"/>
      <c r="NWA27" s="117"/>
      <c r="NWB27" s="117"/>
      <c r="NWC27" s="117"/>
      <c r="NWD27" s="117"/>
      <c r="NWE27" s="117"/>
      <c r="NWF27" s="117"/>
      <c r="NWG27" s="117"/>
      <c r="NWH27" s="117"/>
      <c r="NWI27" s="117"/>
      <c r="NWJ27" s="117"/>
      <c r="NWK27" s="117"/>
      <c r="NWL27" s="117"/>
      <c r="NWM27" s="117"/>
      <c r="NWN27" s="117"/>
      <c r="NWO27" s="117"/>
      <c r="NWP27" s="117"/>
      <c r="NWQ27" s="117"/>
      <c r="NWR27" s="117"/>
      <c r="NWS27" s="117"/>
      <c r="NWT27" s="117"/>
      <c r="NWU27" s="117"/>
      <c r="NWV27" s="117"/>
      <c r="NWW27" s="117"/>
      <c r="NWX27" s="117"/>
      <c r="NWY27" s="117"/>
      <c r="NWZ27" s="117"/>
      <c r="NXA27" s="117"/>
      <c r="NXB27" s="117"/>
      <c r="NXC27" s="117"/>
      <c r="NXD27" s="117"/>
      <c r="NXE27" s="117"/>
      <c r="NXF27" s="117"/>
      <c r="NXG27" s="117"/>
      <c r="NXH27" s="117"/>
      <c r="NXI27" s="117"/>
      <c r="NXJ27" s="117"/>
      <c r="NXK27" s="117"/>
      <c r="NXL27" s="117"/>
      <c r="NXM27" s="117"/>
      <c r="NXN27" s="117"/>
      <c r="NXO27" s="117"/>
      <c r="NXP27" s="117"/>
      <c r="NXQ27" s="117"/>
      <c r="NXR27" s="117"/>
      <c r="NXS27" s="117"/>
      <c r="NXT27" s="117"/>
      <c r="NXU27" s="117"/>
      <c r="NXV27" s="117"/>
      <c r="NXW27" s="117"/>
      <c r="NXX27" s="117"/>
      <c r="NXY27" s="117"/>
      <c r="NXZ27" s="117"/>
      <c r="NYA27" s="117"/>
      <c r="NYB27" s="117"/>
      <c r="NYC27" s="117"/>
      <c r="NYD27" s="117"/>
      <c r="NYE27" s="117"/>
      <c r="NYF27" s="117"/>
      <c r="NYG27" s="117"/>
      <c r="NYH27" s="117"/>
      <c r="NYI27" s="117"/>
      <c r="NYJ27" s="117"/>
      <c r="NYK27" s="117"/>
      <c r="NYL27" s="117"/>
      <c r="NYM27" s="117"/>
      <c r="NYN27" s="117"/>
      <c r="NYO27" s="117"/>
      <c r="NYP27" s="117"/>
      <c r="NYQ27" s="117"/>
      <c r="NYR27" s="117"/>
      <c r="NYS27" s="117"/>
      <c r="NYT27" s="117"/>
      <c r="NYU27" s="117"/>
      <c r="NYV27" s="117"/>
      <c r="NYW27" s="117"/>
      <c r="NYX27" s="117"/>
      <c r="NYY27" s="117"/>
      <c r="NYZ27" s="117"/>
      <c r="NZA27" s="117"/>
      <c r="NZB27" s="117"/>
      <c r="NZC27" s="117"/>
      <c r="NZD27" s="117"/>
      <c r="NZE27" s="117"/>
      <c r="NZF27" s="117"/>
      <c r="NZG27" s="117"/>
      <c r="NZH27" s="117"/>
      <c r="NZI27" s="117"/>
      <c r="NZJ27" s="117"/>
      <c r="NZK27" s="117"/>
      <c r="NZL27" s="117"/>
      <c r="NZM27" s="117"/>
      <c r="NZN27" s="117"/>
      <c r="NZO27" s="117"/>
      <c r="NZP27" s="117"/>
      <c r="NZQ27" s="117"/>
      <c r="NZR27" s="117"/>
      <c r="NZS27" s="117"/>
      <c r="NZT27" s="117"/>
      <c r="NZU27" s="117"/>
      <c r="NZV27" s="117"/>
      <c r="NZW27" s="117"/>
      <c r="NZX27" s="117"/>
      <c r="NZY27" s="117"/>
      <c r="NZZ27" s="117"/>
      <c r="OAA27" s="117"/>
      <c r="OAB27" s="117"/>
      <c r="OAC27" s="117"/>
      <c r="OAD27" s="117"/>
      <c r="OAE27" s="117"/>
      <c r="OAF27" s="117"/>
      <c r="OAG27" s="117"/>
      <c r="OAH27" s="117"/>
      <c r="OAI27" s="117"/>
      <c r="OAJ27" s="117"/>
      <c r="OAK27" s="117"/>
      <c r="OAL27" s="117"/>
      <c r="OAM27" s="117"/>
      <c r="OAN27" s="117"/>
      <c r="OAO27" s="117"/>
      <c r="OAP27" s="117"/>
      <c r="OAQ27" s="117"/>
      <c r="OAR27" s="117"/>
      <c r="OAS27" s="117"/>
      <c r="OAT27" s="117"/>
      <c r="OAU27" s="117"/>
      <c r="OAV27" s="117"/>
      <c r="OAW27" s="117"/>
      <c r="OAX27" s="117"/>
      <c r="OAY27" s="117"/>
      <c r="OAZ27" s="117"/>
      <c r="OBA27" s="117"/>
      <c r="OBB27" s="117"/>
      <c r="OBC27" s="117"/>
      <c r="OBD27" s="117"/>
      <c r="OBE27" s="117"/>
      <c r="OBF27" s="117"/>
      <c r="OBG27" s="117"/>
      <c r="OBH27" s="117"/>
      <c r="OBI27" s="117"/>
      <c r="OBJ27" s="117"/>
      <c r="OBK27" s="117"/>
      <c r="OBL27" s="117"/>
      <c r="OBM27" s="117"/>
      <c r="OBN27" s="117"/>
      <c r="OBO27" s="117"/>
      <c r="OBP27" s="117"/>
      <c r="OBQ27" s="117"/>
      <c r="OBR27" s="117"/>
      <c r="OBS27" s="117"/>
      <c r="OBT27" s="117"/>
      <c r="OBU27" s="117"/>
      <c r="OBV27" s="117"/>
      <c r="OBW27" s="117"/>
      <c r="OBX27" s="117"/>
      <c r="OBY27" s="117"/>
      <c r="OBZ27" s="117"/>
      <c r="OCA27" s="117"/>
      <c r="OCB27" s="117"/>
      <c r="OCC27" s="117"/>
      <c r="OCD27" s="117"/>
      <c r="OCE27" s="117"/>
      <c r="OCF27" s="117"/>
      <c r="OCG27" s="117"/>
      <c r="OCH27" s="117"/>
      <c r="OCI27" s="117"/>
      <c r="OCJ27" s="117"/>
      <c r="OCK27" s="117"/>
      <c r="OCL27" s="117"/>
      <c r="OCM27" s="117"/>
      <c r="OCN27" s="117"/>
      <c r="OCO27" s="117"/>
      <c r="OCP27" s="117"/>
      <c r="OCQ27" s="117"/>
      <c r="OCR27" s="117"/>
      <c r="OCS27" s="117"/>
      <c r="OCT27" s="117"/>
      <c r="OCU27" s="117"/>
      <c r="OCV27" s="117"/>
      <c r="OCW27" s="117"/>
      <c r="OCX27" s="117"/>
      <c r="OCY27" s="117"/>
      <c r="OCZ27" s="117"/>
      <c r="ODA27" s="117"/>
      <c r="ODB27" s="117"/>
      <c r="ODC27" s="117"/>
      <c r="ODD27" s="117"/>
      <c r="ODE27" s="117"/>
      <c r="ODF27" s="117"/>
      <c r="ODG27" s="117"/>
      <c r="ODH27" s="117"/>
      <c r="ODI27" s="117"/>
      <c r="ODJ27" s="117"/>
      <c r="ODK27" s="117"/>
      <c r="ODL27" s="117"/>
      <c r="ODM27" s="117"/>
      <c r="ODN27" s="117"/>
      <c r="ODO27" s="117"/>
      <c r="ODP27" s="117"/>
      <c r="ODQ27" s="117"/>
      <c r="ODR27" s="117"/>
      <c r="ODS27" s="117"/>
      <c r="ODT27" s="117"/>
      <c r="ODU27" s="117"/>
      <c r="ODV27" s="117"/>
      <c r="ODW27" s="117"/>
      <c r="ODX27" s="117"/>
      <c r="ODY27" s="117"/>
      <c r="ODZ27" s="117"/>
      <c r="OEA27" s="117"/>
      <c r="OEB27" s="117"/>
      <c r="OEC27" s="117"/>
      <c r="OED27" s="117"/>
      <c r="OEE27" s="117"/>
      <c r="OEF27" s="117"/>
      <c r="OEG27" s="117"/>
      <c r="OEH27" s="117"/>
      <c r="OEI27" s="117"/>
      <c r="OEJ27" s="117"/>
      <c r="OEK27" s="117"/>
      <c r="OEL27" s="117"/>
      <c r="OEM27" s="117"/>
      <c r="OEN27" s="117"/>
      <c r="OEO27" s="117"/>
      <c r="OEP27" s="117"/>
      <c r="OEQ27" s="117"/>
      <c r="OER27" s="117"/>
      <c r="OES27" s="117"/>
      <c r="OET27" s="117"/>
      <c r="OEU27" s="117"/>
      <c r="OEV27" s="117"/>
      <c r="OEW27" s="117"/>
      <c r="OEX27" s="117"/>
      <c r="OEY27" s="117"/>
      <c r="OEZ27" s="117"/>
      <c r="OFA27" s="117"/>
      <c r="OFB27" s="117"/>
      <c r="OFC27" s="117"/>
      <c r="OFD27" s="117"/>
      <c r="OFE27" s="117"/>
      <c r="OFF27" s="117"/>
      <c r="OFG27" s="117"/>
      <c r="OFH27" s="117"/>
      <c r="OFI27" s="117"/>
      <c r="OFJ27" s="117"/>
      <c r="OFK27" s="117"/>
      <c r="OFL27" s="117"/>
      <c r="OFM27" s="117"/>
      <c r="OFN27" s="117"/>
      <c r="OFO27" s="117"/>
      <c r="OFP27" s="117"/>
      <c r="OFQ27" s="117"/>
      <c r="OFR27" s="117"/>
      <c r="OFS27" s="117"/>
      <c r="OFT27" s="117"/>
      <c r="OFU27" s="117"/>
      <c r="OFV27" s="117"/>
      <c r="OFW27" s="117"/>
      <c r="OFX27" s="117"/>
      <c r="OFY27" s="117"/>
      <c r="OFZ27" s="117"/>
      <c r="OGA27" s="117"/>
      <c r="OGB27" s="117"/>
      <c r="OGC27" s="117"/>
      <c r="OGD27" s="117"/>
      <c r="OGE27" s="117"/>
      <c r="OGF27" s="117"/>
      <c r="OGG27" s="117"/>
      <c r="OGH27" s="117"/>
      <c r="OGI27" s="117"/>
      <c r="OGJ27" s="117"/>
      <c r="OGK27" s="117"/>
      <c r="OGL27" s="117"/>
      <c r="OGM27" s="117"/>
      <c r="OGN27" s="117"/>
      <c r="OGO27" s="117"/>
      <c r="OGP27" s="117"/>
      <c r="OGQ27" s="117"/>
      <c r="OGR27" s="117"/>
      <c r="OGS27" s="117"/>
      <c r="OGT27" s="117"/>
      <c r="OGU27" s="117"/>
      <c r="OGV27" s="117"/>
      <c r="OGW27" s="117"/>
      <c r="OGX27" s="117"/>
      <c r="OGY27" s="117"/>
      <c r="OGZ27" s="117"/>
      <c r="OHA27" s="117"/>
      <c r="OHB27" s="117"/>
      <c r="OHC27" s="117"/>
      <c r="OHD27" s="117"/>
      <c r="OHE27" s="117"/>
      <c r="OHF27" s="117"/>
      <c r="OHG27" s="117"/>
      <c r="OHH27" s="117"/>
      <c r="OHI27" s="117"/>
      <c r="OHJ27" s="117"/>
      <c r="OHK27" s="117"/>
      <c r="OHL27" s="117"/>
      <c r="OHM27" s="117"/>
      <c r="OHN27" s="117"/>
      <c r="OHO27" s="117"/>
      <c r="OHP27" s="117"/>
      <c r="OHQ27" s="117"/>
      <c r="OHR27" s="117"/>
      <c r="OHS27" s="117"/>
      <c r="OHT27" s="117"/>
      <c r="OHU27" s="117"/>
      <c r="OHV27" s="117"/>
      <c r="OHW27" s="117"/>
      <c r="OHX27" s="117"/>
      <c r="OHY27" s="117"/>
      <c r="OHZ27" s="117"/>
      <c r="OIA27" s="117"/>
      <c r="OIB27" s="117"/>
      <c r="OIC27" s="117"/>
      <c r="OID27" s="117"/>
      <c r="OIE27" s="117"/>
      <c r="OIF27" s="117"/>
      <c r="OIG27" s="117"/>
      <c r="OIH27" s="117"/>
      <c r="OII27" s="117"/>
      <c r="OIJ27" s="117"/>
      <c r="OIK27" s="117"/>
      <c r="OIL27" s="117"/>
      <c r="OIM27" s="117"/>
      <c r="OIN27" s="117"/>
      <c r="OIO27" s="117"/>
      <c r="OIP27" s="117"/>
      <c r="OIQ27" s="117"/>
      <c r="OIR27" s="117"/>
      <c r="OIS27" s="117"/>
      <c r="OIT27" s="117"/>
      <c r="OIU27" s="117"/>
      <c r="OIV27" s="117"/>
      <c r="OIW27" s="117"/>
      <c r="OIX27" s="117"/>
      <c r="OIY27" s="117"/>
      <c r="OIZ27" s="117"/>
      <c r="OJA27" s="117"/>
      <c r="OJB27" s="117"/>
      <c r="OJC27" s="117"/>
      <c r="OJD27" s="117"/>
      <c r="OJE27" s="117"/>
      <c r="OJF27" s="117"/>
      <c r="OJG27" s="117"/>
      <c r="OJH27" s="117"/>
      <c r="OJI27" s="117"/>
      <c r="OJJ27" s="117"/>
      <c r="OJK27" s="117"/>
      <c r="OJL27" s="117"/>
      <c r="OJM27" s="117"/>
      <c r="OJN27" s="117"/>
      <c r="OJO27" s="117"/>
      <c r="OJP27" s="117"/>
      <c r="OJQ27" s="117"/>
      <c r="OJR27" s="117"/>
      <c r="OJS27" s="117"/>
      <c r="OJT27" s="117"/>
      <c r="OJU27" s="117"/>
      <c r="OJV27" s="117"/>
      <c r="OJW27" s="117"/>
      <c r="OJX27" s="117"/>
      <c r="OJY27" s="117"/>
      <c r="OJZ27" s="117"/>
      <c r="OKA27" s="117"/>
      <c r="OKB27" s="117"/>
      <c r="OKC27" s="117"/>
      <c r="OKD27" s="117"/>
      <c r="OKE27" s="117"/>
      <c r="OKF27" s="117"/>
      <c r="OKG27" s="117"/>
      <c r="OKH27" s="117"/>
      <c r="OKI27" s="117"/>
      <c r="OKJ27" s="117"/>
      <c r="OKK27" s="117"/>
      <c r="OKL27" s="117"/>
      <c r="OKM27" s="117"/>
      <c r="OKN27" s="117"/>
      <c r="OKO27" s="117"/>
      <c r="OKP27" s="117"/>
      <c r="OKQ27" s="117"/>
      <c r="OKR27" s="117"/>
      <c r="OKS27" s="117"/>
      <c r="OKT27" s="117"/>
      <c r="OKU27" s="117"/>
      <c r="OKV27" s="117"/>
      <c r="OKW27" s="117"/>
      <c r="OKX27" s="117"/>
      <c r="OKY27" s="117"/>
      <c r="OKZ27" s="117"/>
      <c r="OLA27" s="117"/>
      <c r="OLB27" s="117"/>
      <c r="OLC27" s="117"/>
      <c r="OLD27" s="117"/>
      <c r="OLE27" s="117"/>
      <c r="OLF27" s="117"/>
      <c r="OLG27" s="117"/>
      <c r="OLH27" s="117"/>
      <c r="OLI27" s="117"/>
      <c r="OLJ27" s="117"/>
      <c r="OLK27" s="117"/>
      <c r="OLL27" s="117"/>
      <c r="OLM27" s="117"/>
      <c r="OLN27" s="117"/>
      <c r="OLO27" s="117"/>
      <c r="OLP27" s="117"/>
      <c r="OLQ27" s="117"/>
      <c r="OLR27" s="117"/>
      <c r="OLS27" s="117"/>
      <c r="OLT27" s="117"/>
      <c r="OLU27" s="117"/>
      <c r="OLV27" s="117"/>
      <c r="OLW27" s="117"/>
      <c r="OLX27" s="117"/>
      <c r="OLY27" s="117"/>
      <c r="OLZ27" s="117"/>
      <c r="OMA27" s="117"/>
      <c r="OMB27" s="117"/>
      <c r="OMC27" s="117"/>
      <c r="OMD27" s="117"/>
      <c r="OME27" s="117"/>
      <c r="OMF27" s="117"/>
      <c r="OMG27" s="117"/>
      <c r="OMH27" s="117"/>
      <c r="OMI27" s="117"/>
      <c r="OMJ27" s="117"/>
      <c r="OMK27" s="117"/>
      <c r="OML27" s="117"/>
      <c r="OMM27" s="117"/>
      <c r="OMN27" s="117"/>
      <c r="OMO27" s="117"/>
      <c r="OMP27" s="117"/>
      <c r="OMQ27" s="117"/>
      <c r="OMR27" s="117"/>
      <c r="OMS27" s="117"/>
      <c r="OMT27" s="117"/>
      <c r="OMU27" s="117"/>
      <c r="OMV27" s="117"/>
      <c r="OMW27" s="117"/>
      <c r="OMX27" s="117"/>
      <c r="OMY27" s="117"/>
      <c r="OMZ27" s="117"/>
      <c r="ONA27" s="117"/>
      <c r="ONB27" s="117"/>
      <c r="ONC27" s="117"/>
      <c r="OND27" s="117"/>
      <c r="ONE27" s="117"/>
      <c r="ONF27" s="117"/>
      <c r="ONG27" s="117"/>
      <c r="ONH27" s="117"/>
      <c r="ONI27" s="117"/>
      <c r="ONJ27" s="117"/>
      <c r="ONK27" s="117"/>
      <c r="ONL27" s="117"/>
      <c r="ONM27" s="117"/>
      <c r="ONN27" s="117"/>
      <c r="ONO27" s="117"/>
      <c r="ONP27" s="117"/>
      <c r="ONQ27" s="117"/>
      <c r="ONR27" s="117"/>
      <c r="ONS27" s="117"/>
      <c r="ONT27" s="117"/>
      <c r="ONU27" s="117"/>
      <c r="ONV27" s="117"/>
      <c r="ONW27" s="117"/>
      <c r="ONX27" s="117"/>
      <c r="ONY27" s="117"/>
      <c r="ONZ27" s="117"/>
      <c r="OOA27" s="117"/>
      <c r="OOB27" s="117"/>
      <c r="OOC27" s="117"/>
      <c r="OOD27" s="117"/>
      <c r="OOE27" s="117"/>
      <c r="OOF27" s="117"/>
      <c r="OOG27" s="117"/>
      <c r="OOH27" s="117"/>
      <c r="OOI27" s="117"/>
      <c r="OOJ27" s="117"/>
      <c r="OOK27" s="117"/>
      <c r="OOL27" s="117"/>
      <c r="OOM27" s="117"/>
      <c r="OON27" s="117"/>
      <c r="OOO27" s="117"/>
      <c r="OOP27" s="117"/>
      <c r="OOQ27" s="117"/>
      <c r="OOR27" s="117"/>
      <c r="OOS27" s="117"/>
      <c r="OOT27" s="117"/>
      <c r="OOU27" s="117"/>
      <c r="OOV27" s="117"/>
      <c r="OOW27" s="117"/>
      <c r="OOX27" s="117"/>
      <c r="OOY27" s="117"/>
      <c r="OOZ27" s="117"/>
      <c r="OPA27" s="117"/>
      <c r="OPB27" s="117"/>
      <c r="OPC27" s="117"/>
      <c r="OPD27" s="117"/>
      <c r="OPE27" s="117"/>
      <c r="OPF27" s="117"/>
      <c r="OPG27" s="117"/>
      <c r="OPH27" s="117"/>
      <c r="OPI27" s="117"/>
      <c r="OPJ27" s="117"/>
      <c r="OPK27" s="117"/>
      <c r="OPL27" s="117"/>
      <c r="OPM27" s="117"/>
      <c r="OPN27" s="117"/>
      <c r="OPO27" s="117"/>
      <c r="OPP27" s="117"/>
      <c r="OPQ27" s="117"/>
      <c r="OPR27" s="117"/>
      <c r="OPS27" s="117"/>
      <c r="OPT27" s="117"/>
      <c r="OPU27" s="117"/>
      <c r="OPV27" s="117"/>
      <c r="OPW27" s="117"/>
      <c r="OPX27" s="117"/>
      <c r="OPY27" s="117"/>
      <c r="OPZ27" s="117"/>
      <c r="OQA27" s="117"/>
      <c r="OQB27" s="117"/>
      <c r="OQC27" s="117"/>
      <c r="OQD27" s="117"/>
      <c r="OQE27" s="117"/>
      <c r="OQF27" s="117"/>
      <c r="OQG27" s="117"/>
      <c r="OQH27" s="117"/>
      <c r="OQI27" s="117"/>
      <c r="OQJ27" s="117"/>
      <c r="OQK27" s="117"/>
      <c r="OQL27" s="117"/>
      <c r="OQM27" s="117"/>
      <c r="OQN27" s="117"/>
      <c r="OQO27" s="117"/>
      <c r="OQP27" s="117"/>
      <c r="OQQ27" s="117"/>
      <c r="OQR27" s="117"/>
      <c r="OQS27" s="117"/>
      <c r="OQT27" s="117"/>
      <c r="OQU27" s="117"/>
      <c r="OQV27" s="117"/>
      <c r="OQW27" s="117"/>
      <c r="OQX27" s="117"/>
      <c r="OQY27" s="117"/>
      <c r="OQZ27" s="117"/>
      <c r="ORA27" s="117"/>
      <c r="ORB27" s="117"/>
      <c r="ORC27" s="117"/>
      <c r="ORD27" s="117"/>
      <c r="ORE27" s="117"/>
      <c r="ORF27" s="117"/>
      <c r="ORG27" s="117"/>
      <c r="ORH27" s="117"/>
      <c r="ORI27" s="117"/>
      <c r="ORJ27" s="117"/>
      <c r="ORK27" s="117"/>
      <c r="ORL27" s="117"/>
      <c r="ORM27" s="117"/>
      <c r="ORN27" s="117"/>
      <c r="ORO27" s="117"/>
      <c r="ORP27" s="117"/>
      <c r="ORQ27" s="117"/>
      <c r="ORR27" s="117"/>
      <c r="ORS27" s="117"/>
      <c r="ORT27" s="117"/>
      <c r="ORU27" s="117"/>
      <c r="ORV27" s="117"/>
      <c r="ORW27" s="117"/>
      <c r="ORX27" s="117"/>
      <c r="ORY27" s="117"/>
      <c r="ORZ27" s="117"/>
      <c r="OSA27" s="117"/>
      <c r="OSB27" s="117"/>
      <c r="OSC27" s="117"/>
      <c r="OSD27" s="117"/>
      <c r="OSE27" s="117"/>
      <c r="OSF27" s="117"/>
      <c r="OSG27" s="117"/>
      <c r="OSH27" s="117"/>
      <c r="OSI27" s="117"/>
      <c r="OSJ27" s="117"/>
      <c r="OSK27" s="117"/>
      <c r="OSL27" s="117"/>
      <c r="OSM27" s="117"/>
      <c r="OSN27" s="117"/>
      <c r="OSO27" s="117"/>
      <c r="OSP27" s="117"/>
      <c r="OSQ27" s="117"/>
      <c r="OSR27" s="117"/>
      <c r="OSS27" s="117"/>
      <c r="OST27" s="117"/>
      <c r="OSU27" s="117"/>
      <c r="OSV27" s="117"/>
      <c r="OSW27" s="117"/>
      <c r="OSX27" s="117"/>
      <c r="OSY27" s="117"/>
      <c r="OSZ27" s="117"/>
      <c r="OTA27" s="117"/>
      <c r="OTB27" s="117"/>
      <c r="OTC27" s="117"/>
      <c r="OTD27" s="117"/>
      <c r="OTE27" s="117"/>
      <c r="OTF27" s="117"/>
      <c r="OTG27" s="117"/>
      <c r="OTH27" s="117"/>
      <c r="OTI27" s="117"/>
      <c r="OTJ27" s="117"/>
      <c r="OTK27" s="117"/>
      <c r="OTL27" s="117"/>
      <c r="OTM27" s="117"/>
      <c r="OTN27" s="117"/>
      <c r="OTO27" s="117"/>
      <c r="OTP27" s="117"/>
      <c r="OTQ27" s="117"/>
      <c r="OTR27" s="117"/>
      <c r="OTS27" s="117"/>
      <c r="OTT27" s="117"/>
      <c r="OTU27" s="117"/>
      <c r="OTV27" s="117"/>
      <c r="OTW27" s="117"/>
      <c r="OTX27" s="117"/>
      <c r="OTY27" s="117"/>
      <c r="OTZ27" s="117"/>
      <c r="OUA27" s="117"/>
      <c r="OUB27" s="117"/>
      <c r="OUC27" s="117"/>
      <c r="OUD27" s="117"/>
      <c r="OUE27" s="117"/>
      <c r="OUF27" s="117"/>
      <c r="OUG27" s="117"/>
      <c r="OUH27" s="117"/>
      <c r="OUI27" s="117"/>
      <c r="OUJ27" s="117"/>
      <c r="OUK27" s="117"/>
      <c r="OUL27" s="117"/>
      <c r="OUM27" s="117"/>
      <c r="OUN27" s="117"/>
      <c r="OUO27" s="117"/>
      <c r="OUP27" s="117"/>
      <c r="OUQ27" s="117"/>
      <c r="OUR27" s="117"/>
      <c r="OUS27" s="117"/>
      <c r="OUT27" s="117"/>
      <c r="OUU27" s="117"/>
      <c r="OUV27" s="117"/>
      <c r="OUW27" s="117"/>
      <c r="OUX27" s="117"/>
      <c r="OUY27" s="117"/>
      <c r="OUZ27" s="117"/>
      <c r="OVA27" s="117"/>
      <c r="OVB27" s="117"/>
      <c r="OVC27" s="117"/>
      <c r="OVD27" s="117"/>
      <c r="OVE27" s="117"/>
      <c r="OVF27" s="117"/>
      <c r="OVG27" s="117"/>
      <c r="OVH27" s="117"/>
      <c r="OVI27" s="117"/>
      <c r="OVJ27" s="117"/>
      <c r="OVK27" s="117"/>
      <c r="OVL27" s="117"/>
      <c r="OVM27" s="117"/>
      <c r="OVN27" s="117"/>
      <c r="OVO27" s="117"/>
      <c r="OVP27" s="117"/>
      <c r="OVQ27" s="117"/>
      <c r="OVR27" s="117"/>
      <c r="OVS27" s="117"/>
      <c r="OVT27" s="117"/>
      <c r="OVU27" s="117"/>
      <c r="OVV27" s="117"/>
      <c r="OVW27" s="117"/>
      <c r="OVX27" s="117"/>
      <c r="OVY27" s="117"/>
      <c r="OVZ27" s="117"/>
      <c r="OWA27" s="117"/>
      <c r="OWB27" s="117"/>
      <c r="OWC27" s="117"/>
      <c r="OWD27" s="117"/>
      <c r="OWE27" s="117"/>
      <c r="OWF27" s="117"/>
      <c r="OWG27" s="117"/>
      <c r="OWH27" s="117"/>
      <c r="OWI27" s="117"/>
      <c r="OWJ27" s="117"/>
      <c r="OWK27" s="117"/>
      <c r="OWL27" s="117"/>
      <c r="OWM27" s="117"/>
      <c r="OWN27" s="117"/>
      <c r="OWO27" s="117"/>
      <c r="OWP27" s="117"/>
      <c r="OWQ27" s="117"/>
      <c r="OWR27" s="117"/>
      <c r="OWS27" s="117"/>
      <c r="OWT27" s="117"/>
      <c r="OWU27" s="117"/>
      <c r="OWV27" s="117"/>
      <c r="OWW27" s="117"/>
      <c r="OWX27" s="117"/>
      <c r="OWY27" s="117"/>
      <c r="OWZ27" s="117"/>
      <c r="OXA27" s="117"/>
      <c r="OXB27" s="117"/>
      <c r="OXC27" s="117"/>
      <c r="OXD27" s="117"/>
      <c r="OXE27" s="117"/>
      <c r="OXF27" s="117"/>
      <c r="OXG27" s="117"/>
      <c r="OXH27" s="117"/>
      <c r="OXI27" s="117"/>
      <c r="OXJ27" s="117"/>
      <c r="OXK27" s="117"/>
      <c r="OXL27" s="117"/>
      <c r="OXM27" s="117"/>
      <c r="OXN27" s="117"/>
      <c r="OXO27" s="117"/>
      <c r="OXP27" s="117"/>
      <c r="OXQ27" s="117"/>
      <c r="OXR27" s="117"/>
      <c r="OXS27" s="117"/>
      <c r="OXT27" s="117"/>
      <c r="OXU27" s="117"/>
      <c r="OXV27" s="117"/>
      <c r="OXW27" s="117"/>
      <c r="OXX27" s="117"/>
      <c r="OXY27" s="117"/>
      <c r="OXZ27" s="117"/>
      <c r="OYA27" s="117"/>
      <c r="OYB27" s="117"/>
      <c r="OYC27" s="117"/>
      <c r="OYD27" s="117"/>
      <c r="OYE27" s="117"/>
      <c r="OYF27" s="117"/>
      <c r="OYG27" s="117"/>
      <c r="OYH27" s="117"/>
      <c r="OYI27" s="117"/>
      <c r="OYJ27" s="117"/>
      <c r="OYK27" s="117"/>
      <c r="OYL27" s="117"/>
      <c r="OYM27" s="117"/>
      <c r="OYN27" s="117"/>
      <c r="OYO27" s="117"/>
      <c r="OYP27" s="117"/>
      <c r="OYQ27" s="117"/>
      <c r="OYR27" s="117"/>
      <c r="OYS27" s="117"/>
      <c r="OYT27" s="117"/>
      <c r="OYU27" s="117"/>
      <c r="OYV27" s="117"/>
      <c r="OYW27" s="117"/>
      <c r="OYX27" s="117"/>
      <c r="OYY27" s="117"/>
      <c r="OYZ27" s="117"/>
      <c r="OZA27" s="117"/>
      <c r="OZB27" s="117"/>
      <c r="OZC27" s="117"/>
      <c r="OZD27" s="117"/>
      <c r="OZE27" s="117"/>
      <c r="OZF27" s="117"/>
      <c r="OZG27" s="117"/>
      <c r="OZH27" s="117"/>
      <c r="OZI27" s="117"/>
      <c r="OZJ27" s="117"/>
      <c r="OZK27" s="117"/>
      <c r="OZL27" s="117"/>
      <c r="OZM27" s="117"/>
      <c r="OZN27" s="117"/>
      <c r="OZO27" s="117"/>
      <c r="OZP27" s="117"/>
      <c r="OZQ27" s="117"/>
      <c r="OZR27" s="117"/>
      <c r="OZS27" s="117"/>
      <c r="OZT27" s="117"/>
      <c r="OZU27" s="117"/>
      <c r="OZV27" s="117"/>
      <c r="OZW27" s="117"/>
      <c r="OZX27" s="117"/>
      <c r="OZY27" s="117"/>
      <c r="OZZ27" s="117"/>
      <c r="PAA27" s="117"/>
      <c r="PAB27" s="117"/>
      <c r="PAC27" s="117"/>
      <c r="PAD27" s="117"/>
      <c r="PAE27" s="117"/>
      <c r="PAF27" s="117"/>
      <c r="PAG27" s="117"/>
      <c r="PAH27" s="117"/>
      <c r="PAI27" s="117"/>
      <c r="PAJ27" s="117"/>
      <c r="PAK27" s="117"/>
      <c r="PAL27" s="117"/>
      <c r="PAM27" s="117"/>
      <c r="PAN27" s="117"/>
      <c r="PAO27" s="117"/>
      <c r="PAP27" s="117"/>
      <c r="PAQ27" s="117"/>
      <c r="PAR27" s="117"/>
      <c r="PAS27" s="117"/>
      <c r="PAT27" s="117"/>
      <c r="PAU27" s="117"/>
      <c r="PAV27" s="117"/>
      <c r="PAW27" s="117"/>
      <c r="PAX27" s="117"/>
      <c r="PAY27" s="117"/>
      <c r="PAZ27" s="117"/>
      <c r="PBA27" s="117"/>
      <c r="PBB27" s="117"/>
      <c r="PBC27" s="117"/>
      <c r="PBD27" s="117"/>
      <c r="PBE27" s="117"/>
      <c r="PBF27" s="117"/>
      <c r="PBG27" s="117"/>
      <c r="PBH27" s="117"/>
      <c r="PBI27" s="117"/>
      <c r="PBJ27" s="117"/>
      <c r="PBK27" s="117"/>
      <c r="PBL27" s="117"/>
      <c r="PBM27" s="117"/>
      <c r="PBN27" s="117"/>
      <c r="PBO27" s="117"/>
      <c r="PBP27" s="117"/>
      <c r="PBQ27" s="117"/>
      <c r="PBR27" s="117"/>
      <c r="PBS27" s="117"/>
      <c r="PBT27" s="117"/>
      <c r="PBU27" s="117"/>
      <c r="PBV27" s="117"/>
      <c r="PBW27" s="117"/>
      <c r="PBX27" s="117"/>
      <c r="PBY27" s="117"/>
      <c r="PBZ27" s="117"/>
      <c r="PCA27" s="117"/>
      <c r="PCB27" s="117"/>
      <c r="PCC27" s="117"/>
      <c r="PCD27" s="117"/>
      <c r="PCE27" s="117"/>
      <c r="PCF27" s="117"/>
      <c r="PCG27" s="117"/>
      <c r="PCH27" s="117"/>
      <c r="PCI27" s="117"/>
      <c r="PCJ27" s="117"/>
      <c r="PCK27" s="117"/>
      <c r="PCL27" s="117"/>
      <c r="PCM27" s="117"/>
      <c r="PCN27" s="117"/>
      <c r="PCO27" s="117"/>
      <c r="PCP27" s="117"/>
      <c r="PCQ27" s="117"/>
      <c r="PCR27" s="117"/>
      <c r="PCS27" s="117"/>
      <c r="PCT27" s="117"/>
      <c r="PCU27" s="117"/>
      <c r="PCV27" s="117"/>
      <c r="PCW27" s="117"/>
      <c r="PCX27" s="117"/>
      <c r="PCY27" s="117"/>
      <c r="PCZ27" s="117"/>
      <c r="PDA27" s="117"/>
      <c r="PDB27" s="117"/>
      <c r="PDC27" s="117"/>
      <c r="PDD27" s="117"/>
      <c r="PDE27" s="117"/>
      <c r="PDF27" s="117"/>
      <c r="PDG27" s="117"/>
      <c r="PDH27" s="117"/>
      <c r="PDI27" s="117"/>
      <c r="PDJ27" s="117"/>
      <c r="PDK27" s="117"/>
      <c r="PDL27" s="117"/>
      <c r="PDM27" s="117"/>
      <c r="PDN27" s="117"/>
      <c r="PDO27" s="117"/>
      <c r="PDP27" s="117"/>
      <c r="PDQ27" s="117"/>
      <c r="PDR27" s="117"/>
      <c r="PDS27" s="117"/>
      <c r="PDT27" s="117"/>
      <c r="PDU27" s="117"/>
      <c r="PDV27" s="117"/>
      <c r="PDW27" s="117"/>
      <c r="PDX27" s="117"/>
      <c r="PDY27" s="117"/>
      <c r="PDZ27" s="117"/>
      <c r="PEA27" s="117"/>
      <c r="PEB27" s="117"/>
      <c r="PEC27" s="117"/>
      <c r="PED27" s="117"/>
      <c r="PEE27" s="117"/>
      <c r="PEF27" s="117"/>
      <c r="PEG27" s="117"/>
      <c r="PEH27" s="117"/>
      <c r="PEI27" s="117"/>
      <c r="PEJ27" s="117"/>
      <c r="PEK27" s="117"/>
      <c r="PEL27" s="117"/>
      <c r="PEM27" s="117"/>
      <c r="PEN27" s="117"/>
      <c r="PEO27" s="117"/>
      <c r="PEP27" s="117"/>
      <c r="PEQ27" s="117"/>
      <c r="PER27" s="117"/>
      <c r="PES27" s="117"/>
      <c r="PET27" s="117"/>
      <c r="PEU27" s="117"/>
      <c r="PEV27" s="117"/>
      <c r="PEW27" s="117"/>
      <c r="PEX27" s="117"/>
      <c r="PEY27" s="117"/>
      <c r="PEZ27" s="117"/>
      <c r="PFA27" s="117"/>
      <c r="PFB27" s="117"/>
      <c r="PFC27" s="117"/>
      <c r="PFD27" s="117"/>
      <c r="PFE27" s="117"/>
      <c r="PFF27" s="117"/>
      <c r="PFG27" s="117"/>
      <c r="PFH27" s="117"/>
      <c r="PFI27" s="117"/>
      <c r="PFJ27" s="117"/>
      <c r="PFK27" s="117"/>
      <c r="PFL27" s="117"/>
      <c r="PFM27" s="117"/>
      <c r="PFN27" s="117"/>
      <c r="PFO27" s="117"/>
      <c r="PFP27" s="117"/>
      <c r="PFQ27" s="117"/>
      <c r="PFR27" s="117"/>
      <c r="PFS27" s="117"/>
      <c r="PFT27" s="117"/>
      <c r="PFU27" s="117"/>
      <c r="PFV27" s="117"/>
      <c r="PFW27" s="117"/>
      <c r="PFX27" s="117"/>
      <c r="PFY27" s="117"/>
      <c r="PFZ27" s="117"/>
      <c r="PGA27" s="117"/>
      <c r="PGB27" s="117"/>
      <c r="PGC27" s="117"/>
      <c r="PGD27" s="117"/>
      <c r="PGE27" s="117"/>
      <c r="PGF27" s="117"/>
      <c r="PGG27" s="117"/>
      <c r="PGH27" s="117"/>
      <c r="PGI27" s="117"/>
      <c r="PGJ27" s="117"/>
      <c r="PGK27" s="117"/>
      <c r="PGL27" s="117"/>
      <c r="PGM27" s="117"/>
      <c r="PGN27" s="117"/>
      <c r="PGO27" s="117"/>
      <c r="PGP27" s="117"/>
      <c r="PGQ27" s="117"/>
      <c r="PGR27" s="117"/>
      <c r="PGS27" s="117"/>
      <c r="PGT27" s="117"/>
      <c r="PGU27" s="117"/>
      <c r="PGV27" s="117"/>
      <c r="PGW27" s="117"/>
      <c r="PGX27" s="117"/>
      <c r="PGY27" s="117"/>
      <c r="PGZ27" s="117"/>
      <c r="PHA27" s="117"/>
      <c r="PHB27" s="117"/>
      <c r="PHC27" s="117"/>
      <c r="PHD27" s="117"/>
      <c r="PHE27" s="117"/>
      <c r="PHF27" s="117"/>
      <c r="PHG27" s="117"/>
      <c r="PHH27" s="117"/>
      <c r="PHI27" s="117"/>
      <c r="PHJ27" s="117"/>
      <c r="PHK27" s="117"/>
      <c r="PHL27" s="117"/>
      <c r="PHM27" s="117"/>
      <c r="PHN27" s="117"/>
      <c r="PHO27" s="117"/>
      <c r="PHP27" s="117"/>
      <c r="PHQ27" s="117"/>
      <c r="PHR27" s="117"/>
      <c r="PHS27" s="117"/>
      <c r="PHT27" s="117"/>
      <c r="PHU27" s="117"/>
      <c r="PHV27" s="117"/>
      <c r="PHW27" s="117"/>
      <c r="PHX27" s="117"/>
      <c r="PHY27" s="117"/>
      <c r="PHZ27" s="117"/>
      <c r="PIA27" s="117"/>
      <c r="PIB27" s="117"/>
      <c r="PIC27" s="117"/>
      <c r="PID27" s="117"/>
      <c r="PIE27" s="117"/>
      <c r="PIF27" s="117"/>
      <c r="PIG27" s="117"/>
      <c r="PIH27" s="117"/>
      <c r="PII27" s="117"/>
      <c r="PIJ27" s="117"/>
      <c r="PIK27" s="117"/>
      <c r="PIL27" s="117"/>
      <c r="PIM27" s="117"/>
      <c r="PIN27" s="117"/>
      <c r="PIO27" s="117"/>
      <c r="PIP27" s="117"/>
      <c r="PIQ27" s="117"/>
      <c r="PIR27" s="117"/>
      <c r="PIS27" s="117"/>
      <c r="PIT27" s="117"/>
      <c r="PIU27" s="117"/>
      <c r="PIV27" s="117"/>
      <c r="PIW27" s="117"/>
      <c r="PIX27" s="117"/>
      <c r="PIY27" s="117"/>
      <c r="PIZ27" s="117"/>
      <c r="PJA27" s="117"/>
      <c r="PJB27" s="117"/>
      <c r="PJC27" s="117"/>
      <c r="PJD27" s="117"/>
      <c r="PJE27" s="117"/>
      <c r="PJF27" s="117"/>
      <c r="PJG27" s="117"/>
      <c r="PJH27" s="117"/>
      <c r="PJI27" s="117"/>
      <c r="PJJ27" s="117"/>
      <c r="PJK27" s="117"/>
      <c r="PJL27" s="117"/>
      <c r="PJM27" s="117"/>
      <c r="PJN27" s="117"/>
      <c r="PJO27" s="117"/>
      <c r="PJP27" s="117"/>
      <c r="PJQ27" s="117"/>
      <c r="PJR27" s="117"/>
      <c r="PJS27" s="117"/>
      <c r="PJT27" s="117"/>
      <c r="PJU27" s="117"/>
      <c r="PJV27" s="117"/>
      <c r="PJW27" s="117"/>
      <c r="PJX27" s="117"/>
      <c r="PJY27" s="117"/>
      <c r="PJZ27" s="117"/>
      <c r="PKA27" s="117"/>
      <c r="PKB27" s="117"/>
      <c r="PKC27" s="117"/>
      <c r="PKD27" s="117"/>
      <c r="PKE27" s="117"/>
      <c r="PKF27" s="117"/>
      <c r="PKG27" s="117"/>
      <c r="PKH27" s="117"/>
      <c r="PKI27" s="117"/>
      <c r="PKJ27" s="117"/>
      <c r="PKK27" s="117"/>
      <c r="PKL27" s="117"/>
      <c r="PKM27" s="117"/>
      <c r="PKN27" s="117"/>
      <c r="PKO27" s="117"/>
      <c r="PKP27" s="117"/>
      <c r="PKQ27" s="117"/>
      <c r="PKR27" s="117"/>
      <c r="PKS27" s="117"/>
      <c r="PKT27" s="117"/>
      <c r="PKU27" s="117"/>
      <c r="PKV27" s="117"/>
      <c r="PKW27" s="117"/>
      <c r="PKX27" s="117"/>
      <c r="PKY27" s="117"/>
      <c r="PKZ27" s="117"/>
      <c r="PLA27" s="117"/>
      <c r="PLB27" s="117"/>
      <c r="PLC27" s="117"/>
      <c r="PLD27" s="117"/>
      <c r="PLE27" s="117"/>
      <c r="PLF27" s="117"/>
      <c r="PLG27" s="117"/>
      <c r="PLH27" s="117"/>
      <c r="PLI27" s="117"/>
      <c r="PLJ27" s="117"/>
      <c r="PLK27" s="117"/>
      <c r="PLL27" s="117"/>
      <c r="PLM27" s="117"/>
      <c r="PLN27" s="117"/>
      <c r="PLO27" s="117"/>
      <c r="PLP27" s="117"/>
      <c r="PLQ27" s="117"/>
      <c r="PLR27" s="117"/>
      <c r="PLS27" s="117"/>
      <c r="PLT27" s="117"/>
      <c r="PLU27" s="117"/>
      <c r="PLV27" s="117"/>
      <c r="PLW27" s="117"/>
      <c r="PLX27" s="117"/>
      <c r="PLY27" s="117"/>
      <c r="PLZ27" s="117"/>
      <c r="PMA27" s="117"/>
      <c r="PMB27" s="117"/>
      <c r="PMC27" s="117"/>
      <c r="PMD27" s="117"/>
      <c r="PME27" s="117"/>
      <c r="PMF27" s="117"/>
      <c r="PMG27" s="117"/>
      <c r="PMH27" s="117"/>
      <c r="PMI27" s="117"/>
      <c r="PMJ27" s="117"/>
      <c r="PMK27" s="117"/>
      <c r="PML27" s="117"/>
      <c r="PMM27" s="117"/>
      <c r="PMN27" s="117"/>
      <c r="PMO27" s="117"/>
      <c r="PMP27" s="117"/>
      <c r="PMQ27" s="117"/>
      <c r="PMR27" s="117"/>
      <c r="PMS27" s="117"/>
      <c r="PMT27" s="117"/>
      <c r="PMU27" s="117"/>
      <c r="PMV27" s="117"/>
      <c r="PMW27" s="117"/>
      <c r="PMX27" s="117"/>
      <c r="PMY27" s="117"/>
      <c r="PMZ27" s="117"/>
      <c r="PNA27" s="117"/>
      <c r="PNB27" s="117"/>
      <c r="PNC27" s="117"/>
      <c r="PND27" s="117"/>
      <c r="PNE27" s="117"/>
      <c r="PNF27" s="117"/>
      <c r="PNG27" s="117"/>
      <c r="PNH27" s="117"/>
      <c r="PNI27" s="117"/>
      <c r="PNJ27" s="117"/>
      <c r="PNK27" s="117"/>
      <c r="PNL27" s="117"/>
      <c r="PNM27" s="117"/>
      <c r="PNN27" s="117"/>
      <c r="PNO27" s="117"/>
      <c r="PNP27" s="117"/>
      <c r="PNQ27" s="117"/>
      <c r="PNR27" s="117"/>
      <c r="PNS27" s="117"/>
      <c r="PNT27" s="117"/>
      <c r="PNU27" s="117"/>
      <c r="PNV27" s="117"/>
      <c r="PNW27" s="117"/>
      <c r="PNX27" s="117"/>
      <c r="PNY27" s="117"/>
      <c r="PNZ27" s="117"/>
      <c r="POA27" s="117"/>
      <c r="POB27" s="117"/>
      <c r="POC27" s="117"/>
      <c r="POD27" s="117"/>
      <c r="POE27" s="117"/>
      <c r="POF27" s="117"/>
      <c r="POG27" s="117"/>
      <c r="POH27" s="117"/>
      <c r="POI27" s="117"/>
      <c r="POJ27" s="117"/>
      <c r="POK27" s="117"/>
      <c r="POL27" s="117"/>
      <c r="POM27" s="117"/>
      <c r="PON27" s="117"/>
      <c r="POO27" s="117"/>
      <c r="POP27" s="117"/>
      <c r="POQ27" s="117"/>
      <c r="POR27" s="117"/>
      <c r="POS27" s="117"/>
      <c r="POT27" s="117"/>
      <c r="POU27" s="117"/>
      <c r="POV27" s="117"/>
      <c r="POW27" s="117"/>
      <c r="POX27" s="117"/>
      <c r="POY27" s="117"/>
      <c r="POZ27" s="117"/>
      <c r="PPA27" s="117"/>
      <c r="PPB27" s="117"/>
      <c r="PPC27" s="117"/>
      <c r="PPD27" s="117"/>
      <c r="PPE27" s="117"/>
      <c r="PPF27" s="117"/>
      <c r="PPG27" s="117"/>
      <c r="PPH27" s="117"/>
      <c r="PPI27" s="117"/>
      <c r="PPJ27" s="117"/>
      <c r="PPK27" s="117"/>
      <c r="PPL27" s="117"/>
      <c r="PPM27" s="117"/>
      <c r="PPN27" s="117"/>
      <c r="PPO27" s="117"/>
      <c r="PPP27" s="117"/>
      <c r="PPQ27" s="117"/>
      <c r="PPR27" s="117"/>
      <c r="PPS27" s="117"/>
      <c r="PPT27" s="117"/>
      <c r="PPU27" s="117"/>
      <c r="PPV27" s="117"/>
      <c r="PPW27" s="117"/>
      <c r="PPX27" s="117"/>
      <c r="PPY27" s="117"/>
      <c r="PPZ27" s="117"/>
      <c r="PQA27" s="117"/>
      <c r="PQB27" s="117"/>
      <c r="PQC27" s="117"/>
      <c r="PQD27" s="117"/>
      <c r="PQE27" s="117"/>
      <c r="PQF27" s="117"/>
      <c r="PQG27" s="117"/>
      <c r="PQH27" s="117"/>
      <c r="PQI27" s="117"/>
      <c r="PQJ27" s="117"/>
      <c r="PQK27" s="117"/>
      <c r="PQL27" s="117"/>
      <c r="PQM27" s="117"/>
      <c r="PQN27" s="117"/>
      <c r="PQO27" s="117"/>
      <c r="PQP27" s="117"/>
      <c r="PQQ27" s="117"/>
      <c r="PQR27" s="117"/>
      <c r="PQS27" s="117"/>
      <c r="PQT27" s="117"/>
      <c r="PQU27" s="117"/>
      <c r="PQV27" s="117"/>
      <c r="PQW27" s="117"/>
      <c r="PQX27" s="117"/>
      <c r="PQY27" s="117"/>
      <c r="PQZ27" s="117"/>
      <c r="PRA27" s="117"/>
      <c r="PRB27" s="117"/>
      <c r="PRC27" s="117"/>
      <c r="PRD27" s="117"/>
      <c r="PRE27" s="117"/>
      <c r="PRF27" s="117"/>
      <c r="PRG27" s="117"/>
      <c r="PRH27" s="117"/>
      <c r="PRI27" s="117"/>
      <c r="PRJ27" s="117"/>
      <c r="PRK27" s="117"/>
      <c r="PRL27" s="117"/>
      <c r="PRM27" s="117"/>
      <c r="PRN27" s="117"/>
      <c r="PRO27" s="117"/>
      <c r="PRP27" s="117"/>
      <c r="PRQ27" s="117"/>
      <c r="PRR27" s="117"/>
      <c r="PRS27" s="117"/>
      <c r="PRT27" s="117"/>
      <c r="PRU27" s="117"/>
      <c r="PRV27" s="117"/>
      <c r="PRW27" s="117"/>
      <c r="PRX27" s="117"/>
      <c r="PRY27" s="117"/>
      <c r="PRZ27" s="117"/>
      <c r="PSA27" s="117"/>
      <c r="PSB27" s="117"/>
      <c r="PSC27" s="117"/>
      <c r="PSD27" s="117"/>
      <c r="PSE27" s="117"/>
      <c r="PSF27" s="117"/>
      <c r="PSG27" s="117"/>
      <c r="PSH27" s="117"/>
      <c r="PSI27" s="117"/>
      <c r="PSJ27" s="117"/>
      <c r="PSK27" s="117"/>
      <c r="PSL27" s="117"/>
      <c r="PSM27" s="117"/>
      <c r="PSN27" s="117"/>
      <c r="PSO27" s="117"/>
      <c r="PSP27" s="117"/>
      <c r="PSQ27" s="117"/>
      <c r="PSR27" s="117"/>
      <c r="PSS27" s="117"/>
      <c r="PST27" s="117"/>
      <c r="PSU27" s="117"/>
      <c r="PSV27" s="117"/>
      <c r="PSW27" s="117"/>
      <c r="PSX27" s="117"/>
      <c r="PSY27" s="117"/>
      <c r="PSZ27" s="117"/>
      <c r="PTA27" s="117"/>
      <c r="PTB27" s="117"/>
      <c r="PTC27" s="117"/>
      <c r="PTD27" s="117"/>
      <c r="PTE27" s="117"/>
      <c r="PTF27" s="117"/>
      <c r="PTG27" s="117"/>
      <c r="PTH27" s="117"/>
      <c r="PTI27" s="117"/>
      <c r="PTJ27" s="117"/>
      <c r="PTK27" s="117"/>
      <c r="PTL27" s="117"/>
      <c r="PTM27" s="117"/>
      <c r="PTN27" s="117"/>
      <c r="PTO27" s="117"/>
      <c r="PTP27" s="117"/>
      <c r="PTQ27" s="117"/>
      <c r="PTR27" s="117"/>
      <c r="PTS27" s="117"/>
      <c r="PTT27" s="117"/>
      <c r="PTU27" s="117"/>
      <c r="PTV27" s="117"/>
      <c r="PTW27" s="117"/>
      <c r="PTX27" s="117"/>
      <c r="PTY27" s="117"/>
      <c r="PTZ27" s="117"/>
      <c r="PUA27" s="117"/>
      <c r="PUB27" s="117"/>
      <c r="PUC27" s="117"/>
      <c r="PUD27" s="117"/>
      <c r="PUE27" s="117"/>
      <c r="PUF27" s="117"/>
      <c r="PUG27" s="117"/>
      <c r="PUH27" s="117"/>
      <c r="PUI27" s="117"/>
      <c r="PUJ27" s="117"/>
      <c r="PUK27" s="117"/>
      <c r="PUL27" s="117"/>
      <c r="PUM27" s="117"/>
      <c r="PUN27" s="117"/>
      <c r="PUO27" s="117"/>
      <c r="PUP27" s="117"/>
      <c r="PUQ27" s="117"/>
      <c r="PUR27" s="117"/>
      <c r="PUS27" s="117"/>
      <c r="PUT27" s="117"/>
      <c r="PUU27" s="117"/>
      <c r="PUV27" s="117"/>
      <c r="PUW27" s="117"/>
      <c r="PUX27" s="117"/>
      <c r="PUY27" s="117"/>
      <c r="PUZ27" s="117"/>
      <c r="PVA27" s="117"/>
      <c r="PVB27" s="117"/>
      <c r="PVC27" s="117"/>
      <c r="PVD27" s="117"/>
      <c r="PVE27" s="117"/>
      <c r="PVF27" s="117"/>
      <c r="PVG27" s="117"/>
      <c r="PVH27" s="117"/>
      <c r="PVI27" s="117"/>
      <c r="PVJ27" s="117"/>
      <c r="PVK27" s="117"/>
      <c r="PVL27" s="117"/>
      <c r="PVM27" s="117"/>
      <c r="PVN27" s="117"/>
      <c r="PVO27" s="117"/>
      <c r="PVP27" s="117"/>
      <c r="PVQ27" s="117"/>
      <c r="PVR27" s="117"/>
      <c r="PVS27" s="117"/>
      <c r="PVT27" s="117"/>
      <c r="PVU27" s="117"/>
      <c r="PVV27" s="117"/>
      <c r="PVW27" s="117"/>
      <c r="PVX27" s="117"/>
      <c r="PVY27" s="117"/>
      <c r="PVZ27" s="117"/>
      <c r="PWA27" s="117"/>
      <c r="PWB27" s="117"/>
      <c r="PWC27" s="117"/>
      <c r="PWD27" s="117"/>
      <c r="PWE27" s="117"/>
      <c r="PWF27" s="117"/>
      <c r="PWG27" s="117"/>
      <c r="PWH27" s="117"/>
      <c r="PWI27" s="117"/>
      <c r="PWJ27" s="117"/>
      <c r="PWK27" s="117"/>
      <c r="PWL27" s="117"/>
      <c r="PWM27" s="117"/>
      <c r="PWN27" s="117"/>
      <c r="PWO27" s="117"/>
      <c r="PWP27" s="117"/>
      <c r="PWQ27" s="117"/>
      <c r="PWR27" s="117"/>
      <c r="PWS27" s="117"/>
      <c r="PWT27" s="117"/>
      <c r="PWU27" s="117"/>
      <c r="PWV27" s="117"/>
      <c r="PWW27" s="117"/>
      <c r="PWX27" s="117"/>
      <c r="PWY27" s="117"/>
      <c r="PWZ27" s="117"/>
      <c r="PXA27" s="117"/>
      <c r="PXB27" s="117"/>
      <c r="PXC27" s="117"/>
      <c r="PXD27" s="117"/>
      <c r="PXE27" s="117"/>
      <c r="PXF27" s="117"/>
      <c r="PXG27" s="117"/>
      <c r="PXH27" s="117"/>
      <c r="PXI27" s="117"/>
      <c r="PXJ27" s="117"/>
      <c r="PXK27" s="117"/>
      <c r="PXL27" s="117"/>
      <c r="PXM27" s="117"/>
      <c r="PXN27" s="117"/>
      <c r="PXO27" s="117"/>
      <c r="PXP27" s="117"/>
      <c r="PXQ27" s="117"/>
      <c r="PXR27" s="117"/>
      <c r="PXS27" s="117"/>
      <c r="PXT27" s="117"/>
      <c r="PXU27" s="117"/>
      <c r="PXV27" s="117"/>
      <c r="PXW27" s="117"/>
      <c r="PXX27" s="117"/>
      <c r="PXY27" s="117"/>
      <c r="PXZ27" s="117"/>
      <c r="PYA27" s="117"/>
      <c r="PYB27" s="117"/>
      <c r="PYC27" s="117"/>
      <c r="PYD27" s="117"/>
      <c r="PYE27" s="117"/>
      <c r="PYF27" s="117"/>
      <c r="PYG27" s="117"/>
      <c r="PYH27" s="117"/>
      <c r="PYI27" s="117"/>
      <c r="PYJ27" s="117"/>
      <c r="PYK27" s="117"/>
      <c r="PYL27" s="117"/>
      <c r="PYM27" s="117"/>
      <c r="PYN27" s="117"/>
      <c r="PYO27" s="117"/>
      <c r="PYP27" s="117"/>
      <c r="PYQ27" s="117"/>
      <c r="PYR27" s="117"/>
      <c r="PYS27" s="117"/>
      <c r="PYT27" s="117"/>
      <c r="PYU27" s="117"/>
      <c r="PYV27" s="117"/>
      <c r="PYW27" s="117"/>
      <c r="PYX27" s="117"/>
      <c r="PYY27" s="117"/>
      <c r="PYZ27" s="117"/>
      <c r="PZA27" s="117"/>
      <c r="PZB27" s="117"/>
      <c r="PZC27" s="117"/>
      <c r="PZD27" s="117"/>
      <c r="PZE27" s="117"/>
      <c r="PZF27" s="117"/>
      <c r="PZG27" s="117"/>
      <c r="PZH27" s="117"/>
      <c r="PZI27" s="117"/>
      <c r="PZJ27" s="117"/>
      <c r="PZK27" s="117"/>
      <c r="PZL27" s="117"/>
      <c r="PZM27" s="117"/>
      <c r="PZN27" s="117"/>
      <c r="PZO27" s="117"/>
      <c r="PZP27" s="117"/>
      <c r="PZQ27" s="117"/>
      <c r="PZR27" s="117"/>
      <c r="PZS27" s="117"/>
      <c r="PZT27" s="117"/>
      <c r="PZU27" s="117"/>
      <c r="PZV27" s="117"/>
      <c r="PZW27" s="117"/>
      <c r="PZX27" s="117"/>
      <c r="PZY27" s="117"/>
      <c r="PZZ27" s="117"/>
      <c r="QAA27" s="117"/>
      <c r="QAB27" s="117"/>
      <c r="QAC27" s="117"/>
      <c r="QAD27" s="117"/>
      <c r="QAE27" s="117"/>
      <c r="QAF27" s="117"/>
      <c r="QAG27" s="117"/>
      <c r="QAH27" s="117"/>
      <c r="QAI27" s="117"/>
      <c r="QAJ27" s="117"/>
      <c r="QAK27" s="117"/>
      <c r="QAL27" s="117"/>
      <c r="QAM27" s="117"/>
      <c r="QAN27" s="117"/>
      <c r="QAO27" s="117"/>
      <c r="QAP27" s="117"/>
      <c r="QAQ27" s="117"/>
      <c r="QAR27" s="117"/>
      <c r="QAS27" s="117"/>
      <c r="QAT27" s="117"/>
      <c r="QAU27" s="117"/>
      <c r="QAV27" s="117"/>
      <c r="QAW27" s="117"/>
      <c r="QAX27" s="117"/>
      <c r="QAY27" s="117"/>
      <c r="QAZ27" s="117"/>
      <c r="QBA27" s="117"/>
      <c r="QBB27" s="117"/>
      <c r="QBC27" s="117"/>
      <c r="QBD27" s="117"/>
      <c r="QBE27" s="117"/>
      <c r="QBF27" s="117"/>
      <c r="QBG27" s="117"/>
      <c r="QBH27" s="117"/>
      <c r="QBI27" s="117"/>
      <c r="QBJ27" s="117"/>
      <c r="QBK27" s="117"/>
      <c r="QBL27" s="117"/>
      <c r="QBM27" s="117"/>
      <c r="QBN27" s="117"/>
      <c r="QBO27" s="117"/>
      <c r="QBP27" s="117"/>
      <c r="QBQ27" s="117"/>
      <c r="QBR27" s="117"/>
      <c r="QBS27" s="117"/>
      <c r="QBT27" s="117"/>
      <c r="QBU27" s="117"/>
      <c r="QBV27" s="117"/>
      <c r="QBW27" s="117"/>
      <c r="QBX27" s="117"/>
      <c r="QBY27" s="117"/>
      <c r="QBZ27" s="117"/>
      <c r="QCA27" s="117"/>
      <c r="QCB27" s="117"/>
      <c r="QCC27" s="117"/>
      <c r="QCD27" s="117"/>
      <c r="QCE27" s="117"/>
      <c r="QCF27" s="117"/>
      <c r="QCG27" s="117"/>
      <c r="QCH27" s="117"/>
      <c r="QCI27" s="117"/>
      <c r="QCJ27" s="117"/>
      <c r="QCK27" s="117"/>
      <c r="QCL27" s="117"/>
      <c r="QCM27" s="117"/>
      <c r="QCN27" s="117"/>
      <c r="QCO27" s="117"/>
      <c r="QCP27" s="117"/>
      <c r="QCQ27" s="117"/>
      <c r="QCR27" s="117"/>
      <c r="QCS27" s="117"/>
      <c r="QCT27" s="117"/>
      <c r="QCU27" s="117"/>
      <c r="QCV27" s="117"/>
      <c r="QCW27" s="117"/>
      <c r="QCX27" s="117"/>
      <c r="QCY27" s="117"/>
      <c r="QCZ27" s="117"/>
      <c r="QDA27" s="117"/>
      <c r="QDB27" s="117"/>
      <c r="QDC27" s="117"/>
      <c r="QDD27" s="117"/>
      <c r="QDE27" s="117"/>
      <c r="QDF27" s="117"/>
      <c r="QDG27" s="117"/>
      <c r="QDH27" s="117"/>
      <c r="QDI27" s="117"/>
      <c r="QDJ27" s="117"/>
      <c r="QDK27" s="117"/>
      <c r="QDL27" s="117"/>
      <c r="QDM27" s="117"/>
      <c r="QDN27" s="117"/>
      <c r="QDO27" s="117"/>
      <c r="QDP27" s="117"/>
      <c r="QDQ27" s="117"/>
      <c r="QDR27" s="117"/>
      <c r="QDS27" s="117"/>
      <c r="QDT27" s="117"/>
      <c r="QDU27" s="117"/>
      <c r="QDV27" s="117"/>
      <c r="QDW27" s="117"/>
      <c r="QDX27" s="117"/>
      <c r="QDY27" s="117"/>
      <c r="QDZ27" s="117"/>
      <c r="QEA27" s="117"/>
      <c r="QEB27" s="117"/>
      <c r="QEC27" s="117"/>
      <c r="QED27" s="117"/>
      <c r="QEE27" s="117"/>
      <c r="QEF27" s="117"/>
      <c r="QEG27" s="117"/>
      <c r="QEH27" s="117"/>
      <c r="QEI27" s="117"/>
      <c r="QEJ27" s="117"/>
      <c r="QEK27" s="117"/>
      <c r="QEL27" s="117"/>
      <c r="QEM27" s="117"/>
      <c r="QEN27" s="117"/>
      <c r="QEO27" s="117"/>
      <c r="QEP27" s="117"/>
      <c r="QEQ27" s="117"/>
      <c r="QER27" s="117"/>
      <c r="QES27" s="117"/>
      <c r="QET27" s="117"/>
      <c r="QEU27" s="117"/>
      <c r="QEV27" s="117"/>
      <c r="QEW27" s="117"/>
      <c r="QEX27" s="117"/>
      <c r="QEY27" s="117"/>
      <c r="QEZ27" s="117"/>
      <c r="QFA27" s="117"/>
      <c r="QFB27" s="117"/>
      <c r="QFC27" s="117"/>
      <c r="QFD27" s="117"/>
      <c r="QFE27" s="117"/>
      <c r="QFF27" s="117"/>
      <c r="QFG27" s="117"/>
      <c r="QFH27" s="117"/>
      <c r="QFI27" s="117"/>
      <c r="QFJ27" s="117"/>
      <c r="QFK27" s="117"/>
      <c r="QFL27" s="117"/>
      <c r="QFM27" s="117"/>
      <c r="QFN27" s="117"/>
      <c r="QFO27" s="117"/>
      <c r="QFP27" s="117"/>
      <c r="QFQ27" s="117"/>
      <c r="QFR27" s="117"/>
      <c r="QFS27" s="117"/>
      <c r="QFT27" s="117"/>
      <c r="QFU27" s="117"/>
      <c r="QFV27" s="117"/>
      <c r="QFW27" s="117"/>
      <c r="QFX27" s="117"/>
      <c r="QFY27" s="117"/>
      <c r="QFZ27" s="117"/>
      <c r="QGA27" s="117"/>
      <c r="QGB27" s="117"/>
      <c r="QGC27" s="117"/>
      <c r="QGD27" s="117"/>
      <c r="QGE27" s="117"/>
      <c r="QGF27" s="117"/>
      <c r="QGG27" s="117"/>
      <c r="QGH27" s="117"/>
      <c r="QGI27" s="117"/>
      <c r="QGJ27" s="117"/>
      <c r="QGK27" s="117"/>
      <c r="QGL27" s="117"/>
      <c r="QGM27" s="117"/>
      <c r="QGN27" s="117"/>
      <c r="QGO27" s="117"/>
      <c r="QGP27" s="117"/>
      <c r="QGQ27" s="117"/>
      <c r="QGR27" s="117"/>
      <c r="QGS27" s="117"/>
      <c r="QGT27" s="117"/>
      <c r="QGU27" s="117"/>
      <c r="QGV27" s="117"/>
      <c r="QGW27" s="117"/>
      <c r="QGX27" s="117"/>
      <c r="QGY27" s="117"/>
      <c r="QGZ27" s="117"/>
      <c r="QHA27" s="117"/>
      <c r="QHB27" s="117"/>
      <c r="QHC27" s="117"/>
      <c r="QHD27" s="117"/>
      <c r="QHE27" s="117"/>
      <c r="QHF27" s="117"/>
      <c r="QHG27" s="117"/>
      <c r="QHH27" s="117"/>
      <c r="QHI27" s="117"/>
      <c r="QHJ27" s="117"/>
      <c r="QHK27" s="117"/>
      <c r="QHL27" s="117"/>
      <c r="QHM27" s="117"/>
      <c r="QHN27" s="117"/>
      <c r="QHO27" s="117"/>
      <c r="QHP27" s="117"/>
      <c r="QHQ27" s="117"/>
      <c r="QHR27" s="117"/>
      <c r="QHS27" s="117"/>
      <c r="QHT27" s="117"/>
      <c r="QHU27" s="117"/>
      <c r="QHV27" s="117"/>
      <c r="QHW27" s="117"/>
      <c r="QHX27" s="117"/>
      <c r="QHY27" s="117"/>
      <c r="QHZ27" s="117"/>
      <c r="QIA27" s="117"/>
      <c r="QIB27" s="117"/>
      <c r="QIC27" s="117"/>
      <c r="QID27" s="117"/>
      <c r="QIE27" s="117"/>
      <c r="QIF27" s="117"/>
      <c r="QIG27" s="117"/>
      <c r="QIH27" s="117"/>
      <c r="QII27" s="117"/>
      <c r="QIJ27" s="117"/>
      <c r="QIK27" s="117"/>
      <c r="QIL27" s="117"/>
      <c r="QIM27" s="117"/>
      <c r="QIN27" s="117"/>
      <c r="QIO27" s="117"/>
      <c r="QIP27" s="117"/>
      <c r="QIQ27" s="117"/>
      <c r="QIR27" s="117"/>
      <c r="QIS27" s="117"/>
      <c r="QIT27" s="117"/>
      <c r="QIU27" s="117"/>
      <c r="QIV27" s="117"/>
      <c r="QIW27" s="117"/>
      <c r="QIX27" s="117"/>
      <c r="QIY27" s="117"/>
      <c r="QIZ27" s="117"/>
      <c r="QJA27" s="117"/>
      <c r="QJB27" s="117"/>
      <c r="QJC27" s="117"/>
      <c r="QJD27" s="117"/>
      <c r="QJE27" s="117"/>
      <c r="QJF27" s="117"/>
      <c r="QJG27" s="117"/>
      <c r="QJH27" s="117"/>
      <c r="QJI27" s="117"/>
      <c r="QJJ27" s="117"/>
      <c r="QJK27" s="117"/>
      <c r="QJL27" s="117"/>
      <c r="QJM27" s="117"/>
      <c r="QJN27" s="117"/>
      <c r="QJO27" s="117"/>
      <c r="QJP27" s="117"/>
      <c r="QJQ27" s="117"/>
      <c r="QJR27" s="117"/>
      <c r="QJS27" s="117"/>
      <c r="QJT27" s="117"/>
      <c r="QJU27" s="117"/>
      <c r="QJV27" s="117"/>
      <c r="QJW27" s="117"/>
      <c r="QJX27" s="117"/>
      <c r="QJY27" s="117"/>
      <c r="QJZ27" s="117"/>
      <c r="QKA27" s="117"/>
      <c r="QKB27" s="117"/>
      <c r="QKC27" s="117"/>
      <c r="QKD27" s="117"/>
      <c r="QKE27" s="117"/>
      <c r="QKF27" s="117"/>
      <c r="QKG27" s="117"/>
      <c r="QKH27" s="117"/>
      <c r="QKI27" s="117"/>
      <c r="QKJ27" s="117"/>
      <c r="QKK27" s="117"/>
      <c r="QKL27" s="117"/>
      <c r="QKM27" s="117"/>
      <c r="QKN27" s="117"/>
      <c r="QKO27" s="117"/>
      <c r="QKP27" s="117"/>
      <c r="QKQ27" s="117"/>
      <c r="QKR27" s="117"/>
      <c r="QKS27" s="117"/>
      <c r="QKT27" s="117"/>
      <c r="QKU27" s="117"/>
      <c r="QKV27" s="117"/>
      <c r="QKW27" s="117"/>
      <c r="QKX27" s="117"/>
      <c r="QKY27" s="117"/>
      <c r="QKZ27" s="117"/>
      <c r="QLA27" s="117"/>
      <c r="QLB27" s="117"/>
      <c r="QLC27" s="117"/>
      <c r="QLD27" s="117"/>
      <c r="QLE27" s="117"/>
      <c r="QLF27" s="117"/>
      <c r="QLG27" s="117"/>
      <c r="QLH27" s="117"/>
      <c r="QLI27" s="117"/>
      <c r="QLJ27" s="117"/>
      <c r="QLK27" s="117"/>
      <c r="QLL27" s="117"/>
      <c r="QLM27" s="117"/>
      <c r="QLN27" s="117"/>
      <c r="QLO27" s="117"/>
      <c r="QLP27" s="117"/>
      <c r="QLQ27" s="117"/>
      <c r="QLR27" s="117"/>
      <c r="QLS27" s="117"/>
      <c r="QLT27" s="117"/>
      <c r="QLU27" s="117"/>
      <c r="QLV27" s="117"/>
      <c r="QLW27" s="117"/>
      <c r="QLX27" s="117"/>
      <c r="QLY27" s="117"/>
      <c r="QLZ27" s="117"/>
      <c r="QMA27" s="117"/>
      <c r="QMB27" s="117"/>
      <c r="QMC27" s="117"/>
      <c r="QMD27" s="117"/>
      <c r="QME27" s="117"/>
      <c r="QMF27" s="117"/>
      <c r="QMG27" s="117"/>
      <c r="QMH27" s="117"/>
      <c r="QMI27" s="117"/>
      <c r="QMJ27" s="117"/>
      <c r="QMK27" s="117"/>
      <c r="QML27" s="117"/>
      <c r="QMM27" s="117"/>
      <c r="QMN27" s="117"/>
      <c r="QMO27" s="117"/>
      <c r="QMP27" s="117"/>
      <c r="QMQ27" s="117"/>
      <c r="QMR27" s="117"/>
      <c r="QMS27" s="117"/>
      <c r="QMT27" s="117"/>
      <c r="QMU27" s="117"/>
      <c r="QMV27" s="117"/>
      <c r="QMW27" s="117"/>
      <c r="QMX27" s="117"/>
      <c r="QMY27" s="117"/>
      <c r="QMZ27" s="117"/>
      <c r="QNA27" s="117"/>
      <c r="QNB27" s="117"/>
      <c r="QNC27" s="117"/>
      <c r="QND27" s="117"/>
      <c r="QNE27" s="117"/>
      <c r="QNF27" s="117"/>
      <c r="QNG27" s="117"/>
      <c r="QNH27" s="117"/>
      <c r="QNI27" s="117"/>
      <c r="QNJ27" s="117"/>
      <c r="QNK27" s="117"/>
      <c r="QNL27" s="117"/>
      <c r="QNM27" s="117"/>
      <c r="QNN27" s="117"/>
      <c r="QNO27" s="117"/>
      <c r="QNP27" s="117"/>
      <c r="QNQ27" s="117"/>
      <c r="QNR27" s="117"/>
      <c r="QNS27" s="117"/>
      <c r="QNT27" s="117"/>
      <c r="QNU27" s="117"/>
      <c r="QNV27" s="117"/>
      <c r="QNW27" s="117"/>
      <c r="QNX27" s="117"/>
      <c r="QNY27" s="117"/>
      <c r="QNZ27" s="117"/>
      <c r="QOA27" s="117"/>
      <c r="QOB27" s="117"/>
      <c r="QOC27" s="117"/>
      <c r="QOD27" s="117"/>
      <c r="QOE27" s="117"/>
      <c r="QOF27" s="117"/>
      <c r="QOG27" s="117"/>
      <c r="QOH27" s="117"/>
      <c r="QOI27" s="117"/>
      <c r="QOJ27" s="117"/>
      <c r="QOK27" s="117"/>
      <c r="QOL27" s="117"/>
      <c r="QOM27" s="117"/>
      <c r="QON27" s="117"/>
      <c r="QOO27" s="117"/>
      <c r="QOP27" s="117"/>
      <c r="QOQ27" s="117"/>
      <c r="QOR27" s="117"/>
      <c r="QOS27" s="117"/>
      <c r="QOT27" s="117"/>
      <c r="QOU27" s="117"/>
      <c r="QOV27" s="117"/>
      <c r="QOW27" s="117"/>
      <c r="QOX27" s="117"/>
      <c r="QOY27" s="117"/>
      <c r="QOZ27" s="117"/>
      <c r="QPA27" s="117"/>
      <c r="QPB27" s="117"/>
      <c r="QPC27" s="117"/>
      <c r="QPD27" s="117"/>
      <c r="QPE27" s="117"/>
      <c r="QPF27" s="117"/>
      <c r="QPG27" s="117"/>
      <c r="QPH27" s="117"/>
      <c r="QPI27" s="117"/>
      <c r="QPJ27" s="117"/>
      <c r="QPK27" s="117"/>
      <c r="QPL27" s="117"/>
      <c r="QPM27" s="117"/>
      <c r="QPN27" s="117"/>
      <c r="QPO27" s="117"/>
      <c r="QPP27" s="117"/>
      <c r="QPQ27" s="117"/>
      <c r="QPR27" s="117"/>
      <c r="QPS27" s="117"/>
      <c r="QPT27" s="117"/>
      <c r="QPU27" s="117"/>
      <c r="QPV27" s="117"/>
      <c r="QPW27" s="117"/>
      <c r="QPX27" s="117"/>
      <c r="QPY27" s="117"/>
      <c r="QPZ27" s="117"/>
      <c r="QQA27" s="117"/>
      <c r="QQB27" s="117"/>
      <c r="QQC27" s="117"/>
      <c r="QQD27" s="117"/>
      <c r="QQE27" s="117"/>
      <c r="QQF27" s="117"/>
      <c r="QQG27" s="117"/>
      <c r="QQH27" s="117"/>
      <c r="QQI27" s="117"/>
      <c r="QQJ27" s="117"/>
      <c r="QQK27" s="117"/>
      <c r="QQL27" s="117"/>
      <c r="QQM27" s="117"/>
      <c r="QQN27" s="117"/>
      <c r="QQO27" s="117"/>
      <c r="QQP27" s="117"/>
      <c r="QQQ27" s="117"/>
      <c r="QQR27" s="117"/>
      <c r="QQS27" s="117"/>
      <c r="QQT27" s="117"/>
      <c r="QQU27" s="117"/>
      <c r="QQV27" s="117"/>
      <c r="QQW27" s="117"/>
      <c r="QQX27" s="117"/>
      <c r="QQY27" s="117"/>
      <c r="QQZ27" s="117"/>
      <c r="QRA27" s="117"/>
      <c r="QRB27" s="117"/>
      <c r="QRC27" s="117"/>
      <c r="QRD27" s="117"/>
      <c r="QRE27" s="117"/>
      <c r="QRF27" s="117"/>
      <c r="QRG27" s="117"/>
      <c r="QRH27" s="117"/>
      <c r="QRI27" s="117"/>
      <c r="QRJ27" s="117"/>
      <c r="QRK27" s="117"/>
      <c r="QRL27" s="117"/>
      <c r="QRM27" s="117"/>
      <c r="QRN27" s="117"/>
      <c r="QRO27" s="117"/>
      <c r="QRP27" s="117"/>
      <c r="QRQ27" s="117"/>
      <c r="QRR27" s="117"/>
      <c r="QRS27" s="117"/>
      <c r="QRT27" s="117"/>
      <c r="QRU27" s="117"/>
      <c r="QRV27" s="117"/>
      <c r="QRW27" s="117"/>
      <c r="QRX27" s="117"/>
      <c r="QRY27" s="117"/>
      <c r="QRZ27" s="117"/>
      <c r="QSA27" s="117"/>
      <c r="QSB27" s="117"/>
      <c r="QSC27" s="117"/>
      <c r="QSD27" s="117"/>
      <c r="QSE27" s="117"/>
      <c r="QSF27" s="117"/>
      <c r="QSG27" s="117"/>
      <c r="QSH27" s="117"/>
      <c r="QSI27" s="117"/>
      <c r="QSJ27" s="117"/>
      <c r="QSK27" s="117"/>
      <c r="QSL27" s="117"/>
      <c r="QSM27" s="117"/>
      <c r="QSN27" s="117"/>
      <c r="QSO27" s="117"/>
      <c r="QSP27" s="117"/>
      <c r="QSQ27" s="117"/>
      <c r="QSR27" s="117"/>
      <c r="QSS27" s="117"/>
      <c r="QST27" s="117"/>
      <c r="QSU27" s="117"/>
      <c r="QSV27" s="117"/>
      <c r="QSW27" s="117"/>
      <c r="QSX27" s="117"/>
      <c r="QSY27" s="117"/>
      <c r="QSZ27" s="117"/>
      <c r="QTA27" s="117"/>
      <c r="QTB27" s="117"/>
      <c r="QTC27" s="117"/>
      <c r="QTD27" s="117"/>
      <c r="QTE27" s="117"/>
      <c r="QTF27" s="117"/>
      <c r="QTG27" s="117"/>
      <c r="QTH27" s="117"/>
      <c r="QTI27" s="117"/>
      <c r="QTJ27" s="117"/>
      <c r="QTK27" s="117"/>
      <c r="QTL27" s="117"/>
      <c r="QTM27" s="117"/>
      <c r="QTN27" s="117"/>
      <c r="QTO27" s="117"/>
      <c r="QTP27" s="117"/>
      <c r="QTQ27" s="117"/>
      <c r="QTR27" s="117"/>
      <c r="QTS27" s="117"/>
      <c r="QTT27" s="117"/>
      <c r="QTU27" s="117"/>
      <c r="QTV27" s="117"/>
      <c r="QTW27" s="117"/>
      <c r="QTX27" s="117"/>
      <c r="QTY27" s="117"/>
      <c r="QTZ27" s="117"/>
      <c r="QUA27" s="117"/>
      <c r="QUB27" s="117"/>
      <c r="QUC27" s="117"/>
      <c r="QUD27" s="117"/>
      <c r="QUE27" s="117"/>
      <c r="QUF27" s="117"/>
      <c r="QUG27" s="117"/>
      <c r="QUH27" s="117"/>
      <c r="QUI27" s="117"/>
      <c r="QUJ27" s="117"/>
      <c r="QUK27" s="117"/>
      <c r="QUL27" s="117"/>
      <c r="QUM27" s="117"/>
      <c r="QUN27" s="117"/>
      <c r="QUO27" s="117"/>
      <c r="QUP27" s="117"/>
      <c r="QUQ27" s="117"/>
      <c r="QUR27" s="117"/>
      <c r="QUS27" s="117"/>
      <c r="QUT27" s="117"/>
      <c r="QUU27" s="117"/>
      <c r="QUV27" s="117"/>
      <c r="QUW27" s="117"/>
      <c r="QUX27" s="117"/>
      <c r="QUY27" s="117"/>
      <c r="QUZ27" s="117"/>
      <c r="QVA27" s="117"/>
      <c r="QVB27" s="117"/>
      <c r="QVC27" s="117"/>
      <c r="QVD27" s="117"/>
      <c r="QVE27" s="117"/>
      <c r="QVF27" s="117"/>
      <c r="QVG27" s="117"/>
      <c r="QVH27" s="117"/>
      <c r="QVI27" s="117"/>
      <c r="QVJ27" s="117"/>
      <c r="QVK27" s="117"/>
      <c r="QVL27" s="117"/>
      <c r="QVM27" s="117"/>
      <c r="QVN27" s="117"/>
      <c r="QVO27" s="117"/>
      <c r="QVP27" s="117"/>
      <c r="QVQ27" s="117"/>
      <c r="QVR27" s="117"/>
      <c r="QVS27" s="117"/>
      <c r="QVT27" s="117"/>
      <c r="QVU27" s="117"/>
      <c r="QVV27" s="117"/>
      <c r="QVW27" s="117"/>
      <c r="QVX27" s="117"/>
      <c r="QVY27" s="117"/>
      <c r="QVZ27" s="117"/>
      <c r="QWA27" s="117"/>
      <c r="QWB27" s="117"/>
      <c r="QWC27" s="117"/>
      <c r="QWD27" s="117"/>
      <c r="QWE27" s="117"/>
      <c r="QWF27" s="117"/>
      <c r="QWG27" s="117"/>
      <c r="QWH27" s="117"/>
      <c r="QWI27" s="117"/>
      <c r="QWJ27" s="117"/>
      <c r="QWK27" s="117"/>
      <c r="QWL27" s="117"/>
      <c r="QWM27" s="117"/>
      <c r="QWN27" s="117"/>
      <c r="QWO27" s="117"/>
      <c r="QWP27" s="117"/>
      <c r="QWQ27" s="117"/>
      <c r="QWR27" s="117"/>
      <c r="QWS27" s="117"/>
      <c r="QWT27" s="117"/>
      <c r="QWU27" s="117"/>
      <c r="QWV27" s="117"/>
      <c r="QWW27" s="117"/>
      <c r="QWX27" s="117"/>
      <c r="QWY27" s="117"/>
      <c r="QWZ27" s="117"/>
      <c r="QXA27" s="117"/>
      <c r="QXB27" s="117"/>
      <c r="QXC27" s="117"/>
      <c r="QXD27" s="117"/>
      <c r="QXE27" s="117"/>
      <c r="QXF27" s="117"/>
      <c r="QXG27" s="117"/>
      <c r="QXH27" s="117"/>
      <c r="QXI27" s="117"/>
      <c r="QXJ27" s="117"/>
      <c r="QXK27" s="117"/>
      <c r="QXL27" s="117"/>
      <c r="QXM27" s="117"/>
      <c r="QXN27" s="117"/>
      <c r="QXO27" s="117"/>
      <c r="QXP27" s="117"/>
      <c r="QXQ27" s="117"/>
      <c r="QXR27" s="117"/>
      <c r="QXS27" s="117"/>
      <c r="QXT27" s="117"/>
      <c r="QXU27" s="117"/>
      <c r="QXV27" s="117"/>
      <c r="QXW27" s="117"/>
      <c r="QXX27" s="117"/>
      <c r="QXY27" s="117"/>
      <c r="QXZ27" s="117"/>
      <c r="QYA27" s="117"/>
      <c r="QYB27" s="117"/>
      <c r="QYC27" s="117"/>
      <c r="QYD27" s="117"/>
      <c r="QYE27" s="117"/>
      <c r="QYF27" s="117"/>
      <c r="QYG27" s="117"/>
      <c r="QYH27" s="117"/>
      <c r="QYI27" s="117"/>
      <c r="QYJ27" s="117"/>
      <c r="QYK27" s="117"/>
      <c r="QYL27" s="117"/>
      <c r="QYM27" s="117"/>
      <c r="QYN27" s="117"/>
      <c r="QYO27" s="117"/>
      <c r="QYP27" s="117"/>
      <c r="QYQ27" s="117"/>
      <c r="QYR27" s="117"/>
      <c r="QYS27" s="117"/>
      <c r="QYT27" s="117"/>
      <c r="QYU27" s="117"/>
      <c r="QYV27" s="117"/>
      <c r="QYW27" s="117"/>
      <c r="QYX27" s="117"/>
      <c r="QYY27" s="117"/>
      <c r="QYZ27" s="117"/>
      <c r="QZA27" s="117"/>
      <c r="QZB27" s="117"/>
      <c r="QZC27" s="117"/>
      <c r="QZD27" s="117"/>
      <c r="QZE27" s="117"/>
      <c r="QZF27" s="117"/>
      <c r="QZG27" s="117"/>
      <c r="QZH27" s="117"/>
      <c r="QZI27" s="117"/>
      <c r="QZJ27" s="117"/>
      <c r="QZK27" s="117"/>
      <c r="QZL27" s="117"/>
      <c r="QZM27" s="117"/>
      <c r="QZN27" s="117"/>
      <c r="QZO27" s="117"/>
      <c r="QZP27" s="117"/>
      <c r="QZQ27" s="117"/>
      <c r="QZR27" s="117"/>
      <c r="QZS27" s="117"/>
      <c r="QZT27" s="117"/>
      <c r="QZU27" s="117"/>
      <c r="QZV27" s="117"/>
      <c r="QZW27" s="117"/>
      <c r="QZX27" s="117"/>
      <c r="QZY27" s="117"/>
      <c r="QZZ27" s="117"/>
      <c r="RAA27" s="117"/>
      <c r="RAB27" s="117"/>
      <c r="RAC27" s="117"/>
      <c r="RAD27" s="117"/>
      <c r="RAE27" s="117"/>
      <c r="RAF27" s="117"/>
      <c r="RAG27" s="117"/>
      <c r="RAH27" s="117"/>
      <c r="RAI27" s="117"/>
      <c r="RAJ27" s="117"/>
      <c r="RAK27" s="117"/>
      <c r="RAL27" s="117"/>
      <c r="RAM27" s="117"/>
      <c r="RAN27" s="117"/>
      <c r="RAO27" s="117"/>
      <c r="RAP27" s="117"/>
      <c r="RAQ27" s="117"/>
      <c r="RAR27" s="117"/>
      <c r="RAS27" s="117"/>
      <c r="RAT27" s="117"/>
      <c r="RAU27" s="117"/>
      <c r="RAV27" s="117"/>
      <c r="RAW27" s="117"/>
      <c r="RAX27" s="117"/>
      <c r="RAY27" s="117"/>
      <c r="RAZ27" s="117"/>
      <c r="RBA27" s="117"/>
      <c r="RBB27" s="117"/>
      <c r="RBC27" s="117"/>
      <c r="RBD27" s="117"/>
      <c r="RBE27" s="117"/>
      <c r="RBF27" s="117"/>
      <c r="RBG27" s="117"/>
      <c r="RBH27" s="117"/>
      <c r="RBI27" s="117"/>
      <c r="RBJ27" s="117"/>
      <c r="RBK27" s="117"/>
      <c r="RBL27" s="117"/>
      <c r="RBM27" s="117"/>
      <c r="RBN27" s="117"/>
      <c r="RBO27" s="117"/>
      <c r="RBP27" s="117"/>
      <c r="RBQ27" s="117"/>
      <c r="RBR27" s="117"/>
      <c r="RBS27" s="117"/>
      <c r="RBT27" s="117"/>
      <c r="RBU27" s="117"/>
      <c r="RBV27" s="117"/>
      <c r="RBW27" s="117"/>
      <c r="RBX27" s="117"/>
      <c r="RBY27" s="117"/>
      <c r="RBZ27" s="117"/>
      <c r="RCA27" s="117"/>
      <c r="RCB27" s="117"/>
      <c r="RCC27" s="117"/>
      <c r="RCD27" s="117"/>
      <c r="RCE27" s="117"/>
      <c r="RCF27" s="117"/>
      <c r="RCG27" s="117"/>
      <c r="RCH27" s="117"/>
      <c r="RCI27" s="117"/>
      <c r="RCJ27" s="117"/>
      <c r="RCK27" s="117"/>
      <c r="RCL27" s="117"/>
      <c r="RCM27" s="117"/>
      <c r="RCN27" s="117"/>
      <c r="RCO27" s="117"/>
      <c r="RCP27" s="117"/>
      <c r="RCQ27" s="117"/>
      <c r="RCR27" s="117"/>
      <c r="RCS27" s="117"/>
      <c r="RCT27" s="117"/>
      <c r="RCU27" s="117"/>
      <c r="RCV27" s="117"/>
      <c r="RCW27" s="117"/>
      <c r="RCX27" s="117"/>
      <c r="RCY27" s="117"/>
      <c r="RCZ27" s="117"/>
      <c r="RDA27" s="117"/>
      <c r="RDB27" s="117"/>
      <c r="RDC27" s="117"/>
      <c r="RDD27" s="117"/>
      <c r="RDE27" s="117"/>
      <c r="RDF27" s="117"/>
      <c r="RDG27" s="117"/>
      <c r="RDH27" s="117"/>
      <c r="RDI27" s="117"/>
      <c r="RDJ27" s="117"/>
      <c r="RDK27" s="117"/>
      <c r="RDL27" s="117"/>
      <c r="RDM27" s="117"/>
      <c r="RDN27" s="117"/>
      <c r="RDO27" s="117"/>
      <c r="RDP27" s="117"/>
      <c r="RDQ27" s="117"/>
      <c r="RDR27" s="117"/>
      <c r="RDS27" s="117"/>
      <c r="RDT27" s="117"/>
      <c r="RDU27" s="117"/>
      <c r="RDV27" s="117"/>
      <c r="RDW27" s="117"/>
      <c r="RDX27" s="117"/>
      <c r="RDY27" s="117"/>
      <c r="RDZ27" s="117"/>
      <c r="REA27" s="117"/>
      <c r="REB27" s="117"/>
      <c r="REC27" s="117"/>
      <c r="RED27" s="117"/>
      <c r="REE27" s="117"/>
      <c r="REF27" s="117"/>
      <c r="REG27" s="117"/>
      <c r="REH27" s="117"/>
      <c r="REI27" s="117"/>
      <c r="REJ27" s="117"/>
      <c r="REK27" s="117"/>
      <c r="REL27" s="117"/>
      <c r="REM27" s="117"/>
      <c r="REN27" s="117"/>
      <c r="REO27" s="117"/>
      <c r="REP27" s="117"/>
      <c r="REQ27" s="117"/>
      <c r="RER27" s="117"/>
      <c r="RES27" s="117"/>
      <c r="RET27" s="117"/>
      <c r="REU27" s="117"/>
      <c r="REV27" s="117"/>
      <c r="REW27" s="117"/>
      <c r="REX27" s="117"/>
      <c r="REY27" s="117"/>
      <c r="REZ27" s="117"/>
      <c r="RFA27" s="117"/>
      <c r="RFB27" s="117"/>
      <c r="RFC27" s="117"/>
      <c r="RFD27" s="117"/>
      <c r="RFE27" s="117"/>
      <c r="RFF27" s="117"/>
      <c r="RFG27" s="117"/>
      <c r="RFH27" s="117"/>
      <c r="RFI27" s="117"/>
      <c r="RFJ27" s="117"/>
      <c r="RFK27" s="117"/>
      <c r="RFL27" s="117"/>
      <c r="RFM27" s="117"/>
      <c r="RFN27" s="117"/>
      <c r="RFO27" s="117"/>
      <c r="RFP27" s="117"/>
      <c r="RFQ27" s="117"/>
      <c r="RFR27" s="117"/>
      <c r="RFS27" s="117"/>
      <c r="RFT27" s="117"/>
      <c r="RFU27" s="117"/>
      <c r="RFV27" s="117"/>
      <c r="RFW27" s="117"/>
      <c r="RFX27" s="117"/>
      <c r="RFY27" s="117"/>
      <c r="RFZ27" s="117"/>
      <c r="RGA27" s="117"/>
      <c r="RGB27" s="117"/>
      <c r="RGC27" s="117"/>
      <c r="RGD27" s="117"/>
      <c r="RGE27" s="117"/>
      <c r="RGF27" s="117"/>
      <c r="RGG27" s="117"/>
      <c r="RGH27" s="117"/>
      <c r="RGI27" s="117"/>
      <c r="RGJ27" s="117"/>
      <c r="RGK27" s="117"/>
      <c r="RGL27" s="117"/>
      <c r="RGM27" s="117"/>
      <c r="RGN27" s="117"/>
      <c r="RGO27" s="117"/>
      <c r="RGP27" s="117"/>
      <c r="RGQ27" s="117"/>
      <c r="RGR27" s="117"/>
      <c r="RGS27" s="117"/>
      <c r="RGT27" s="117"/>
      <c r="RGU27" s="117"/>
      <c r="RGV27" s="117"/>
      <c r="RGW27" s="117"/>
      <c r="RGX27" s="117"/>
      <c r="RGY27" s="117"/>
      <c r="RGZ27" s="117"/>
      <c r="RHA27" s="117"/>
      <c r="RHB27" s="117"/>
      <c r="RHC27" s="117"/>
      <c r="RHD27" s="117"/>
      <c r="RHE27" s="117"/>
      <c r="RHF27" s="117"/>
      <c r="RHG27" s="117"/>
      <c r="RHH27" s="117"/>
      <c r="RHI27" s="117"/>
      <c r="RHJ27" s="117"/>
      <c r="RHK27" s="117"/>
      <c r="RHL27" s="117"/>
      <c r="RHM27" s="117"/>
      <c r="RHN27" s="117"/>
      <c r="RHO27" s="117"/>
      <c r="RHP27" s="117"/>
      <c r="RHQ27" s="117"/>
      <c r="RHR27" s="117"/>
      <c r="RHS27" s="117"/>
      <c r="RHT27" s="117"/>
      <c r="RHU27" s="117"/>
      <c r="RHV27" s="117"/>
      <c r="RHW27" s="117"/>
      <c r="RHX27" s="117"/>
      <c r="RHY27" s="117"/>
      <c r="RHZ27" s="117"/>
      <c r="RIA27" s="117"/>
      <c r="RIB27" s="117"/>
      <c r="RIC27" s="117"/>
      <c r="RID27" s="117"/>
      <c r="RIE27" s="117"/>
      <c r="RIF27" s="117"/>
      <c r="RIG27" s="117"/>
      <c r="RIH27" s="117"/>
      <c r="RII27" s="117"/>
      <c r="RIJ27" s="117"/>
      <c r="RIK27" s="117"/>
      <c r="RIL27" s="117"/>
      <c r="RIM27" s="117"/>
      <c r="RIN27" s="117"/>
      <c r="RIO27" s="117"/>
      <c r="RIP27" s="117"/>
      <c r="RIQ27" s="117"/>
      <c r="RIR27" s="117"/>
      <c r="RIS27" s="117"/>
      <c r="RIT27" s="117"/>
      <c r="RIU27" s="117"/>
      <c r="RIV27" s="117"/>
      <c r="RIW27" s="117"/>
      <c r="RIX27" s="117"/>
      <c r="RIY27" s="117"/>
      <c r="RIZ27" s="117"/>
      <c r="RJA27" s="117"/>
      <c r="RJB27" s="117"/>
      <c r="RJC27" s="117"/>
      <c r="RJD27" s="117"/>
      <c r="RJE27" s="117"/>
      <c r="RJF27" s="117"/>
      <c r="RJG27" s="117"/>
      <c r="RJH27" s="117"/>
      <c r="RJI27" s="117"/>
      <c r="RJJ27" s="117"/>
      <c r="RJK27" s="117"/>
      <c r="RJL27" s="117"/>
      <c r="RJM27" s="117"/>
      <c r="RJN27" s="117"/>
      <c r="RJO27" s="117"/>
      <c r="RJP27" s="117"/>
      <c r="RJQ27" s="117"/>
      <c r="RJR27" s="117"/>
      <c r="RJS27" s="117"/>
      <c r="RJT27" s="117"/>
      <c r="RJU27" s="117"/>
      <c r="RJV27" s="117"/>
      <c r="RJW27" s="117"/>
      <c r="RJX27" s="117"/>
      <c r="RJY27" s="117"/>
      <c r="RJZ27" s="117"/>
      <c r="RKA27" s="117"/>
      <c r="RKB27" s="117"/>
      <c r="RKC27" s="117"/>
      <c r="RKD27" s="117"/>
      <c r="RKE27" s="117"/>
      <c r="RKF27" s="117"/>
      <c r="RKG27" s="117"/>
      <c r="RKH27" s="117"/>
      <c r="RKI27" s="117"/>
      <c r="RKJ27" s="117"/>
      <c r="RKK27" s="117"/>
      <c r="RKL27" s="117"/>
      <c r="RKM27" s="117"/>
      <c r="RKN27" s="117"/>
      <c r="RKO27" s="117"/>
      <c r="RKP27" s="117"/>
      <c r="RKQ27" s="117"/>
      <c r="RKR27" s="117"/>
      <c r="RKS27" s="117"/>
      <c r="RKT27" s="117"/>
      <c r="RKU27" s="117"/>
      <c r="RKV27" s="117"/>
      <c r="RKW27" s="117"/>
      <c r="RKX27" s="117"/>
      <c r="RKY27" s="117"/>
      <c r="RKZ27" s="117"/>
      <c r="RLA27" s="117"/>
      <c r="RLB27" s="117"/>
      <c r="RLC27" s="117"/>
      <c r="RLD27" s="117"/>
      <c r="RLE27" s="117"/>
      <c r="RLF27" s="117"/>
      <c r="RLG27" s="117"/>
      <c r="RLH27" s="117"/>
      <c r="RLI27" s="117"/>
      <c r="RLJ27" s="117"/>
      <c r="RLK27" s="117"/>
      <c r="RLL27" s="117"/>
      <c r="RLM27" s="117"/>
      <c r="RLN27" s="117"/>
      <c r="RLO27" s="117"/>
      <c r="RLP27" s="117"/>
      <c r="RLQ27" s="117"/>
      <c r="RLR27" s="117"/>
      <c r="RLS27" s="117"/>
      <c r="RLT27" s="117"/>
      <c r="RLU27" s="117"/>
      <c r="RLV27" s="117"/>
      <c r="RLW27" s="117"/>
      <c r="RLX27" s="117"/>
      <c r="RLY27" s="117"/>
      <c r="RLZ27" s="117"/>
      <c r="RMA27" s="117"/>
      <c r="RMB27" s="117"/>
      <c r="RMC27" s="117"/>
      <c r="RMD27" s="117"/>
      <c r="RME27" s="117"/>
      <c r="RMF27" s="117"/>
      <c r="RMG27" s="117"/>
      <c r="RMH27" s="117"/>
      <c r="RMI27" s="117"/>
      <c r="RMJ27" s="117"/>
      <c r="RMK27" s="117"/>
      <c r="RML27" s="117"/>
      <c r="RMM27" s="117"/>
      <c r="RMN27" s="117"/>
      <c r="RMO27" s="117"/>
      <c r="RMP27" s="117"/>
      <c r="RMQ27" s="117"/>
      <c r="RMR27" s="117"/>
      <c r="RMS27" s="117"/>
      <c r="RMT27" s="117"/>
      <c r="RMU27" s="117"/>
      <c r="RMV27" s="117"/>
      <c r="RMW27" s="117"/>
      <c r="RMX27" s="117"/>
      <c r="RMY27" s="117"/>
      <c r="RMZ27" s="117"/>
      <c r="RNA27" s="117"/>
      <c r="RNB27" s="117"/>
      <c r="RNC27" s="117"/>
      <c r="RND27" s="117"/>
      <c r="RNE27" s="117"/>
      <c r="RNF27" s="117"/>
      <c r="RNG27" s="117"/>
      <c r="RNH27" s="117"/>
      <c r="RNI27" s="117"/>
      <c r="RNJ27" s="117"/>
      <c r="RNK27" s="117"/>
      <c r="RNL27" s="117"/>
      <c r="RNM27" s="117"/>
      <c r="RNN27" s="117"/>
      <c r="RNO27" s="117"/>
      <c r="RNP27" s="117"/>
      <c r="RNQ27" s="117"/>
      <c r="RNR27" s="117"/>
      <c r="RNS27" s="117"/>
      <c r="RNT27" s="117"/>
      <c r="RNU27" s="117"/>
      <c r="RNV27" s="117"/>
      <c r="RNW27" s="117"/>
      <c r="RNX27" s="117"/>
      <c r="RNY27" s="117"/>
      <c r="RNZ27" s="117"/>
      <c r="ROA27" s="117"/>
      <c r="ROB27" s="117"/>
      <c r="ROC27" s="117"/>
      <c r="ROD27" s="117"/>
      <c r="ROE27" s="117"/>
      <c r="ROF27" s="117"/>
      <c r="ROG27" s="117"/>
      <c r="ROH27" s="117"/>
      <c r="ROI27" s="117"/>
      <c r="ROJ27" s="117"/>
      <c r="ROK27" s="117"/>
      <c r="ROL27" s="117"/>
      <c r="ROM27" s="117"/>
      <c r="RON27" s="117"/>
      <c r="ROO27" s="117"/>
      <c r="ROP27" s="117"/>
      <c r="ROQ27" s="117"/>
      <c r="ROR27" s="117"/>
      <c r="ROS27" s="117"/>
      <c r="ROT27" s="117"/>
      <c r="ROU27" s="117"/>
      <c r="ROV27" s="117"/>
      <c r="ROW27" s="117"/>
      <c r="ROX27" s="117"/>
      <c r="ROY27" s="117"/>
      <c r="ROZ27" s="117"/>
      <c r="RPA27" s="117"/>
      <c r="RPB27" s="117"/>
      <c r="RPC27" s="117"/>
      <c r="RPD27" s="117"/>
      <c r="RPE27" s="117"/>
      <c r="RPF27" s="117"/>
      <c r="RPG27" s="117"/>
      <c r="RPH27" s="117"/>
      <c r="RPI27" s="117"/>
      <c r="RPJ27" s="117"/>
      <c r="RPK27" s="117"/>
      <c r="RPL27" s="117"/>
      <c r="RPM27" s="117"/>
      <c r="RPN27" s="117"/>
      <c r="RPO27" s="117"/>
      <c r="RPP27" s="117"/>
      <c r="RPQ27" s="117"/>
      <c r="RPR27" s="117"/>
      <c r="RPS27" s="117"/>
      <c r="RPT27" s="117"/>
      <c r="RPU27" s="117"/>
      <c r="RPV27" s="117"/>
      <c r="RPW27" s="117"/>
      <c r="RPX27" s="117"/>
      <c r="RPY27" s="117"/>
      <c r="RPZ27" s="117"/>
      <c r="RQA27" s="117"/>
      <c r="RQB27" s="117"/>
      <c r="RQC27" s="117"/>
      <c r="RQD27" s="117"/>
      <c r="RQE27" s="117"/>
      <c r="RQF27" s="117"/>
      <c r="RQG27" s="117"/>
      <c r="RQH27" s="117"/>
      <c r="RQI27" s="117"/>
      <c r="RQJ27" s="117"/>
      <c r="RQK27" s="117"/>
      <c r="RQL27" s="117"/>
      <c r="RQM27" s="117"/>
      <c r="RQN27" s="117"/>
      <c r="RQO27" s="117"/>
      <c r="RQP27" s="117"/>
      <c r="RQQ27" s="117"/>
      <c r="RQR27" s="117"/>
      <c r="RQS27" s="117"/>
      <c r="RQT27" s="117"/>
      <c r="RQU27" s="117"/>
      <c r="RQV27" s="117"/>
      <c r="RQW27" s="117"/>
      <c r="RQX27" s="117"/>
      <c r="RQY27" s="117"/>
      <c r="RQZ27" s="117"/>
      <c r="RRA27" s="117"/>
      <c r="RRB27" s="117"/>
      <c r="RRC27" s="117"/>
      <c r="RRD27" s="117"/>
      <c r="RRE27" s="117"/>
      <c r="RRF27" s="117"/>
      <c r="RRG27" s="117"/>
      <c r="RRH27" s="117"/>
      <c r="RRI27" s="117"/>
      <c r="RRJ27" s="117"/>
      <c r="RRK27" s="117"/>
      <c r="RRL27" s="117"/>
      <c r="RRM27" s="117"/>
      <c r="RRN27" s="117"/>
      <c r="RRO27" s="117"/>
      <c r="RRP27" s="117"/>
      <c r="RRQ27" s="117"/>
      <c r="RRR27" s="117"/>
      <c r="RRS27" s="117"/>
      <c r="RRT27" s="117"/>
      <c r="RRU27" s="117"/>
      <c r="RRV27" s="117"/>
      <c r="RRW27" s="117"/>
      <c r="RRX27" s="117"/>
      <c r="RRY27" s="117"/>
      <c r="RRZ27" s="117"/>
      <c r="RSA27" s="117"/>
      <c r="RSB27" s="117"/>
      <c r="RSC27" s="117"/>
      <c r="RSD27" s="117"/>
      <c r="RSE27" s="117"/>
      <c r="RSF27" s="117"/>
      <c r="RSG27" s="117"/>
      <c r="RSH27" s="117"/>
      <c r="RSI27" s="117"/>
      <c r="RSJ27" s="117"/>
      <c r="RSK27" s="117"/>
      <c r="RSL27" s="117"/>
      <c r="RSM27" s="117"/>
      <c r="RSN27" s="117"/>
      <c r="RSO27" s="117"/>
      <c r="RSP27" s="117"/>
      <c r="RSQ27" s="117"/>
      <c r="RSR27" s="117"/>
      <c r="RSS27" s="117"/>
      <c r="RST27" s="117"/>
      <c r="RSU27" s="117"/>
      <c r="RSV27" s="117"/>
      <c r="RSW27" s="117"/>
      <c r="RSX27" s="117"/>
      <c r="RSY27" s="117"/>
      <c r="RSZ27" s="117"/>
      <c r="RTA27" s="117"/>
      <c r="RTB27" s="117"/>
      <c r="RTC27" s="117"/>
      <c r="RTD27" s="117"/>
      <c r="RTE27" s="117"/>
      <c r="RTF27" s="117"/>
      <c r="RTG27" s="117"/>
      <c r="RTH27" s="117"/>
      <c r="RTI27" s="117"/>
      <c r="RTJ27" s="117"/>
      <c r="RTK27" s="117"/>
      <c r="RTL27" s="117"/>
      <c r="RTM27" s="117"/>
      <c r="RTN27" s="117"/>
      <c r="RTO27" s="117"/>
      <c r="RTP27" s="117"/>
      <c r="RTQ27" s="117"/>
      <c r="RTR27" s="117"/>
      <c r="RTS27" s="117"/>
      <c r="RTT27" s="117"/>
      <c r="RTU27" s="117"/>
      <c r="RTV27" s="117"/>
      <c r="RTW27" s="117"/>
      <c r="RTX27" s="117"/>
      <c r="RTY27" s="117"/>
      <c r="RTZ27" s="117"/>
      <c r="RUA27" s="117"/>
      <c r="RUB27" s="117"/>
      <c r="RUC27" s="117"/>
      <c r="RUD27" s="117"/>
      <c r="RUE27" s="117"/>
      <c r="RUF27" s="117"/>
      <c r="RUG27" s="117"/>
      <c r="RUH27" s="117"/>
      <c r="RUI27" s="117"/>
      <c r="RUJ27" s="117"/>
      <c r="RUK27" s="117"/>
      <c r="RUL27" s="117"/>
      <c r="RUM27" s="117"/>
      <c r="RUN27" s="117"/>
      <c r="RUO27" s="117"/>
      <c r="RUP27" s="117"/>
      <c r="RUQ27" s="117"/>
      <c r="RUR27" s="117"/>
      <c r="RUS27" s="117"/>
      <c r="RUT27" s="117"/>
      <c r="RUU27" s="117"/>
      <c r="RUV27" s="117"/>
      <c r="RUW27" s="117"/>
      <c r="RUX27" s="117"/>
      <c r="RUY27" s="117"/>
      <c r="RUZ27" s="117"/>
      <c r="RVA27" s="117"/>
      <c r="RVB27" s="117"/>
      <c r="RVC27" s="117"/>
      <c r="RVD27" s="117"/>
      <c r="RVE27" s="117"/>
      <c r="RVF27" s="117"/>
      <c r="RVG27" s="117"/>
      <c r="RVH27" s="117"/>
      <c r="RVI27" s="117"/>
      <c r="RVJ27" s="117"/>
      <c r="RVK27" s="117"/>
      <c r="RVL27" s="117"/>
      <c r="RVM27" s="117"/>
      <c r="RVN27" s="117"/>
      <c r="RVO27" s="117"/>
      <c r="RVP27" s="117"/>
      <c r="RVQ27" s="117"/>
      <c r="RVR27" s="117"/>
      <c r="RVS27" s="117"/>
      <c r="RVT27" s="117"/>
      <c r="RVU27" s="117"/>
      <c r="RVV27" s="117"/>
      <c r="RVW27" s="117"/>
      <c r="RVX27" s="117"/>
      <c r="RVY27" s="117"/>
      <c r="RVZ27" s="117"/>
      <c r="RWA27" s="117"/>
      <c r="RWB27" s="117"/>
      <c r="RWC27" s="117"/>
      <c r="RWD27" s="117"/>
      <c r="RWE27" s="117"/>
      <c r="RWF27" s="117"/>
      <c r="RWG27" s="117"/>
      <c r="RWH27" s="117"/>
      <c r="RWI27" s="117"/>
      <c r="RWJ27" s="117"/>
      <c r="RWK27" s="117"/>
      <c r="RWL27" s="117"/>
      <c r="RWM27" s="117"/>
      <c r="RWN27" s="117"/>
      <c r="RWO27" s="117"/>
      <c r="RWP27" s="117"/>
      <c r="RWQ27" s="117"/>
      <c r="RWR27" s="117"/>
      <c r="RWS27" s="117"/>
      <c r="RWT27" s="117"/>
      <c r="RWU27" s="117"/>
      <c r="RWV27" s="117"/>
      <c r="RWW27" s="117"/>
      <c r="RWX27" s="117"/>
      <c r="RWY27" s="117"/>
      <c r="RWZ27" s="117"/>
      <c r="RXA27" s="117"/>
      <c r="RXB27" s="117"/>
      <c r="RXC27" s="117"/>
      <c r="RXD27" s="117"/>
      <c r="RXE27" s="117"/>
      <c r="RXF27" s="117"/>
      <c r="RXG27" s="117"/>
      <c r="RXH27" s="117"/>
      <c r="RXI27" s="117"/>
      <c r="RXJ27" s="117"/>
      <c r="RXK27" s="117"/>
      <c r="RXL27" s="117"/>
      <c r="RXM27" s="117"/>
      <c r="RXN27" s="117"/>
      <c r="RXO27" s="117"/>
      <c r="RXP27" s="117"/>
      <c r="RXQ27" s="117"/>
      <c r="RXR27" s="117"/>
      <c r="RXS27" s="117"/>
      <c r="RXT27" s="117"/>
      <c r="RXU27" s="117"/>
      <c r="RXV27" s="117"/>
      <c r="RXW27" s="117"/>
      <c r="RXX27" s="117"/>
      <c r="RXY27" s="117"/>
      <c r="RXZ27" s="117"/>
      <c r="RYA27" s="117"/>
      <c r="RYB27" s="117"/>
      <c r="RYC27" s="117"/>
      <c r="RYD27" s="117"/>
      <c r="RYE27" s="117"/>
      <c r="RYF27" s="117"/>
      <c r="RYG27" s="117"/>
      <c r="RYH27" s="117"/>
      <c r="RYI27" s="117"/>
      <c r="RYJ27" s="117"/>
      <c r="RYK27" s="117"/>
      <c r="RYL27" s="117"/>
      <c r="RYM27" s="117"/>
      <c r="RYN27" s="117"/>
      <c r="RYO27" s="117"/>
      <c r="RYP27" s="117"/>
      <c r="RYQ27" s="117"/>
      <c r="RYR27" s="117"/>
      <c r="RYS27" s="117"/>
      <c r="RYT27" s="117"/>
      <c r="RYU27" s="117"/>
      <c r="RYV27" s="117"/>
      <c r="RYW27" s="117"/>
      <c r="RYX27" s="117"/>
      <c r="RYY27" s="117"/>
      <c r="RYZ27" s="117"/>
      <c r="RZA27" s="117"/>
      <c r="RZB27" s="117"/>
      <c r="RZC27" s="117"/>
      <c r="RZD27" s="117"/>
      <c r="RZE27" s="117"/>
      <c r="RZF27" s="117"/>
      <c r="RZG27" s="117"/>
      <c r="RZH27" s="117"/>
      <c r="RZI27" s="117"/>
      <c r="RZJ27" s="117"/>
      <c r="RZK27" s="117"/>
      <c r="RZL27" s="117"/>
      <c r="RZM27" s="117"/>
      <c r="RZN27" s="117"/>
      <c r="RZO27" s="117"/>
      <c r="RZP27" s="117"/>
      <c r="RZQ27" s="117"/>
      <c r="RZR27" s="117"/>
      <c r="RZS27" s="117"/>
      <c r="RZT27" s="117"/>
      <c r="RZU27" s="117"/>
      <c r="RZV27" s="117"/>
      <c r="RZW27" s="117"/>
      <c r="RZX27" s="117"/>
      <c r="RZY27" s="117"/>
      <c r="RZZ27" s="117"/>
      <c r="SAA27" s="117"/>
      <c r="SAB27" s="117"/>
      <c r="SAC27" s="117"/>
      <c r="SAD27" s="117"/>
      <c r="SAE27" s="117"/>
      <c r="SAF27" s="117"/>
      <c r="SAG27" s="117"/>
      <c r="SAH27" s="117"/>
      <c r="SAI27" s="117"/>
      <c r="SAJ27" s="117"/>
      <c r="SAK27" s="117"/>
      <c r="SAL27" s="117"/>
      <c r="SAM27" s="117"/>
      <c r="SAN27" s="117"/>
      <c r="SAO27" s="117"/>
      <c r="SAP27" s="117"/>
      <c r="SAQ27" s="117"/>
      <c r="SAR27" s="117"/>
      <c r="SAS27" s="117"/>
      <c r="SAT27" s="117"/>
      <c r="SAU27" s="117"/>
      <c r="SAV27" s="117"/>
      <c r="SAW27" s="117"/>
      <c r="SAX27" s="117"/>
      <c r="SAY27" s="117"/>
      <c r="SAZ27" s="117"/>
      <c r="SBA27" s="117"/>
      <c r="SBB27" s="117"/>
      <c r="SBC27" s="117"/>
      <c r="SBD27" s="117"/>
      <c r="SBE27" s="117"/>
      <c r="SBF27" s="117"/>
      <c r="SBG27" s="117"/>
      <c r="SBH27" s="117"/>
      <c r="SBI27" s="117"/>
      <c r="SBJ27" s="117"/>
      <c r="SBK27" s="117"/>
      <c r="SBL27" s="117"/>
      <c r="SBM27" s="117"/>
      <c r="SBN27" s="117"/>
      <c r="SBO27" s="117"/>
      <c r="SBP27" s="117"/>
      <c r="SBQ27" s="117"/>
      <c r="SBR27" s="117"/>
      <c r="SBS27" s="117"/>
      <c r="SBT27" s="117"/>
      <c r="SBU27" s="117"/>
      <c r="SBV27" s="117"/>
      <c r="SBW27" s="117"/>
      <c r="SBX27" s="117"/>
      <c r="SBY27" s="117"/>
      <c r="SBZ27" s="117"/>
      <c r="SCA27" s="117"/>
      <c r="SCB27" s="117"/>
      <c r="SCC27" s="117"/>
      <c r="SCD27" s="117"/>
      <c r="SCE27" s="117"/>
      <c r="SCF27" s="117"/>
      <c r="SCG27" s="117"/>
      <c r="SCH27" s="117"/>
      <c r="SCI27" s="117"/>
      <c r="SCJ27" s="117"/>
      <c r="SCK27" s="117"/>
      <c r="SCL27" s="117"/>
      <c r="SCM27" s="117"/>
      <c r="SCN27" s="117"/>
      <c r="SCO27" s="117"/>
      <c r="SCP27" s="117"/>
      <c r="SCQ27" s="117"/>
      <c r="SCR27" s="117"/>
      <c r="SCS27" s="117"/>
      <c r="SCT27" s="117"/>
      <c r="SCU27" s="117"/>
      <c r="SCV27" s="117"/>
      <c r="SCW27" s="117"/>
      <c r="SCX27" s="117"/>
      <c r="SCY27" s="117"/>
      <c r="SCZ27" s="117"/>
      <c r="SDA27" s="117"/>
      <c r="SDB27" s="117"/>
      <c r="SDC27" s="117"/>
      <c r="SDD27" s="117"/>
      <c r="SDE27" s="117"/>
      <c r="SDF27" s="117"/>
      <c r="SDG27" s="117"/>
      <c r="SDH27" s="117"/>
      <c r="SDI27" s="117"/>
      <c r="SDJ27" s="117"/>
      <c r="SDK27" s="117"/>
      <c r="SDL27" s="117"/>
      <c r="SDM27" s="117"/>
      <c r="SDN27" s="117"/>
      <c r="SDO27" s="117"/>
      <c r="SDP27" s="117"/>
      <c r="SDQ27" s="117"/>
      <c r="SDR27" s="117"/>
      <c r="SDS27" s="117"/>
      <c r="SDT27" s="117"/>
      <c r="SDU27" s="117"/>
      <c r="SDV27" s="117"/>
      <c r="SDW27" s="117"/>
      <c r="SDX27" s="117"/>
      <c r="SDY27" s="117"/>
      <c r="SDZ27" s="117"/>
      <c r="SEA27" s="117"/>
      <c r="SEB27" s="117"/>
      <c r="SEC27" s="117"/>
      <c r="SED27" s="117"/>
      <c r="SEE27" s="117"/>
      <c r="SEF27" s="117"/>
      <c r="SEG27" s="117"/>
      <c r="SEH27" s="117"/>
      <c r="SEI27" s="117"/>
      <c r="SEJ27" s="117"/>
      <c r="SEK27" s="117"/>
      <c r="SEL27" s="117"/>
      <c r="SEM27" s="117"/>
      <c r="SEN27" s="117"/>
      <c r="SEO27" s="117"/>
      <c r="SEP27" s="117"/>
      <c r="SEQ27" s="117"/>
      <c r="SER27" s="117"/>
      <c r="SES27" s="117"/>
      <c r="SET27" s="117"/>
      <c r="SEU27" s="117"/>
      <c r="SEV27" s="117"/>
      <c r="SEW27" s="117"/>
      <c r="SEX27" s="117"/>
      <c r="SEY27" s="117"/>
      <c r="SEZ27" s="117"/>
      <c r="SFA27" s="117"/>
      <c r="SFB27" s="117"/>
      <c r="SFC27" s="117"/>
      <c r="SFD27" s="117"/>
      <c r="SFE27" s="117"/>
      <c r="SFF27" s="117"/>
      <c r="SFG27" s="117"/>
      <c r="SFH27" s="117"/>
      <c r="SFI27" s="117"/>
      <c r="SFJ27" s="117"/>
      <c r="SFK27" s="117"/>
      <c r="SFL27" s="117"/>
      <c r="SFM27" s="117"/>
      <c r="SFN27" s="117"/>
      <c r="SFO27" s="117"/>
      <c r="SFP27" s="117"/>
      <c r="SFQ27" s="117"/>
      <c r="SFR27" s="117"/>
      <c r="SFS27" s="117"/>
      <c r="SFT27" s="117"/>
      <c r="SFU27" s="117"/>
      <c r="SFV27" s="117"/>
      <c r="SFW27" s="117"/>
      <c r="SFX27" s="117"/>
      <c r="SFY27" s="117"/>
      <c r="SFZ27" s="117"/>
      <c r="SGA27" s="117"/>
      <c r="SGB27" s="117"/>
      <c r="SGC27" s="117"/>
      <c r="SGD27" s="117"/>
      <c r="SGE27" s="117"/>
      <c r="SGF27" s="117"/>
      <c r="SGG27" s="117"/>
      <c r="SGH27" s="117"/>
      <c r="SGI27" s="117"/>
      <c r="SGJ27" s="117"/>
      <c r="SGK27" s="117"/>
      <c r="SGL27" s="117"/>
      <c r="SGM27" s="117"/>
      <c r="SGN27" s="117"/>
      <c r="SGO27" s="117"/>
      <c r="SGP27" s="117"/>
      <c r="SGQ27" s="117"/>
      <c r="SGR27" s="117"/>
      <c r="SGS27" s="117"/>
      <c r="SGT27" s="117"/>
      <c r="SGU27" s="117"/>
      <c r="SGV27" s="117"/>
      <c r="SGW27" s="117"/>
      <c r="SGX27" s="117"/>
      <c r="SGY27" s="117"/>
      <c r="SGZ27" s="117"/>
      <c r="SHA27" s="117"/>
      <c r="SHB27" s="117"/>
      <c r="SHC27" s="117"/>
      <c r="SHD27" s="117"/>
      <c r="SHE27" s="117"/>
      <c r="SHF27" s="117"/>
      <c r="SHG27" s="117"/>
      <c r="SHH27" s="117"/>
      <c r="SHI27" s="117"/>
      <c r="SHJ27" s="117"/>
      <c r="SHK27" s="117"/>
      <c r="SHL27" s="117"/>
      <c r="SHM27" s="117"/>
      <c r="SHN27" s="117"/>
      <c r="SHO27" s="117"/>
      <c r="SHP27" s="117"/>
      <c r="SHQ27" s="117"/>
      <c r="SHR27" s="117"/>
      <c r="SHS27" s="117"/>
      <c r="SHT27" s="117"/>
      <c r="SHU27" s="117"/>
      <c r="SHV27" s="117"/>
      <c r="SHW27" s="117"/>
      <c r="SHX27" s="117"/>
      <c r="SHY27" s="117"/>
      <c r="SHZ27" s="117"/>
      <c r="SIA27" s="117"/>
      <c r="SIB27" s="117"/>
      <c r="SIC27" s="117"/>
      <c r="SID27" s="117"/>
      <c r="SIE27" s="117"/>
      <c r="SIF27" s="117"/>
      <c r="SIG27" s="117"/>
      <c r="SIH27" s="117"/>
      <c r="SII27" s="117"/>
      <c r="SIJ27" s="117"/>
      <c r="SIK27" s="117"/>
      <c r="SIL27" s="117"/>
      <c r="SIM27" s="117"/>
      <c r="SIN27" s="117"/>
      <c r="SIO27" s="117"/>
      <c r="SIP27" s="117"/>
      <c r="SIQ27" s="117"/>
      <c r="SIR27" s="117"/>
      <c r="SIS27" s="117"/>
      <c r="SIT27" s="117"/>
      <c r="SIU27" s="117"/>
      <c r="SIV27" s="117"/>
      <c r="SIW27" s="117"/>
      <c r="SIX27" s="117"/>
      <c r="SIY27" s="117"/>
      <c r="SIZ27" s="117"/>
      <c r="SJA27" s="117"/>
      <c r="SJB27" s="117"/>
      <c r="SJC27" s="117"/>
      <c r="SJD27" s="117"/>
      <c r="SJE27" s="117"/>
      <c r="SJF27" s="117"/>
      <c r="SJG27" s="117"/>
      <c r="SJH27" s="117"/>
      <c r="SJI27" s="117"/>
      <c r="SJJ27" s="117"/>
      <c r="SJK27" s="117"/>
      <c r="SJL27" s="117"/>
      <c r="SJM27" s="117"/>
      <c r="SJN27" s="117"/>
      <c r="SJO27" s="117"/>
      <c r="SJP27" s="117"/>
      <c r="SJQ27" s="117"/>
      <c r="SJR27" s="117"/>
      <c r="SJS27" s="117"/>
      <c r="SJT27" s="117"/>
      <c r="SJU27" s="117"/>
      <c r="SJV27" s="117"/>
      <c r="SJW27" s="117"/>
      <c r="SJX27" s="117"/>
      <c r="SJY27" s="117"/>
      <c r="SJZ27" s="117"/>
      <c r="SKA27" s="117"/>
      <c r="SKB27" s="117"/>
      <c r="SKC27" s="117"/>
      <c r="SKD27" s="117"/>
      <c r="SKE27" s="117"/>
      <c r="SKF27" s="117"/>
      <c r="SKG27" s="117"/>
      <c r="SKH27" s="117"/>
      <c r="SKI27" s="117"/>
      <c r="SKJ27" s="117"/>
      <c r="SKK27" s="117"/>
      <c r="SKL27" s="117"/>
      <c r="SKM27" s="117"/>
      <c r="SKN27" s="117"/>
      <c r="SKO27" s="117"/>
      <c r="SKP27" s="117"/>
      <c r="SKQ27" s="117"/>
      <c r="SKR27" s="117"/>
      <c r="SKS27" s="117"/>
      <c r="SKT27" s="117"/>
      <c r="SKU27" s="117"/>
      <c r="SKV27" s="117"/>
      <c r="SKW27" s="117"/>
      <c r="SKX27" s="117"/>
      <c r="SKY27" s="117"/>
      <c r="SKZ27" s="117"/>
      <c r="SLA27" s="117"/>
      <c r="SLB27" s="117"/>
      <c r="SLC27" s="117"/>
      <c r="SLD27" s="117"/>
      <c r="SLE27" s="117"/>
      <c r="SLF27" s="117"/>
      <c r="SLG27" s="117"/>
      <c r="SLH27" s="117"/>
      <c r="SLI27" s="117"/>
      <c r="SLJ27" s="117"/>
      <c r="SLK27" s="117"/>
      <c r="SLL27" s="117"/>
      <c r="SLM27" s="117"/>
      <c r="SLN27" s="117"/>
      <c r="SLO27" s="117"/>
      <c r="SLP27" s="117"/>
      <c r="SLQ27" s="117"/>
      <c r="SLR27" s="117"/>
      <c r="SLS27" s="117"/>
      <c r="SLT27" s="117"/>
      <c r="SLU27" s="117"/>
      <c r="SLV27" s="117"/>
      <c r="SLW27" s="117"/>
      <c r="SLX27" s="117"/>
      <c r="SLY27" s="117"/>
      <c r="SLZ27" s="117"/>
      <c r="SMA27" s="117"/>
      <c r="SMB27" s="117"/>
      <c r="SMC27" s="117"/>
      <c r="SMD27" s="117"/>
      <c r="SME27" s="117"/>
      <c r="SMF27" s="117"/>
      <c r="SMG27" s="117"/>
      <c r="SMH27" s="117"/>
      <c r="SMI27" s="117"/>
      <c r="SMJ27" s="117"/>
      <c r="SMK27" s="117"/>
      <c r="SML27" s="117"/>
      <c r="SMM27" s="117"/>
      <c r="SMN27" s="117"/>
      <c r="SMO27" s="117"/>
      <c r="SMP27" s="117"/>
      <c r="SMQ27" s="117"/>
      <c r="SMR27" s="117"/>
      <c r="SMS27" s="117"/>
      <c r="SMT27" s="117"/>
      <c r="SMU27" s="117"/>
      <c r="SMV27" s="117"/>
      <c r="SMW27" s="117"/>
      <c r="SMX27" s="117"/>
      <c r="SMY27" s="117"/>
      <c r="SMZ27" s="117"/>
      <c r="SNA27" s="117"/>
      <c r="SNB27" s="117"/>
      <c r="SNC27" s="117"/>
      <c r="SND27" s="117"/>
      <c r="SNE27" s="117"/>
      <c r="SNF27" s="117"/>
      <c r="SNG27" s="117"/>
      <c r="SNH27" s="117"/>
      <c r="SNI27" s="117"/>
      <c r="SNJ27" s="117"/>
      <c r="SNK27" s="117"/>
      <c r="SNL27" s="117"/>
      <c r="SNM27" s="117"/>
      <c r="SNN27" s="117"/>
      <c r="SNO27" s="117"/>
      <c r="SNP27" s="117"/>
      <c r="SNQ27" s="117"/>
      <c r="SNR27" s="117"/>
      <c r="SNS27" s="117"/>
      <c r="SNT27" s="117"/>
      <c r="SNU27" s="117"/>
      <c r="SNV27" s="117"/>
      <c r="SNW27" s="117"/>
      <c r="SNX27" s="117"/>
      <c r="SNY27" s="117"/>
      <c r="SNZ27" s="117"/>
      <c r="SOA27" s="117"/>
      <c r="SOB27" s="117"/>
      <c r="SOC27" s="117"/>
      <c r="SOD27" s="117"/>
      <c r="SOE27" s="117"/>
      <c r="SOF27" s="117"/>
      <c r="SOG27" s="117"/>
      <c r="SOH27" s="117"/>
      <c r="SOI27" s="117"/>
      <c r="SOJ27" s="117"/>
      <c r="SOK27" s="117"/>
      <c r="SOL27" s="117"/>
      <c r="SOM27" s="117"/>
      <c r="SON27" s="117"/>
      <c r="SOO27" s="117"/>
      <c r="SOP27" s="117"/>
      <c r="SOQ27" s="117"/>
      <c r="SOR27" s="117"/>
      <c r="SOS27" s="117"/>
      <c r="SOT27" s="117"/>
      <c r="SOU27" s="117"/>
      <c r="SOV27" s="117"/>
      <c r="SOW27" s="117"/>
      <c r="SOX27" s="117"/>
      <c r="SOY27" s="117"/>
      <c r="SOZ27" s="117"/>
      <c r="SPA27" s="117"/>
      <c r="SPB27" s="117"/>
      <c r="SPC27" s="117"/>
      <c r="SPD27" s="117"/>
      <c r="SPE27" s="117"/>
      <c r="SPF27" s="117"/>
      <c r="SPG27" s="117"/>
      <c r="SPH27" s="117"/>
      <c r="SPI27" s="117"/>
      <c r="SPJ27" s="117"/>
      <c r="SPK27" s="117"/>
      <c r="SPL27" s="117"/>
      <c r="SPM27" s="117"/>
      <c r="SPN27" s="117"/>
      <c r="SPO27" s="117"/>
      <c r="SPP27" s="117"/>
      <c r="SPQ27" s="117"/>
      <c r="SPR27" s="117"/>
      <c r="SPS27" s="117"/>
      <c r="SPT27" s="117"/>
      <c r="SPU27" s="117"/>
      <c r="SPV27" s="117"/>
      <c r="SPW27" s="117"/>
      <c r="SPX27" s="117"/>
      <c r="SPY27" s="117"/>
      <c r="SPZ27" s="117"/>
      <c r="SQA27" s="117"/>
      <c r="SQB27" s="117"/>
      <c r="SQC27" s="117"/>
      <c r="SQD27" s="117"/>
      <c r="SQE27" s="117"/>
      <c r="SQF27" s="117"/>
      <c r="SQG27" s="117"/>
      <c r="SQH27" s="117"/>
      <c r="SQI27" s="117"/>
      <c r="SQJ27" s="117"/>
      <c r="SQK27" s="117"/>
      <c r="SQL27" s="117"/>
      <c r="SQM27" s="117"/>
      <c r="SQN27" s="117"/>
      <c r="SQO27" s="117"/>
      <c r="SQP27" s="117"/>
      <c r="SQQ27" s="117"/>
      <c r="SQR27" s="117"/>
      <c r="SQS27" s="117"/>
      <c r="SQT27" s="117"/>
      <c r="SQU27" s="117"/>
      <c r="SQV27" s="117"/>
      <c r="SQW27" s="117"/>
      <c r="SQX27" s="117"/>
      <c r="SQY27" s="117"/>
      <c r="SQZ27" s="117"/>
      <c r="SRA27" s="117"/>
      <c r="SRB27" s="117"/>
      <c r="SRC27" s="117"/>
      <c r="SRD27" s="117"/>
      <c r="SRE27" s="117"/>
      <c r="SRF27" s="117"/>
      <c r="SRG27" s="117"/>
      <c r="SRH27" s="117"/>
      <c r="SRI27" s="117"/>
      <c r="SRJ27" s="117"/>
      <c r="SRK27" s="117"/>
      <c r="SRL27" s="117"/>
      <c r="SRM27" s="117"/>
      <c r="SRN27" s="117"/>
      <c r="SRO27" s="117"/>
      <c r="SRP27" s="117"/>
      <c r="SRQ27" s="117"/>
      <c r="SRR27" s="117"/>
      <c r="SRS27" s="117"/>
      <c r="SRT27" s="117"/>
      <c r="SRU27" s="117"/>
      <c r="SRV27" s="117"/>
      <c r="SRW27" s="117"/>
      <c r="SRX27" s="117"/>
      <c r="SRY27" s="117"/>
      <c r="SRZ27" s="117"/>
      <c r="SSA27" s="117"/>
      <c r="SSB27" s="117"/>
      <c r="SSC27" s="117"/>
      <c r="SSD27" s="117"/>
      <c r="SSE27" s="117"/>
      <c r="SSF27" s="117"/>
      <c r="SSG27" s="117"/>
      <c r="SSH27" s="117"/>
      <c r="SSI27" s="117"/>
      <c r="SSJ27" s="117"/>
      <c r="SSK27" s="117"/>
      <c r="SSL27" s="117"/>
      <c r="SSM27" s="117"/>
      <c r="SSN27" s="117"/>
      <c r="SSO27" s="117"/>
      <c r="SSP27" s="117"/>
      <c r="SSQ27" s="117"/>
      <c r="SSR27" s="117"/>
      <c r="SSS27" s="117"/>
      <c r="SST27" s="117"/>
      <c r="SSU27" s="117"/>
      <c r="SSV27" s="117"/>
      <c r="SSW27" s="117"/>
      <c r="SSX27" s="117"/>
      <c r="SSY27" s="117"/>
      <c r="SSZ27" s="117"/>
      <c r="STA27" s="117"/>
      <c r="STB27" s="117"/>
      <c r="STC27" s="117"/>
      <c r="STD27" s="117"/>
      <c r="STE27" s="117"/>
      <c r="STF27" s="117"/>
      <c r="STG27" s="117"/>
      <c r="STH27" s="117"/>
      <c r="STI27" s="117"/>
      <c r="STJ27" s="117"/>
      <c r="STK27" s="117"/>
      <c r="STL27" s="117"/>
      <c r="STM27" s="117"/>
      <c r="STN27" s="117"/>
      <c r="STO27" s="117"/>
      <c r="STP27" s="117"/>
      <c r="STQ27" s="117"/>
      <c r="STR27" s="117"/>
      <c r="STS27" s="117"/>
      <c r="STT27" s="117"/>
      <c r="STU27" s="117"/>
      <c r="STV27" s="117"/>
      <c r="STW27" s="117"/>
      <c r="STX27" s="117"/>
      <c r="STY27" s="117"/>
      <c r="STZ27" s="117"/>
      <c r="SUA27" s="117"/>
      <c r="SUB27" s="117"/>
      <c r="SUC27" s="117"/>
      <c r="SUD27" s="117"/>
      <c r="SUE27" s="117"/>
      <c r="SUF27" s="117"/>
      <c r="SUG27" s="117"/>
      <c r="SUH27" s="117"/>
      <c r="SUI27" s="117"/>
      <c r="SUJ27" s="117"/>
      <c r="SUK27" s="117"/>
      <c r="SUL27" s="117"/>
      <c r="SUM27" s="117"/>
      <c r="SUN27" s="117"/>
      <c r="SUO27" s="117"/>
      <c r="SUP27" s="117"/>
      <c r="SUQ27" s="117"/>
      <c r="SUR27" s="117"/>
      <c r="SUS27" s="117"/>
      <c r="SUT27" s="117"/>
      <c r="SUU27" s="117"/>
      <c r="SUV27" s="117"/>
      <c r="SUW27" s="117"/>
      <c r="SUX27" s="117"/>
      <c r="SUY27" s="117"/>
      <c r="SUZ27" s="117"/>
      <c r="SVA27" s="117"/>
      <c r="SVB27" s="117"/>
      <c r="SVC27" s="117"/>
      <c r="SVD27" s="117"/>
      <c r="SVE27" s="117"/>
      <c r="SVF27" s="117"/>
      <c r="SVG27" s="117"/>
      <c r="SVH27" s="117"/>
      <c r="SVI27" s="117"/>
      <c r="SVJ27" s="117"/>
      <c r="SVK27" s="117"/>
      <c r="SVL27" s="117"/>
      <c r="SVM27" s="117"/>
      <c r="SVN27" s="117"/>
      <c r="SVO27" s="117"/>
      <c r="SVP27" s="117"/>
      <c r="SVQ27" s="117"/>
      <c r="SVR27" s="117"/>
      <c r="SVS27" s="117"/>
      <c r="SVT27" s="117"/>
      <c r="SVU27" s="117"/>
      <c r="SVV27" s="117"/>
      <c r="SVW27" s="117"/>
      <c r="SVX27" s="117"/>
      <c r="SVY27" s="117"/>
      <c r="SVZ27" s="117"/>
      <c r="SWA27" s="117"/>
      <c r="SWB27" s="117"/>
      <c r="SWC27" s="117"/>
      <c r="SWD27" s="117"/>
      <c r="SWE27" s="117"/>
      <c r="SWF27" s="117"/>
      <c r="SWG27" s="117"/>
      <c r="SWH27" s="117"/>
      <c r="SWI27" s="117"/>
      <c r="SWJ27" s="117"/>
      <c r="SWK27" s="117"/>
      <c r="SWL27" s="117"/>
      <c r="SWM27" s="117"/>
      <c r="SWN27" s="117"/>
      <c r="SWO27" s="117"/>
      <c r="SWP27" s="117"/>
      <c r="SWQ27" s="117"/>
      <c r="SWR27" s="117"/>
      <c r="SWS27" s="117"/>
      <c r="SWT27" s="117"/>
      <c r="SWU27" s="117"/>
      <c r="SWV27" s="117"/>
      <c r="SWW27" s="117"/>
      <c r="SWX27" s="117"/>
      <c r="SWY27" s="117"/>
      <c r="SWZ27" s="117"/>
      <c r="SXA27" s="117"/>
      <c r="SXB27" s="117"/>
      <c r="SXC27" s="117"/>
      <c r="SXD27" s="117"/>
      <c r="SXE27" s="117"/>
      <c r="SXF27" s="117"/>
      <c r="SXG27" s="117"/>
      <c r="SXH27" s="117"/>
      <c r="SXI27" s="117"/>
      <c r="SXJ27" s="117"/>
      <c r="SXK27" s="117"/>
      <c r="SXL27" s="117"/>
      <c r="SXM27" s="117"/>
      <c r="SXN27" s="117"/>
      <c r="SXO27" s="117"/>
      <c r="SXP27" s="117"/>
      <c r="SXQ27" s="117"/>
      <c r="SXR27" s="117"/>
      <c r="SXS27" s="117"/>
      <c r="SXT27" s="117"/>
      <c r="SXU27" s="117"/>
      <c r="SXV27" s="117"/>
      <c r="SXW27" s="117"/>
      <c r="SXX27" s="117"/>
      <c r="SXY27" s="117"/>
      <c r="SXZ27" s="117"/>
      <c r="SYA27" s="117"/>
      <c r="SYB27" s="117"/>
      <c r="SYC27" s="117"/>
      <c r="SYD27" s="117"/>
      <c r="SYE27" s="117"/>
      <c r="SYF27" s="117"/>
      <c r="SYG27" s="117"/>
      <c r="SYH27" s="117"/>
      <c r="SYI27" s="117"/>
      <c r="SYJ27" s="117"/>
      <c r="SYK27" s="117"/>
      <c r="SYL27" s="117"/>
      <c r="SYM27" s="117"/>
      <c r="SYN27" s="117"/>
      <c r="SYO27" s="117"/>
      <c r="SYP27" s="117"/>
      <c r="SYQ27" s="117"/>
      <c r="SYR27" s="117"/>
      <c r="SYS27" s="117"/>
      <c r="SYT27" s="117"/>
      <c r="SYU27" s="117"/>
      <c r="SYV27" s="117"/>
      <c r="SYW27" s="117"/>
      <c r="SYX27" s="117"/>
      <c r="SYY27" s="117"/>
      <c r="SYZ27" s="117"/>
      <c r="SZA27" s="117"/>
      <c r="SZB27" s="117"/>
      <c r="SZC27" s="117"/>
      <c r="SZD27" s="117"/>
      <c r="SZE27" s="117"/>
      <c r="SZF27" s="117"/>
      <c r="SZG27" s="117"/>
      <c r="SZH27" s="117"/>
      <c r="SZI27" s="117"/>
      <c r="SZJ27" s="117"/>
      <c r="SZK27" s="117"/>
      <c r="SZL27" s="117"/>
      <c r="SZM27" s="117"/>
      <c r="SZN27" s="117"/>
      <c r="SZO27" s="117"/>
      <c r="SZP27" s="117"/>
      <c r="SZQ27" s="117"/>
      <c r="SZR27" s="117"/>
      <c r="SZS27" s="117"/>
      <c r="SZT27" s="117"/>
      <c r="SZU27" s="117"/>
      <c r="SZV27" s="117"/>
      <c r="SZW27" s="117"/>
      <c r="SZX27" s="117"/>
      <c r="SZY27" s="117"/>
      <c r="SZZ27" s="117"/>
      <c r="TAA27" s="117"/>
      <c r="TAB27" s="117"/>
      <c r="TAC27" s="117"/>
      <c r="TAD27" s="117"/>
      <c r="TAE27" s="117"/>
      <c r="TAF27" s="117"/>
      <c r="TAG27" s="117"/>
      <c r="TAH27" s="117"/>
      <c r="TAI27" s="117"/>
      <c r="TAJ27" s="117"/>
      <c r="TAK27" s="117"/>
      <c r="TAL27" s="117"/>
      <c r="TAM27" s="117"/>
      <c r="TAN27" s="117"/>
      <c r="TAO27" s="117"/>
      <c r="TAP27" s="117"/>
      <c r="TAQ27" s="117"/>
      <c r="TAR27" s="117"/>
      <c r="TAS27" s="117"/>
      <c r="TAT27" s="117"/>
      <c r="TAU27" s="117"/>
      <c r="TAV27" s="117"/>
      <c r="TAW27" s="117"/>
      <c r="TAX27" s="117"/>
      <c r="TAY27" s="117"/>
      <c r="TAZ27" s="117"/>
      <c r="TBA27" s="117"/>
      <c r="TBB27" s="117"/>
      <c r="TBC27" s="117"/>
      <c r="TBD27" s="117"/>
      <c r="TBE27" s="117"/>
      <c r="TBF27" s="117"/>
      <c r="TBG27" s="117"/>
      <c r="TBH27" s="117"/>
      <c r="TBI27" s="117"/>
      <c r="TBJ27" s="117"/>
      <c r="TBK27" s="117"/>
      <c r="TBL27" s="117"/>
      <c r="TBM27" s="117"/>
      <c r="TBN27" s="117"/>
      <c r="TBO27" s="117"/>
      <c r="TBP27" s="117"/>
      <c r="TBQ27" s="117"/>
      <c r="TBR27" s="117"/>
      <c r="TBS27" s="117"/>
      <c r="TBT27" s="117"/>
      <c r="TBU27" s="117"/>
      <c r="TBV27" s="117"/>
      <c r="TBW27" s="117"/>
      <c r="TBX27" s="117"/>
      <c r="TBY27" s="117"/>
      <c r="TBZ27" s="117"/>
      <c r="TCA27" s="117"/>
      <c r="TCB27" s="117"/>
      <c r="TCC27" s="117"/>
      <c r="TCD27" s="117"/>
      <c r="TCE27" s="117"/>
      <c r="TCF27" s="117"/>
      <c r="TCG27" s="117"/>
      <c r="TCH27" s="117"/>
      <c r="TCI27" s="117"/>
      <c r="TCJ27" s="117"/>
      <c r="TCK27" s="117"/>
      <c r="TCL27" s="117"/>
      <c r="TCM27" s="117"/>
      <c r="TCN27" s="117"/>
      <c r="TCO27" s="117"/>
      <c r="TCP27" s="117"/>
      <c r="TCQ27" s="117"/>
      <c r="TCR27" s="117"/>
      <c r="TCS27" s="117"/>
      <c r="TCT27" s="117"/>
      <c r="TCU27" s="117"/>
      <c r="TCV27" s="117"/>
      <c r="TCW27" s="117"/>
      <c r="TCX27" s="117"/>
      <c r="TCY27" s="117"/>
      <c r="TCZ27" s="117"/>
      <c r="TDA27" s="117"/>
      <c r="TDB27" s="117"/>
      <c r="TDC27" s="117"/>
      <c r="TDD27" s="117"/>
      <c r="TDE27" s="117"/>
      <c r="TDF27" s="117"/>
      <c r="TDG27" s="117"/>
      <c r="TDH27" s="117"/>
      <c r="TDI27" s="117"/>
      <c r="TDJ27" s="117"/>
      <c r="TDK27" s="117"/>
      <c r="TDL27" s="117"/>
      <c r="TDM27" s="117"/>
      <c r="TDN27" s="117"/>
      <c r="TDO27" s="117"/>
      <c r="TDP27" s="117"/>
      <c r="TDQ27" s="117"/>
      <c r="TDR27" s="117"/>
      <c r="TDS27" s="117"/>
      <c r="TDT27" s="117"/>
      <c r="TDU27" s="117"/>
      <c r="TDV27" s="117"/>
      <c r="TDW27" s="117"/>
      <c r="TDX27" s="117"/>
      <c r="TDY27" s="117"/>
      <c r="TDZ27" s="117"/>
      <c r="TEA27" s="117"/>
      <c r="TEB27" s="117"/>
      <c r="TEC27" s="117"/>
      <c r="TED27" s="117"/>
      <c r="TEE27" s="117"/>
      <c r="TEF27" s="117"/>
      <c r="TEG27" s="117"/>
      <c r="TEH27" s="117"/>
      <c r="TEI27" s="117"/>
      <c r="TEJ27" s="117"/>
      <c r="TEK27" s="117"/>
      <c r="TEL27" s="117"/>
      <c r="TEM27" s="117"/>
      <c r="TEN27" s="117"/>
      <c r="TEO27" s="117"/>
      <c r="TEP27" s="117"/>
      <c r="TEQ27" s="117"/>
      <c r="TER27" s="117"/>
      <c r="TES27" s="117"/>
      <c r="TET27" s="117"/>
      <c r="TEU27" s="117"/>
      <c r="TEV27" s="117"/>
      <c r="TEW27" s="117"/>
      <c r="TEX27" s="117"/>
      <c r="TEY27" s="117"/>
      <c r="TEZ27" s="117"/>
      <c r="TFA27" s="117"/>
      <c r="TFB27" s="117"/>
      <c r="TFC27" s="117"/>
      <c r="TFD27" s="117"/>
      <c r="TFE27" s="117"/>
      <c r="TFF27" s="117"/>
      <c r="TFG27" s="117"/>
      <c r="TFH27" s="117"/>
      <c r="TFI27" s="117"/>
      <c r="TFJ27" s="117"/>
      <c r="TFK27" s="117"/>
      <c r="TFL27" s="117"/>
      <c r="TFM27" s="117"/>
      <c r="TFN27" s="117"/>
      <c r="TFO27" s="117"/>
      <c r="TFP27" s="117"/>
      <c r="TFQ27" s="117"/>
      <c r="TFR27" s="117"/>
      <c r="TFS27" s="117"/>
      <c r="TFT27" s="117"/>
      <c r="TFU27" s="117"/>
      <c r="TFV27" s="117"/>
      <c r="TFW27" s="117"/>
      <c r="TFX27" s="117"/>
      <c r="TFY27" s="117"/>
      <c r="TFZ27" s="117"/>
      <c r="TGA27" s="117"/>
      <c r="TGB27" s="117"/>
      <c r="TGC27" s="117"/>
      <c r="TGD27" s="117"/>
      <c r="TGE27" s="117"/>
      <c r="TGF27" s="117"/>
      <c r="TGG27" s="117"/>
      <c r="TGH27" s="117"/>
      <c r="TGI27" s="117"/>
      <c r="TGJ27" s="117"/>
      <c r="TGK27" s="117"/>
      <c r="TGL27" s="117"/>
      <c r="TGM27" s="117"/>
      <c r="TGN27" s="117"/>
      <c r="TGO27" s="117"/>
      <c r="TGP27" s="117"/>
      <c r="TGQ27" s="117"/>
      <c r="TGR27" s="117"/>
      <c r="TGS27" s="117"/>
      <c r="TGT27" s="117"/>
      <c r="TGU27" s="117"/>
      <c r="TGV27" s="117"/>
      <c r="TGW27" s="117"/>
      <c r="TGX27" s="117"/>
      <c r="TGY27" s="117"/>
      <c r="TGZ27" s="117"/>
      <c r="THA27" s="117"/>
      <c r="THB27" s="117"/>
      <c r="THC27" s="117"/>
      <c r="THD27" s="117"/>
      <c r="THE27" s="117"/>
      <c r="THF27" s="117"/>
      <c r="THG27" s="117"/>
      <c r="THH27" s="117"/>
      <c r="THI27" s="117"/>
      <c r="THJ27" s="117"/>
      <c r="THK27" s="117"/>
      <c r="THL27" s="117"/>
      <c r="THM27" s="117"/>
      <c r="THN27" s="117"/>
      <c r="THO27" s="117"/>
      <c r="THP27" s="117"/>
      <c r="THQ27" s="117"/>
      <c r="THR27" s="117"/>
      <c r="THS27" s="117"/>
      <c r="THT27" s="117"/>
      <c r="THU27" s="117"/>
      <c r="THV27" s="117"/>
      <c r="THW27" s="117"/>
      <c r="THX27" s="117"/>
      <c r="THY27" s="117"/>
      <c r="THZ27" s="117"/>
      <c r="TIA27" s="117"/>
      <c r="TIB27" s="117"/>
      <c r="TIC27" s="117"/>
      <c r="TID27" s="117"/>
      <c r="TIE27" s="117"/>
      <c r="TIF27" s="117"/>
      <c r="TIG27" s="117"/>
      <c r="TIH27" s="117"/>
      <c r="TII27" s="117"/>
      <c r="TIJ27" s="117"/>
      <c r="TIK27" s="117"/>
      <c r="TIL27" s="117"/>
      <c r="TIM27" s="117"/>
      <c r="TIN27" s="117"/>
      <c r="TIO27" s="117"/>
      <c r="TIP27" s="117"/>
      <c r="TIQ27" s="117"/>
      <c r="TIR27" s="117"/>
      <c r="TIS27" s="117"/>
      <c r="TIT27" s="117"/>
      <c r="TIU27" s="117"/>
      <c r="TIV27" s="117"/>
      <c r="TIW27" s="117"/>
      <c r="TIX27" s="117"/>
      <c r="TIY27" s="117"/>
      <c r="TIZ27" s="117"/>
      <c r="TJA27" s="117"/>
      <c r="TJB27" s="117"/>
      <c r="TJC27" s="117"/>
      <c r="TJD27" s="117"/>
      <c r="TJE27" s="117"/>
      <c r="TJF27" s="117"/>
      <c r="TJG27" s="117"/>
      <c r="TJH27" s="117"/>
      <c r="TJI27" s="117"/>
      <c r="TJJ27" s="117"/>
      <c r="TJK27" s="117"/>
      <c r="TJL27" s="117"/>
      <c r="TJM27" s="117"/>
      <c r="TJN27" s="117"/>
      <c r="TJO27" s="117"/>
      <c r="TJP27" s="117"/>
      <c r="TJQ27" s="117"/>
      <c r="TJR27" s="117"/>
      <c r="TJS27" s="117"/>
      <c r="TJT27" s="117"/>
      <c r="TJU27" s="117"/>
      <c r="TJV27" s="117"/>
      <c r="TJW27" s="117"/>
      <c r="TJX27" s="117"/>
      <c r="TJY27" s="117"/>
      <c r="TJZ27" s="117"/>
      <c r="TKA27" s="117"/>
      <c r="TKB27" s="117"/>
      <c r="TKC27" s="117"/>
      <c r="TKD27" s="117"/>
      <c r="TKE27" s="117"/>
      <c r="TKF27" s="117"/>
      <c r="TKG27" s="117"/>
      <c r="TKH27" s="117"/>
      <c r="TKI27" s="117"/>
      <c r="TKJ27" s="117"/>
      <c r="TKK27" s="117"/>
      <c r="TKL27" s="117"/>
      <c r="TKM27" s="117"/>
      <c r="TKN27" s="117"/>
      <c r="TKO27" s="117"/>
      <c r="TKP27" s="117"/>
      <c r="TKQ27" s="117"/>
      <c r="TKR27" s="117"/>
      <c r="TKS27" s="117"/>
      <c r="TKT27" s="117"/>
      <c r="TKU27" s="117"/>
      <c r="TKV27" s="117"/>
      <c r="TKW27" s="117"/>
      <c r="TKX27" s="117"/>
      <c r="TKY27" s="117"/>
      <c r="TKZ27" s="117"/>
      <c r="TLA27" s="117"/>
      <c r="TLB27" s="117"/>
      <c r="TLC27" s="117"/>
      <c r="TLD27" s="117"/>
      <c r="TLE27" s="117"/>
      <c r="TLF27" s="117"/>
      <c r="TLG27" s="117"/>
      <c r="TLH27" s="117"/>
      <c r="TLI27" s="117"/>
      <c r="TLJ27" s="117"/>
      <c r="TLK27" s="117"/>
      <c r="TLL27" s="117"/>
      <c r="TLM27" s="117"/>
      <c r="TLN27" s="117"/>
      <c r="TLO27" s="117"/>
      <c r="TLP27" s="117"/>
      <c r="TLQ27" s="117"/>
      <c r="TLR27" s="117"/>
      <c r="TLS27" s="117"/>
      <c r="TLT27" s="117"/>
      <c r="TLU27" s="117"/>
      <c r="TLV27" s="117"/>
      <c r="TLW27" s="117"/>
      <c r="TLX27" s="117"/>
      <c r="TLY27" s="117"/>
      <c r="TLZ27" s="117"/>
      <c r="TMA27" s="117"/>
      <c r="TMB27" s="117"/>
      <c r="TMC27" s="117"/>
      <c r="TMD27" s="117"/>
      <c r="TME27" s="117"/>
      <c r="TMF27" s="117"/>
      <c r="TMG27" s="117"/>
      <c r="TMH27" s="117"/>
      <c r="TMI27" s="117"/>
      <c r="TMJ27" s="117"/>
      <c r="TMK27" s="117"/>
      <c r="TML27" s="117"/>
      <c r="TMM27" s="117"/>
      <c r="TMN27" s="117"/>
      <c r="TMO27" s="117"/>
      <c r="TMP27" s="117"/>
      <c r="TMQ27" s="117"/>
      <c r="TMR27" s="117"/>
      <c r="TMS27" s="117"/>
      <c r="TMT27" s="117"/>
      <c r="TMU27" s="117"/>
      <c r="TMV27" s="117"/>
      <c r="TMW27" s="117"/>
      <c r="TMX27" s="117"/>
      <c r="TMY27" s="117"/>
      <c r="TMZ27" s="117"/>
      <c r="TNA27" s="117"/>
      <c r="TNB27" s="117"/>
      <c r="TNC27" s="117"/>
      <c r="TND27" s="117"/>
      <c r="TNE27" s="117"/>
      <c r="TNF27" s="117"/>
      <c r="TNG27" s="117"/>
      <c r="TNH27" s="117"/>
      <c r="TNI27" s="117"/>
      <c r="TNJ27" s="117"/>
      <c r="TNK27" s="117"/>
      <c r="TNL27" s="117"/>
      <c r="TNM27" s="117"/>
      <c r="TNN27" s="117"/>
      <c r="TNO27" s="117"/>
      <c r="TNP27" s="117"/>
      <c r="TNQ27" s="117"/>
      <c r="TNR27" s="117"/>
      <c r="TNS27" s="117"/>
      <c r="TNT27" s="117"/>
      <c r="TNU27" s="117"/>
      <c r="TNV27" s="117"/>
      <c r="TNW27" s="117"/>
      <c r="TNX27" s="117"/>
      <c r="TNY27" s="117"/>
      <c r="TNZ27" s="117"/>
      <c r="TOA27" s="117"/>
      <c r="TOB27" s="117"/>
      <c r="TOC27" s="117"/>
      <c r="TOD27" s="117"/>
      <c r="TOE27" s="117"/>
      <c r="TOF27" s="117"/>
      <c r="TOG27" s="117"/>
      <c r="TOH27" s="117"/>
      <c r="TOI27" s="117"/>
      <c r="TOJ27" s="117"/>
      <c r="TOK27" s="117"/>
      <c r="TOL27" s="117"/>
      <c r="TOM27" s="117"/>
      <c r="TON27" s="117"/>
      <c r="TOO27" s="117"/>
      <c r="TOP27" s="117"/>
      <c r="TOQ27" s="117"/>
      <c r="TOR27" s="117"/>
      <c r="TOS27" s="117"/>
      <c r="TOT27" s="117"/>
      <c r="TOU27" s="117"/>
      <c r="TOV27" s="117"/>
      <c r="TOW27" s="117"/>
      <c r="TOX27" s="117"/>
      <c r="TOY27" s="117"/>
      <c r="TOZ27" s="117"/>
      <c r="TPA27" s="117"/>
      <c r="TPB27" s="117"/>
      <c r="TPC27" s="117"/>
      <c r="TPD27" s="117"/>
      <c r="TPE27" s="117"/>
      <c r="TPF27" s="117"/>
      <c r="TPG27" s="117"/>
      <c r="TPH27" s="117"/>
      <c r="TPI27" s="117"/>
      <c r="TPJ27" s="117"/>
      <c r="TPK27" s="117"/>
      <c r="TPL27" s="117"/>
      <c r="TPM27" s="117"/>
      <c r="TPN27" s="117"/>
      <c r="TPO27" s="117"/>
      <c r="TPP27" s="117"/>
      <c r="TPQ27" s="117"/>
      <c r="TPR27" s="117"/>
      <c r="TPS27" s="117"/>
      <c r="TPT27" s="117"/>
      <c r="TPU27" s="117"/>
      <c r="TPV27" s="117"/>
      <c r="TPW27" s="117"/>
      <c r="TPX27" s="117"/>
      <c r="TPY27" s="117"/>
      <c r="TPZ27" s="117"/>
      <c r="TQA27" s="117"/>
      <c r="TQB27" s="117"/>
      <c r="TQC27" s="117"/>
      <c r="TQD27" s="117"/>
      <c r="TQE27" s="117"/>
      <c r="TQF27" s="117"/>
      <c r="TQG27" s="117"/>
      <c r="TQH27" s="117"/>
      <c r="TQI27" s="117"/>
      <c r="TQJ27" s="117"/>
      <c r="TQK27" s="117"/>
      <c r="TQL27" s="117"/>
      <c r="TQM27" s="117"/>
      <c r="TQN27" s="117"/>
      <c r="TQO27" s="117"/>
      <c r="TQP27" s="117"/>
      <c r="TQQ27" s="117"/>
      <c r="TQR27" s="117"/>
      <c r="TQS27" s="117"/>
      <c r="TQT27" s="117"/>
      <c r="TQU27" s="117"/>
      <c r="TQV27" s="117"/>
      <c r="TQW27" s="117"/>
      <c r="TQX27" s="117"/>
      <c r="TQY27" s="117"/>
      <c r="TQZ27" s="117"/>
      <c r="TRA27" s="117"/>
      <c r="TRB27" s="117"/>
      <c r="TRC27" s="117"/>
      <c r="TRD27" s="117"/>
      <c r="TRE27" s="117"/>
      <c r="TRF27" s="117"/>
      <c r="TRG27" s="117"/>
      <c r="TRH27" s="117"/>
      <c r="TRI27" s="117"/>
      <c r="TRJ27" s="117"/>
      <c r="TRK27" s="117"/>
      <c r="TRL27" s="117"/>
      <c r="TRM27" s="117"/>
      <c r="TRN27" s="117"/>
      <c r="TRO27" s="117"/>
      <c r="TRP27" s="117"/>
      <c r="TRQ27" s="117"/>
      <c r="TRR27" s="117"/>
      <c r="TRS27" s="117"/>
      <c r="TRT27" s="117"/>
      <c r="TRU27" s="117"/>
      <c r="TRV27" s="117"/>
      <c r="TRW27" s="117"/>
      <c r="TRX27" s="117"/>
      <c r="TRY27" s="117"/>
      <c r="TRZ27" s="117"/>
      <c r="TSA27" s="117"/>
      <c r="TSB27" s="117"/>
      <c r="TSC27" s="117"/>
      <c r="TSD27" s="117"/>
      <c r="TSE27" s="117"/>
      <c r="TSF27" s="117"/>
      <c r="TSG27" s="117"/>
      <c r="TSH27" s="117"/>
      <c r="TSI27" s="117"/>
      <c r="TSJ27" s="117"/>
      <c r="TSK27" s="117"/>
      <c r="TSL27" s="117"/>
      <c r="TSM27" s="117"/>
      <c r="TSN27" s="117"/>
      <c r="TSO27" s="117"/>
      <c r="TSP27" s="117"/>
      <c r="TSQ27" s="117"/>
      <c r="TSR27" s="117"/>
      <c r="TSS27" s="117"/>
      <c r="TST27" s="117"/>
      <c r="TSU27" s="117"/>
      <c r="TSV27" s="117"/>
      <c r="TSW27" s="117"/>
      <c r="TSX27" s="117"/>
      <c r="TSY27" s="117"/>
      <c r="TSZ27" s="117"/>
      <c r="TTA27" s="117"/>
      <c r="TTB27" s="117"/>
      <c r="TTC27" s="117"/>
      <c r="TTD27" s="117"/>
      <c r="TTE27" s="117"/>
      <c r="TTF27" s="117"/>
      <c r="TTG27" s="117"/>
      <c r="TTH27" s="117"/>
      <c r="TTI27" s="117"/>
      <c r="TTJ27" s="117"/>
      <c r="TTK27" s="117"/>
      <c r="TTL27" s="117"/>
      <c r="TTM27" s="117"/>
      <c r="TTN27" s="117"/>
      <c r="TTO27" s="117"/>
      <c r="TTP27" s="117"/>
      <c r="TTQ27" s="117"/>
      <c r="TTR27" s="117"/>
      <c r="TTS27" s="117"/>
      <c r="TTT27" s="117"/>
      <c r="TTU27" s="117"/>
      <c r="TTV27" s="117"/>
      <c r="TTW27" s="117"/>
      <c r="TTX27" s="117"/>
      <c r="TTY27" s="117"/>
      <c r="TTZ27" s="117"/>
      <c r="TUA27" s="117"/>
      <c r="TUB27" s="117"/>
      <c r="TUC27" s="117"/>
      <c r="TUD27" s="117"/>
      <c r="TUE27" s="117"/>
      <c r="TUF27" s="117"/>
      <c r="TUG27" s="117"/>
      <c r="TUH27" s="117"/>
      <c r="TUI27" s="117"/>
      <c r="TUJ27" s="117"/>
      <c r="TUK27" s="117"/>
      <c r="TUL27" s="117"/>
      <c r="TUM27" s="117"/>
      <c r="TUN27" s="117"/>
      <c r="TUO27" s="117"/>
      <c r="TUP27" s="117"/>
      <c r="TUQ27" s="117"/>
      <c r="TUR27" s="117"/>
      <c r="TUS27" s="117"/>
      <c r="TUT27" s="117"/>
      <c r="TUU27" s="117"/>
      <c r="TUV27" s="117"/>
      <c r="TUW27" s="117"/>
      <c r="TUX27" s="117"/>
      <c r="TUY27" s="117"/>
      <c r="TUZ27" s="117"/>
      <c r="TVA27" s="117"/>
      <c r="TVB27" s="117"/>
      <c r="TVC27" s="117"/>
      <c r="TVD27" s="117"/>
      <c r="TVE27" s="117"/>
      <c r="TVF27" s="117"/>
      <c r="TVG27" s="117"/>
      <c r="TVH27" s="117"/>
      <c r="TVI27" s="117"/>
      <c r="TVJ27" s="117"/>
      <c r="TVK27" s="117"/>
      <c r="TVL27" s="117"/>
      <c r="TVM27" s="117"/>
      <c r="TVN27" s="117"/>
      <c r="TVO27" s="117"/>
      <c r="TVP27" s="117"/>
      <c r="TVQ27" s="117"/>
      <c r="TVR27" s="117"/>
      <c r="TVS27" s="117"/>
      <c r="TVT27" s="117"/>
      <c r="TVU27" s="117"/>
      <c r="TVV27" s="117"/>
      <c r="TVW27" s="117"/>
      <c r="TVX27" s="117"/>
      <c r="TVY27" s="117"/>
      <c r="TVZ27" s="117"/>
      <c r="TWA27" s="117"/>
      <c r="TWB27" s="117"/>
      <c r="TWC27" s="117"/>
      <c r="TWD27" s="117"/>
      <c r="TWE27" s="117"/>
      <c r="TWF27" s="117"/>
      <c r="TWG27" s="117"/>
      <c r="TWH27" s="117"/>
      <c r="TWI27" s="117"/>
      <c r="TWJ27" s="117"/>
      <c r="TWK27" s="117"/>
      <c r="TWL27" s="117"/>
      <c r="TWM27" s="117"/>
      <c r="TWN27" s="117"/>
      <c r="TWO27" s="117"/>
      <c r="TWP27" s="117"/>
      <c r="TWQ27" s="117"/>
      <c r="TWR27" s="117"/>
      <c r="TWS27" s="117"/>
      <c r="TWT27" s="117"/>
      <c r="TWU27" s="117"/>
      <c r="TWV27" s="117"/>
      <c r="TWW27" s="117"/>
      <c r="TWX27" s="117"/>
      <c r="TWY27" s="117"/>
      <c r="TWZ27" s="117"/>
      <c r="TXA27" s="117"/>
      <c r="TXB27" s="117"/>
      <c r="TXC27" s="117"/>
      <c r="TXD27" s="117"/>
      <c r="TXE27" s="117"/>
      <c r="TXF27" s="117"/>
      <c r="TXG27" s="117"/>
      <c r="TXH27" s="117"/>
      <c r="TXI27" s="117"/>
      <c r="TXJ27" s="117"/>
      <c r="TXK27" s="117"/>
      <c r="TXL27" s="117"/>
      <c r="TXM27" s="117"/>
      <c r="TXN27" s="117"/>
      <c r="TXO27" s="117"/>
      <c r="TXP27" s="117"/>
      <c r="TXQ27" s="117"/>
      <c r="TXR27" s="117"/>
      <c r="TXS27" s="117"/>
      <c r="TXT27" s="117"/>
      <c r="TXU27" s="117"/>
      <c r="TXV27" s="117"/>
      <c r="TXW27" s="117"/>
      <c r="TXX27" s="117"/>
      <c r="TXY27" s="117"/>
      <c r="TXZ27" s="117"/>
      <c r="TYA27" s="117"/>
      <c r="TYB27" s="117"/>
      <c r="TYC27" s="117"/>
      <c r="TYD27" s="117"/>
      <c r="TYE27" s="117"/>
      <c r="TYF27" s="117"/>
      <c r="TYG27" s="117"/>
      <c r="TYH27" s="117"/>
      <c r="TYI27" s="117"/>
      <c r="TYJ27" s="117"/>
      <c r="TYK27" s="117"/>
      <c r="TYL27" s="117"/>
      <c r="TYM27" s="117"/>
      <c r="TYN27" s="117"/>
      <c r="TYO27" s="117"/>
      <c r="TYP27" s="117"/>
      <c r="TYQ27" s="117"/>
      <c r="TYR27" s="117"/>
      <c r="TYS27" s="117"/>
      <c r="TYT27" s="117"/>
      <c r="TYU27" s="117"/>
      <c r="TYV27" s="117"/>
      <c r="TYW27" s="117"/>
      <c r="TYX27" s="117"/>
      <c r="TYY27" s="117"/>
      <c r="TYZ27" s="117"/>
      <c r="TZA27" s="117"/>
      <c r="TZB27" s="117"/>
      <c r="TZC27" s="117"/>
      <c r="TZD27" s="117"/>
      <c r="TZE27" s="117"/>
      <c r="TZF27" s="117"/>
      <c r="TZG27" s="117"/>
      <c r="TZH27" s="117"/>
      <c r="TZI27" s="117"/>
      <c r="TZJ27" s="117"/>
      <c r="TZK27" s="117"/>
      <c r="TZL27" s="117"/>
      <c r="TZM27" s="117"/>
      <c r="TZN27" s="117"/>
      <c r="TZO27" s="117"/>
      <c r="TZP27" s="117"/>
      <c r="TZQ27" s="117"/>
      <c r="TZR27" s="117"/>
      <c r="TZS27" s="117"/>
      <c r="TZT27" s="117"/>
      <c r="TZU27" s="117"/>
      <c r="TZV27" s="117"/>
      <c r="TZW27" s="117"/>
      <c r="TZX27" s="117"/>
      <c r="TZY27" s="117"/>
      <c r="TZZ27" s="117"/>
      <c r="UAA27" s="117"/>
      <c r="UAB27" s="117"/>
      <c r="UAC27" s="117"/>
      <c r="UAD27" s="117"/>
      <c r="UAE27" s="117"/>
      <c r="UAF27" s="117"/>
      <c r="UAG27" s="117"/>
      <c r="UAH27" s="117"/>
      <c r="UAI27" s="117"/>
      <c r="UAJ27" s="117"/>
      <c r="UAK27" s="117"/>
      <c r="UAL27" s="117"/>
      <c r="UAM27" s="117"/>
      <c r="UAN27" s="117"/>
      <c r="UAO27" s="117"/>
      <c r="UAP27" s="117"/>
      <c r="UAQ27" s="117"/>
      <c r="UAR27" s="117"/>
      <c r="UAS27" s="117"/>
      <c r="UAT27" s="117"/>
      <c r="UAU27" s="117"/>
      <c r="UAV27" s="117"/>
      <c r="UAW27" s="117"/>
      <c r="UAX27" s="117"/>
      <c r="UAY27" s="117"/>
      <c r="UAZ27" s="117"/>
      <c r="UBA27" s="117"/>
      <c r="UBB27" s="117"/>
      <c r="UBC27" s="117"/>
      <c r="UBD27" s="117"/>
      <c r="UBE27" s="117"/>
      <c r="UBF27" s="117"/>
      <c r="UBG27" s="117"/>
      <c r="UBH27" s="117"/>
      <c r="UBI27" s="117"/>
      <c r="UBJ27" s="117"/>
      <c r="UBK27" s="117"/>
      <c r="UBL27" s="117"/>
      <c r="UBM27" s="117"/>
      <c r="UBN27" s="117"/>
      <c r="UBO27" s="117"/>
      <c r="UBP27" s="117"/>
      <c r="UBQ27" s="117"/>
      <c r="UBR27" s="117"/>
      <c r="UBS27" s="117"/>
      <c r="UBT27" s="117"/>
      <c r="UBU27" s="117"/>
      <c r="UBV27" s="117"/>
      <c r="UBW27" s="117"/>
      <c r="UBX27" s="117"/>
      <c r="UBY27" s="117"/>
      <c r="UBZ27" s="117"/>
      <c r="UCA27" s="117"/>
      <c r="UCB27" s="117"/>
      <c r="UCC27" s="117"/>
      <c r="UCD27" s="117"/>
      <c r="UCE27" s="117"/>
      <c r="UCF27" s="117"/>
      <c r="UCG27" s="117"/>
      <c r="UCH27" s="117"/>
      <c r="UCI27" s="117"/>
      <c r="UCJ27" s="117"/>
      <c r="UCK27" s="117"/>
      <c r="UCL27" s="117"/>
      <c r="UCM27" s="117"/>
      <c r="UCN27" s="117"/>
      <c r="UCO27" s="117"/>
      <c r="UCP27" s="117"/>
      <c r="UCQ27" s="117"/>
      <c r="UCR27" s="117"/>
      <c r="UCS27" s="117"/>
      <c r="UCT27" s="117"/>
      <c r="UCU27" s="117"/>
      <c r="UCV27" s="117"/>
      <c r="UCW27" s="117"/>
      <c r="UCX27" s="117"/>
      <c r="UCY27" s="117"/>
      <c r="UCZ27" s="117"/>
      <c r="UDA27" s="117"/>
      <c r="UDB27" s="117"/>
      <c r="UDC27" s="117"/>
      <c r="UDD27" s="117"/>
      <c r="UDE27" s="117"/>
      <c r="UDF27" s="117"/>
      <c r="UDG27" s="117"/>
      <c r="UDH27" s="117"/>
      <c r="UDI27" s="117"/>
      <c r="UDJ27" s="117"/>
      <c r="UDK27" s="117"/>
      <c r="UDL27" s="117"/>
      <c r="UDM27" s="117"/>
      <c r="UDN27" s="117"/>
      <c r="UDO27" s="117"/>
      <c r="UDP27" s="117"/>
      <c r="UDQ27" s="117"/>
      <c r="UDR27" s="117"/>
      <c r="UDS27" s="117"/>
      <c r="UDT27" s="117"/>
      <c r="UDU27" s="117"/>
      <c r="UDV27" s="117"/>
      <c r="UDW27" s="117"/>
      <c r="UDX27" s="117"/>
      <c r="UDY27" s="117"/>
      <c r="UDZ27" s="117"/>
      <c r="UEA27" s="117"/>
      <c r="UEB27" s="117"/>
      <c r="UEC27" s="117"/>
      <c r="UED27" s="117"/>
      <c r="UEE27" s="117"/>
      <c r="UEF27" s="117"/>
      <c r="UEG27" s="117"/>
      <c r="UEH27" s="117"/>
      <c r="UEI27" s="117"/>
      <c r="UEJ27" s="117"/>
      <c r="UEK27" s="117"/>
      <c r="UEL27" s="117"/>
      <c r="UEM27" s="117"/>
      <c r="UEN27" s="117"/>
      <c r="UEO27" s="117"/>
      <c r="UEP27" s="117"/>
      <c r="UEQ27" s="117"/>
      <c r="UER27" s="117"/>
      <c r="UES27" s="117"/>
      <c r="UET27" s="117"/>
      <c r="UEU27" s="117"/>
      <c r="UEV27" s="117"/>
      <c r="UEW27" s="117"/>
      <c r="UEX27" s="117"/>
      <c r="UEY27" s="117"/>
      <c r="UEZ27" s="117"/>
      <c r="UFA27" s="117"/>
      <c r="UFB27" s="117"/>
      <c r="UFC27" s="117"/>
      <c r="UFD27" s="117"/>
      <c r="UFE27" s="117"/>
      <c r="UFF27" s="117"/>
      <c r="UFG27" s="117"/>
      <c r="UFH27" s="117"/>
      <c r="UFI27" s="117"/>
      <c r="UFJ27" s="117"/>
      <c r="UFK27" s="117"/>
      <c r="UFL27" s="117"/>
      <c r="UFM27" s="117"/>
      <c r="UFN27" s="117"/>
      <c r="UFO27" s="117"/>
      <c r="UFP27" s="117"/>
      <c r="UFQ27" s="117"/>
      <c r="UFR27" s="117"/>
      <c r="UFS27" s="117"/>
      <c r="UFT27" s="117"/>
      <c r="UFU27" s="117"/>
      <c r="UFV27" s="117"/>
      <c r="UFW27" s="117"/>
      <c r="UFX27" s="117"/>
      <c r="UFY27" s="117"/>
      <c r="UFZ27" s="117"/>
      <c r="UGA27" s="117"/>
      <c r="UGB27" s="117"/>
      <c r="UGC27" s="117"/>
      <c r="UGD27" s="117"/>
      <c r="UGE27" s="117"/>
      <c r="UGF27" s="117"/>
      <c r="UGG27" s="117"/>
      <c r="UGH27" s="117"/>
      <c r="UGI27" s="117"/>
      <c r="UGJ27" s="117"/>
      <c r="UGK27" s="117"/>
      <c r="UGL27" s="117"/>
      <c r="UGM27" s="117"/>
      <c r="UGN27" s="117"/>
      <c r="UGO27" s="117"/>
      <c r="UGP27" s="117"/>
      <c r="UGQ27" s="117"/>
      <c r="UGR27" s="117"/>
      <c r="UGS27" s="117"/>
      <c r="UGT27" s="117"/>
      <c r="UGU27" s="117"/>
      <c r="UGV27" s="117"/>
      <c r="UGW27" s="117"/>
      <c r="UGX27" s="117"/>
      <c r="UGY27" s="117"/>
      <c r="UGZ27" s="117"/>
      <c r="UHA27" s="117"/>
      <c r="UHB27" s="117"/>
      <c r="UHC27" s="117"/>
      <c r="UHD27" s="117"/>
      <c r="UHE27" s="117"/>
      <c r="UHF27" s="117"/>
      <c r="UHG27" s="117"/>
      <c r="UHH27" s="117"/>
      <c r="UHI27" s="117"/>
      <c r="UHJ27" s="117"/>
      <c r="UHK27" s="117"/>
      <c r="UHL27" s="117"/>
      <c r="UHM27" s="117"/>
      <c r="UHN27" s="117"/>
      <c r="UHO27" s="117"/>
      <c r="UHP27" s="117"/>
      <c r="UHQ27" s="117"/>
      <c r="UHR27" s="117"/>
      <c r="UHS27" s="117"/>
      <c r="UHT27" s="117"/>
      <c r="UHU27" s="117"/>
      <c r="UHV27" s="117"/>
      <c r="UHW27" s="117"/>
      <c r="UHX27" s="117"/>
      <c r="UHY27" s="117"/>
      <c r="UHZ27" s="117"/>
      <c r="UIA27" s="117"/>
      <c r="UIB27" s="117"/>
      <c r="UIC27" s="117"/>
      <c r="UID27" s="117"/>
      <c r="UIE27" s="117"/>
      <c r="UIF27" s="117"/>
      <c r="UIG27" s="117"/>
      <c r="UIH27" s="117"/>
      <c r="UII27" s="117"/>
      <c r="UIJ27" s="117"/>
      <c r="UIK27" s="117"/>
      <c r="UIL27" s="117"/>
      <c r="UIM27" s="117"/>
      <c r="UIN27" s="117"/>
      <c r="UIO27" s="117"/>
      <c r="UIP27" s="117"/>
      <c r="UIQ27" s="117"/>
      <c r="UIR27" s="117"/>
      <c r="UIS27" s="117"/>
      <c r="UIT27" s="117"/>
      <c r="UIU27" s="117"/>
      <c r="UIV27" s="117"/>
      <c r="UIW27" s="117"/>
      <c r="UIX27" s="117"/>
      <c r="UIY27" s="117"/>
      <c r="UIZ27" s="117"/>
      <c r="UJA27" s="117"/>
      <c r="UJB27" s="117"/>
      <c r="UJC27" s="117"/>
      <c r="UJD27" s="117"/>
      <c r="UJE27" s="117"/>
      <c r="UJF27" s="117"/>
      <c r="UJG27" s="117"/>
      <c r="UJH27" s="117"/>
      <c r="UJI27" s="117"/>
      <c r="UJJ27" s="117"/>
      <c r="UJK27" s="117"/>
      <c r="UJL27" s="117"/>
      <c r="UJM27" s="117"/>
      <c r="UJN27" s="117"/>
      <c r="UJO27" s="117"/>
      <c r="UJP27" s="117"/>
      <c r="UJQ27" s="117"/>
      <c r="UJR27" s="117"/>
      <c r="UJS27" s="117"/>
      <c r="UJT27" s="117"/>
      <c r="UJU27" s="117"/>
      <c r="UJV27" s="117"/>
      <c r="UJW27" s="117"/>
      <c r="UJX27" s="117"/>
      <c r="UJY27" s="117"/>
      <c r="UJZ27" s="117"/>
      <c r="UKA27" s="117"/>
      <c r="UKB27" s="117"/>
      <c r="UKC27" s="117"/>
      <c r="UKD27" s="117"/>
      <c r="UKE27" s="117"/>
      <c r="UKF27" s="117"/>
      <c r="UKG27" s="117"/>
      <c r="UKH27" s="117"/>
      <c r="UKI27" s="117"/>
      <c r="UKJ27" s="117"/>
      <c r="UKK27" s="117"/>
      <c r="UKL27" s="117"/>
      <c r="UKM27" s="117"/>
      <c r="UKN27" s="117"/>
      <c r="UKO27" s="117"/>
      <c r="UKP27" s="117"/>
      <c r="UKQ27" s="117"/>
      <c r="UKR27" s="117"/>
      <c r="UKS27" s="117"/>
      <c r="UKT27" s="117"/>
      <c r="UKU27" s="117"/>
      <c r="UKV27" s="117"/>
      <c r="UKW27" s="117"/>
      <c r="UKX27" s="117"/>
      <c r="UKY27" s="117"/>
      <c r="UKZ27" s="117"/>
      <c r="ULA27" s="117"/>
      <c r="ULB27" s="117"/>
      <c r="ULC27" s="117"/>
      <c r="ULD27" s="117"/>
      <c r="ULE27" s="117"/>
      <c r="ULF27" s="117"/>
      <c r="ULG27" s="117"/>
      <c r="ULH27" s="117"/>
      <c r="ULI27" s="117"/>
      <c r="ULJ27" s="117"/>
      <c r="ULK27" s="117"/>
      <c r="ULL27" s="117"/>
      <c r="ULM27" s="117"/>
      <c r="ULN27" s="117"/>
      <c r="ULO27" s="117"/>
      <c r="ULP27" s="117"/>
      <c r="ULQ27" s="117"/>
      <c r="ULR27" s="117"/>
      <c r="ULS27" s="117"/>
      <c r="ULT27" s="117"/>
      <c r="ULU27" s="117"/>
      <c r="ULV27" s="117"/>
      <c r="ULW27" s="117"/>
      <c r="ULX27" s="117"/>
      <c r="ULY27" s="117"/>
      <c r="ULZ27" s="117"/>
      <c r="UMA27" s="117"/>
      <c r="UMB27" s="117"/>
      <c r="UMC27" s="117"/>
      <c r="UMD27" s="117"/>
      <c r="UME27" s="117"/>
      <c r="UMF27" s="117"/>
      <c r="UMG27" s="117"/>
      <c r="UMH27" s="117"/>
      <c r="UMI27" s="117"/>
      <c r="UMJ27" s="117"/>
      <c r="UMK27" s="117"/>
      <c r="UML27" s="117"/>
      <c r="UMM27" s="117"/>
      <c r="UMN27" s="117"/>
      <c r="UMO27" s="117"/>
      <c r="UMP27" s="117"/>
      <c r="UMQ27" s="117"/>
      <c r="UMR27" s="117"/>
      <c r="UMS27" s="117"/>
      <c r="UMT27" s="117"/>
      <c r="UMU27" s="117"/>
      <c r="UMV27" s="117"/>
      <c r="UMW27" s="117"/>
      <c r="UMX27" s="117"/>
      <c r="UMY27" s="117"/>
      <c r="UMZ27" s="117"/>
      <c r="UNA27" s="117"/>
      <c r="UNB27" s="117"/>
      <c r="UNC27" s="117"/>
      <c r="UND27" s="117"/>
      <c r="UNE27" s="117"/>
      <c r="UNF27" s="117"/>
      <c r="UNG27" s="117"/>
      <c r="UNH27" s="117"/>
      <c r="UNI27" s="117"/>
      <c r="UNJ27" s="117"/>
      <c r="UNK27" s="117"/>
      <c r="UNL27" s="117"/>
      <c r="UNM27" s="117"/>
      <c r="UNN27" s="117"/>
      <c r="UNO27" s="117"/>
      <c r="UNP27" s="117"/>
      <c r="UNQ27" s="117"/>
      <c r="UNR27" s="117"/>
      <c r="UNS27" s="117"/>
      <c r="UNT27" s="117"/>
      <c r="UNU27" s="117"/>
      <c r="UNV27" s="117"/>
      <c r="UNW27" s="117"/>
      <c r="UNX27" s="117"/>
      <c r="UNY27" s="117"/>
      <c r="UNZ27" s="117"/>
      <c r="UOA27" s="117"/>
      <c r="UOB27" s="117"/>
      <c r="UOC27" s="117"/>
      <c r="UOD27" s="117"/>
      <c r="UOE27" s="117"/>
      <c r="UOF27" s="117"/>
      <c r="UOG27" s="117"/>
      <c r="UOH27" s="117"/>
      <c r="UOI27" s="117"/>
      <c r="UOJ27" s="117"/>
      <c r="UOK27" s="117"/>
      <c r="UOL27" s="117"/>
      <c r="UOM27" s="117"/>
      <c r="UON27" s="117"/>
      <c r="UOO27" s="117"/>
      <c r="UOP27" s="117"/>
      <c r="UOQ27" s="117"/>
      <c r="UOR27" s="117"/>
      <c r="UOS27" s="117"/>
      <c r="UOT27" s="117"/>
      <c r="UOU27" s="117"/>
      <c r="UOV27" s="117"/>
      <c r="UOW27" s="117"/>
      <c r="UOX27" s="117"/>
      <c r="UOY27" s="117"/>
      <c r="UOZ27" s="117"/>
      <c r="UPA27" s="117"/>
      <c r="UPB27" s="117"/>
      <c r="UPC27" s="117"/>
      <c r="UPD27" s="117"/>
      <c r="UPE27" s="117"/>
      <c r="UPF27" s="117"/>
      <c r="UPG27" s="117"/>
      <c r="UPH27" s="117"/>
      <c r="UPI27" s="117"/>
      <c r="UPJ27" s="117"/>
      <c r="UPK27" s="117"/>
      <c r="UPL27" s="117"/>
      <c r="UPM27" s="117"/>
      <c r="UPN27" s="117"/>
      <c r="UPO27" s="117"/>
      <c r="UPP27" s="117"/>
      <c r="UPQ27" s="117"/>
      <c r="UPR27" s="117"/>
      <c r="UPS27" s="117"/>
      <c r="UPT27" s="117"/>
      <c r="UPU27" s="117"/>
      <c r="UPV27" s="117"/>
      <c r="UPW27" s="117"/>
      <c r="UPX27" s="117"/>
      <c r="UPY27" s="117"/>
      <c r="UPZ27" s="117"/>
      <c r="UQA27" s="117"/>
      <c r="UQB27" s="117"/>
      <c r="UQC27" s="117"/>
      <c r="UQD27" s="117"/>
      <c r="UQE27" s="117"/>
      <c r="UQF27" s="117"/>
      <c r="UQG27" s="117"/>
      <c r="UQH27" s="117"/>
      <c r="UQI27" s="117"/>
      <c r="UQJ27" s="117"/>
      <c r="UQK27" s="117"/>
      <c r="UQL27" s="117"/>
      <c r="UQM27" s="117"/>
      <c r="UQN27" s="117"/>
      <c r="UQO27" s="117"/>
      <c r="UQP27" s="117"/>
      <c r="UQQ27" s="117"/>
      <c r="UQR27" s="117"/>
      <c r="UQS27" s="117"/>
      <c r="UQT27" s="117"/>
      <c r="UQU27" s="117"/>
      <c r="UQV27" s="117"/>
      <c r="UQW27" s="117"/>
      <c r="UQX27" s="117"/>
      <c r="UQY27" s="117"/>
      <c r="UQZ27" s="117"/>
      <c r="URA27" s="117"/>
      <c r="URB27" s="117"/>
      <c r="URC27" s="117"/>
      <c r="URD27" s="117"/>
      <c r="URE27" s="117"/>
      <c r="URF27" s="117"/>
      <c r="URG27" s="117"/>
      <c r="URH27" s="117"/>
      <c r="URI27" s="117"/>
      <c r="URJ27" s="117"/>
      <c r="URK27" s="117"/>
      <c r="URL27" s="117"/>
      <c r="URM27" s="117"/>
      <c r="URN27" s="117"/>
      <c r="URO27" s="117"/>
      <c r="URP27" s="117"/>
      <c r="URQ27" s="117"/>
      <c r="URR27" s="117"/>
      <c r="URS27" s="117"/>
      <c r="URT27" s="117"/>
      <c r="URU27" s="117"/>
      <c r="URV27" s="117"/>
      <c r="URW27" s="117"/>
      <c r="URX27" s="117"/>
      <c r="URY27" s="117"/>
      <c r="URZ27" s="117"/>
      <c r="USA27" s="117"/>
      <c r="USB27" s="117"/>
      <c r="USC27" s="117"/>
      <c r="USD27" s="117"/>
      <c r="USE27" s="117"/>
      <c r="USF27" s="117"/>
      <c r="USG27" s="117"/>
      <c r="USH27" s="117"/>
      <c r="USI27" s="117"/>
      <c r="USJ27" s="117"/>
      <c r="USK27" s="117"/>
      <c r="USL27" s="117"/>
      <c r="USM27" s="117"/>
      <c r="USN27" s="117"/>
      <c r="USO27" s="117"/>
      <c r="USP27" s="117"/>
      <c r="USQ27" s="117"/>
      <c r="USR27" s="117"/>
      <c r="USS27" s="117"/>
      <c r="UST27" s="117"/>
      <c r="USU27" s="117"/>
      <c r="USV27" s="117"/>
      <c r="USW27" s="117"/>
      <c r="USX27" s="117"/>
      <c r="USY27" s="117"/>
      <c r="USZ27" s="117"/>
      <c r="UTA27" s="117"/>
      <c r="UTB27" s="117"/>
      <c r="UTC27" s="117"/>
      <c r="UTD27" s="117"/>
      <c r="UTE27" s="117"/>
      <c r="UTF27" s="117"/>
      <c r="UTG27" s="117"/>
      <c r="UTH27" s="117"/>
      <c r="UTI27" s="117"/>
      <c r="UTJ27" s="117"/>
      <c r="UTK27" s="117"/>
      <c r="UTL27" s="117"/>
      <c r="UTM27" s="117"/>
      <c r="UTN27" s="117"/>
      <c r="UTO27" s="117"/>
      <c r="UTP27" s="117"/>
      <c r="UTQ27" s="117"/>
      <c r="UTR27" s="117"/>
      <c r="UTS27" s="117"/>
      <c r="UTT27" s="117"/>
      <c r="UTU27" s="117"/>
      <c r="UTV27" s="117"/>
      <c r="UTW27" s="117"/>
      <c r="UTX27" s="117"/>
      <c r="UTY27" s="117"/>
      <c r="UTZ27" s="117"/>
      <c r="UUA27" s="117"/>
      <c r="UUB27" s="117"/>
      <c r="UUC27" s="117"/>
      <c r="UUD27" s="117"/>
      <c r="UUE27" s="117"/>
      <c r="UUF27" s="117"/>
      <c r="UUG27" s="117"/>
      <c r="UUH27" s="117"/>
      <c r="UUI27" s="117"/>
      <c r="UUJ27" s="117"/>
      <c r="UUK27" s="117"/>
      <c r="UUL27" s="117"/>
      <c r="UUM27" s="117"/>
      <c r="UUN27" s="117"/>
      <c r="UUO27" s="117"/>
      <c r="UUP27" s="117"/>
      <c r="UUQ27" s="117"/>
      <c r="UUR27" s="117"/>
      <c r="UUS27" s="117"/>
      <c r="UUT27" s="117"/>
      <c r="UUU27" s="117"/>
      <c r="UUV27" s="117"/>
      <c r="UUW27" s="117"/>
      <c r="UUX27" s="117"/>
      <c r="UUY27" s="117"/>
      <c r="UUZ27" s="117"/>
      <c r="UVA27" s="117"/>
      <c r="UVB27" s="117"/>
      <c r="UVC27" s="117"/>
      <c r="UVD27" s="117"/>
      <c r="UVE27" s="117"/>
      <c r="UVF27" s="117"/>
      <c r="UVG27" s="117"/>
      <c r="UVH27" s="117"/>
      <c r="UVI27" s="117"/>
      <c r="UVJ27" s="117"/>
      <c r="UVK27" s="117"/>
      <c r="UVL27" s="117"/>
      <c r="UVM27" s="117"/>
      <c r="UVN27" s="117"/>
      <c r="UVO27" s="117"/>
      <c r="UVP27" s="117"/>
      <c r="UVQ27" s="117"/>
      <c r="UVR27" s="117"/>
      <c r="UVS27" s="117"/>
      <c r="UVT27" s="117"/>
      <c r="UVU27" s="117"/>
      <c r="UVV27" s="117"/>
      <c r="UVW27" s="117"/>
      <c r="UVX27" s="117"/>
      <c r="UVY27" s="117"/>
      <c r="UVZ27" s="117"/>
      <c r="UWA27" s="117"/>
      <c r="UWB27" s="117"/>
      <c r="UWC27" s="117"/>
      <c r="UWD27" s="117"/>
      <c r="UWE27" s="117"/>
      <c r="UWF27" s="117"/>
      <c r="UWG27" s="117"/>
      <c r="UWH27" s="117"/>
      <c r="UWI27" s="117"/>
      <c r="UWJ27" s="117"/>
      <c r="UWK27" s="117"/>
      <c r="UWL27" s="117"/>
      <c r="UWM27" s="117"/>
      <c r="UWN27" s="117"/>
      <c r="UWO27" s="117"/>
      <c r="UWP27" s="117"/>
      <c r="UWQ27" s="117"/>
      <c r="UWR27" s="117"/>
      <c r="UWS27" s="117"/>
      <c r="UWT27" s="117"/>
      <c r="UWU27" s="117"/>
      <c r="UWV27" s="117"/>
      <c r="UWW27" s="117"/>
      <c r="UWX27" s="117"/>
      <c r="UWY27" s="117"/>
      <c r="UWZ27" s="117"/>
      <c r="UXA27" s="117"/>
      <c r="UXB27" s="117"/>
      <c r="UXC27" s="117"/>
      <c r="UXD27" s="117"/>
      <c r="UXE27" s="117"/>
      <c r="UXF27" s="117"/>
      <c r="UXG27" s="117"/>
      <c r="UXH27" s="117"/>
      <c r="UXI27" s="117"/>
      <c r="UXJ27" s="117"/>
      <c r="UXK27" s="117"/>
      <c r="UXL27" s="117"/>
      <c r="UXM27" s="117"/>
      <c r="UXN27" s="117"/>
      <c r="UXO27" s="117"/>
      <c r="UXP27" s="117"/>
      <c r="UXQ27" s="117"/>
      <c r="UXR27" s="117"/>
      <c r="UXS27" s="117"/>
      <c r="UXT27" s="117"/>
      <c r="UXU27" s="117"/>
      <c r="UXV27" s="117"/>
      <c r="UXW27" s="117"/>
      <c r="UXX27" s="117"/>
      <c r="UXY27" s="117"/>
      <c r="UXZ27" s="117"/>
      <c r="UYA27" s="117"/>
      <c r="UYB27" s="117"/>
      <c r="UYC27" s="117"/>
      <c r="UYD27" s="117"/>
      <c r="UYE27" s="117"/>
      <c r="UYF27" s="117"/>
      <c r="UYG27" s="117"/>
      <c r="UYH27" s="117"/>
      <c r="UYI27" s="117"/>
      <c r="UYJ27" s="117"/>
      <c r="UYK27" s="117"/>
      <c r="UYL27" s="117"/>
      <c r="UYM27" s="117"/>
      <c r="UYN27" s="117"/>
      <c r="UYO27" s="117"/>
      <c r="UYP27" s="117"/>
      <c r="UYQ27" s="117"/>
      <c r="UYR27" s="117"/>
      <c r="UYS27" s="117"/>
      <c r="UYT27" s="117"/>
      <c r="UYU27" s="117"/>
      <c r="UYV27" s="117"/>
      <c r="UYW27" s="117"/>
      <c r="UYX27" s="117"/>
      <c r="UYY27" s="117"/>
      <c r="UYZ27" s="117"/>
      <c r="UZA27" s="117"/>
      <c r="UZB27" s="117"/>
      <c r="UZC27" s="117"/>
      <c r="UZD27" s="117"/>
      <c r="UZE27" s="117"/>
      <c r="UZF27" s="117"/>
      <c r="UZG27" s="117"/>
      <c r="UZH27" s="117"/>
      <c r="UZI27" s="117"/>
      <c r="UZJ27" s="117"/>
      <c r="UZK27" s="117"/>
      <c r="UZL27" s="117"/>
      <c r="UZM27" s="117"/>
      <c r="UZN27" s="117"/>
      <c r="UZO27" s="117"/>
      <c r="UZP27" s="117"/>
      <c r="UZQ27" s="117"/>
      <c r="UZR27" s="117"/>
      <c r="UZS27" s="117"/>
      <c r="UZT27" s="117"/>
      <c r="UZU27" s="117"/>
      <c r="UZV27" s="117"/>
      <c r="UZW27" s="117"/>
      <c r="UZX27" s="117"/>
      <c r="UZY27" s="117"/>
      <c r="UZZ27" s="117"/>
      <c r="VAA27" s="117"/>
      <c r="VAB27" s="117"/>
      <c r="VAC27" s="117"/>
      <c r="VAD27" s="117"/>
      <c r="VAE27" s="117"/>
      <c r="VAF27" s="117"/>
      <c r="VAG27" s="117"/>
      <c r="VAH27" s="117"/>
      <c r="VAI27" s="117"/>
      <c r="VAJ27" s="117"/>
      <c r="VAK27" s="117"/>
      <c r="VAL27" s="117"/>
      <c r="VAM27" s="117"/>
      <c r="VAN27" s="117"/>
      <c r="VAO27" s="117"/>
      <c r="VAP27" s="117"/>
      <c r="VAQ27" s="117"/>
      <c r="VAR27" s="117"/>
      <c r="VAS27" s="117"/>
      <c r="VAT27" s="117"/>
      <c r="VAU27" s="117"/>
      <c r="VAV27" s="117"/>
      <c r="VAW27" s="117"/>
      <c r="VAX27" s="117"/>
      <c r="VAY27" s="117"/>
      <c r="VAZ27" s="117"/>
      <c r="VBA27" s="117"/>
      <c r="VBB27" s="117"/>
      <c r="VBC27" s="117"/>
      <c r="VBD27" s="117"/>
      <c r="VBE27" s="117"/>
      <c r="VBF27" s="117"/>
      <c r="VBG27" s="117"/>
      <c r="VBH27" s="117"/>
      <c r="VBI27" s="117"/>
      <c r="VBJ27" s="117"/>
      <c r="VBK27" s="117"/>
      <c r="VBL27" s="117"/>
      <c r="VBM27" s="117"/>
      <c r="VBN27" s="117"/>
      <c r="VBO27" s="117"/>
      <c r="VBP27" s="117"/>
      <c r="VBQ27" s="117"/>
      <c r="VBR27" s="117"/>
      <c r="VBS27" s="117"/>
      <c r="VBT27" s="117"/>
      <c r="VBU27" s="117"/>
      <c r="VBV27" s="117"/>
      <c r="VBW27" s="117"/>
      <c r="VBX27" s="117"/>
      <c r="VBY27" s="117"/>
      <c r="VBZ27" s="117"/>
      <c r="VCA27" s="117"/>
      <c r="VCB27" s="117"/>
      <c r="VCC27" s="117"/>
      <c r="VCD27" s="117"/>
      <c r="VCE27" s="117"/>
      <c r="VCF27" s="117"/>
      <c r="VCG27" s="117"/>
      <c r="VCH27" s="117"/>
      <c r="VCI27" s="117"/>
      <c r="VCJ27" s="117"/>
      <c r="VCK27" s="117"/>
      <c r="VCL27" s="117"/>
      <c r="VCM27" s="117"/>
      <c r="VCN27" s="117"/>
      <c r="VCO27" s="117"/>
      <c r="VCP27" s="117"/>
      <c r="VCQ27" s="117"/>
      <c r="VCR27" s="117"/>
      <c r="VCS27" s="117"/>
      <c r="VCT27" s="117"/>
      <c r="VCU27" s="117"/>
      <c r="VCV27" s="117"/>
      <c r="VCW27" s="117"/>
      <c r="VCX27" s="117"/>
      <c r="VCY27" s="117"/>
      <c r="VCZ27" s="117"/>
      <c r="VDA27" s="117"/>
      <c r="VDB27" s="117"/>
      <c r="VDC27" s="117"/>
      <c r="VDD27" s="117"/>
      <c r="VDE27" s="117"/>
      <c r="VDF27" s="117"/>
      <c r="VDG27" s="117"/>
      <c r="VDH27" s="117"/>
      <c r="VDI27" s="117"/>
      <c r="VDJ27" s="117"/>
      <c r="VDK27" s="117"/>
      <c r="VDL27" s="117"/>
      <c r="VDM27" s="117"/>
      <c r="VDN27" s="117"/>
      <c r="VDO27" s="117"/>
      <c r="VDP27" s="117"/>
      <c r="VDQ27" s="117"/>
      <c r="VDR27" s="117"/>
      <c r="VDS27" s="117"/>
      <c r="VDT27" s="117"/>
      <c r="VDU27" s="117"/>
      <c r="VDV27" s="117"/>
      <c r="VDW27" s="117"/>
      <c r="VDX27" s="117"/>
      <c r="VDY27" s="117"/>
      <c r="VDZ27" s="117"/>
      <c r="VEA27" s="117"/>
      <c r="VEB27" s="117"/>
      <c r="VEC27" s="117"/>
      <c r="VED27" s="117"/>
      <c r="VEE27" s="117"/>
      <c r="VEF27" s="117"/>
      <c r="VEG27" s="117"/>
      <c r="VEH27" s="117"/>
      <c r="VEI27" s="117"/>
      <c r="VEJ27" s="117"/>
      <c r="VEK27" s="117"/>
      <c r="VEL27" s="117"/>
      <c r="VEM27" s="117"/>
      <c r="VEN27" s="117"/>
      <c r="VEO27" s="117"/>
      <c r="VEP27" s="117"/>
      <c r="VEQ27" s="117"/>
      <c r="VER27" s="117"/>
      <c r="VES27" s="117"/>
      <c r="VET27" s="117"/>
      <c r="VEU27" s="117"/>
      <c r="VEV27" s="117"/>
      <c r="VEW27" s="117"/>
      <c r="VEX27" s="117"/>
      <c r="VEY27" s="117"/>
      <c r="VEZ27" s="117"/>
      <c r="VFA27" s="117"/>
      <c r="VFB27" s="117"/>
      <c r="VFC27" s="117"/>
      <c r="VFD27" s="117"/>
      <c r="VFE27" s="117"/>
      <c r="VFF27" s="117"/>
      <c r="VFG27" s="117"/>
      <c r="VFH27" s="117"/>
      <c r="VFI27" s="117"/>
      <c r="VFJ27" s="117"/>
      <c r="VFK27" s="117"/>
      <c r="VFL27" s="117"/>
      <c r="VFM27" s="117"/>
      <c r="VFN27" s="117"/>
      <c r="VFO27" s="117"/>
      <c r="VFP27" s="117"/>
      <c r="VFQ27" s="117"/>
      <c r="VFR27" s="117"/>
      <c r="VFS27" s="117"/>
      <c r="VFT27" s="117"/>
      <c r="VFU27" s="117"/>
      <c r="VFV27" s="117"/>
      <c r="VFW27" s="117"/>
      <c r="VFX27" s="117"/>
      <c r="VFY27" s="117"/>
      <c r="VFZ27" s="117"/>
      <c r="VGA27" s="117"/>
      <c r="VGB27" s="117"/>
      <c r="VGC27" s="117"/>
      <c r="VGD27" s="117"/>
      <c r="VGE27" s="117"/>
      <c r="VGF27" s="117"/>
      <c r="VGG27" s="117"/>
      <c r="VGH27" s="117"/>
      <c r="VGI27" s="117"/>
      <c r="VGJ27" s="117"/>
      <c r="VGK27" s="117"/>
      <c r="VGL27" s="117"/>
      <c r="VGM27" s="117"/>
      <c r="VGN27" s="117"/>
      <c r="VGO27" s="117"/>
      <c r="VGP27" s="117"/>
      <c r="VGQ27" s="117"/>
      <c r="VGR27" s="117"/>
      <c r="VGS27" s="117"/>
      <c r="VGT27" s="117"/>
      <c r="VGU27" s="117"/>
      <c r="VGV27" s="117"/>
      <c r="VGW27" s="117"/>
      <c r="VGX27" s="117"/>
      <c r="VGY27" s="117"/>
      <c r="VGZ27" s="117"/>
      <c r="VHA27" s="117"/>
      <c r="VHB27" s="117"/>
      <c r="VHC27" s="117"/>
      <c r="VHD27" s="117"/>
      <c r="VHE27" s="117"/>
      <c r="VHF27" s="117"/>
      <c r="VHG27" s="117"/>
      <c r="VHH27" s="117"/>
      <c r="VHI27" s="117"/>
      <c r="VHJ27" s="117"/>
      <c r="VHK27" s="117"/>
      <c r="VHL27" s="117"/>
      <c r="VHM27" s="117"/>
      <c r="VHN27" s="117"/>
      <c r="VHO27" s="117"/>
      <c r="VHP27" s="117"/>
      <c r="VHQ27" s="117"/>
      <c r="VHR27" s="117"/>
      <c r="VHS27" s="117"/>
      <c r="VHT27" s="117"/>
      <c r="VHU27" s="117"/>
      <c r="VHV27" s="117"/>
      <c r="VHW27" s="117"/>
      <c r="VHX27" s="117"/>
      <c r="VHY27" s="117"/>
      <c r="VHZ27" s="117"/>
      <c r="VIA27" s="117"/>
      <c r="VIB27" s="117"/>
      <c r="VIC27" s="117"/>
      <c r="VID27" s="117"/>
      <c r="VIE27" s="117"/>
      <c r="VIF27" s="117"/>
      <c r="VIG27" s="117"/>
      <c r="VIH27" s="117"/>
      <c r="VII27" s="117"/>
      <c r="VIJ27" s="117"/>
      <c r="VIK27" s="117"/>
      <c r="VIL27" s="117"/>
      <c r="VIM27" s="117"/>
      <c r="VIN27" s="117"/>
      <c r="VIO27" s="117"/>
      <c r="VIP27" s="117"/>
      <c r="VIQ27" s="117"/>
      <c r="VIR27" s="117"/>
      <c r="VIS27" s="117"/>
      <c r="VIT27" s="117"/>
      <c r="VIU27" s="117"/>
      <c r="VIV27" s="117"/>
      <c r="VIW27" s="117"/>
      <c r="VIX27" s="117"/>
      <c r="VIY27" s="117"/>
      <c r="VIZ27" s="117"/>
      <c r="VJA27" s="117"/>
      <c r="VJB27" s="117"/>
      <c r="VJC27" s="117"/>
      <c r="VJD27" s="117"/>
      <c r="VJE27" s="117"/>
      <c r="VJF27" s="117"/>
      <c r="VJG27" s="117"/>
      <c r="VJH27" s="117"/>
      <c r="VJI27" s="117"/>
      <c r="VJJ27" s="117"/>
      <c r="VJK27" s="117"/>
      <c r="VJL27" s="117"/>
      <c r="VJM27" s="117"/>
      <c r="VJN27" s="117"/>
      <c r="VJO27" s="117"/>
      <c r="VJP27" s="117"/>
      <c r="VJQ27" s="117"/>
      <c r="VJR27" s="117"/>
      <c r="VJS27" s="117"/>
      <c r="VJT27" s="117"/>
      <c r="VJU27" s="117"/>
      <c r="VJV27" s="117"/>
      <c r="VJW27" s="117"/>
      <c r="VJX27" s="117"/>
      <c r="VJY27" s="117"/>
      <c r="VJZ27" s="117"/>
      <c r="VKA27" s="117"/>
      <c r="VKB27" s="117"/>
      <c r="VKC27" s="117"/>
      <c r="VKD27" s="117"/>
      <c r="VKE27" s="117"/>
      <c r="VKF27" s="117"/>
      <c r="VKG27" s="117"/>
      <c r="VKH27" s="117"/>
      <c r="VKI27" s="117"/>
      <c r="VKJ27" s="117"/>
      <c r="VKK27" s="117"/>
      <c r="VKL27" s="117"/>
      <c r="VKM27" s="117"/>
      <c r="VKN27" s="117"/>
      <c r="VKO27" s="117"/>
      <c r="VKP27" s="117"/>
      <c r="VKQ27" s="117"/>
      <c r="VKR27" s="117"/>
      <c r="VKS27" s="117"/>
      <c r="VKT27" s="117"/>
      <c r="VKU27" s="117"/>
      <c r="VKV27" s="117"/>
      <c r="VKW27" s="117"/>
      <c r="VKX27" s="117"/>
      <c r="VKY27" s="117"/>
      <c r="VKZ27" s="117"/>
      <c r="VLA27" s="117"/>
      <c r="VLB27" s="117"/>
      <c r="VLC27" s="117"/>
      <c r="VLD27" s="117"/>
      <c r="VLE27" s="117"/>
      <c r="VLF27" s="117"/>
      <c r="VLG27" s="117"/>
      <c r="VLH27" s="117"/>
      <c r="VLI27" s="117"/>
      <c r="VLJ27" s="117"/>
      <c r="VLK27" s="117"/>
      <c r="VLL27" s="117"/>
      <c r="VLM27" s="117"/>
      <c r="VLN27" s="117"/>
      <c r="VLO27" s="117"/>
      <c r="VLP27" s="117"/>
      <c r="VLQ27" s="117"/>
      <c r="VLR27" s="117"/>
      <c r="VLS27" s="117"/>
      <c r="VLT27" s="117"/>
      <c r="VLU27" s="117"/>
      <c r="VLV27" s="117"/>
      <c r="VLW27" s="117"/>
      <c r="VLX27" s="117"/>
      <c r="VLY27" s="117"/>
      <c r="VLZ27" s="117"/>
      <c r="VMA27" s="117"/>
      <c r="VMB27" s="117"/>
      <c r="VMC27" s="117"/>
      <c r="VMD27" s="117"/>
      <c r="VME27" s="117"/>
      <c r="VMF27" s="117"/>
      <c r="VMG27" s="117"/>
      <c r="VMH27" s="117"/>
      <c r="VMI27" s="117"/>
      <c r="VMJ27" s="117"/>
      <c r="VMK27" s="117"/>
      <c r="VML27" s="117"/>
      <c r="VMM27" s="117"/>
      <c r="VMN27" s="117"/>
      <c r="VMO27" s="117"/>
      <c r="VMP27" s="117"/>
      <c r="VMQ27" s="117"/>
      <c r="VMR27" s="117"/>
      <c r="VMS27" s="117"/>
      <c r="VMT27" s="117"/>
      <c r="VMU27" s="117"/>
      <c r="VMV27" s="117"/>
      <c r="VMW27" s="117"/>
      <c r="VMX27" s="117"/>
      <c r="VMY27" s="117"/>
      <c r="VMZ27" s="117"/>
      <c r="VNA27" s="117"/>
      <c r="VNB27" s="117"/>
      <c r="VNC27" s="117"/>
      <c r="VND27" s="117"/>
      <c r="VNE27" s="117"/>
      <c r="VNF27" s="117"/>
      <c r="VNG27" s="117"/>
      <c r="VNH27" s="117"/>
      <c r="VNI27" s="117"/>
      <c r="VNJ27" s="117"/>
      <c r="VNK27" s="117"/>
      <c r="VNL27" s="117"/>
      <c r="VNM27" s="117"/>
      <c r="VNN27" s="117"/>
      <c r="VNO27" s="117"/>
      <c r="VNP27" s="117"/>
      <c r="VNQ27" s="117"/>
      <c r="VNR27" s="117"/>
      <c r="VNS27" s="117"/>
      <c r="VNT27" s="117"/>
      <c r="VNU27" s="117"/>
      <c r="VNV27" s="117"/>
      <c r="VNW27" s="117"/>
      <c r="VNX27" s="117"/>
      <c r="VNY27" s="117"/>
      <c r="VNZ27" s="117"/>
      <c r="VOA27" s="117"/>
      <c r="VOB27" s="117"/>
      <c r="VOC27" s="117"/>
      <c r="VOD27" s="117"/>
      <c r="VOE27" s="117"/>
      <c r="VOF27" s="117"/>
      <c r="VOG27" s="117"/>
      <c r="VOH27" s="117"/>
      <c r="VOI27" s="117"/>
      <c r="VOJ27" s="117"/>
      <c r="VOK27" s="117"/>
      <c r="VOL27" s="117"/>
      <c r="VOM27" s="117"/>
      <c r="VON27" s="117"/>
      <c r="VOO27" s="117"/>
      <c r="VOP27" s="117"/>
      <c r="VOQ27" s="117"/>
      <c r="VOR27" s="117"/>
      <c r="VOS27" s="117"/>
      <c r="VOT27" s="117"/>
      <c r="VOU27" s="117"/>
      <c r="VOV27" s="117"/>
      <c r="VOW27" s="117"/>
      <c r="VOX27" s="117"/>
      <c r="VOY27" s="117"/>
      <c r="VOZ27" s="117"/>
      <c r="VPA27" s="117"/>
      <c r="VPB27" s="117"/>
      <c r="VPC27" s="117"/>
      <c r="VPD27" s="117"/>
      <c r="VPE27" s="117"/>
      <c r="VPF27" s="117"/>
      <c r="VPG27" s="117"/>
      <c r="VPH27" s="117"/>
      <c r="VPI27" s="117"/>
      <c r="VPJ27" s="117"/>
      <c r="VPK27" s="117"/>
      <c r="VPL27" s="117"/>
      <c r="VPM27" s="117"/>
      <c r="VPN27" s="117"/>
      <c r="VPO27" s="117"/>
      <c r="VPP27" s="117"/>
      <c r="VPQ27" s="117"/>
      <c r="VPR27" s="117"/>
      <c r="VPS27" s="117"/>
      <c r="VPT27" s="117"/>
      <c r="VPU27" s="117"/>
      <c r="VPV27" s="117"/>
      <c r="VPW27" s="117"/>
      <c r="VPX27" s="117"/>
      <c r="VPY27" s="117"/>
      <c r="VPZ27" s="117"/>
      <c r="VQA27" s="117"/>
      <c r="VQB27" s="117"/>
      <c r="VQC27" s="117"/>
      <c r="VQD27" s="117"/>
      <c r="VQE27" s="117"/>
      <c r="VQF27" s="117"/>
      <c r="VQG27" s="117"/>
      <c r="VQH27" s="117"/>
      <c r="VQI27" s="117"/>
      <c r="VQJ27" s="117"/>
      <c r="VQK27" s="117"/>
      <c r="VQL27" s="117"/>
      <c r="VQM27" s="117"/>
      <c r="VQN27" s="117"/>
      <c r="VQO27" s="117"/>
      <c r="VQP27" s="117"/>
      <c r="VQQ27" s="117"/>
      <c r="VQR27" s="117"/>
      <c r="VQS27" s="117"/>
      <c r="VQT27" s="117"/>
      <c r="VQU27" s="117"/>
      <c r="VQV27" s="117"/>
      <c r="VQW27" s="117"/>
      <c r="VQX27" s="117"/>
      <c r="VQY27" s="117"/>
      <c r="VQZ27" s="117"/>
      <c r="VRA27" s="117"/>
      <c r="VRB27" s="117"/>
      <c r="VRC27" s="117"/>
      <c r="VRD27" s="117"/>
      <c r="VRE27" s="117"/>
      <c r="VRF27" s="117"/>
      <c r="VRG27" s="117"/>
      <c r="VRH27" s="117"/>
      <c r="VRI27" s="117"/>
      <c r="VRJ27" s="117"/>
      <c r="VRK27" s="117"/>
      <c r="VRL27" s="117"/>
      <c r="VRM27" s="117"/>
      <c r="VRN27" s="117"/>
      <c r="VRO27" s="117"/>
      <c r="VRP27" s="117"/>
      <c r="VRQ27" s="117"/>
      <c r="VRR27" s="117"/>
      <c r="VRS27" s="117"/>
      <c r="VRT27" s="117"/>
      <c r="VRU27" s="117"/>
      <c r="VRV27" s="117"/>
      <c r="VRW27" s="117"/>
      <c r="VRX27" s="117"/>
      <c r="VRY27" s="117"/>
      <c r="VRZ27" s="117"/>
      <c r="VSA27" s="117"/>
      <c r="VSB27" s="117"/>
      <c r="VSC27" s="117"/>
      <c r="VSD27" s="117"/>
      <c r="VSE27" s="117"/>
      <c r="VSF27" s="117"/>
      <c r="VSG27" s="117"/>
      <c r="VSH27" s="117"/>
      <c r="VSI27" s="117"/>
      <c r="VSJ27" s="117"/>
      <c r="VSK27" s="117"/>
      <c r="VSL27" s="117"/>
      <c r="VSM27" s="117"/>
      <c r="VSN27" s="117"/>
      <c r="VSO27" s="117"/>
      <c r="VSP27" s="117"/>
      <c r="VSQ27" s="117"/>
      <c r="VSR27" s="117"/>
      <c r="VSS27" s="117"/>
      <c r="VST27" s="117"/>
      <c r="VSU27" s="117"/>
      <c r="VSV27" s="117"/>
      <c r="VSW27" s="117"/>
      <c r="VSX27" s="117"/>
      <c r="VSY27" s="117"/>
      <c r="VSZ27" s="117"/>
      <c r="VTA27" s="117"/>
      <c r="VTB27" s="117"/>
      <c r="VTC27" s="117"/>
      <c r="VTD27" s="117"/>
      <c r="VTE27" s="117"/>
      <c r="VTF27" s="117"/>
      <c r="VTG27" s="117"/>
      <c r="VTH27" s="117"/>
      <c r="VTI27" s="117"/>
      <c r="VTJ27" s="117"/>
      <c r="VTK27" s="117"/>
      <c r="VTL27" s="117"/>
      <c r="VTM27" s="117"/>
      <c r="VTN27" s="117"/>
      <c r="VTO27" s="117"/>
      <c r="VTP27" s="117"/>
      <c r="VTQ27" s="117"/>
      <c r="VTR27" s="117"/>
      <c r="VTS27" s="117"/>
      <c r="VTT27" s="117"/>
      <c r="VTU27" s="117"/>
      <c r="VTV27" s="117"/>
      <c r="VTW27" s="117"/>
      <c r="VTX27" s="117"/>
      <c r="VTY27" s="117"/>
      <c r="VTZ27" s="117"/>
      <c r="VUA27" s="117"/>
      <c r="VUB27" s="117"/>
      <c r="VUC27" s="117"/>
      <c r="VUD27" s="117"/>
      <c r="VUE27" s="117"/>
      <c r="VUF27" s="117"/>
      <c r="VUG27" s="117"/>
      <c r="VUH27" s="117"/>
      <c r="VUI27" s="117"/>
      <c r="VUJ27" s="117"/>
      <c r="VUK27" s="117"/>
      <c r="VUL27" s="117"/>
      <c r="VUM27" s="117"/>
      <c r="VUN27" s="117"/>
      <c r="VUO27" s="117"/>
      <c r="VUP27" s="117"/>
      <c r="VUQ27" s="117"/>
      <c r="VUR27" s="117"/>
      <c r="VUS27" s="117"/>
      <c r="VUT27" s="117"/>
      <c r="VUU27" s="117"/>
      <c r="VUV27" s="117"/>
      <c r="VUW27" s="117"/>
      <c r="VUX27" s="117"/>
      <c r="VUY27" s="117"/>
      <c r="VUZ27" s="117"/>
      <c r="VVA27" s="117"/>
      <c r="VVB27" s="117"/>
      <c r="VVC27" s="117"/>
      <c r="VVD27" s="117"/>
      <c r="VVE27" s="117"/>
      <c r="VVF27" s="117"/>
      <c r="VVG27" s="117"/>
      <c r="VVH27" s="117"/>
      <c r="VVI27" s="117"/>
      <c r="VVJ27" s="117"/>
      <c r="VVK27" s="117"/>
      <c r="VVL27" s="117"/>
      <c r="VVM27" s="117"/>
      <c r="VVN27" s="117"/>
      <c r="VVO27" s="117"/>
      <c r="VVP27" s="117"/>
      <c r="VVQ27" s="117"/>
      <c r="VVR27" s="117"/>
      <c r="VVS27" s="117"/>
      <c r="VVT27" s="117"/>
      <c r="VVU27" s="117"/>
      <c r="VVV27" s="117"/>
      <c r="VVW27" s="117"/>
      <c r="VVX27" s="117"/>
      <c r="VVY27" s="117"/>
      <c r="VVZ27" s="117"/>
      <c r="VWA27" s="117"/>
      <c r="VWB27" s="117"/>
      <c r="VWC27" s="117"/>
      <c r="VWD27" s="117"/>
      <c r="VWE27" s="117"/>
      <c r="VWF27" s="117"/>
      <c r="VWG27" s="117"/>
      <c r="VWH27" s="117"/>
      <c r="VWI27" s="117"/>
      <c r="VWJ27" s="117"/>
      <c r="VWK27" s="117"/>
      <c r="VWL27" s="117"/>
      <c r="VWM27" s="117"/>
      <c r="VWN27" s="117"/>
      <c r="VWO27" s="117"/>
      <c r="VWP27" s="117"/>
      <c r="VWQ27" s="117"/>
      <c r="VWR27" s="117"/>
      <c r="VWS27" s="117"/>
      <c r="VWT27" s="117"/>
      <c r="VWU27" s="117"/>
      <c r="VWV27" s="117"/>
      <c r="VWW27" s="117"/>
      <c r="VWX27" s="117"/>
      <c r="VWY27" s="117"/>
      <c r="VWZ27" s="117"/>
      <c r="VXA27" s="117"/>
      <c r="VXB27" s="117"/>
      <c r="VXC27" s="117"/>
      <c r="VXD27" s="117"/>
      <c r="VXE27" s="117"/>
      <c r="VXF27" s="117"/>
      <c r="VXG27" s="117"/>
      <c r="VXH27" s="117"/>
      <c r="VXI27" s="117"/>
      <c r="VXJ27" s="117"/>
      <c r="VXK27" s="117"/>
      <c r="VXL27" s="117"/>
      <c r="VXM27" s="117"/>
      <c r="VXN27" s="117"/>
      <c r="VXO27" s="117"/>
      <c r="VXP27" s="117"/>
      <c r="VXQ27" s="117"/>
      <c r="VXR27" s="117"/>
      <c r="VXS27" s="117"/>
      <c r="VXT27" s="117"/>
      <c r="VXU27" s="117"/>
      <c r="VXV27" s="117"/>
      <c r="VXW27" s="117"/>
      <c r="VXX27" s="117"/>
      <c r="VXY27" s="117"/>
      <c r="VXZ27" s="117"/>
      <c r="VYA27" s="117"/>
      <c r="VYB27" s="117"/>
      <c r="VYC27" s="117"/>
      <c r="VYD27" s="117"/>
      <c r="VYE27" s="117"/>
      <c r="VYF27" s="117"/>
      <c r="VYG27" s="117"/>
      <c r="VYH27" s="117"/>
      <c r="VYI27" s="117"/>
      <c r="VYJ27" s="117"/>
      <c r="VYK27" s="117"/>
      <c r="VYL27" s="117"/>
      <c r="VYM27" s="117"/>
      <c r="VYN27" s="117"/>
      <c r="VYO27" s="117"/>
      <c r="VYP27" s="117"/>
      <c r="VYQ27" s="117"/>
      <c r="VYR27" s="117"/>
      <c r="VYS27" s="117"/>
      <c r="VYT27" s="117"/>
      <c r="VYU27" s="117"/>
      <c r="VYV27" s="117"/>
      <c r="VYW27" s="117"/>
      <c r="VYX27" s="117"/>
      <c r="VYY27" s="117"/>
      <c r="VYZ27" s="117"/>
      <c r="VZA27" s="117"/>
      <c r="VZB27" s="117"/>
      <c r="VZC27" s="117"/>
      <c r="VZD27" s="117"/>
      <c r="VZE27" s="117"/>
      <c r="VZF27" s="117"/>
      <c r="VZG27" s="117"/>
      <c r="VZH27" s="117"/>
      <c r="VZI27" s="117"/>
      <c r="VZJ27" s="117"/>
      <c r="VZK27" s="117"/>
      <c r="VZL27" s="117"/>
      <c r="VZM27" s="117"/>
      <c r="VZN27" s="117"/>
      <c r="VZO27" s="117"/>
      <c r="VZP27" s="117"/>
      <c r="VZQ27" s="117"/>
      <c r="VZR27" s="117"/>
      <c r="VZS27" s="117"/>
      <c r="VZT27" s="117"/>
      <c r="VZU27" s="117"/>
      <c r="VZV27" s="117"/>
      <c r="VZW27" s="117"/>
      <c r="VZX27" s="117"/>
      <c r="VZY27" s="117"/>
      <c r="VZZ27" s="117"/>
      <c r="WAA27" s="117"/>
      <c r="WAB27" s="117"/>
      <c r="WAC27" s="117"/>
      <c r="WAD27" s="117"/>
      <c r="WAE27" s="117"/>
      <c r="WAF27" s="117"/>
      <c r="WAG27" s="117"/>
      <c r="WAH27" s="117"/>
      <c r="WAI27" s="117"/>
      <c r="WAJ27" s="117"/>
      <c r="WAK27" s="117"/>
      <c r="WAL27" s="117"/>
      <c r="WAM27" s="117"/>
      <c r="WAN27" s="117"/>
      <c r="WAO27" s="117"/>
      <c r="WAP27" s="117"/>
      <c r="WAQ27" s="117"/>
      <c r="WAR27" s="117"/>
      <c r="WAS27" s="117"/>
      <c r="WAT27" s="117"/>
      <c r="WAU27" s="117"/>
      <c r="WAV27" s="117"/>
      <c r="WAW27" s="117"/>
      <c r="WAX27" s="117"/>
      <c r="WAY27" s="117"/>
      <c r="WAZ27" s="117"/>
      <c r="WBA27" s="117"/>
      <c r="WBB27" s="117"/>
      <c r="WBC27" s="117"/>
      <c r="WBD27" s="117"/>
      <c r="WBE27" s="117"/>
      <c r="WBF27" s="117"/>
      <c r="WBG27" s="117"/>
      <c r="WBH27" s="117"/>
      <c r="WBI27" s="117"/>
      <c r="WBJ27" s="117"/>
      <c r="WBK27" s="117"/>
      <c r="WBL27" s="117"/>
      <c r="WBM27" s="117"/>
      <c r="WBN27" s="117"/>
      <c r="WBO27" s="117"/>
      <c r="WBP27" s="117"/>
      <c r="WBQ27" s="117"/>
      <c r="WBR27" s="117"/>
      <c r="WBS27" s="117"/>
      <c r="WBT27" s="117"/>
      <c r="WBU27" s="117"/>
      <c r="WBV27" s="117"/>
      <c r="WBW27" s="117"/>
      <c r="WBX27" s="117"/>
      <c r="WBY27" s="117"/>
      <c r="WBZ27" s="117"/>
      <c r="WCA27" s="117"/>
      <c r="WCB27" s="117"/>
      <c r="WCC27" s="117"/>
      <c r="WCD27" s="117"/>
      <c r="WCE27" s="117"/>
      <c r="WCF27" s="117"/>
      <c r="WCG27" s="117"/>
      <c r="WCH27" s="117"/>
      <c r="WCI27" s="117"/>
      <c r="WCJ27" s="117"/>
      <c r="WCK27" s="117"/>
      <c r="WCL27" s="117"/>
      <c r="WCM27" s="117"/>
      <c r="WCN27" s="117"/>
      <c r="WCO27" s="117"/>
      <c r="WCP27" s="117"/>
      <c r="WCQ27" s="117"/>
      <c r="WCR27" s="117"/>
      <c r="WCS27" s="117"/>
      <c r="WCT27" s="117"/>
      <c r="WCU27" s="117"/>
      <c r="WCV27" s="117"/>
      <c r="WCW27" s="117"/>
      <c r="WCX27" s="117"/>
      <c r="WCY27" s="117"/>
      <c r="WCZ27" s="117"/>
      <c r="WDA27" s="117"/>
      <c r="WDB27" s="117"/>
      <c r="WDC27" s="117"/>
      <c r="WDD27" s="117"/>
      <c r="WDE27" s="117"/>
      <c r="WDF27" s="117"/>
      <c r="WDG27" s="117"/>
      <c r="WDH27" s="117"/>
      <c r="WDI27" s="117"/>
      <c r="WDJ27" s="117"/>
      <c r="WDK27" s="117"/>
      <c r="WDL27" s="117"/>
      <c r="WDM27" s="117"/>
      <c r="WDN27" s="117"/>
      <c r="WDO27" s="117"/>
      <c r="WDP27" s="117"/>
      <c r="WDQ27" s="117"/>
      <c r="WDR27" s="117"/>
      <c r="WDS27" s="117"/>
      <c r="WDT27" s="117"/>
      <c r="WDU27" s="117"/>
      <c r="WDV27" s="117"/>
      <c r="WDW27" s="117"/>
      <c r="WDX27" s="117"/>
      <c r="WDY27" s="117"/>
      <c r="WDZ27" s="117"/>
      <c r="WEA27" s="117"/>
      <c r="WEB27" s="117"/>
      <c r="WEC27" s="117"/>
      <c r="WED27" s="117"/>
      <c r="WEE27" s="117"/>
      <c r="WEF27" s="117"/>
      <c r="WEG27" s="117"/>
      <c r="WEH27" s="117"/>
      <c r="WEI27" s="117"/>
      <c r="WEJ27" s="117"/>
      <c r="WEK27" s="117"/>
      <c r="WEL27" s="117"/>
      <c r="WEM27" s="117"/>
      <c r="WEN27" s="117"/>
      <c r="WEO27" s="117"/>
      <c r="WEP27" s="117"/>
      <c r="WEQ27" s="117"/>
      <c r="WER27" s="117"/>
      <c r="WES27" s="117"/>
      <c r="WET27" s="117"/>
      <c r="WEU27" s="117"/>
      <c r="WEV27" s="117"/>
      <c r="WEW27" s="117"/>
      <c r="WEX27" s="117"/>
      <c r="WEY27" s="117"/>
      <c r="WEZ27" s="117"/>
      <c r="WFA27" s="117"/>
      <c r="WFB27" s="117"/>
      <c r="WFC27" s="117"/>
      <c r="WFD27" s="117"/>
      <c r="WFE27" s="117"/>
      <c r="WFF27" s="117"/>
      <c r="WFG27" s="117"/>
      <c r="WFH27" s="117"/>
      <c r="WFI27" s="117"/>
      <c r="WFJ27" s="117"/>
      <c r="WFK27" s="117"/>
      <c r="WFL27" s="117"/>
      <c r="WFM27" s="117"/>
      <c r="WFN27" s="117"/>
      <c r="WFO27" s="117"/>
      <c r="WFP27" s="117"/>
      <c r="WFQ27" s="117"/>
      <c r="WFR27" s="117"/>
      <c r="WFS27" s="117"/>
      <c r="WFT27" s="117"/>
      <c r="WFU27" s="117"/>
      <c r="WFV27" s="117"/>
      <c r="WFW27" s="117"/>
      <c r="WFX27" s="117"/>
      <c r="WFY27" s="117"/>
      <c r="WFZ27" s="117"/>
      <c r="WGA27" s="117"/>
      <c r="WGB27" s="117"/>
      <c r="WGC27" s="117"/>
      <c r="WGD27" s="117"/>
      <c r="WGE27" s="117"/>
      <c r="WGF27" s="117"/>
      <c r="WGG27" s="117"/>
      <c r="WGH27" s="117"/>
      <c r="WGI27" s="117"/>
      <c r="WGJ27" s="117"/>
      <c r="WGK27" s="117"/>
      <c r="WGL27" s="117"/>
      <c r="WGM27" s="117"/>
      <c r="WGN27" s="117"/>
      <c r="WGO27" s="117"/>
      <c r="WGP27" s="117"/>
      <c r="WGQ27" s="117"/>
      <c r="WGR27" s="117"/>
      <c r="WGS27" s="117"/>
      <c r="WGT27" s="117"/>
      <c r="WGU27" s="117"/>
      <c r="WGV27" s="117"/>
      <c r="WGW27" s="117"/>
      <c r="WGX27" s="117"/>
      <c r="WGY27" s="117"/>
      <c r="WGZ27" s="117"/>
      <c r="WHA27" s="117"/>
      <c r="WHB27" s="117"/>
      <c r="WHC27" s="117"/>
      <c r="WHD27" s="117"/>
      <c r="WHE27" s="117"/>
      <c r="WHF27" s="117"/>
      <c r="WHG27" s="117"/>
      <c r="WHH27" s="117"/>
      <c r="WHI27" s="117"/>
      <c r="WHJ27" s="117"/>
      <c r="WHK27" s="117"/>
      <c r="WHL27" s="117"/>
      <c r="WHM27" s="117"/>
      <c r="WHN27" s="117"/>
      <c r="WHO27" s="117"/>
      <c r="WHP27" s="117"/>
      <c r="WHQ27" s="117"/>
      <c r="WHR27" s="117"/>
      <c r="WHS27" s="117"/>
      <c r="WHT27" s="117"/>
      <c r="WHU27" s="117"/>
      <c r="WHV27" s="117"/>
      <c r="WHW27" s="117"/>
      <c r="WHX27" s="117"/>
      <c r="WHY27" s="117"/>
      <c r="WHZ27" s="117"/>
      <c r="WIA27" s="117"/>
      <c r="WIB27" s="117"/>
      <c r="WIC27" s="117"/>
      <c r="WID27" s="117"/>
      <c r="WIE27" s="117"/>
      <c r="WIF27" s="117"/>
      <c r="WIG27" s="117"/>
      <c r="WIH27" s="117"/>
      <c r="WII27" s="117"/>
      <c r="WIJ27" s="117"/>
      <c r="WIK27" s="117"/>
      <c r="WIL27" s="117"/>
      <c r="WIM27" s="117"/>
      <c r="WIN27" s="117"/>
      <c r="WIO27" s="117"/>
      <c r="WIP27" s="117"/>
      <c r="WIQ27" s="117"/>
      <c r="WIR27" s="117"/>
      <c r="WIS27" s="117"/>
      <c r="WIT27" s="117"/>
      <c r="WIU27" s="117"/>
      <c r="WIV27" s="117"/>
      <c r="WIW27" s="117"/>
      <c r="WIX27" s="117"/>
      <c r="WIY27" s="117"/>
      <c r="WIZ27" s="117"/>
      <c r="WJA27" s="117"/>
      <c r="WJB27" s="117"/>
      <c r="WJC27" s="117"/>
      <c r="WJD27" s="117"/>
      <c r="WJE27" s="117"/>
      <c r="WJF27" s="117"/>
      <c r="WJG27" s="117"/>
      <c r="WJH27" s="117"/>
      <c r="WJI27" s="117"/>
      <c r="WJJ27" s="117"/>
      <c r="WJK27" s="117"/>
      <c r="WJL27" s="117"/>
      <c r="WJM27" s="117"/>
      <c r="WJN27" s="117"/>
      <c r="WJO27" s="117"/>
      <c r="WJP27" s="117"/>
      <c r="WJQ27" s="117"/>
      <c r="WJR27" s="117"/>
      <c r="WJS27" s="117"/>
      <c r="WJT27" s="117"/>
      <c r="WJU27" s="117"/>
      <c r="WJV27" s="117"/>
      <c r="WJW27" s="117"/>
      <c r="WJX27" s="117"/>
      <c r="WJY27" s="117"/>
      <c r="WJZ27" s="117"/>
      <c r="WKA27" s="117"/>
      <c r="WKB27" s="117"/>
      <c r="WKC27" s="117"/>
      <c r="WKD27" s="117"/>
      <c r="WKE27" s="117"/>
      <c r="WKF27" s="117"/>
      <c r="WKG27" s="117"/>
      <c r="WKH27" s="117"/>
      <c r="WKI27" s="117"/>
      <c r="WKJ27" s="117"/>
      <c r="WKK27" s="117"/>
      <c r="WKL27" s="117"/>
      <c r="WKM27" s="117"/>
      <c r="WKN27" s="117"/>
      <c r="WKO27" s="117"/>
      <c r="WKP27" s="117"/>
      <c r="WKQ27" s="117"/>
      <c r="WKR27" s="117"/>
      <c r="WKS27" s="117"/>
      <c r="WKT27" s="117"/>
      <c r="WKU27" s="117"/>
      <c r="WKV27" s="117"/>
      <c r="WKW27" s="117"/>
      <c r="WKX27" s="117"/>
      <c r="WKY27" s="117"/>
      <c r="WKZ27" s="117"/>
      <c r="WLA27" s="117"/>
      <c r="WLB27" s="117"/>
      <c r="WLC27" s="117"/>
      <c r="WLD27" s="117"/>
      <c r="WLE27" s="117"/>
      <c r="WLF27" s="117"/>
      <c r="WLG27" s="117"/>
      <c r="WLH27" s="117"/>
      <c r="WLI27" s="117"/>
      <c r="WLJ27" s="117"/>
      <c r="WLK27" s="117"/>
      <c r="WLL27" s="117"/>
      <c r="WLM27" s="117"/>
      <c r="WLN27" s="117"/>
      <c r="WLO27" s="117"/>
      <c r="WLP27" s="117"/>
      <c r="WLQ27" s="117"/>
      <c r="WLR27" s="117"/>
      <c r="WLS27" s="117"/>
      <c r="WLT27" s="117"/>
      <c r="WLU27" s="117"/>
      <c r="WLV27" s="117"/>
      <c r="WLW27" s="117"/>
      <c r="WLX27" s="117"/>
      <c r="WLY27" s="117"/>
      <c r="WLZ27" s="117"/>
      <c r="WMA27" s="117"/>
      <c r="WMB27" s="117"/>
      <c r="WMC27" s="117"/>
      <c r="WMD27" s="117"/>
      <c r="WME27" s="117"/>
      <c r="WMF27" s="117"/>
      <c r="WMG27" s="117"/>
      <c r="WMH27" s="117"/>
      <c r="WMI27" s="117"/>
      <c r="WMJ27" s="117"/>
      <c r="WMK27" s="117"/>
      <c r="WML27" s="117"/>
      <c r="WMM27" s="117"/>
      <c r="WMN27" s="117"/>
      <c r="WMO27" s="117"/>
      <c r="WMP27" s="117"/>
      <c r="WMQ27" s="117"/>
      <c r="WMR27" s="117"/>
      <c r="WMS27" s="117"/>
      <c r="WMT27" s="117"/>
      <c r="WMU27" s="117"/>
      <c r="WMV27" s="117"/>
      <c r="WMW27" s="117"/>
      <c r="WMX27" s="117"/>
      <c r="WMY27" s="117"/>
      <c r="WMZ27" s="117"/>
      <c r="WNA27" s="117"/>
      <c r="WNB27" s="117"/>
      <c r="WNC27" s="117"/>
      <c r="WND27" s="117"/>
      <c r="WNE27" s="117"/>
      <c r="WNF27" s="117"/>
      <c r="WNG27" s="117"/>
      <c r="WNH27" s="117"/>
      <c r="WNI27" s="117"/>
      <c r="WNJ27" s="117"/>
      <c r="WNK27" s="117"/>
      <c r="WNL27" s="117"/>
      <c r="WNM27" s="117"/>
      <c r="WNN27" s="117"/>
      <c r="WNO27" s="117"/>
      <c r="WNP27" s="117"/>
      <c r="WNQ27" s="117"/>
      <c r="WNR27" s="117"/>
      <c r="WNS27" s="117"/>
      <c r="WNT27" s="117"/>
      <c r="WNU27" s="117"/>
      <c r="WNV27" s="117"/>
      <c r="WNW27" s="117"/>
      <c r="WNX27" s="117"/>
      <c r="WNY27" s="117"/>
      <c r="WNZ27" s="117"/>
      <c r="WOA27" s="117"/>
      <c r="WOB27" s="117"/>
      <c r="WOC27" s="117"/>
      <c r="WOD27" s="117"/>
      <c r="WOE27" s="117"/>
      <c r="WOF27" s="117"/>
      <c r="WOG27" s="117"/>
      <c r="WOH27" s="117"/>
      <c r="WOI27" s="117"/>
      <c r="WOJ27" s="117"/>
      <c r="WOK27" s="117"/>
      <c r="WOL27" s="117"/>
      <c r="WOM27" s="117"/>
      <c r="WON27" s="117"/>
      <c r="WOO27" s="117"/>
      <c r="WOP27" s="117"/>
      <c r="WOQ27" s="117"/>
      <c r="WOR27" s="117"/>
      <c r="WOS27" s="117"/>
      <c r="WOT27" s="117"/>
      <c r="WOU27" s="117"/>
      <c r="WOV27" s="117"/>
      <c r="WOW27" s="117"/>
      <c r="WOX27" s="117"/>
      <c r="WOY27" s="117"/>
      <c r="WOZ27" s="117"/>
      <c r="WPA27" s="117"/>
      <c r="WPB27" s="117"/>
      <c r="WPC27" s="117"/>
      <c r="WPD27" s="117"/>
      <c r="WPE27" s="117"/>
      <c r="WPF27" s="117"/>
      <c r="WPG27" s="117"/>
      <c r="WPH27" s="117"/>
      <c r="WPI27" s="117"/>
      <c r="WPJ27" s="117"/>
      <c r="WPK27" s="117"/>
      <c r="WPL27" s="117"/>
      <c r="WPM27" s="117"/>
      <c r="WPN27" s="117"/>
      <c r="WPO27" s="117"/>
      <c r="WPP27" s="117"/>
      <c r="WPQ27" s="117"/>
      <c r="WPR27" s="117"/>
      <c r="WPS27" s="117"/>
      <c r="WPT27" s="117"/>
      <c r="WPU27" s="117"/>
      <c r="WPV27" s="117"/>
      <c r="WPW27" s="117"/>
      <c r="WPX27" s="117"/>
      <c r="WPY27" s="117"/>
      <c r="WPZ27" s="117"/>
      <c r="WQA27" s="117"/>
      <c r="WQB27" s="117"/>
      <c r="WQC27" s="117"/>
      <c r="WQD27" s="117"/>
      <c r="WQE27" s="117"/>
      <c r="WQF27" s="117"/>
      <c r="WQG27" s="117"/>
      <c r="WQH27" s="117"/>
      <c r="WQI27" s="117"/>
      <c r="WQJ27" s="117"/>
      <c r="WQK27" s="117"/>
      <c r="WQL27" s="117"/>
      <c r="WQM27" s="117"/>
      <c r="WQN27" s="117"/>
      <c r="WQO27" s="117"/>
      <c r="WQP27" s="117"/>
      <c r="WQQ27" s="117"/>
      <c r="WQR27" s="117"/>
      <c r="WQS27" s="117"/>
      <c r="WQT27" s="117"/>
      <c r="WQU27" s="117"/>
      <c r="WQV27" s="117"/>
      <c r="WQW27" s="117"/>
      <c r="WQX27" s="117"/>
      <c r="WQY27" s="117"/>
      <c r="WQZ27" s="117"/>
      <c r="WRA27" s="117"/>
      <c r="WRB27" s="117"/>
      <c r="WRC27" s="117"/>
      <c r="WRD27" s="117"/>
      <c r="WRE27" s="117"/>
      <c r="WRF27" s="117"/>
      <c r="WRG27" s="117"/>
      <c r="WRH27" s="117"/>
      <c r="WRI27" s="117"/>
      <c r="WRJ27" s="117"/>
      <c r="WRK27" s="117"/>
      <c r="WRL27" s="117"/>
      <c r="WRM27" s="117"/>
      <c r="WRN27" s="117"/>
      <c r="WRO27" s="117"/>
      <c r="WRP27" s="117"/>
      <c r="WRQ27" s="117"/>
      <c r="WRR27" s="117"/>
      <c r="WRS27" s="117"/>
      <c r="WRT27" s="117"/>
      <c r="WRU27" s="117"/>
      <c r="WRV27" s="117"/>
      <c r="WRW27" s="117"/>
      <c r="WRX27" s="117"/>
      <c r="WRY27" s="117"/>
      <c r="WRZ27" s="117"/>
      <c r="WSA27" s="117"/>
      <c r="WSB27" s="117"/>
      <c r="WSC27" s="117"/>
      <c r="WSD27" s="117"/>
      <c r="WSE27" s="117"/>
      <c r="WSF27" s="117"/>
      <c r="WSG27" s="117"/>
      <c r="WSH27" s="117"/>
      <c r="WSI27" s="117"/>
      <c r="WSJ27" s="117"/>
      <c r="WSK27" s="117"/>
      <c r="WSL27" s="117"/>
      <c r="WSM27" s="117"/>
      <c r="WSN27" s="117"/>
      <c r="WSO27" s="117"/>
      <c r="WSP27" s="117"/>
      <c r="WSQ27" s="117"/>
      <c r="WSR27" s="117"/>
      <c r="WSS27" s="117"/>
      <c r="WST27" s="117"/>
      <c r="WSU27" s="117"/>
      <c r="WSV27" s="117"/>
      <c r="WSW27" s="117"/>
      <c r="WSX27" s="117"/>
      <c r="WSY27" s="117"/>
      <c r="WSZ27" s="117"/>
      <c r="WTA27" s="117"/>
      <c r="WTB27" s="117"/>
      <c r="WTC27" s="117"/>
      <c r="WTD27" s="117"/>
      <c r="WTE27" s="117"/>
      <c r="WTF27" s="117"/>
      <c r="WTG27" s="117"/>
      <c r="WTH27" s="117"/>
      <c r="WTI27" s="117"/>
      <c r="WTJ27" s="117"/>
      <c r="WTK27" s="117"/>
      <c r="WTL27" s="117"/>
      <c r="WTM27" s="117"/>
      <c r="WTN27" s="117"/>
      <c r="WTO27" s="117"/>
      <c r="WTP27" s="117"/>
      <c r="WTQ27" s="117"/>
      <c r="WTR27" s="117"/>
      <c r="WTS27" s="117"/>
      <c r="WTT27" s="117"/>
      <c r="WTU27" s="117"/>
      <c r="WTV27" s="117"/>
      <c r="WTW27" s="117"/>
      <c r="WTX27" s="117"/>
      <c r="WTY27" s="117"/>
      <c r="WTZ27" s="117"/>
      <c r="WUA27" s="117"/>
      <c r="WUB27" s="117"/>
      <c r="WUC27" s="117"/>
      <c r="WUD27" s="117"/>
      <c r="WUE27" s="117"/>
      <c r="WUF27" s="117"/>
      <c r="WUG27" s="117"/>
      <c r="WUH27" s="117"/>
      <c r="WUI27" s="117"/>
      <c r="WUJ27" s="117"/>
      <c r="WUK27" s="117"/>
      <c r="WUL27" s="117"/>
      <c r="WUM27" s="117"/>
      <c r="WUN27" s="117"/>
      <c r="WUO27" s="117"/>
      <c r="WUP27" s="117"/>
      <c r="WUQ27" s="117"/>
      <c r="WUR27" s="117"/>
      <c r="WUS27" s="117"/>
      <c r="WUT27" s="117"/>
      <c r="WUU27" s="117"/>
      <c r="WUV27" s="117"/>
      <c r="WUW27" s="117"/>
      <c r="WUX27" s="117"/>
      <c r="WUY27" s="117"/>
      <c r="WUZ27" s="117"/>
      <c r="WVA27" s="117"/>
      <c r="WVB27" s="117"/>
      <c r="WVC27" s="117"/>
      <c r="WVD27" s="117"/>
      <c r="WVE27" s="117"/>
      <c r="WVF27" s="117"/>
      <c r="WVG27" s="117"/>
      <c r="WVH27" s="117"/>
      <c r="WVI27" s="117"/>
      <c r="WVJ27" s="117"/>
      <c r="WVK27" s="117"/>
      <c r="WVL27" s="117"/>
      <c r="WVM27" s="117"/>
      <c r="WVN27" s="117"/>
      <c r="WVO27" s="117"/>
      <c r="WVP27" s="117"/>
      <c r="WVQ27" s="117"/>
      <c r="WVR27" s="117"/>
      <c r="WVS27" s="117"/>
      <c r="WVT27" s="117"/>
      <c r="WVU27" s="117"/>
      <c r="WVV27" s="117"/>
      <c r="WVW27" s="117"/>
      <c r="WVX27" s="117"/>
      <c r="WVY27" s="117"/>
      <c r="WVZ27" s="117"/>
      <c r="WWA27" s="117"/>
      <c r="WWB27" s="117"/>
      <c r="WWC27" s="117"/>
      <c r="WWD27" s="117"/>
      <c r="WWE27" s="117"/>
      <c r="WWF27" s="117"/>
      <c r="WWG27" s="117"/>
      <c r="WWH27" s="117"/>
      <c r="WWI27" s="117"/>
      <c r="WWJ27" s="117"/>
      <c r="WWK27" s="117"/>
      <c r="WWL27" s="117"/>
      <c r="WWM27" s="117"/>
      <c r="WWN27" s="117"/>
      <c r="WWO27" s="117"/>
      <c r="WWP27" s="117"/>
      <c r="WWQ27" s="117"/>
      <c r="WWR27" s="117"/>
      <c r="WWS27" s="117"/>
      <c r="WWT27" s="117"/>
      <c r="WWU27" s="117"/>
      <c r="WWV27" s="117"/>
      <c r="WWW27" s="117"/>
      <c r="WWX27" s="117"/>
      <c r="WWY27" s="117"/>
      <c r="WWZ27" s="117"/>
      <c r="WXA27" s="117"/>
      <c r="WXB27" s="117"/>
      <c r="WXC27" s="117"/>
      <c r="WXD27" s="117"/>
      <c r="WXE27" s="117"/>
      <c r="WXF27" s="117"/>
      <c r="WXG27" s="117"/>
      <c r="WXH27" s="117"/>
      <c r="WXI27" s="117"/>
      <c r="WXJ27" s="117"/>
      <c r="WXK27" s="117"/>
      <c r="WXL27" s="117"/>
      <c r="WXM27" s="117"/>
      <c r="WXN27" s="117"/>
      <c r="WXO27" s="117"/>
      <c r="WXP27" s="117"/>
      <c r="WXQ27" s="117"/>
      <c r="WXR27" s="117"/>
      <c r="WXS27" s="117"/>
      <c r="WXT27" s="117"/>
      <c r="WXU27" s="117"/>
      <c r="WXV27" s="117"/>
      <c r="WXW27" s="117"/>
      <c r="WXX27" s="117"/>
      <c r="WXY27" s="117"/>
      <c r="WXZ27" s="117"/>
      <c r="WYA27" s="117"/>
      <c r="WYB27" s="117"/>
      <c r="WYC27" s="117"/>
      <c r="WYD27" s="117"/>
      <c r="WYE27" s="117"/>
      <c r="WYF27" s="117"/>
      <c r="WYG27" s="117"/>
      <c r="WYH27" s="117"/>
      <c r="WYI27" s="117"/>
      <c r="WYJ27" s="117"/>
      <c r="WYK27" s="117"/>
      <c r="WYL27" s="117"/>
      <c r="WYM27" s="117"/>
      <c r="WYN27" s="117"/>
      <c r="WYO27" s="117"/>
      <c r="WYP27" s="117"/>
      <c r="WYQ27" s="117"/>
      <c r="WYR27" s="117"/>
      <c r="WYS27" s="117"/>
      <c r="WYT27" s="117"/>
      <c r="WYU27" s="117"/>
      <c r="WYV27" s="117"/>
      <c r="WYW27" s="117"/>
      <c r="WYX27" s="117"/>
      <c r="WYY27" s="117"/>
      <c r="WYZ27" s="117"/>
      <c r="WZA27" s="117"/>
      <c r="WZB27" s="117"/>
      <c r="WZC27" s="117"/>
      <c r="WZD27" s="117"/>
      <c r="WZE27" s="117"/>
      <c r="WZF27" s="117"/>
      <c r="WZG27" s="117"/>
      <c r="WZH27" s="117"/>
      <c r="WZI27" s="117"/>
      <c r="WZJ27" s="117"/>
      <c r="WZK27" s="117"/>
      <c r="WZL27" s="117"/>
      <c r="WZM27" s="117"/>
      <c r="WZN27" s="117"/>
      <c r="WZO27" s="117"/>
      <c r="WZP27" s="117"/>
      <c r="WZQ27" s="117"/>
      <c r="WZR27" s="117"/>
      <c r="WZS27" s="117"/>
      <c r="WZT27" s="117"/>
      <c r="WZU27" s="117"/>
      <c r="WZV27" s="117"/>
      <c r="WZW27" s="117"/>
      <c r="WZX27" s="117"/>
      <c r="WZY27" s="117"/>
      <c r="WZZ27" s="117"/>
      <c r="XAA27" s="117"/>
      <c r="XAB27" s="117"/>
      <c r="XAC27" s="117"/>
      <c r="XAD27" s="117"/>
      <c r="XAE27" s="117"/>
      <c r="XAF27" s="117"/>
      <c r="XAG27" s="117"/>
      <c r="XAH27" s="117"/>
      <c r="XAI27" s="117"/>
      <c r="XAJ27" s="117"/>
      <c r="XAK27" s="117"/>
      <c r="XAL27" s="117"/>
      <c r="XAM27" s="117"/>
      <c r="XAN27" s="117"/>
      <c r="XAO27" s="117"/>
      <c r="XAP27" s="117"/>
      <c r="XAQ27" s="117"/>
      <c r="XAR27" s="117"/>
      <c r="XAS27" s="117"/>
      <c r="XAT27" s="117"/>
      <c r="XAU27" s="117"/>
      <c r="XAV27" s="117"/>
      <c r="XAW27" s="117"/>
      <c r="XAX27" s="117"/>
      <c r="XAY27" s="117"/>
      <c r="XAZ27" s="117"/>
      <c r="XBA27" s="117"/>
      <c r="XBB27" s="117"/>
      <c r="XBC27" s="117"/>
      <c r="XBD27" s="117"/>
      <c r="XBE27" s="117"/>
      <c r="XBF27" s="117"/>
      <c r="XBG27" s="117"/>
      <c r="XBH27" s="117"/>
      <c r="XBI27" s="117"/>
      <c r="XBJ27" s="117"/>
      <c r="XBK27" s="117"/>
      <c r="XBL27" s="117"/>
      <c r="XBM27" s="117"/>
      <c r="XBN27" s="117"/>
      <c r="XBO27" s="117"/>
      <c r="XBP27" s="117"/>
      <c r="XBQ27" s="117"/>
      <c r="XBR27" s="117"/>
      <c r="XBS27" s="117"/>
      <c r="XBT27" s="117"/>
      <c r="XBU27" s="117"/>
      <c r="XBV27" s="117"/>
      <c r="XBW27" s="117"/>
      <c r="XBX27" s="117"/>
      <c r="XBY27" s="117"/>
      <c r="XBZ27" s="117"/>
      <c r="XCA27" s="117"/>
      <c r="XCB27" s="117"/>
      <c r="XCC27" s="117"/>
      <c r="XCD27" s="117"/>
      <c r="XCE27" s="117"/>
      <c r="XCF27" s="117"/>
      <c r="XCG27" s="117"/>
      <c r="XCH27" s="117"/>
      <c r="XCI27" s="117"/>
      <c r="XCJ27" s="117"/>
      <c r="XCK27" s="117"/>
      <c r="XCL27" s="117"/>
      <c r="XCM27" s="117"/>
      <c r="XCN27" s="117"/>
      <c r="XCO27" s="117"/>
      <c r="XCP27" s="117"/>
      <c r="XCQ27" s="117"/>
      <c r="XCR27" s="117"/>
      <c r="XCS27" s="117"/>
      <c r="XCT27" s="117"/>
      <c r="XCU27" s="117"/>
      <c r="XCV27" s="117"/>
      <c r="XCW27" s="117"/>
      <c r="XCX27" s="117"/>
      <c r="XCY27" s="117"/>
      <c r="XCZ27" s="117"/>
      <c r="XDA27" s="117"/>
      <c r="XDB27" s="117"/>
      <c r="XDC27" s="117"/>
      <c r="XDD27" s="117"/>
      <c r="XDE27" s="117"/>
      <c r="XDF27" s="117"/>
      <c r="XDG27" s="117"/>
      <c r="XDH27" s="117"/>
      <c r="XDI27" s="117"/>
      <c r="XDJ27" s="117"/>
      <c r="XDK27" s="117"/>
      <c r="XDL27" s="117"/>
      <c r="XDM27" s="117"/>
      <c r="XDN27" s="117"/>
      <c r="XDO27" s="117"/>
      <c r="XDP27" s="117"/>
      <c r="XDQ27" s="117"/>
      <c r="XDR27" s="117"/>
      <c r="XDS27" s="117"/>
      <c r="XDT27" s="117"/>
      <c r="XDU27" s="117"/>
      <c r="XDV27" s="117"/>
      <c r="XDW27" s="117"/>
      <c r="XDX27" s="117"/>
      <c r="XDY27" s="117"/>
      <c r="XDZ27" s="117"/>
      <c r="XEA27" s="117"/>
      <c r="XEB27" s="117"/>
      <c r="XEC27" s="117"/>
      <c r="XED27" s="117"/>
      <c r="XEE27" s="117"/>
      <c r="XEF27" s="117"/>
      <c r="XEG27" s="117"/>
      <c r="XEH27" s="117"/>
      <c r="XEI27" s="117"/>
      <c r="XEJ27" s="117"/>
      <c r="XEK27" s="117"/>
      <c r="XEL27" s="117"/>
      <c r="XEM27" s="117"/>
      <c r="XEN27" s="117"/>
      <c r="XEO27" s="117"/>
      <c r="XEP27" s="117"/>
      <c r="XEQ27" s="117"/>
      <c r="XER27" s="117"/>
      <c r="XES27" s="117"/>
      <c r="XET27" s="117"/>
      <c r="XEU27" s="117"/>
      <c r="XEV27" s="117"/>
      <c r="XEW27" s="117"/>
      <c r="XEX27" s="117"/>
      <c r="XEY27" s="117"/>
      <c r="XEZ27" s="117"/>
      <c r="XFA27" s="117"/>
      <c r="XFB27" s="117"/>
      <c r="XFC27" s="117"/>
      <c r="XFD27" s="117"/>
    </row>
    <row r="28" spans="1:16384" s="528" customFormat="1" ht="18.600000000000001" customHeight="1" x14ac:dyDescent="0.3">
      <c r="A28" s="172" t="s">
        <v>3150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  <c r="CY28" s="172"/>
      <c r="CZ28" s="172"/>
      <c r="DA28" s="172"/>
      <c r="DB28" s="172"/>
      <c r="DC28" s="172"/>
      <c r="DD28" s="172"/>
      <c r="DE28" s="172"/>
      <c r="DF28" s="172"/>
      <c r="DG28" s="172"/>
      <c r="DH28" s="172"/>
      <c r="DI28" s="172"/>
      <c r="DJ28" s="172"/>
      <c r="DK28" s="172"/>
      <c r="DL28" s="172"/>
      <c r="DM28" s="172"/>
      <c r="DN28" s="172"/>
      <c r="DO28" s="172"/>
      <c r="DP28" s="172"/>
      <c r="DQ28" s="172"/>
      <c r="DR28" s="172"/>
      <c r="DS28" s="172"/>
      <c r="DT28" s="172"/>
      <c r="DU28" s="172"/>
      <c r="DV28" s="172"/>
      <c r="DW28" s="172"/>
      <c r="DX28" s="172"/>
      <c r="DY28" s="172"/>
      <c r="DZ28" s="172"/>
      <c r="EA28" s="172"/>
      <c r="EB28" s="172"/>
      <c r="EC28" s="172"/>
      <c r="ED28" s="172"/>
      <c r="EE28" s="172"/>
      <c r="EF28" s="172"/>
      <c r="EG28" s="172"/>
      <c r="EH28" s="172"/>
      <c r="EI28" s="172"/>
      <c r="EJ28" s="172"/>
      <c r="EK28" s="172"/>
      <c r="EL28" s="172"/>
      <c r="EM28" s="172"/>
      <c r="EN28" s="172"/>
      <c r="EO28" s="172"/>
      <c r="EP28" s="172"/>
      <c r="EQ28" s="172"/>
      <c r="ER28" s="172"/>
      <c r="ES28" s="172"/>
      <c r="ET28" s="172"/>
      <c r="EU28" s="172"/>
      <c r="EV28" s="172"/>
      <c r="EW28" s="172"/>
      <c r="EX28" s="172"/>
      <c r="EY28" s="172"/>
      <c r="EZ28" s="172"/>
      <c r="FA28" s="172"/>
      <c r="FB28" s="172"/>
      <c r="FC28" s="172"/>
      <c r="FD28" s="172"/>
      <c r="FE28" s="172"/>
      <c r="FF28" s="172"/>
      <c r="FG28" s="172"/>
      <c r="FH28" s="172"/>
      <c r="FI28" s="172"/>
      <c r="FJ28" s="172"/>
      <c r="FK28" s="172"/>
      <c r="FL28" s="172"/>
      <c r="FM28" s="172"/>
      <c r="FN28" s="172"/>
      <c r="FO28" s="172"/>
      <c r="FP28" s="172"/>
      <c r="FQ28" s="172"/>
      <c r="FR28" s="172"/>
      <c r="FS28" s="172"/>
      <c r="FT28" s="172"/>
      <c r="FU28" s="172"/>
      <c r="FV28" s="172"/>
      <c r="FW28" s="172"/>
      <c r="FX28" s="172"/>
      <c r="FY28" s="172"/>
      <c r="FZ28" s="172"/>
      <c r="GA28" s="172"/>
      <c r="GB28" s="172"/>
      <c r="GC28" s="172"/>
      <c r="GD28" s="172"/>
      <c r="GE28" s="172"/>
      <c r="GF28" s="172"/>
      <c r="GG28" s="172"/>
      <c r="GH28" s="172"/>
      <c r="GI28" s="172"/>
      <c r="GJ28" s="172"/>
      <c r="GK28" s="172"/>
      <c r="GL28" s="172"/>
      <c r="GM28" s="172"/>
      <c r="GN28" s="172"/>
      <c r="GO28" s="172"/>
      <c r="GP28" s="172"/>
      <c r="GQ28" s="172"/>
      <c r="GR28" s="172"/>
      <c r="GS28" s="172"/>
      <c r="GT28" s="172"/>
      <c r="GU28" s="172"/>
      <c r="GV28" s="172"/>
      <c r="GW28" s="172"/>
      <c r="GX28" s="172"/>
      <c r="GY28" s="172"/>
      <c r="GZ28" s="172"/>
      <c r="HA28" s="172"/>
      <c r="HB28" s="172"/>
      <c r="HC28" s="172"/>
      <c r="HD28" s="172"/>
      <c r="HE28" s="172"/>
      <c r="HF28" s="172"/>
      <c r="HG28" s="172"/>
      <c r="HH28" s="172"/>
      <c r="HI28" s="172"/>
      <c r="HJ28" s="172"/>
      <c r="HK28" s="172"/>
      <c r="HL28" s="172"/>
      <c r="HM28" s="172"/>
      <c r="HN28" s="172"/>
      <c r="HO28" s="172"/>
      <c r="HP28" s="172"/>
      <c r="HQ28" s="172"/>
      <c r="HR28" s="172"/>
      <c r="HS28" s="172"/>
      <c r="HT28" s="172"/>
      <c r="HU28" s="172"/>
      <c r="HV28" s="172"/>
      <c r="HW28" s="172"/>
      <c r="HX28" s="172"/>
      <c r="HY28" s="172"/>
      <c r="HZ28" s="172"/>
      <c r="IA28" s="172"/>
      <c r="IB28" s="172"/>
      <c r="IC28" s="172"/>
      <c r="ID28" s="172"/>
      <c r="IE28" s="172"/>
      <c r="IF28" s="172"/>
      <c r="IG28" s="172"/>
      <c r="IH28" s="172"/>
      <c r="II28" s="172"/>
      <c r="IJ28" s="172"/>
      <c r="IK28" s="172"/>
      <c r="IL28" s="172"/>
      <c r="IM28" s="172"/>
      <c r="IN28" s="172"/>
      <c r="IO28" s="172"/>
      <c r="IP28" s="172"/>
      <c r="IQ28" s="172"/>
      <c r="IR28" s="172"/>
      <c r="IS28" s="172"/>
      <c r="IT28" s="172"/>
      <c r="IU28" s="172"/>
      <c r="IV28" s="172"/>
      <c r="IW28" s="172"/>
      <c r="IX28" s="172"/>
      <c r="IY28" s="172"/>
      <c r="IZ28" s="172"/>
      <c r="JA28" s="172"/>
      <c r="JB28" s="172"/>
      <c r="JC28" s="172"/>
      <c r="JD28" s="172"/>
      <c r="JE28" s="172"/>
      <c r="JF28" s="172"/>
      <c r="JG28" s="172"/>
      <c r="JH28" s="172"/>
      <c r="JI28" s="172"/>
      <c r="JJ28" s="172"/>
      <c r="JK28" s="172"/>
      <c r="JL28" s="172"/>
      <c r="JM28" s="172"/>
      <c r="JN28" s="172"/>
      <c r="JO28" s="172"/>
      <c r="JP28" s="172"/>
      <c r="JQ28" s="172"/>
      <c r="JR28" s="172"/>
      <c r="JS28" s="172"/>
      <c r="JT28" s="172"/>
      <c r="JU28" s="172"/>
      <c r="JV28" s="172"/>
      <c r="JW28" s="172"/>
      <c r="JX28" s="172"/>
      <c r="JY28" s="172"/>
      <c r="JZ28" s="172"/>
      <c r="KA28" s="172"/>
      <c r="KB28" s="172"/>
      <c r="KC28" s="172"/>
      <c r="KD28" s="172"/>
      <c r="KE28" s="172"/>
      <c r="KF28" s="172"/>
      <c r="KG28" s="172"/>
      <c r="KH28" s="172"/>
      <c r="KI28" s="172"/>
      <c r="KJ28" s="172"/>
      <c r="KK28" s="172"/>
      <c r="KL28" s="172"/>
      <c r="KM28" s="172"/>
      <c r="KN28" s="172"/>
      <c r="KO28" s="172"/>
      <c r="KP28" s="172"/>
      <c r="KQ28" s="172"/>
      <c r="KR28" s="172"/>
      <c r="KS28" s="172"/>
      <c r="KT28" s="172"/>
      <c r="KU28" s="172"/>
      <c r="KV28" s="172"/>
      <c r="KW28" s="172"/>
      <c r="KX28" s="172"/>
      <c r="KY28" s="172"/>
      <c r="KZ28" s="172"/>
      <c r="LA28" s="172"/>
      <c r="LB28" s="172"/>
      <c r="LC28" s="172"/>
      <c r="LD28" s="172"/>
      <c r="LE28" s="172"/>
      <c r="LF28" s="172"/>
      <c r="LG28" s="172"/>
      <c r="LH28" s="172"/>
      <c r="LI28" s="172"/>
      <c r="LJ28" s="172"/>
      <c r="LK28" s="172"/>
      <c r="LL28" s="172"/>
      <c r="LM28" s="172"/>
      <c r="LN28" s="172"/>
      <c r="LO28" s="172"/>
      <c r="LP28" s="172"/>
      <c r="LQ28" s="172"/>
      <c r="LR28" s="172"/>
      <c r="LS28" s="172"/>
      <c r="LT28" s="172"/>
      <c r="LU28" s="172"/>
      <c r="LV28" s="172"/>
      <c r="LW28" s="172"/>
      <c r="LX28" s="172"/>
      <c r="LY28" s="172"/>
      <c r="LZ28" s="172"/>
      <c r="MA28" s="172"/>
      <c r="MB28" s="172"/>
      <c r="MC28" s="172"/>
      <c r="MD28" s="172"/>
      <c r="ME28" s="172"/>
      <c r="MF28" s="172"/>
      <c r="MG28" s="172"/>
      <c r="MH28" s="172"/>
      <c r="MI28" s="172"/>
      <c r="MJ28" s="172"/>
      <c r="MK28" s="172"/>
      <c r="ML28" s="172"/>
      <c r="MM28" s="172"/>
      <c r="MN28" s="172"/>
      <c r="MO28" s="172"/>
      <c r="MP28" s="172"/>
      <c r="MQ28" s="172"/>
      <c r="MR28" s="172"/>
      <c r="MS28" s="172"/>
      <c r="MT28" s="172"/>
      <c r="MU28" s="172"/>
      <c r="MV28" s="172"/>
      <c r="MW28" s="172"/>
      <c r="MX28" s="172"/>
      <c r="MY28" s="172"/>
      <c r="MZ28" s="172"/>
      <c r="NA28" s="172"/>
      <c r="NB28" s="172"/>
      <c r="NC28" s="172"/>
      <c r="ND28" s="172"/>
      <c r="NE28" s="172"/>
      <c r="NF28" s="172"/>
      <c r="NG28" s="172"/>
      <c r="NH28" s="172"/>
      <c r="NI28" s="172"/>
      <c r="NJ28" s="172"/>
      <c r="NK28" s="172"/>
      <c r="NL28" s="172"/>
      <c r="NM28" s="172"/>
      <c r="NN28" s="172"/>
      <c r="NO28" s="172"/>
      <c r="NP28" s="172"/>
      <c r="NQ28" s="172"/>
      <c r="NR28" s="172"/>
      <c r="NS28" s="172"/>
      <c r="NT28" s="172"/>
      <c r="NU28" s="172"/>
      <c r="NV28" s="172"/>
      <c r="NW28" s="172"/>
      <c r="NX28" s="172"/>
      <c r="NY28" s="172"/>
      <c r="NZ28" s="172"/>
      <c r="OA28" s="172"/>
      <c r="OB28" s="172"/>
      <c r="OC28" s="172"/>
      <c r="OD28" s="172"/>
      <c r="OE28" s="172"/>
      <c r="OF28" s="172"/>
      <c r="OG28" s="172"/>
      <c r="OH28" s="172"/>
      <c r="OI28" s="172"/>
      <c r="OJ28" s="172"/>
      <c r="OK28" s="172"/>
      <c r="OL28" s="172"/>
      <c r="OM28" s="172"/>
      <c r="ON28" s="172"/>
      <c r="OO28" s="172"/>
      <c r="OP28" s="172"/>
      <c r="OQ28" s="172"/>
      <c r="OR28" s="172"/>
      <c r="OS28" s="172"/>
      <c r="OT28" s="172"/>
      <c r="OU28" s="172"/>
      <c r="OV28" s="172"/>
      <c r="OW28" s="172"/>
      <c r="OX28" s="172"/>
      <c r="OY28" s="172"/>
      <c r="OZ28" s="172"/>
      <c r="PA28" s="172"/>
      <c r="PB28" s="172"/>
      <c r="PC28" s="172"/>
      <c r="PD28" s="172"/>
      <c r="PE28" s="172"/>
      <c r="PF28" s="172"/>
      <c r="PG28" s="172"/>
      <c r="PH28" s="172"/>
      <c r="PI28" s="172"/>
      <c r="PJ28" s="172"/>
      <c r="PK28" s="172"/>
      <c r="PL28" s="172"/>
      <c r="PM28" s="172"/>
      <c r="PN28" s="172"/>
      <c r="PO28" s="172"/>
      <c r="PP28" s="172"/>
      <c r="PQ28" s="172"/>
      <c r="PR28" s="172"/>
      <c r="PS28" s="172"/>
      <c r="PT28" s="172"/>
      <c r="PU28" s="172"/>
      <c r="PV28" s="172"/>
      <c r="PW28" s="172"/>
      <c r="PX28" s="172"/>
      <c r="PY28" s="172"/>
      <c r="PZ28" s="172"/>
      <c r="QA28" s="172"/>
      <c r="QB28" s="172"/>
      <c r="QC28" s="172"/>
      <c r="QD28" s="172"/>
      <c r="QE28" s="172"/>
      <c r="QF28" s="172"/>
      <c r="QG28" s="172"/>
      <c r="QH28" s="172"/>
      <c r="QI28" s="172"/>
      <c r="QJ28" s="172"/>
      <c r="QK28" s="172"/>
      <c r="QL28" s="172"/>
      <c r="QM28" s="172"/>
      <c r="QN28" s="172"/>
      <c r="QO28" s="172"/>
      <c r="QP28" s="172"/>
      <c r="QQ28" s="172"/>
      <c r="QR28" s="172"/>
      <c r="QS28" s="172"/>
      <c r="QT28" s="172"/>
      <c r="QU28" s="172"/>
      <c r="QV28" s="172"/>
      <c r="QW28" s="172"/>
      <c r="QX28" s="172"/>
      <c r="QY28" s="172"/>
      <c r="QZ28" s="172"/>
      <c r="RA28" s="172"/>
      <c r="RB28" s="172"/>
      <c r="RC28" s="172"/>
      <c r="RD28" s="172"/>
      <c r="RE28" s="172"/>
      <c r="RF28" s="172"/>
      <c r="RG28" s="172"/>
      <c r="RH28" s="172"/>
      <c r="RI28" s="172"/>
      <c r="RJ28" s="172"/>
      <c r="RK28" s="172"/>
      <c r="RL28" s="172"/>
      <c r="RM28" s="172"/>
      <c r="RN28" s="172"/>
      <c r="RO28" s="172"/>
      <c r="RP28" s="172"/>
      <c r="RQ28" s="172"/>
      <c r="RR28" s="172"/>
      <c r="RS28" s="172"/>
      <c r="RT28" s="172"/>
      <c r="RU28" s="172"/>
      <c r="RV28" s="172"/>
      <c r="RW28" s="172"/>
      <c r="RX28" s="172"/>
      <c r="RY28" s="172"/>
      <c r="RZ28" s="172"/>
      <c r="SA28" s="172"/>
      <c r="SB28" s="172"/>
      <c r="SC28" s="172"/>
      <c r="SD28" s="172"/>
      <c r="SE28" s="172"/>
      <c r="SF28" s="172"/>
      <c r="SG28" s="172"/>
      <c r="SH28" s="172"/>
      <c r="SI28" s="172"/>
      <c r="SJ28" s="172"/>
      <c r="SK28" s="172"/>
      <c r="SL28" s="172"/>
      <c r="SM28" s="172"/>
      <c r="SN28" s="172"/>
      <c r="SO28" s="172"/>
      <c r="SP28" s="172"/>
      <c r="SQ28" s="172"/>
      <c r="SR28" s="172"/>
      <c r="SS28" s="172"/>
      <c r="ST28" s="172"/>
      <c r="SU28" s="172"/>
      <c r="SV28" s="172"/>
      <c r="SW28" s="172"/>
      <c r="SX28" s="172"/>
      <c r="SY28" s="172"/>
      <c r="SZ28" s="172"/>
      <c r="TA28" s="172"/>
      <c r="TB28" s="172"/>
      <c r="TC28" s="172"/>
      <c r="TD28" s="172"/>
      <c r="TE28" s="172"/>
      <c r="TF28" s="172"/>
      <c r="TG28" s="172"/>
      <c r="TH28" s="172"/>
      <c r="TI28" s="172"/>
      <c r="TJ28" s="172"/>
      <c r="TK28" s="172"/>
      <c r="TL28" s="172"/>
      <c r="TM28" s="172"/>
      <c r="TN28" s="172"/>
      <c r="TO28" s="172"/>
      <c r="TP28" s="172"/>
      <c r="TQ28" s="172"/>
      <c r="TR28" s="172"/>
      <c r="TS28" s="172"/>
      <c r="TT28" s="172"/>
      <c r="TU28" s="172"/>
      <c r="TV28" s="172"/>
      <c r="TW28" s="172"/>
      <c r="TX28" s="172"/>
      <c r="TY28" s="172"/>
      <c r="TZ28" s="172"/>
      <c r="UA28" s="172"/>
      <c r="UB28" s="172"/>
      <c r="UC28" s="172"/>
      <c r="UD28" s="172"/>
      <c r="UE28" s="172"/>
      <c r="UF28" s="172"/>
      <c r="UG28" s="172"/>
      <c r="UH28" s="172"/>
      <c r="UI28" s="172"/>
      <c r="UJ28" s="172"/>
      <c r="UK28" s="172"/>
      <c r="UL28" s="172"/>
      <c r="UM28" s="172"/>
      <c r="UN28" s="172"/>
      <c r="UO28" s="172"/>
      <c r="UP28" s="172"/>
      <c r="UQ28" s="172"/>
      <c r="UR28" s="172"/>
      <c r="US28" s="172"/>
      <c r="UT28" s="172"/>
      <c r="UU28" s="172"/>
      <c r="UV28" s="172"/>
      <c r="UW28" s="172"/>
      <c r="UX28" s="172"/>
      <c r="UY28" s="172"/>
      <c r="UZ28" s="172"/>
      <c r="VA28" s="172"/>
      <c r="VB28" s="172"/>
      <c r="VC28" s="172"/>
      <c r="VD28" s="172"/>
      <c r="VE28" s="172"/>
      <c r="VF28" s="172"/>
      <c r="VG28" s="172"/>
      <c r="VH28" s="172"/>
      <c r="VI28" s="172"/>
      <c r="VJ28" s="172"/>
      <c r="VK28" s="172"/>
      <c r="VL28" s="172"/>
      <c r="VM28" s="172"/>
      <c r="VN28" s="172"/>
      <c r="VO28" s="172"/>
      <c r="VP28" s="172"/>
      <c r="VQ28" s="172"/>
      <c r="VR28" s="172"/>
      <c r="VS28" s="172"/>
      <c r="VT28" s="172"/>
      <c r="VU28" s="172"/>
      <c r="VV28" s="172"/>
      <c r="VW28" s="172"/>
      <c r="VX28" s="172"/>
      <c r="VY28" s="172"/>
      <c r="VZ28" s="172"/>
      <c r="WA28" s="172"/>
      <c r="WB28" s="172"/>
      <c r="WC28" s="172"/>
      <c r="WD28" s="172"/>
      <c r="WE28" s="172"/>
      <c r="WF28" s="172"/>
      <c r="WG28" s="172"/>
      <c r="WH28" s="172"/>
      <c r="WI28" s="172"/>
      <c r="WJ28" s="172"/>
      <c r="WK28" s="172"/>
      <c r="WL28" s="172"/>
      <c r="WM28" s="172"/>
      <c r="WN28" s="172"/>
      <c r="WO28" s="172"/>
      <c r="WP28" s="172"/>
      <c r="WQ28" s="172"/>
      <c r="WR28" s="172"/>
      <c r="WS28" s="172"/>
      <c r="WT28" s="172"/>
      <c r="WU28" s="172"/>
      <c r="WV28" s="172"/>
      <c r="WW28" s="172"/>
      <c r="WX28" s="172"/>
      <c r="WY28" s="172"/>
      <c r="WZ28" s="172"/>
      <c r="XA28" s="172"/>
      <c r="XB28" s="172"/>
      <c r="XC28" s="172"/>
      <c r="XD28" s="172"/>
      <c r="XE28" s="172"/>
      <c r="XF28" s="172"/>
      <c r="XG28" s="172"/>
      <c r="XH28" s="172"/>
      <c r="XI28" s="172"/>
      <c r="XJ28" s="172"/>
      <c r="XK28" s="172"/>
      <c r="XL28" s="172"/>
      <c r="XM28" s="172"/>
      <c r="XN28" s="172"/>
      <c r="XO28" s="172"/>
      <c r="XP28" s="172"/>
      <c r="XQ28" s="172"/>
      <c r="XR28" s="172"/>
      <c r="XS28" s="172"/>
      <c r="XT28" s="172"/>
      <c r="XU28" s="172"/>
      <c r="XV28" s="172"/>
      <c r="XW28" s="172"/>
      <c r="XX28" s="172"/>
      <c r="XY28" s="172"/>
      <c r="XZ28" s="172"/>
      <c r="YA28" s="172"/>
      <c r="YB28" s="172"/>
      <c r="YC28" s="172"/>
      <c r="YD28" s="172"/>
      <c r="YE28" s="172"/>
      <c r="YF28" s="172"/>
      <c r="YG28" s="172"/>
      <c r="YH28" s="172"/>
      <c r="YI28" s="172"/>
      <c r="YJ28" s="172"/>
      <c r="YK28" s="172"/>
      <c r="YL28" s="172"/>
      <c r="YM28" s="172"/>
      <c r="YN28" s="172"/>
      <c r="YO28" s="172"/>
      <c r="YP28" s="172"/>
      <c r="YQ28" s="172"/>
      <c r="YR28" s="172"/>
      <c r="YS28" s="172"/>
      <c r="YT28" s="172"/>
      <c r="YU28" s="172"/>
      <c r="YV28" s="172"/>
      <c r="YW28" s="172"/>
      <c r="YX28" s="172"/>
      <c r="YY28" s="172"/>
      <c r="YZ28" s="172"/>
      <c r="ZA28" s="172"/>
      <c r="ZB28" s="172"/>
      <c r="ZC28" s="172"/>
      <c r="ZD28" s="172"/>
      <c r="ZE28" s="172"/>
      <c r="ZF28" s="172"/>
      <c r="ZG28" s="172"/>
      <c r="ZH28" s="172"/>
      <c r="ZI28" s="172"/>
      <c r="ZJ28" s="172"/>
      <c r="ZK28" s="172"/>
      <c r="ZL28" s="172"/>
      <c r="ZM28" s="172"/>
      <c r="ZN28" s="172"/>
      <c r="ZO28" s="172"/>
      <c r="ZP28" s="172"/>
      <c r="ZQ28" s="172"/>
      <c r="ZR28" s="172"/>
      <c r="ZS28" s="172"/>
      <c r="ZT28" s="172"/>
      <c r="ZU28" s="172"/>
      <c r="ZV28" s="172"/>
      <c r="ZW28" s="172"/>
      <c r="ZX28" s="172"/>
      <c r="ZY28" s="172"/>
      <c r="ZZ28" s="172"/>
      <c r="AAA28" s="172"/>
      <c r="AAB28" s="172"/>
      <c r="AAC28" s="172"/>
      <c r="AAD28" s="172"/>
      <c r="AAE28" s="172"/>
      <c r="AAF28" s="172"/>
      <c r="AAG28" s="172"/>
      <c r="AAH28" s="172"/>
      <c r="AAI28" s="172"/>
      <c r="AAJ28" s="172"/>
      <c r="AAK28" s="172"/>
      <c r="AAL28" s="172"/>
      <c r="AAM28" s="172"/>
      <c r="AAN28" s="172"/>
      <c r="AAO28" s="172"/>
      <c r="AAP28" s="172"/>
      <c r="AAQ28" s="172"/>
      <c r="AAR28" s="172"/>
      <c r="AAS28" s="172"/>
      <c r="AAT28" s="172"/>
      <c r="AAU28" s="172"/>
      <c r="AAV28" s="172"/>
      <c r="AAW28" s="172"/>
      <c r="AAX28" s="172"/>
      <c r="AAY28" s="172"/>
      <c r="AAZ28" s="172"/>
      <c r="ABA28" s="172"/>
      <c r="ABB28" s="172"/>
      <c r="ABC28" s="172"/>
      <c r="ABD28" s="172"/>
      <c r="ABE28" s="172"/>
      <c r="ABF28" s="172"/>
      <c r="ABG28" s="172"/>
      <c r="ABH28" s="172"/>
      <c r="ABI28" s="172"/>
      <c r="ABJ28" s="172"/>
      <c r="ABK28" s="172"/>
      <c r="ABL28" s="172"/>
      <c r="ABM28" s="172"/>
      <c r="ABN28" s="172"/>
      <c r="ABO28" s="172"/>
      <c r="ABP28" s="172"/>
      <c r="ABQ28" s="172"/>
      <c r="ABR28" s="172"/>
      <c r="ABS28" s="172"/>
      <c r="ABT28" s="172"/>
      <c r="ABU28" s="172"/>
      <c r="ABV28" s="172"/>
      <c r="ABW28" s="172"/>
      <c r="ABX28" s="172"/>
      <c r="ABY28" s="172"/>
      <c r="ABZ28" s="172"/>
      <c r="ACA28" s="172"/>
      <c r="ACB28" s="172"/>
      <c r="ACC28" s="172"/>
      <c r="ACD28" s="172"/>
      <c r="ACE28" s="172"/>
      <c r="ACF28" s="172"/>
      <c r="ACG28" s="172"/>
      <c r="ACH28" s="172"/>
      <c r="ACI28" s="172"/>
      <c r="ACJ28" s="172"/>
      <c r="ACK28" s="172"/>
      <c r="ACL28" s="172"/>
      <c r="ACM28" s="172"/>
      <c r="ACN28" s="172"/>
      <c r="ACO28" s="172"/>
      <c r="ACP28" s="172"/>
      <c r="ACQ28" s="172"/>
      <c r="ACR28" s="172"/>
      <c r="ACS28" s="172"/>
      <c r="ACT28" s="172"/>
      <c r="ACU28" s="172"/>
      <c r="ACV28" s="172"/>
      <c r="ACW28" s="172"/>
      <c r="ACX28" s="172"/>
      <c r="ACY28" s="172"/>
      <c r="ACZ28" s="172"/>
      <c r="ADA28" s="172"/>
      <c r="ADB28" s="172"/>
      <c r="ADC28" s="172"/>
      <c r="ADD28" s="172"/>
      <c r="ADE28" s="172"/>
      <c r="ADF28" s="172"/>
      <c r="ADG28" s="172"/>
      <c r="ADH28" s="172"/>
      <c r="ADI28" s="172"/>
      <c r="ADJ28" s="172"/>
      <c r="ADK28" s="172"/>
      <c r="ADL28" s="172"/>
      <c r="ADM28" s="172"/>
      <c r="ADN28" s="172"/>
      <c r="ADO28" s="172"/>
      <c r="ADP28" s="172"/>
      <c r="ADQ28" s="172"/>
      <c r="ADR28" s="172"/>
      <c r="ADS28" s="172"/>
      <c r="ADT28" s="172"/>
      <c r="ADU28" s="172"/>
      <c r="ADV28" s="172"/>
      <c r="ADW28" s="172"/>
      <c r="ADX28" s="172"/>
      <c r="ADY28" s="172"/>
      <c r="ADZ28" s="172"/>
      <c r="AEA28" s="172"/>
      <c r="AEB28" s="172"/>
      <c r="AEC28" s="172"/>
      <c r="AED28" s="172"/>
      <c r="AEE28" s="172"/>
      <c r="AEF28" s="172"/>
      <c r="AEG28" s="172"/>
      <c r="AEH28" s="172"/>
      <c r="AEI28" s="172"/>
      <c r="AEJ28" s="172"/>
      <c r="AEK28" s="172"/>
      <c r="AEL28" s="172"/>
      <c r="AEM28" s="172"/>
      <c r="AEN28" s="172"/>
      <c r="AEO28" s="172"/>
      <c r="AEP28" s="172"/>
      <c r="AEQ28" s="172"/>
      <c r="AER28" s="172"/>
      <c r="AES28" s="172"/>
      <c r="AET28" s="172"/>
      <c r="AEU28" s="172"/>
      <c r="AEV28" s="172"/>
      <c r="AEW28" s="172"/>
      <c r="AEX28" s="172"/>
      <c r="AEY28" s="172"/>
      <c r="AEZ28" s="172"/>
      <c r="AFA28" s="172"/>
      <c r="AFB28" s="172"/>
      <c r="AFC28" s="172"/>
      <c r="AFD28" s="172"/>
      <c r="AFE28" s="172"/>
      <c r="AFF28" s="172"/>
      <c r="AFG28" s="172"/>
      <c r="AFH28" s="172"/>
      <c r="AFI28" s="172"/>
      <c r="AFJ28" s="172"/>
      <c r="AFK28" s="172"/>
      <c r="AFL28" s="172"/>
      <c r="AFM28" s="172"/>
      <c r="AFN28" s="172"/>
      <c r="AFO28" s="172"/>
      <c r="AFP28" s="172"/>
      <c r="AFQ28" s="172"/>
      <c r="AFR28" s="172"/>
      <c r="AFS28" s="172"/>
      <c r="AFT28" s="172"/>
      <c r="AFU28" s="172"/>
      <c r="AFV28" s="172"/>
      <c r="AFW28" s="172"/>
      <c r="AFX28" s="172"/>
      <c r="AFY28" s="172"/>
      <c r="AFZ28" s="172"/>
      <c r="AGA28" s="172"/>
      <c r="AGB28" s="172"/>
      <c r="AGC28" s="172"/>
      <c r="AGD28" s="172"/>
      <c r="AGE28" s="172"/>
      <c r="AGF28" s="172"/>
      <c r="AGG28" s="172"/>
      <c r="AGH28" s="172"/>
      <c r="AGI28" s="172"/>
      <c r="AGJ28" s="172"/>
      <c r="AGK28" s="172"/>
      <c r="AGL28" s="172"/>
      <c r="AGM28" s="172"/>
      <c r="AGN28" s="172"/>
      <c r="AGO28" s="172"/>
      <c r="AGP28" s="172"/>
      <c r="AGQ28" s="172"/>
      <c r="AGR28" s="172"/>
      <c r="AGS28" s="172"/>
      <c r="AGT28" s="172"/>
      <c r="AGU28" s="172"/>
      <c r="AGV28" s="172"/>
      <c r="AGW28" s="172"/>
      <c r="AGX28" s="172"/>
      <c r="AGY28" s="172"/>
      <c r="AGZ28" s="172"/>
      <c r="AHA28" s="172"/>
      <c r="AHB28" s="172"/>
      <c r="AHC28" s="172"/>
      <c r="AHD28" s="172"/>
      <c r="AHE28" s="172"/>
      <c r="AHF28" s="172"/>
      <c r="AHG28" s="172"/>
      <c r="AHH28" s="172"/>
      <c r="AHI28" s="172"/>
      <c r="AHJ28" s="172"/>
      <c r="AHK28" s="172"/>
      <c r="AHL28" s="172"/>
      <c r="AHM28" s="172"/>
      <c r="AHN28" s="172"/>
      <c r="AHO28" s="172"/>
      <c r="AHP28" s="172"/>
      <c r="AHQ28" s="172"/>
      <c r="AHR28" s="172"/>
      <c r="AHS28" s="172"/>
      <c r="AHT28" s="172"/>
      <c r="AHU28" s="172"/>
      <c r="AHV28" s="172"/>
      <c r="AHW28" s="172"/>
      <c r="AHX28" s="172"/>
      <c r="AHY28" s="172"/>
      <c r="AHZ28" s="172"/>
      <c r="AIA28" s="172"/>
      <c r="AIB28" s="172"/>
      <c r="AIC28" s="172"/>
      <c r="AID28" s="172"/>
      <c r="AIE28" s="172"/>
      <c r="AIF28" s="172"/>
      <c r="AIG28" s="172"/>
      <c r="AIH28" s="172"/>
      <c r="AII28" s="172"/>
      <c r="AIJ28" s="172"/>
      <c r="AIK28" s="172"/>
      <c r="AIL28" s="172"/>
      <c r="AIM28" s="172"/>
      <c r="AIN28" s="172"/>
      <c r="AIO28" s="172"/>
      <c r="AIP28" s="172"/>
      <c r="AIQ28" s="172"/>
      <c r="AIR28" s="172"/>
      <c r="AIS28" s="172"/>
      <c r="AIT28" s="172"/>
      <c r="AIU28" s="172"/>
      <c r="AIV28" s="172"/>
      <c r="AIW28" s="172"/>
      <c r="AIX28" s="172"/>
      <c r="AIY28" s="172"/>
      <c r="AIZ28" s="172"/>
      <c r="AJA28" s="172"/>
      <c r="AJB28" s="172"/>
      <c r="AJC28" s="172"/>
      <c r="AJD28" s="172"/>
      <c r="AJE28" s="172"/>
      <c r="AJF28" s="172"/>
      <c r="AJG28" s="172"/>
      <c r="AJH28" s="172"/>
      <c r="AJI28" s="172"/>
      <c r="AJJ28" s="172"/>
      <c r="AJK28" s="172"/>
      <c r="AJL28" s="172"/>
      <c r="AJM28" s="172"/>
      <c r="AJN28" s="172"/>
      <c r="AJO28" s="172"/>
      <c r="AJP28" s="172"/>
      <c r="AJQ28" s="172"/>
      <c r="AJR28" s="172"/>
      <c r="AJS28" s="172"/>
      <c r="AJT28" s="172"/>
      <c r="AJU28" s="172"/>
      <c r="AJV28" s="172"/>
      <c r="AJW28" s="172"/>
      <c r="AJX28" s="172"/>
      <c r="AJY28" s="172"/>
      <c r="AJZ28" s="172"/>
      <c r="AKA28" s="172"/>
      <c r="AKB28" s="172"/>
      <c r="AKC28" s="172"/>
      <c r="AKD28" s="172"/>
      <c r="AKE28" s="172"/>
      <c r="AKF28" s="172"/>
      <c r="AKG28" s="172"/>
      <c r="AKH28" s="172"/>
      <c r="AKI28" s="172"/>
      <c r="AKJ28" s="172"/>
      <c r="AKK28" s="172"/>
      <c r="AKL28" s="172"/>
      <c r="AKM28" s="172"/>
      <c r="AKN28" s="172"/>
      <c r="AKO28" s="172"/>
      <c r="AKP28" s="172"/>
      <c r="AKQ28" s="172"/>
      <c r="AKR28" s="172"/>
      <c r="AKS28" s="172"/>
      <c r="AKT28" s="172"/>
      <c r="AKU28" s="172"/>
      <c r="AKV28" s="172"/>
      <c r="AKW28" s="172"/>
      <c r="AKX28" s="172"/>
      <c r="AKY28" s="172"/>
      <c r="AKZ28" s="172"/>
      <c r="ALA28" s="172"/>
      <c r="ALB28" s="172"/>
      <c r="ALC28" s="172"/>
      <c r="ALD28" s="172"/>
      <c r="ALE28" s="172"/>
      <c r="ALF28" s="172"/>
      <c r="ALG28" s="172"/>
      <c r="ALH28" s="172"/>
      <c r="ALI28" s="172"/>
      <c r="ALJ28" s="172"/>
      <c r="ALK28" s="172"/>
      <c r="ALL28" s="172"/>
      <c r="ALM28" s="172"/>
      <c r="ALN28" s="172"/>
      <c r="ALO28" s="172"/>
      <c r="ALP28" s="172"/>
      <c r="ALQ28" s="172"/>
      <c r="ALR28" s="172"/>
      <c r="ALS28" s="172"/>
      <c r="ALT28" s="172"/>
      <c r="ALU28" s="172"/>
      <c r="ALV28" s="172"/>
      <c r="ALW28" s="172"/>
      <c r="ALX28" s="172"/>
      <c r="ALY28" s="172"/>
      <c r="ALZ28" s="172"/>
      <c r="AMA28" s="172"/>
      <c r="AMB28" s="172"/>
      <c r="AMC28" s="172"/>
      <c r="AMD28" s="172"/>
      <c r="AME28" s="172"/>
      <c r="AMF28" s="172"/>
      <c r="AMG28" s="172"/>
      <c r="AMH28" s="172"/>
      <c r="AMI28" s="172"/>
      <c r="AMJ28" s="172"/>
      <c r="AMK28" s="172"/>
      <c r="AML28" s="172"/>
      <c r="AMM28" s="172"/>
      <c r="AMN28" s="172"/>
      <c r="AMO28" s="172"/>
      <c r="AMP28" s="172"/>
      <c r="AMQ28" s="172"/>
      <c r="AMR28" s="172"/>
      <c r="AMS28" s="172"/>
      <c r="AMT28" s="172"/>
      <c r="AMU28" s="172"/>
      <c r="AMV28" s="172"/>
      <c r="AMW28" s="172"/>
      <c r="AMX28" s="172"/>
      <c r="AMY28" s="172"/>
      <c r="AMZ28" s="172"/>
      <c r="ANA28" s="172"/>
      <c r="ANB28" s="172"/>
      <c r="ANC28" s="172"/>
      <c r="AND28" s="172"/>
      <c r="ANE28" s="172"/>
      <c r="ANF28" s="172"/>
      <c r="ANG28" s="172"/>
      <c r="ANH28" s="172"/>
      <c r="ANI28" s="172"/>
      <c r="ANJ28" s="172"/>
      <c r="ANK28" s="172"/>
      <c r="ANL28" s="172"/>
      <c r="ANM28" s="172"/>
      <c r="ANN28" s="172"/>
      <c r="ANO28" s="172"/>
      <c r="ANP28" s="172"/>
      <c r="ANQ28" s="172"/>
      <c r="ANR28" s="172"/>
      <c r="ANS28" s="172"/>
      <c r="ANT28" s="172"/>
      <c r="ANU28" s="172"/>
      <c r="ANV28" s="172"/>
      <c r="ANW28" s="172"/>
      <c r="ANX28" s="172"/>
      <c r="ANY28" s="172"/>
      <c r="ANZ28" s="172"/>
      <c r="AOA28" s="172"/>
      <c r="AOB28" s="172"/>
      <c r="AOC28" s="172"/>
      <c r="AOD28" s="172"/>
      <c r="AOE28" s="172"/>
      <c r="AOF28" s="172"/>
      <c r="AOG28" s="172"/>
      <c r="AOH28" s="172"/>
      <c r="AOI28" s="172"/>
      <c r="AOJ28" s="172"/>
      <c r="AOK28" s="172"/>
      <c r="AOL28" s="172"/>
      <c r="AOM28" s="172"/>
      <c r="AON28" s="172"/>
      <c r="AOO28" s="172"/>
      <c r="AOP28" s="172"/>
      <c r="AOQ28" s="172"/>
      <c r="AOR28" s="172"/>
      <c r="AOS28" s="172"/>
      <c r="AOT28" s="172"/>
      <c r="AOU28" s="172"/>
      <c r="AOV28" s="172"/>
      <c r="AOW28" s="172"/>
      <c r="AOX28" s="172"/>
      <c r="AOY28" s="172"/>
      <c r="AOZ28" s="172"/>
      <c r="APA28" s="172"/>
      <c r="APB28" s="172"/>
      <c r="APC28" s="172"/>
      <c r="APD28" s="172"/>
      <c r="APE28" s="172"/>
      <c r="APF28" s="172"/>
      <c r="APG28" s="172"/>
      <c r="APH28" s="172"/>
      <c r="API28" s="172"/>
      <c r="APJ28" s="172"/>
      <c r="APK28" s="172"/>
      <c r="APL28" s="172"/>
      <c r="APM28" s="172"/>
      <c r="APN28" s="172"/>
      <c r="APO28" s="172"/>
      <c r="APP28" s="172"/>
      <c r="APQ28" s="172"/>
      <c r="APR28" s="172"/>
      <c r="APS28" s="172"/>
      <c r="APT28" s="172"/>
      <c r="APU28" s="172"/>
      <c r="APV28" s="172"/>
      <c r="APW28" s="172"/>
      <c r="APX28" s="172"/>
      <c r="APY28" s="172"/>
      <c r="APZ28" s="172"/>
      <c r="AQA28" s="172"/>
      <c r="AQB28" s="172"/>
      <c r="AQC28" s="172"/>
      <c r="AQD28" s="172"/>
      <c r="AQE28" s="172"/>
      <c r="AQF28" s="172"/>
      <c r="AQG28" s="172"/>
      <c r="AQH28" s="172"/>
      <c r="AQI28" s="172"/>
      <c r="AQJ28" s="172"/>
      <c r="AQK28" s="172"/>
      <c r="AQL28" s="172"/>
      <c r="AQM28" s="172"/>
      <c r="AQN28" s="172"/>
      <c r="AQO28" s="172"/>
      <c r="AQP28" s="172"/>
      <c r="AQQ28" s="172"/>
      <c r="AQR28" s="172"/>
      <c r="AQS28" s="172"/>
      <c r="AQT28" s="172"/>
      <c r="AQU28" s="172"/>
      <c r="AQV28" s="172"/>
      <c r="AQW28" s="172"/>
      <c r="AQX28" s="172"/>
      <c r="AQY28" s="172"/>
      <c r="AQZ28" s="172"/>
      <c r="ARA28" s="172"/>
      <c r="ARB28" s="172"/>
      <c r="ARC28" s="172"/>
      <c r="ARD28" s="172"/>
      <c r="ARE28" s="172"/>
      <c r="ARF28" s="172"/>
      <c r="ARG28" s="172"/>
      <c r="ARH28" s="172"/>
      <c r="ARI28" s="172"/>
      <c r="ARJ28" s="172"/>
      <c r="ARK28" s="172"/>
      <c r="ARL28" s="172"/>
      <c r="ARM28" s="172"/>
      <c r="ARN28" s="172"/>
      <c r="ARO28" s="172"/>
      <c r="ARP28" s="172"/>
      <c r="ARQ28" s="172"/>
      <c r="ARR28" s="172"/>
      <c r="ARS28" s="172"/>
      <c r="ART28" s="172"/>
      <c r="ARU28" s="172"/>
      <c r="ARV28" s="172"/>
      <c r="ARW28" s="172"/>
      <c r="ARX28" s="172"/>
      <c r="ARY28" s="172"/>
      <c r="ARZ28" s="172"/>
      <c r="ASA28" s="172"/>
      <c r="ASB28" s="172"/>
      <c r="ASC28" s="172"/>
      <c r="ASD28" s="172"/>
      <c r="ASE28" s="172"/>
      <c r="ASF28" s="172"/>
      <c r="ASG28" s="172"/>
      <c r="ASH28" s="172"/>
      <c r="ASI28" s="172"/>
      <c r="ASJ28" s="172"/>
      <c r="ASK28" s="172"/>
      <c r="ASL28" s="172"/>
      <c r="ASM28" s="172"/>
      <c r="ASN28" s="172"/>
      <c r="ASO28" s="172"/>
      <c r="ASP28" s="172"/>
      <c r="ASQ28" s="172"/>
      <c r="ASR28" s="172"/>
      <c r="ASS28" s="172"/>
      <c r="AST28" s="172"/>
      <c r="ASU28" s="172"/>
      <c r="ASV28" s="172"/>
      <c r="ASW28" s="172"/>
      <c r="ASX28" s="172"/>
      <c r="ASY28" s="172"/>
      <c r="ASZ28" s="172"/>
      <c r="ATA28" s="172"/>
      <c r="ATB28" s="172"/>
      <c r="ATC28" s="172"/>
      <c r="ATD28" s="172"/>
      <c r="ATE28" s="172"/>
      <c r="ATF28" s="172"/>
      <c r="ATG28" s="172"/>
      <c r="ATH28" s="172"/>
      <c r="ATI28" s="172"/>
      <c r="ATJ28" s="172"/>
      <c r="ATK28" s="172"/>
      <c r="ATL28" s="172"/>
      <c r="ATM28" s="172"/>
      <c r="ATN28" s="172"/>
      <c r="ATO28" s="172"/>
      <c r="ATP28" s="172"/>
      <c r="ATQ28" s="172"/>
      <c r="ATR28" s="172"/>
      <c r="ATS28" s="172"/>
      <c r="ATT28" s="172"/>
      <c r="ATU28" s="172"/>
      <c r="ATV28" s="172"/>
      <c r="ATW28" s="172"/>
      <c r="ATX28" s="172"/>
      <c r="ATY28" s="172"/>
      <c r="ATZ28" s="172"/>
      <c r="AUA28" s="172"/>
      <c r="AUB28" s="172"/>
      <c r="AUC28" s="172"/>
      <c r="AUD28" s="172"/>
      <c r="AUE28" s="172"/>
      <c r="AUF28" s="172"/>
      <c r="AUG28" s="172"/>
      <c r="AUH28" s="172"/>
      <c r="AUI28" s="172"/>
      <c r="AUJ28" s="172"/>
      <c r="AUK28" s="172"/>
      <c r="AUL28" s="172"/>
      <c r="AUM28" s="172"/>
      <c r="AUN28" s="172"/>
      <c r="AUO28" s="172"/>
      <c r="AUP28" s="172"/>
      <c r="AUQ28" s="172"/>
      <c r="AUR28" s="172"/>
      <c r="AUS28" s="172"/>
      <c r="AUT28" s="172"/>
      <c r="AUU28" s="172"/>
      <c r="AUV28" s="172"/>
      <c r="AUW28" s="172"/>
      <c r="AUX28" s="172"/>
      <c r="AUY28" s="172"/>
      <c r="AUZ28" s="172"/>
      <c r="AVA28" s="172"/>
      <c r="AVB28" s="172"/>
      <c r="AVC28" s="172"/>
      <c r="AVD28" s="172"/>
      <c r="AVE28" s="172"/>
      <c r="AVF28" s="172"/>
      <c r="AVG28" s="172"/>
      <c r="AVH28" s="172"/>
      <c r="AVI28" s="172"/>
      <c r="AVJ28" s="172"/>
      <c r="AVK28" s="172"/>
      <c r="AVL28" s="172"/>
      <c r="AVM28" s="172"/>
      <c r="AVN28" s="172"/>
      <c r="AVO28" s="172"/>
      <c r="AVP28" s="172"/>
      <c r="AVQ28" s="172"/>
      <c r="AVR28" s="172"/>
      <c r="AVS28" s="172"/>
      <c r="AVT28" s="172"/>
      <c r="AVU28" s="172"/>
      <c r="AVV28" s="172"/>
      <c r="AVW28" s="172"/>
      <c r="AVX28" s="172"/>
      <c r="AVY28" s="172"/>
      <c r="AVZ28" s="172"/>
      <c r="AWA28" s="172"/>
      <c r="AWB28" s="172"/>
      <c r="AWC28" s="172"/>
      <c r="AWD28" s="172"/>
      <c r="AWE28" s="172"/>
      <c r="AWF28" s="172"/>
      <c r="AWG28" s="172"/>
      <c r="AWH28" s="172"/>
      <c r="AWI28" s="172"/>
      <c r="AWJ28" s="172"/>
      <c r="AWK28" s="172"/>
      <c r="AWL28" s="172"/>
      <c r="AWM28" s="172"/>
      <c r="AWN28" s="172"/>
      <c r="AWO28" s="172"/>
      <c r="AWP28" s="172"/>
      <c r="AWQ28" s="172"/>
      <c r="AWR28" s="172"/>
      <c r="AWS28" s="172"/>
      <c r="AWT28" s="172"/>
      <c r="AWU28" s="172"/>
      <c r="AWV28" s="172"/>
      <c r="AWW28" s="172"/>
      <c r="AWX28" s="172"/>
      <c r="AWY28" s="172"/>
      <c r="AWZ28" s="172"/>
      <c r="AXA28" s="172"/>
      <c r="AXB28" s="172"/>
      <c r="AXC28" s="172"/>
      <c r="AXD28" s="172"/>
      <c r="AXE28" s="172"/>
      <c r="AXF28" s="172"/>
      <c r="AXG28" s="172"/>
      <c r="AXH28" s="172"/>
      <c r="AXI28" s="172"/>
      <c r="AXJ28" s="172"/>
      <c r="AXK28" s="172"/>
      <c r="AXL28" s="172"/>
      <c r="AXM28" s="172"/>
      <c r="AXN28" s="172"/>
      <c r="AXO28" s="172"/>
      <c r="AXP28" s="172"/>
      <c r="AXQ28" s="172"/>
      <c r="AXR28" s="172"/>
      <c r="AXS28" s="172"/>
      <c r="AXT28" s="172"/>
      <c r="AXU28" s="172"/>
      <c r="AXV28" s="172"/>
      <c r="AXW28" s="172"/>
      <c r="AXX28" s="172"/>
      <c r="AXY28" s="172"/>
      <c r="AXZ28" s="172"/>
      <c r="AYA28" s="172"/>
      <c r="AYB28" s="172"/>
      <c r="AYC28" s="172"/>
      <c r="AYD28" s="172"/>
      <c r="AYE28" s="172"/>
      <c r="AYF28" s="172"/>
      <c r="AYG28" s="172"/>
      <c r="AYH28" s="172"/>
      <c r="AYI28" s="172"/>
      <c r="AYJ28" s="172"/>
      <c r="AYK28" s="172"/>
      <c r="AYL28" s="172"/>
      <c r="AYM28" s="172"/>
      <c r="AYN28" s="172"/>
      <c r="AYO28" s="172"/>
      <c r="AYP28" s="172"/>
      <c r="AYQ28" s="172"/>
      <c r="AYR28" s="172"/>
      <c r="AYS28" s="172"/>
      <c r="AYT28" s="172"/>
      <c r="AYU28" s="172"/>
      <c r="AYV28" s="172"/>
      <c r="AYW28" s="172"/>
      <c r="AYX28" s="172"/>
      <c r="AYY28" s="172"/>
      <c r="AYZ28" s="172"/>
      <c r="AZA28" s="172"/>
      <c r="AZB28" s="172"/>
      <c r="AZC28" s="172"/>
      <c r="AZD28" s="172"/>
      <c r="AZE28" s="172"/>
      <c r="AZF28" s="172"/>
      <c r="AZG28" s="172"/>
      <c r="AZH28" s="172"/>
      <c r="AZI28" s="172"/>
      <c r="AZJ28" s="172"/>
      <c r="AZK28" s="172"/>
      <c r="AZL28" s="172"/>
      <c r="AZM28" s="172"/>
      <c r="AZN28" s="172"/>
      <c r="AZO28" s="172"/>
      <c r="AZP28" s="172"/>
      <c r="AZQ28" s="172"/>
      <c r="AZR28" s="172"/>
      <c r="AZS28" s="172"/>
      <c r="AZT28" s="172"/>
      <c r="AZU28" s="172"/>
      <c r="AZV28" s="172"/>
      <c r="AZW28" s="172"/>
      <c r="AZX28" s="172"/>
      <c r="AZY28" s="172"/>
      <c r="AZZ28" s="172"/>
      <c r="BAA28" s="172"/>
      <c r="BAB28" s="172"/>
      <c r="BAC28" s="172"/>
      <c r="BAD28" s="172"/>
      <c r="BAE28" s="172"/>
      <c r="BAF28" s="172"/>
      <c r="BAG28" s="172"/>
      <c r="BAH28" s="172"/>
      <c r="BAI28" s="172"/>
      <c r="BAJ28" s="172"/>
      <c r="BAK28" s="172"/>
      <c r="BAL28" s="172"/>
      <c r="BAM28" s="172"/>
      <c r="BAN28" s="172"/>
      <c r="BAO28" s="172"/>
      <c r="BAP28" s="172"/>
      <c r="BAQ28" s="172"/>
      <c r="BAR28" s="172"/>
      <c r="BAS28" s="172"/>
      <c r="BAT28" s="172"/>
      <c r="BAU28" s="172"/>
      <c r="BAV28" s="172"/>
      <c r="BAW28" s="172"/>
      <c r="BAX28" s="172"/>
      <c r="BAY28" s="172"/>
      <c r="BAZ28" s="172"/>
      <c r="BBA28" s="172"/>
      <c r="BBB28" s="172"/>
      <c r="BBC28" s="172"/>
      <c r="BBD28" s="172"/>
      <c r="BBE28" s="172"/>
      <c r="BBF28" s="172"/>
      <c r="BBG28" s="172"/>
      <c r="BBH28" s="172"/>
      <c r="BBI28" s="172"/>
      <c r="BBJ28" s="172"/>
      <c r="BBK28" s="172"/>
      <c r="BBL28" s="172"/>
      <c r="BBM28" s="172"/>
      <c r="BBN28" s="172"/>
      <c r="BBO28" s="172"/>
      <c r="BBP28" s="172"/>
      <c r="BBQ28" s="172"/>
      <c r="BBR28" s="172"/>
      <c r="BBS28" s="172"/>
      <c r="BBT28" s="172"/>
      <c r="BBU28" s="172"/>
      <c r="BBV28" s="172"/>
      <c r="BBW28" s="172"/>
      <c r="BBX28" s="172"/>
      <c r="BBY28" s="172"/>
      <c r="BBZ28" s="172"/>
      <c r="BCA28" s="172"/>
      <c r="BCB28" s="172"/>
      <c r="BCC28" s="172"/>
      <c r="BCD28" s="172"/>
      <c r="BCE28" s="172"/>
      <c r="BCF28" s="172"/>
      <c r="BCG28" s="172"/>
      <c r="BCH28" s="172"/>
      <c r="BCI28" s="172"/>
      <c r="BCJ28" s="172"/>
      <c r="BCK28" s="172"/>
      <c r="BCL28" s="172"/>
      <c r="BCM28" s="172"/>
      <c r="BCN28" s="172"/>
      <c r="BCO28" s="172"/>
      <c r="BCP28" s="172"/>
      <c r="BCQ28" s="172"/>
      <c r="BCR28" s="172"/>
      <c r="BCS28" s="172"/>
      <c r="BCT28" s="172"/>
      <c r="BCU28" s="172"/>
      <c r="BCV28" s="172"/>
      <c r="BCW28" s="172"/>
      <c r="BCX28" s="172"/>
      <c r="BCY28" s="172"/>
      <c r="BCZ28" s="172"/>
      <c r="BDA28" s="172"/>
      <c r="BDB28" s="172"/>
      <c r="BDC28" s="172"/>
      <c r="BDD28" s="172"/>
      <c r="BDE28" s="172"/>
      <c r="BDF28" s="172"/>
      <c r="BDG28" s="172"/>
      <c r="BDH28" s="172"/>
      <c r="BDI28" s="172"/>
      <c r="BDJ28" s="172"/>
      <c r="BDK28" s="172"/>
      <c r="BDL28" s="172"/>
      <c r="BDM28" s="172"/>
      <c r="BDN28" s="172"/>
      <c r="BDO28" s="172"/>
      <c r="BDP28" s="172"/>
      <c r="BDQ28" s="172"/>
      <c r="BDR28" s="172"/>
      <c r="BDS28" s="172"/>
      <c r="BDT28" s="172"/>
      <c r="BDU28" s="172"/>
      <c r="BDV28" s="172"/>
      <c r="BDW28" s="172"/>
      <c r="BDX28" s="172"/>
      <c r="BDY28" s="172"/>
      <c r="BDZ28" s="172"/>
      <c r="BEA28" s="172"/>
      <c r="BEB28" s="172"/>
      <c r="BEC28" s="172"/>
      <c r="BED28" s="172"/>
      <c r="BEE28" s="172"/>
      <c r="BEF28" s="172"/>
      <c r="BEG28" s="172"/>
      <c r="BEH28" s="172"/>
      <c r="BEI28" s="172"/>
      <c r="BEJ28" s="172"/>
      <c r="BEK28" s="172"/>
      <c r="BEL28" s="172"/>
      <c r="BEM28" s="172"/>
      <c r="BEN28" s="172"/>
      <c r="BEO28" s="172"/>
      <c r="BEP28" s="172"/>
      <c r="BEQ28" s="172"/>
      <c r="BER28" s="172"/>
      <c r="BES28" s="172"/>
      <c r="BET28" s="172"/>
      <c r="BEU28" s="172"/>
      <c r="BEV28" s="172"/>
      <c r="BEW28" s="172"/>
      <c r="BEX28" s="172"/>
      <c r="BEY28" s="172"/>
      <c r="BEZ28" s="172"/>
      <c r="BFA28" s="172"/>
      <c r="BFB28" s="172"/>
      <c r="BFC28" s="172"/>
      <c r="BFD28" s="172"/>
      <c r="BFE28" s="172"/>
      <c r="BFF28" s="172"/>
      <c r="BFG28" s="172"/>
      <c r="BFH28" s="172"/>
      <c r="BFI28" s="172"/>
      <c r="BFJ28" s="172"/>
      <c r="BFK28" s="172"/>
      <c r="BFL28" s="172"/>
      <c r="BFM28" s="172"/>
      <c r="BFN28" s="172"/>
      <c r="BFO28" s="172"/>
      <c r="BFP28" s="172"/>
      <c r="BFQ28" s="172"/>
      <c r="BFR28" s="172"/>
      <c r="BFS28" s="172"/>
      <c r="BFT28" s="172"/>
      <c r="BFU28" s="172"/>
      <c r="BFV28" s="172"/>
      <c r="BFW28" s="172"/>
      <c r="BFX28" s="172"/>
      <c r="BFY28" s="172"/>
      <c r="BFZ28" s="172"/>
      <c r="BGA28" s="172"/>
      <c r="BGB28" s="172"/>
      <c r="BGC28" s="172"/>
      <c r="BGD28" s="172"/>
      <c r="BGE28" s="172"/>
      <c r="BGF28" s="172"/>
      <c r="BGG28" s="172"/>
      <c r="BGH28" s="172"/>
      <c r="BGI28" s="172"/>
      <c r="BGJ28" s="172"/>
      <c r="BGK28" s="172"/>
      <c r="BGL28" s="172"/>
      <c r="BGM28" s="172"/>
      <c r="BGN28" s="172"/>
      <c r="BGO28" s="172"/>
      <c r="BGP28" s="172"/>
      <c r="BGQ28" s="172"/>
      <c r="BGR28" s="172"/>
      <c r="BGS28" s="172"/>
      <c r="BGT28" s="172"/>
      <c r="BGU28" s="172"/>
      <c r="BGV28" s="172"/>
      <c r="BGW28" s="172"/>
      <c r="BGX28" s="172"/>
      <c r="BGY28" s="172"/>
      <c r="BGZ28" s="172"/>
      <c r="BHA28" s="172"/>
      <c r="BHB28" s="172"/>
      <c r="BHC28" s="172"/>
      <c r="BHD28" s="172"/>
      <c r="BHE28" s="172"/>
      <c r="BHF28" s="172"/>
      <c r="BHG28" s="172"/>
      <c r="BHH28" s="172"/>
      <c r="BHI28" s="172"/>
      <c r="BHJ28" s="172"/>
      <c r="BHK28" s="172"/>
      <c r="BHL28" s="172"/>
      <c r="BHM28" s="172"/>
      <c r="BHN28" s="172"/>
      <c r="BHO28" s="172"/>
      <c r="BHP28" s="172"/>
      <c r="BHQ28" s="172"/>
      <c r="BHR28" s="172"/>
      <c r="BHS28" s="172"/>
      <c r="BHT28" s="172"/>
      <c r="BHU28" s="172"/>
      <c r="BHV28" s="172"/>
      <c r="BHW28" s="172"/>
      <c r="BHX28" s="172"/>
      <c r="BHY28" s="172"/>
      <c r="BHZ28" s="172"/>
      <c r="BIA28" s="172"/>
      <c r="BIB28" s="172"/>
      <c r="BIC28" s="172"/>
      <c r="BID28" s="172"/>
      <c r="BIE28" s="172"/>
      <c r="BIF28" s="172"/>
      <c r="BIG28" s="172"/>
      <c r="BIH28" s="172"/>
      <c r="BII28" s="172"/>
      <c r="BIJ28" s="172"/>
      <c r="BIK28" s="172"/>
      <c r="BIL28" s="172"/>
      <c r="BIM28" s="172"/>
      <c r="BIN28" s="172"/>
      <c r="BIO28" s="172"/>
      <c r="BIP28" s="172"/>
      <c r="BIQ28" s="172"/>
      <c r="BIR28" s="172"/>
      <c r="BIS28" s="172"/>
      <c r="BIT28" s="172"/>
      <c r="BIU28" s="172"/>
      <c r="BIV28" s="172"/>
      <c r="BIW28" s="172"/>
      <c r="BIX28" s="172"/>
      <c r="BIY28" s="172"/>
      <c r="BIZ28" s="172"/>
      <c r="BJA28" s="172"/>
      <c r="BJB28" s="172"/>
      <c r="BJC28" s="172"/>
      <c r="BJD28" s="172"/>
      <c r="BJE28" s="172"/>
      <c r="BJF28" s="172"/>
      <c r="BJG28" s="172"/>
      <c r="BJH28" s="172"/>
      <c r="BJI28" s="172"/>
      <c r="BJJ28" s="172"/>
      <c r="BJK28" s="172"/>
      <c r="BJL28" s="172"/>
      <c r="BJM28" s="172"/>
      <c r="BJN28" s="172"/>
      <c r="BJO28" s="172"/>
      <c r="BJP28" s="172"/>
      <c r="BJQ28" s="172"/>
      <c r="BJR28" s="172"/>
      <c r="BJS28" s="172"/>
      <c r="BJT28" s="172"/>
      <c r="BJU28" s="172"/>
      <c r="BJV28" s="172"/>
      <c r="BJW28" s="172"/>
      <c r="BJX28" s="172"/>
      <c r="BJY28" s="172"/>
      <c r="BJZ28" s="172"/>
      <c r="BKA28" s="172"/>
      <c r="BKB28" s="172"/>
      <c r="BKC28" s="172"/>
      <c r="BKD28" s="172"/>
      <c r="BKE28" s="172"/>
      <c r="BKF28" s="172"/>
      <c r="BKG28" s="172"/>
      <c r="BKH28" s="172"/>
      <c r="BKI28" s="172"/>
      <c r="BKJ28" s="172"/>
      <c r="BKK28" s="172"/>
      <c r="BKL28" s="172"/>
      <c r="BKM28" s="172"/>
      <c r="BKN28" s="172"/>
      <c r="BKO28" s="172"/>
      <c r="BKP28" s="172"/>
      <c r="BKQ28" s="172"/>
      <c r="BKR28" s="172"/>
      <c r="BKS28" s="172"/>
      <c r="BKT28" s="172"/>
      <c r="BKU28" s="172"/>
      <c r="BKV28" s="172"/>
      <c r="BKW28" s="172"/>
      <c r="BKX28" s="172"/>
      <c r="BKY28" s="172"/>
      <c r="BKZ28" s="172"/>
      <c r="BLA28" s="172"/>
      <c r="BLB28" s="172"/>
      <c r="BLC28" s="172"/>
      <c r="BLD28" s="172"/>
      <c r="BLE28" s="172"/>
      <c r="BLF28" s="172"/>
      <c r="BLG28" s="172"/>
      <c r="BLH28" s="172"/>
      <c r="BLI28" s="172"/>
      <c r="BLJ28" s="172"/>
      <c r="BLK28" s="172"/>
      <c r="BLL28" s="172"/>
      <c r="BLM28" s="172"/>
      <c r="BLN28" s="172"/>
      <c r="BLO28" s="172"/>
      <c r="BLP28" s="172"/>
      <c r="BLQ28" s="172"/>
      <c r="BLR28" s="172"/>
      <c r="BLS28" s="172"/>
      <c r="BLT28" s="172"/>
      <c r="BLU28" s="172"/>
      <c r="BLV28" s="172"/>
      <c r="BLW28" s="172"/>
      <c r="BLX28" s="172"/>
      <c r="BLY28" s="172"/>
      <c r="BLZ28" s="172"/>
      <c r="BMA28" s="172"/>
      <c r="BMB28" s="172"/>
      <c r="BMC28" s="172"/>
      <c r="BMD28" s="172"/>
      <c r="BME28" s="172"/>
      <c r="BMF28" s="172"/>
      <c r="BMG28" s="172"/>
      <c r="BMH28" s="172"/>
      <c r="BMI28" s="172"/>
      <c r="BMJ28" s="172"/>
      <c r="BMK28" s="172"/>
      <c r="BML28" s="172"/>
      <c r="BMM28" s="172"/>
      <c r="BMN28" s="172"/>
      <c r="BMO28" s="172"/>
      <c r="BMP28" s="172"/>
      <c r="BMQ28" s="172"/>
      <c r="BMR28" s="172"/>
      <c r="BMS28" s="172"/>
      <c r="BMT28" s="172"/>
      <c r="BMU28" s="172"/>
      <c r="BMV28" s="172"/>
      <c r="BMW28" s="172"/>
      <c r="BMX28" s="172"/>
      <c r="BMY28" s="172"/>
      <c r="BMZ28" s="172"/>
      <c r="BNA28" s="172"/>
      <c r="BNB28" s="172"/>
      <c r="BNC28" s="172"/>
      <c r="BND28" s="172"/>
      <c r="BNE28" s="172"/>
      <c r="BNF28" s="172"/>
      <c r="BNG28" s="172"/>
      <c r="BNH28" s="172"/>
      <c r="BNI28" s="172"/>
      <c r="BNJ28" s="172"/>
      <c r="BNK28" s="172"/>
      <c r="BNL28" s="172"/>
      <c r="BNM28" s="172"/>
      <c r="BNN28" s="172"/>
      <c r="BNO28" s="172"/>
      <c r="BNP28" s="172"/>
      <c r="BNQ28" s="172"/>
      <c r="BNR28" s="172"/>
      <c r="BNS28" s="172"/>
      <c r="BNT28" s="172"/>
      <c r="BNU28" s="172"/>
      <c r="BNV28" s="172"/>
      <c r="BNW28" s="172"/>
      <c r="BNX28" s="172"/>
      <c r="BNY28" s="172"/>
      <c r="BNZ28" s="172"/>
      <c r="BOA28" s="172"/>
      <c r="BOB28" s="172"/>
      <c r="BOC28" s="172"/>
      <c r="BOD28" s="172"/>
      <c r="BOE28" s="172"/>
      <c r="BOF28" s="172"/>
      <c r="BOG28" s="172"/>
      <c r="BOH28" s="172"/>
      <c r="BOI28" s="172"/>
      <c r="BOJ28" s="172"/>
      <c r="BOK28" s="172"/>
      <c r="BOL28" s="172"/>
      <c r="BOM28" s="172"/>
      <c r="BON28" s="172"/>
      <c r="BOO28" s="172"/>
      <c r="BOP28" s="172"/>
      <c r="BOQ28" s="172"/>
      <c r="BOR28" s="172"/>
      <c r="BOS28" s="172"/>
      <c r="BOT28" s="172"/>
      <c r="BOU28" s="172"/>
      <c r="BOV28" s="172"/>
      <c r="BOW28" s="172"/>
      <c r="BOX28" s="172"/>
      <c r="BOY28" s="172"/>
      <c r="BOZ28" s="172"/>
      <c r="BPA28" s="172"/>
      <c r="BPB28" s="172"/>
      <c r="BPC28" s="172"/>
      <c r="BPD28" s="172"/>
      <c r="BPE28" s="172"/>
      <c r="BPF28" s="172"/>
      <c r="BPG28" s="172"/>
      <c r="BPH28" s="172"/>
      <c r="BPI28" s="172"/>
      <c r="BPJ28" s="172"/>
      <c r="BPK28" s="172"/>
      <c r="BPL28" s="172"/>
      <c r="BPM28" s="172"/>
      <c r="BPN28" s="172"/>
      <c r="BPO28" s="172"/>
      <c r="BPP28" s="172"/>
      <c r="BPQ28" s="172"/>
      <c r="BPR28" s="172"/>
      <c r="BPS28" s="172"/>
      <c r="BPT28" s="172"/>
      <c r="BPU28" s="172"/>
      <c r="BPV28" s="172"/>
      <c r="BPW28" s="172"/>
      <c r="BPX28" s="172"/>
      <c r="BPY28" s="172"/>
      <c r="BPZ28" s="172"/>
      <c r="BQA28" s="172"/>
      <c r="BQB28" s="172"/>
      <c r="BQC28" s="172"/>
      <c r="BQD28" s="172"/>
      <c r="BQE28" s="172"/>
      <c r="BQF28" s="172"/>
      <c r="BQG28" s="172"/>
      <c r="BQH28" s="172"/>
      <c r="BQI28" s="172"/>
      <c r="BQJ28" s="172"/>
      <c r="BQK28" s="172"/>
      <c r="BQL28" s="172"/>
      <c r="BQM28" s="172"/>
      <c r="BQN28" s="172"/>
      <c r="BQO28" s="172"/>
      <c r="BQP28" s="172"/>
      <c r="BQQ28" s="172"/>
      <c r="BQR28" s="172"/>
      <c r="BQS28" s="172"/>
      <c r="BQT28" s="172"/>
      <c r="BQU28" s="172"/>
      <c r="BQV28" s="172"/>
      <c r="BQW28" s="172"/>
      <c r="BQX28" s="172"/>
      <c r="BQY28" s="172"/>
      <c r="BQZ28" s="172"/>
      <c r="BRA28" s="172"/>
      <c r="BRB28" s="172"/>
      <c r="BRC28" s="172"/>
      <c r="BRD28" s="172"/>
      <c r="BRE28" s="172"/>
      <c r="BRF28" s="172"/>
      <c r="BRG28" s="172"/>
      <c r="BRH28" s="172"/>
      <c r="BRI28" s="172"/>
      <c r="BRJ28" s="172"/>
      <c r="BRK28" s="172"/>
      <c r="BRL28" s="172"/>
      <c r="BRM28" s="172"/>
      <c r="BRN28" s="172"/>
      <c r="BRO28" s="172"/>
      <c r="BRP28" s="172"/>
      <c r="BRQ28" s="172"/>
      <c r="BRR28" s="172"/>
      <c r="BRS28" s="172"/>
      <c r="BRT28" s="172"/>
      <c r="BRU28" s="172"/>
      <c r="BRV28" s="172"/>
      <c r="BRW28" s="172"/>
      <c r="BRX28" s="172"/>
      <c r="BRY28" s="172"/>
      <c r="BRZ28" s="172"/>
      <c r="BSA28" s="172"/>
      <c r="BSB28" s="172"/>
      <c r="BSC28" s="172"/>
      <c r="BSD28" s="172"/>
      <c r="BSE28" s="172"/>
      <c r="BSF28" s="172"/>
      <c r="BSG28" s="172"/>
      <c r="BSH28" s="172"/>
      <c r="BSI28" s="172"/>
      <c r="BSJ28" s="172"/>
      <c r="BSK28" s="172"/>
      <c r="BSL28" s="172"/>
      <c r="BSM28" s="172"/>
      <c r="BSN28" s="172"/>
      <c r="BSO28" s="172"/>
      <c r="BSP28" s="172"/>
      <c r="BSQ28" s="172"/>
      <c r="BSR28" s="172"/>
      <c r="BSS28" s="172"/>
      <c r="BST28" s="172"/>
      <c r="BSU28" s="172"/>
      <c r="BSV28" s="172"/>
      <c r="BSW28" s="172"/>
      <c r="BSX28" s="172"/>
      <c r="BSY28" s="172"/>
      <c r="BSZ28" s="172"/>
      <c r="BTA28" s="172"/>
      <c r="BTB28" s="172"/>
      <c r="BTC28" s="172"/>
      <c r="BTD28" s="172"/>
      <c r="BTE28" s="172"/>
      <c r="BTF28" s="172"/>
      <c r="BTG28" s="172"/>
      <c r="BTH28" s="172"/>
      <c r="BTI28" s="172"/>
      <c r="BTJ28" s="172"/>
      <c r="BTK28" s="172"/>
      <c r="BTL28" s="172"/>
      <c r="BTM28" s="172"/>
      <c r="BTN28" s="172"/>
      <c r="BTO28" s="172"/>
      <c r="BTP28" s="172"/>
      <c r="BTQ28" s="172"/>
      <c r="BTR28" s="172"/>
      <c r="BTS28" s="172"/>
      <c r="BTT28" s="172"/>
      <c r="BTU28" s="172"/>
      <c r="BTV28" s="172"/>
      <c r="BTW28" s="172"/>
      <c r="BTX28" s="172"/>
      <c r="BTY28" s="172"/>
      <c r="BTZ28" s="172"/>
      <c r="BUA28" s="172"/>
      <c r="BUB28" s="172"/>
      <c r="BUC28" s="172"/>
      <c r="BUD28" s="172"/>
      <c r="BUE28" s="172"/>
      <c r="BUF28" s="172"/>
      <c r="BUG28" s="172"/>
      <c r="BUH28" s="172"/>
      <c r="BUI28" s="172"/>
      <c r="BUJ28" s="172"/>
      <c r="BUK28" s="172"/>
      <c r="BUL28" s="172"/>
      <c r="BUM28" s="172"/>
      <c r="BUN28" s="172"/>
      <c r="BUO28" s="172"/>
      <c r="BUP28" s="172"/>
      <c r="BUQ28" s="172"/>
      <c r="BUR28" s="172"/>
      <c r="BUS28" s="172"/>
      <c r="BUT28" s="172"/>
      <c r="BUU28" s="172"/>
      <c r="BUV28" s="172"/>
      <c r="BUW28" s="172"/>
      <c r="BUX28" s="172"/>
      <c r="BUY28" s="172"/>
      <c r="BUZ28" s="172"/>
      <c r="BVA28" s="172"/>
      <c r="BVB28" s="172"/>
      <c r="BVC28" s="172"/>
      <c r="BVD28" s="172"/>
      <c r="BVE28" s="172"/>
      <c r="BVF28" s="172"/>
      <c r="BVG28" s="172"/>
      <c r="BVH28" s="172"/>
      <c r="BVI28" s="172"/>
      <c r="BVJ28" s="172"/>
      <c r="BVK28" s="172"/>
      <c r="BVL28" s="172"/>
      <c r="BVM28" s="172"/>
      <c r="BVN28" s="172"/>
      <c r="BVO28" s="172"/>
      <c r="BVP28" s="172"/>
      <c r="BVQ28" s="172"/>
      <c r="BVR28" s="172"/>
      <c r="BVS28" s="172"/>
      <c r="BVT28" s="172"/>
      <c r="BVU28" s="172"/>
      <c r="BVV28" s="172"/>
      <c r="BVW28" s="172"/>
      <c r="BVX28" s="172"/>
      <c r="BVY28" s="172"/>
      <c r="BVZ28" s="172"/>
      <c r="BWA28" s="172"/>
      <c r="BWB28" s="172"/>
      <c r="BWC28" s="172"/>
      <c r="BWD28" s="172"/>
      <c r="BWE28" s="172"/>
      <c r="BWF28" s="172"/>
      <c r="BWG28" s="172"/>
      <c r="BWH28" s="172"/>
      <c r="BWI28" s="172"/>
      <c r="BWJ28" s="172"/>
      <c r="BWK28" s="172"/>
      <c r="BWL28" s="172"/>
      <c r="BWM28" s="172"/>
      <c r="BWN28" s="172"/>
      <c r="BWO28" s="172"/>
      <c r="BWP28" s="172"/>
      <c r="BWQ28" s="172"/>
      <c r="BWR28" s="172"/>
      <c r="BWS28" s="172"/>
      <c r="BWT28" s="172"/>
      <c r="BWU28" s="172"/>
      <c r="BWV28" s="172"/>
      <c r="BWW28" s="172"/>
      <c r="BWX28" s="172"/>
      <c r="BWY28" s="172"/>
      <c r="BWZ28" s="172"/>
      <c r="BXA28" s="172"/>
      <c r="BXB28" s="172"/>
      <c r="BXC28" s="172"/>
      <c r="BXD28" s="172"/>
      <c r="BXE28" s="172"/>
      <c r="BXF28" s="172"/>
      <c r="BXG28" s="172"/>
      <c r="BXH28" s="172"/>
      <c r="BXI28" s="172"/>
      <c r="BXJ28" s="172"/>
      <c r="BXK28" s="172"/>
      <c r="BXL28" s="172"/>
      <c r="BXM28" s="172"/>
      <c r="BXN28" s="172"/>
      <c r="BXO28" s="172"/>
      <c r="BXP28" s="172"/>
      <c r="BXQ28" s="172"/>
      <c r="BXR28" s="172"/>
      <c r="BXS28" s="172"/>
      <c r="BXT28" s="172"/>
      <c r="BXU28" s="172"/>
      <c r="BXV28" s="172"/>
      <c r="BXW28" s="172"/>
      <c r="BXX28" s="172"/>
      <c r="BXY28" s="172"/>
      <c r="BXZ28" s="172"/>
      <c r="BYA28" s="172"/>
      <c r="BYB28" s="172"/>
      <c r="BYC28" s="172"/>
      <c r="BYD28" s="172"/>
      <c r="BYE28" s="172"/>
      <c r="BYF28" s="172"/>
      <c r="BYG28" s="172"/>
      <c r="BYH28" s="172"/>
      <c r="BYI28" s="172"/>
      <c r="BYJ28" s="172"/>
      <c r="BYK28" s="172"/>
      <c r="BYL28" s="172"/>
      <c r="BYM28" s="172"/>
      <c r="BYN28" s="172"/>
      <c r="BYO28" s="172"/>
      <c r="BYP28" s="172"/>
      <c r="BYQ28" s="172"/>
      <c r="BYR28" s="172"/>
      <c r="BYS28" s="172"/>
      <c r="BYT28" s="172"/>
      <c r="BYU28" s="172"/>
      <c r="BYV28" s="172"/>
      <c r="BYW28" s="172"/>
      <c r="BYX28" s="172"/>
      <c r="BYY28" s="172"/>
      <c r="BYZ28" s="172"/>
      <c r="BZA28" s="172"/>
      <c r="BZB28" s="172"/>
      <c r="BZC28" s="172"/>
      <c r="BZD28" s="172"/>
      <c r="BZE28" s="172"/>
      <c r="BZF28" s="172"/>
      <c r="BZG28" s="172"/>
      <c r="BZH28" s="172"/>
      <c r="BZI28" s="172"/>
      <c r="BZJ28" s="172"/>
      <c r="BZK28" s="172"/>
      <c r="BZL28" s="172"/>
      <c r="BZM28" s="172"/>
      <c r="BZN28" s="172"/>
      <c r="BZO28" s="172"/>
      <c r="BZP28" s="172"/>
      <c r="BZQ28" s="172"/>
      <c r="BZR28" s="172"/>
      <c r="BZS28" s="172"/>
      <c r="BZT28" s="172"/>
      <c r="BZU28" s="172"/>
      <c r="BZV28" s="172"/>
      <c r="BZW28" s="172"/>
      <c r="BZX28" s="172"/>
      <c r="BZY28" s="172"/>
      <c r="BZZ28" s="172"/>
      <c r="CAA28" s="172"/>
      <c r="CAB28" s="172"/>
      <c r="CAC28" s="172"/>
      <c r="CAD28" s="172"/>
      <c r="CAE28" s="172"/>
      <c r="CAF28" s="172"/>
      <c r="CAG28" s="172"/>
      <c r="CAH28" s="172"/>
      <c r="CAI28" s="172"/>
      <c r="CAJ28" s="172"/>
      <c r="CAK28" s="172"/>
      <c r="CAL28" s="172"/>
      <c r="CAM28" s="172"/>
      <c r="CAN28" s="172"/>
      <c r="CAO28" s="172"/>
      <c r="CAP28" s="172"/>
      <c r="CAQ28" s="172"/>
      <c r="CAR28" s="172"/>
      <c r="CAS28" s="172"/>
      <c r="CAT28" s="172"/>
      <c r="CAU28" s="172"/>
      <c r="CAV28" s="172"/>
      <c r="CAW28" s="172"/>
      <c r="CAX28" s="172"/>
      <c r="CAY28" s="172"/>
      <c r="CAZ28" s="172"/>
      <c r="CBA28" s="172"/>
      <c r="CBB28" s="172"/>
      <c r="CBC28" s="172"/>
      <c r="CBD28" s="172"/>
      <c r="CBE28" s="172"/>
      <c r="CBF28" s="172"/>
      <c r="CBG28" s="172"/>
      <c r="CBH28" s="172"/>
      <c r="CBI28" s="172"/>
      <c r="CBJ28" s="172"/>
      <c r="CBK28" s="172"/>
      <c r="CBL28" s="172"/>
      <c r="CBM28" s="172"/>
      <c r="CBN28" s="172"/>
      <c r="CBO28" s="172"/>
      <c r="CBP28" s="172"/>
      <c r="CBQ28" s="172"/>
      <c r="CBR28" s="172"/>
      <c r="CBS28" s="172"/>
      <c r="CBT28" s="172"/>
      <c r="CBU28" s="172"/>
      <c r="CBV28" s="172"/>
      <c r="CBW28" s="172"/>
      <c r="CBX28" s="172"/>
      <c r="CBY28" s="172"/>
      <c r="CBZ28" s="172"/>
      <c r="CCA28" s="172"/>
      <c r="CCB28" s="172"/>
      <c r="CCC28" s="172"/>
      <c r="CCD28" s="172"/>
      <c r="CCE28" s="172"/>
      <c r="CCF28" s="172"/>
      <c r="CCG28" s="172"/>
      <c r="CCH28" s="172"/>
      <c r="CCI28" s="172"/>
      <c r="CCJ28" s="172"/>
      <c r="CCK28" s="172"/>
      <c r="CCL28" s="172"/>
      <c r="CCM28" s="172"/>
      <c r="CCN28" s="172"/>
      <c r="CCO28" s="172"/>
      <c r="CCP28" s="172"/>
      <c r="CCQ28" s="172"/>
      <c r="CCR28" s="172"/>
      <c r="CCS28" s="172"/>
      <c r="CCT28" s="172"/>
      <c r="CCU28" s="172"/>
      <c r="CCV28" s="172"/>
      <c r="CCW28" s="172"/>
      <c r="CCX28" s="172"/>
      <c r="CCY28" s="172"/>
      <c r="CCZ28" s="172"/>
      <c r="CDA28" s="172"/>
      <c r="CDB28" s="172"/>
      <c r="CDC28" s="172"/>
      <c r="CDD28" s="172"/>
      <c r="CDE28" s="172"/>
      <c r="CDF28" s="172"/>
      <c r="CDG28" s="172"/>
      <c r="CDH28" s="172"/>
      <c r="CDI28" s="172"/>
      <c r="CDJ28" s="172"/>
      <c r="CDK28" s="172"/>
      <c r="CDL28" s="172"/>
      <c r="CDM28" s="172"/>
      <c r="CDN28" s="172"/>
      <c r="CDO28" s="172"/>
      <c r="CDP28" s="172"/>
      <c r="CDQ28" s="172"/>
      <c r="CDR28" s="172"/>
      <c r="CDS28" s="172"/>
      <c r="CDT28" s="172"/>
      <c r="CDU28" s="172"/>
      <c r="CDV28" s="172"/>
      <c r="CDW28" s="172"/>
      <c r="CDX28" s="172"/>
      <c r="CDY28" s="172"/>
      <c r="CDZ28" s="172"/>
      <c r="CEA28" s="172"/>
      <c r="CEB28" s="172"/>
      <c r="CEC28" s="172"/>
      <c r="CED28" s="172"/>
      <c r="CEE28" s="172"/>
      <c r="CEF28" s="172"/>
      <c r="CEG28" s="172"/>
      <c r="CEH28" s="172"/>
      <c r="CEI28" s="172"/>
      <c r="CEJ28" s="172"/>
      <c r="CEK28" s="172"/>
      <c r="CEL28" s="172"/>
      <c r="CEM28" s="172"/>
      <c r="CEN28" s="172"/>
      <c r="CEO28" s="172"/>
      <c r="CEP28" s="172"/>
      <c r="CEQ28" s="172"/>
      <c r="CER28" s="172"/>
      <c r="CES28" s="172"/>
      <c r="CET28" s="172"/>
      <c r="CEU28" s="172"/>
      <c r="CEV28" s="172"/>
      <c r="CEW28" s="172"/>
      <c r="CEX28" s="172"/>
      <c r="CEY28" s="172"/>
      <c r="CEZ28" s="172"/>
      <c r="CFA28" s="172"/>
      <c r="CFB28" s="172"/>
      <c r="CFC28" s="172"/>
      <c r="CFD28" s="172"/>
      <c r="CFE28" s="172"/>
      <c r="CFF28" s="172"/>
      <c r="CFG28" s="172"/>
      <c r="CFH28" s="172"/>
      <c r="CFI28" s="172"/>
      <c r="CFJ28" s="172"/>
      <c r="CFK28" s="172"/>
      <c r="CFL28" s="172"/>
      <c r="CFM28" s="172"/>
      <c r="CFN28" s="172"/>
      <c r="CFO28" s="172"/>
      <c r="CFP28" s="172"/>
      <c r="CFQ28" s="172"/>
      <c r="CFR28" s="172"/>
      <c r="CFS28" s="172"/>
      <c r="CFT28" s="172"/>
      <c r="CFU28" s="172"/>
      <c r="CFV28" s="172"/>
      <c r="CFW28" s="172"/>
      <c r="CFX28" s="172"/>
      <c r="CFY28" s="172"/>
      <c r="CFZ28" s="172"/>
      <c r="CGA28" s="172"/>
      <c r="CGB28" s="172"/>
      <c r="CGC28" s="172"/>
      <c r="CGD28" s="172"/>
      <c r="CGE28" s="172"/>
      <c r="CGF28" s="172"/>
      <c r="CGG28" s="172"/>
      <c r="CGH28" s="172"/>
      <c r="CGI28" s="172"/>
      <c r="CGJ28" s="172"/>
      <c r="CGK28" s="172"/>
      <c r="CGL28" s="172"/>
      <c r="CGM28" s="172"/>
      <c r="CGN28" s="172"/>
      <c r="CGO28" s="172"/>
      <c r="CGP28" s="172"/>
      <c r="CGQ28" s="172"/>
      <c r="CGR28" s="172"/>
      <c r="CGS28" s="172"/>
      <c r="CGT28" s="172"/>
      <c r="CGU28" s="172"/>
      <c r="CGV28" s="172"/>
      <c r="CGW28" s="172"/>
      <c r="CGX28" s="172"/>
      <c r="CGY28" s="172"/>
      <c r="CGZ28" s="172"/>
      <c r="CHA28" s="172"/>
      <c r="CHB28" s="172"/>
      <c r="CHC28" s="172"/>
      <c r="CHD28" s="172"/>
      <c r="CHE28" s="172"/>
      <c r="CHF28" s="172"/>
      <c r="CHG28" s="172"/>
      <c r="CHH28" s="172"/>
      <c r="CHI28" s="172"/>
      <c r="CHJ28" s="172"/>
      <c r="CHK28" s="172"/>
      <c r="CHL28" s="172"/>
      <c r="CHM28" s="172"/>
      <c r="CHN28" s="172"/>
      <c r="CHO28" s="172"/>
      <c r="CHP28" s="172"/>
      <c r="CHQ28" s="172"/>
      <c r="CHR28" s="172"/>
      <c r="CHS28" s="172"/>
      <c r="CHT28" s="172"/>
      <c r="CHU28" s="172"/>
      <c r="CHV28" s="172"/>
      <c r="CHW28" s="172"/>
      <c r="CHX28" s="172"/>
      <c r="CHY28" s="172"/>
      <c r="CHZ28" s="172"/>
      <c r="CIA28" s="172"/>
      <c r="CIB28" s="172"/>
      <c r="CIC28" s="172"/>
      <c r="CID28" s="172"/>
      <c r="CIE28" s="172"/>
      <c r="CIF28" s="172"/>
      <c r="CIG28" s="172"/>
      <c r="CIH28" s="172"/>
      <c r="CII28" s="172"/>
      <c r="CIJ28" s="172"/>
      <c r="CIK28" s="172"/>
      <c r="CIL28" s="172"/>
      <c r="CIM28" s="172"/>
      <c r="CIN28" s="172"/>
      <c r="CIO28" s="172"/>
      <c r="CIP28" s="172"/>
      <c r="CIQ28" s="172"/>
      <c r="CIR28" s="172"/>
      <c r="CIS28" s="172"/>
      <c r="CIT28" s="172"/>
      <c r="CIU28" s="172"/>
      <c r="CIV28" s="172"/>
      <c r="CIW28" s="172"/>
      <c r="CIX28" s="172"/>
      <c r="CIY28" s="172"/>
      <c r="CIZ28" s="172"/>
      <c r="CJA28" s="172"/>
      <c r="CJB28" s="172"/>
      <c r="CJC28" s="172"/>
      <c r="CJD28" s="172"/>
      <c r="CJE28" s="172"/>
      <c r="CJF28" s="172"/>
      <c r="CJG28" s="172"/>
      <c r="CJH28" s="172"/>
      <c r="CJI28" s="172"/>
      <c r="CJJ28" s="172"/>
      <c r="CJK28" s="172"/>
      <c r="CJL28" s="172"/>
      <c r="CJM28" s="172"/>
      <c r="CJN28" s="172"/>
      <c r="CJO28" s="172"/>
      <c r="CJP28" s="172"/>
      <c r="CJQ28" s="172"/>
      <c r="CJR28" s="172"/>
      <c r="CJS28" s="172"/>
      <c r="CJT28" s="172"/>
      <c r="CJU28" s="172"/>
      <c r="CJV28" s="172"/>
      <c r="CJW28" s="172"/>
      <c r="CJX28" s="172"/>
      <c r="CJY28" s="172"/>
      <c r="CJZ28" s="172"/>
      <c r="CKA28" s="172"/>
      <c r="CKB28" s="172"/>
      <c r="CKC28" s="172"/>
      <c r="CKD28" s="172"/>
      <c r="CKE28" s="172"/>
      <c r="CKF28" s="172"/>
      <c r="CKG28" s="172"/>
      <c r="CKH28" s="172"/>
      <c r="CKI28" s="172"/>
      <c r="CKJ28" s="172"/>
      <c r="CKK28" s="172"/>
      <c r="CKL28" s="172"/>
      <c r="CKM28" s="172"/>
      <c r="CKN28" s="172"/>
      <c r="CKO28" s="172"/>
      <c r="CKP28" s="172"/>
      <c r="CKQ28" s="172"/>
      <c r="CKR28" s="172"/>
      <c r="CKS28" s="172"/>
      <c r="CKT28" s="172"/>
      <c r="CKU28" s="172"/>
      <c r="CKV28" s="172"/>
      <c r="CKW28" s="172"/>
      <c r="CKX28" s="172"/>
      <c r="CKY28" s="172"/>
      <c r="CKZ28" s="172"/>
      <c r="CLA28" s="172"/>
      <c r="CLB28" s="172"/>
      <c r="CLC28" s="172"/>
      <c r="CLD28" s="172"/>
      <c r="CLE28" s="172"/>
      <c r="CLF28" s="172"/>
      <c r="CLG28" s="172"/>
      <c r="CLH28" s="172"/>
      <c r="CLI28" s="172"/>
      <c r="CLJ28" s="172"/>
      <c r="CLK28" s="172"/>
      <c r="CLL28" s="172"/>
      <c r="CLM28" s="172"/>
      <c r="CLN28" s="172"/>
      <c r="CLO28" s="172"/>
      <c r="CLP28" s="172"/>
      <c r="CLQ28" s="172"/>
      <c r="CLR28" s="172"/>
      <c r="CLS28" s="172"/>
      <c r="CLT28" s="172"/>
      <c r="CLU28" s="172"/>
      <c r="CLV28" s="172"/>
      <c r="CLW28" s="172"/>
      <c r="CLX28" s="172"/>
      <c r="CLY28" s="172"/>
      <c r="CLZ28" s="172"/>
      <c r="CMA28" s="172"/>
      <c r="CMB28" s="172"/>
      <c r="CMC28" s="172"/>
      <c r="CMD28" s="172"/>
      <c r="CME28" s="172"/>
      <c r="CMF28" s="172"/>
      <c r="CMG28" s="172"/>
      <c r="CMH28" s="172"/>
      <c r="CMI28" s="172"/>
      <c r="CMJ28" s="172"/>
      <c r="CMK28" s="172"/>
      <c r="CML28" s="172"/>
      <c r="CMM28" s="172"/>
      <c r="CMN28" s="172"/>
      <c r="CMO28" s="172"/>
      <c r="CMP28" s="172"/>
      <c r="CMQ28" s="172"/>
      <c r="CMR28" s="172"/>
      <c r="CMS28" s="172"/>
      <c r="CMT28" s="172"/>
      <c r="CMU28" s="172"/>
      <c r="CMV28" s="172"/>
      <c r="CMW28" s="172"/>
      <c r="CMX28" s="172"/>
      <c r="CMY28" s="172"/>
      <c r="CMZ28" s="172"/>
      <c r="CNA28" s="172"/>
      <c r="CNB28" s="172"/>
      <c r="CNC28" s="172"/>
      <c r="CND28" s="172"/>
      <c r="CNE28" s="172"/>
      <c r="CNF28" s="172"/>
      <c r="CNG28" s="172"/>
      <c r="CNH28" s="172"/>
      <c r="CNI28" s="172"/>
      <c r="CNJ28" s="172"/>
      <c r="CNK28" s="172"/>
      <c r="CNL28" s="172"/>
      <c r="CNM28" s="172"/>
      <c r="CNN28" s="172"/>
      <c r="CNO28" s="172"/>
      <c r="CNP28" s="172"/>
      <c r="CNQ28" s="172"/>
      <c r="CNR28" s="172"/>
      <c r="CNS28" s="172"/>
      <c r="CNT28" s="172"/>
      <c r="CNU28" s="172"/>
      <c r="CNV28" s="172"/>
      <c r="CNW28" s="172"/>
      <c r="CNX28" s="172"/>
      <c r="CNY28" s="172"/>
      <c r="CNZ28" s="172"/>
      <c r="COA28" s="172"/>
      <c r="COB28" s="172"/>
      <c r="COC28" s="172"/>
      <c r="COD28" s="172"/>
      <c r="COE28" s="172"/>
      <c r="COF28" s="172"/>
      <c r="COG28" s="172"/>
      <c r="COH28" s="172"/>
      <c r="COI28" s="172"/>
      <c r="COJ28" s="172"/>
      <c r="COK28" s="172"/>
      <c r="COL28" s="172"/>
      <c r="COM28" s="172"/>
      <c r="CON28" s="172"/>
      <c r="COO28" s="172"/>
      <c r="COP28" s="172"/>
      <c r="COQ28" s="172"/>
      <c r="COR28" s="172"/>
      <c r="COS28" s="172"/>
      <c r="COT28" s="172"/>
      <c r="COU28" s="172"/>
      <c r="COV28" s="172"/>
      <c r="COW28" s="172"/>
      <c r="COX28" s="172"/>
      <c r="COY28" s="172"/>
      <c r="COZ28" s="172"/>
      <c r="CPA28" s="172"/>
      <c r="CPB28" s="172"/>
      <c r="CPC28" s="172"/>
      <c r="CPD28" s="172"/>
      <c r="CPE28" s="172"/>
      <c r="CPF28" s="172"/>
      <c r="CPG28" s="172"/>
      <c r="CPH28" s="172"/>
      <c r="CPI28" s="172"/>
      <c r="CPJ28" s="172"/>
      <c r="CPK28" s="172"/>
      <c r="CPL28" s="172"/>
      <c r="CPM28" s="172"/>
      <c r="CPN28" s="172"/>
      <c r="CPO28" s="172"/>
      <c r="CPP28" s="172"/>
      <c r="CPQ28" s="172"/>
      <c r="CPR28" s="172"/>
      <c r="CPS28" s="172"/>
      <c r="CPT28" s="172"/>
      <c r="CPU28" s="172"/>
      <c r="CPV28" s="172"/>
      <c r="CPW28" s="172"/>
      <c r="CPX28" s="172"/>
      <c r="CPY28" s="172"/>
      <c r="CPZ28" s="172"/>
      <c r="CQA28" s="172"/>
      <c r="CQB28" s="172"/>
      <c r="CQC28" s="172"/>
      <c r="CQD28" s="172"/>
      <c r="CQE28" s="172"/>
      <c r="CQF28" s="172"/>
      <c r="CQG28" s="172"/>
      <c r="CQH28" s="172"/>
      <c r="CQI28" s="172"/>
      <c r="CQJ28" s="172"/>
      <c r="CQK28" s="172"/>
      <c r="CQL28" s="172"/>
      <c r="CQM28" s="172"/>
      <c r="CQN28" s="172"/>
      <c r="CQO28" s="172"/>
      <c r="CQP28" s="172"/>
      <c r="CQQ28" s="172"/>
      <c r="CQR28" s="172"/>
      <c r="CQS28" s="172"/>
      <c r="CQT28" s="172"/>
      <c r="CQU28" s="172"/>
      <c r="CQV28" s="172"/>
      <c r="CQW28" s="172"/>
      <c r="CQX28" s="172"/>
      <c r="CQY28" s="172"/>
      <c r="CQZ28" s="172"/>
      <c r="CRA28" s="172"/>
      <c r="CRB28" s="172"/>
      <c r="CRC28" s="172"/>
      <c r="CRD28" s="172"/>
      <c r="CRE28" s="172"/>
      <c r="CRF28" s="172"/>
      <c r="CRG28" s="172"/>
      <c r="CRH28" s="172"/>
      <c r="CRI28" s="172"/>
      <c r="CRJ28" s="172"/>
      <c r="CRK28" s="172"/>
      <c r="CRL28" s="172"/>
      <c r="CRM28" s="172"/>
      <c r="CRN28" s="172"/>
      <c r="CRO28" s="172"/>
      <c r="CRP28" s="172"/>
      <c r="CRQ28" s="172"/>
      <c r="CRR28" s="172"/>
      <c r="CRS28" s="172"/>
      <c r="CRT28" s="172"/>
      <c r="CRU28" s="172"/>
      <c r="CRV28" s="172"/>
      <c r="CRW28" s="172"/>
      <c r="CRX28" s="172"/>
      <c r="CRY28" s="172"/>
      <c r="CRZ28" s="172"/>
      <c r="CSA28" s="172"/>
      <c r="CSB28" s="172"/>
      <c r="CSC28" s="172"/>
      <c r="CSD28" s="172"/>
      <c r="CSE28" s="172"/>
      <c r="CSF28" s="172"/>
      <c r="CSG28" s="172"/>
      <c r="CSH28" s="172"/>
      <c r="CSI28" s="172"/>
      <c r="CSJ28" s="172"/>
      <c r="CSK28" s="172"/>
      <c r="CSL28" s="172"/>
      <c r="CSM28" s="172"/>
      <c r="CSN28" s="172"/>
      <c r="CSO28" s="172"/>
      <c r="CSP28" s="172"/>
      <c r="CSQ28" s="172"/>
      <c r="CSR28" s="172"/>
      <c r="CSS28" s="172"/>
      <c r="CST28" s="172"/>
      <c r="CSU28" s="172"/>
      <c r="CSV28" s="172"/>
      <c r="CSW28" s="172"/>
      <c r="CSX28" s="172"/>
      <c r="CSY28" s="172"/>
      <c r="CSZ28" s="172"/>
      <c r="CTA28" s="172"/>
      <c r="CTB28" s="172"/>
      <c r="CTC28" s="172"/>
      <c r="CTD28" s="172"/>
      <c r="CTE28" s="172"/>
      <c r="CTF28" s="172"/>
      <c r="CTG28" s="172"/>
      <c r="CTH28" s="172"/>
      <c r="CTI28" s="172"/>
      <c r="CTJ28" s="172"/>
      <c r="CTK28" s="172"/>
      <c r="CTL28" s="172"/>
      <c r="CTM28" s="172"/>
      <c r="CTN28" s="172"/>
      <c r="CTO28" s="172"/>
      <c r="CTP28" s="172"/>
      <c r="CTQ28" s="172"/>
      <c r="CTR28" s="172"/>
      <c r="CTS28" s="172"/>
      <c r="CTT28" s="172"/>
      <c r="CTU28" s="172"/>
      <c r="CTV28" s="172"/>
      <c r="CTW28" s="172"/>
      <c r="CTX28" s="172"/>
      <c r="CTY28" s="172"/>
      <c r="CTZ28" s="172"/>
      <c r="CUA28" s="172"/>
      <c r="CUB28" s="172"/>
      <c r="CUC28" s="172"/>
      <c r="CUD28" s="172"/>
      <c r="CUE28" s="172"/>
      <c r="CUF28" s="172"/>
      <c r="CUG28" s="172"/>
      <c r="CUH28" s="172"/>
      <c r="CUI28" s="172"/>
      <c r="CUJ28" s="172"/>
      <c r="CUK28" s="172"/>
      <c r="CUL28" s="172"/>
      <c r="CUM28" s="172"/>
      <c r="CUN28" s="172"/>
      <c r="CUO28" s="172"/>
      <c r="CUP28" s="172"/>
      <c r="CUQ28" s="172"/>
      <c r="CUR28" s="172"/>
      <c r="CUS28" s="172"/>
      <c r="CUT28" s="172"/>
      <c r="CUU28" s="172"/>
      <c r="CUV28" s="172"/>
      <c r="CUW28" s="172"/>
      <c r="CUX28" s="172"/>
      <c r="CUY28" s="172"/>
      <c r="CUZ28" s="172"/>
      <c r="CVA28" s="172"/>
      <c r="CVB28" s="172"/>
      <c r="CVC28" s="172"/>
      <c r="CVD28" s="172"/>
      <c r="CVE28" s="172"/>
      <c r="CVF28" s="172"/>
      <c r="CVG28" s="172"/>
      <c r="CVH28" s="172"/>
      <c r="CVI28" s="172"/>
      <c r="CVJ28" s="172"/>
      <c r="CVK28" s="172"/>
      <c r="CVL28" s="172"/>
      <c r="CVM28" s="172"/>
      <c r="CVN28" s="172"/>
      <c r="CVO28" s="172"/>
      <c r="CVP28" s="172"/>
      <c r="CVQ28" s="172"/>
      <c r="CVR28" s="172"/>
      <c r="CVS28" s="172"/>
      <c r="CVT28" s="172"/>
      <c r="CVU28" s="172"/>
      <c r="CVV28" s="172"/>
      <c r="CVW28" s="172"/>
      <c r="CVX28" s="172"/>
      <c r="CVY28" s="172"/>
      <c r="CVZ28" s="172"/>
      <c r="CWA28" s="172"/>
      <c r="CWB28" s="172"/>
      <c r="CWC28" s="172"/>
      <c r="CWD28" s="172"/>
      <c r="CWE28" s="172"/>
      <c r="CWF28" s="172"/>
      <c r="CWG28" s="172"/>
      <c r="CWH28" s="172"/>
      <c r="CWI28" s="172"/>
      <c r="CWJ28" s="172"/>
      <c r="CWK28" s="172"/>
      <c r="CWL28" s="172"/>
      <c r="CWM28" s="172"/>
      <c r="CWN28" s="172"/>
      <c r="CWO28" s="172"/>
      <c r="CWP28" s="172"/>
      <c r="CWQ28" s="172"/>
      <c r="CWR28" s="172"/>
      <c r="CWS28" s="172"/>
      <c r="CWT28" s="172"/>
      <c r="CWU28" s="172"/>
      <c r="CWV28" s="172"/>
      <c r="CWW28" s="172"/>
      <c r="CWX28" s="172"/>
      <c r="CWY28" s="172"/>
      <c r="CWZ28" s="172"/>
      <c r="CXA28" s="172"/>
      <c r="CXB28" s="172"/>
      <c r="CXC28" s="172"/>
      <c r="CXD28" s="172"/>
      <c r="CXE28" s="172"/>
      <c r="CXF28" s="172"/>
      <c r="CXG28" s="172"/>
      <c r="CXH28" s="172"/>
      <c r="CXI28" s="172"/>
      <c r="CXJ28" s="172"/>
      <c r="CXK28" s="172"/>
      <c r="CXL28" s="172"/>
      <c r="CXM28" s="172"/>
      <c r="CXN28" s="172"/>
      <c r="CXO28" s="172"/>
      <c r="CXP28" s="172"/>
      <c r="CXQ28" s="172"/>
      <c r="CXR28" s="172"/>
      <c r="CXS28" s="172"/>
      <c r="CXT28" s="172"/>
      <c r="CXU28" s="172"/>
      <c r="CXV28" s="172"/>
      <c r="CXW28" s="172"/>
      <c r="CXX28" s="172"/>
      <c r="CXY28" s="172"/>
      <c r="CXZ28" s="172"/>
      <c r="CYA28" s="172"/>
      <c r="CYB28" s="172"/>
      <c r="CYC28" s="172"/>
      <c r="CYD28" s="172"/>
      <c r="CYE28" s="172"/>
      <c r="CYF28" s="172"/>
      <c r="CYG28" s="172"/>
      <c r="CYH28" s="172"/>
      <c r="CYI28" s="172"/>
      <c r="CYJ28" s="172"/>
      <c r="CYK28" s="172"/>
      <c r="CYL28" s="172"/>
      <c r="CYM28" s="172"/>
      <c r="CYN28" s="172"/>
      <c r="CYO28" s="172"/>
      <c r="CYP28" s="172"/>
      <c r="CYQ28" s="172"/>
      <c r="CYR28" s="172"/>
      <c r="CYS28" s="172"/>
      <c r="CYT28" s="172"/>
      <c r="CYU28" s="172"/>
      <c r="CYV28" s="172"/>
      <c r="CYW28" s="172"/>
      <c r="CYX28" s="172"/>
      <c r="CYY28" s="172"/>
      <c r="CYZ28" s="172"/>
      <c r="CZA28" s="172"/>
      <c r="CZB28" s="172"/>
      <c r="CZC28" s="172"/>
      <c r="CZD28" s="172"/>
      <c r="CZE28" s="172"/>
      <c r="CZF28" s="172"/>
      <c r="CZG28" s="172"/>
      <c r="CZH28" s="172"/>
      <c r="CZI28" s="172"/>
      <c r="CZJ28" s="172"/>
      <c r="CZK28" s="172"/>
      <c r="CZL28" s="172"/>
      <c r="CZM28" s="172"/>
      <c r="CZN28" s="172"/>
      <c r="CZO28" s="172"/>
      <c r="CZP28" s="172"/>
      <c r="CZQ28" s="172"/>
      <c r="CZR28" s="172"/>
      <c r="CZS28" s="172"/>
      <c r="CZT28" s="172"/>
      <c r="CZU28" s="172"/>
      <c r="CZV28" s="172"/>
      <c r="CZW28" s="172"/>
      <c r="CZX28" s="172"/>
      <c r="CZY28" s="172"/>
      <c r="CZZ28" s="172"/>
      <c r="DAA28" s="172"/>
      <c r="DAB28" s="172"/>
      <c r="DAC28" s="172"/>
      <c r="DAD28" s="172"/>
      <c r="DAE28" s="172"/>
      <c r="DAF28" s="172"/>
      <c r="DAG28" s="172"/>
      <c r="DAH28" s="172"/>
      <c r="DAI28" s="172"/>
      <c r="DAJ28" s="172"/>
      <c r="DAK28" s="172"/>
      <c r="DAL28" s="172"/>
      <c r="DAM28" s="172"/>
      <c r="DAN28" s="172"/>
      <c r="DAO28" s="172"/>
      <c r="DAP28" s="172"/>
      <c r="DAQ28" s="172"/>
      <c r="DAR28" s="172"/>
      <c r="DAS28" s="172"/>
      <c r="DAT28" s="172"/>
      <c r="DAU28" s="172"/>
      <c r="DAV28" s="172"/>
      <c r="DAW28" s="172"/>
      <c r="DAX28" s="172"/>
      <c r="DAY28" s="172"/>
      <c r="DAZ28" s="172"/>
      <c r="DBA28" s="172"/>
      <c r="DBB28" s="172"/>
      <c r="DBC28" s="172"/>
      <c r="DBD28" s="172"/>
      <c r="DBE28" s="172"/>
      <c r="DBF28" s="172"/>
      <c r="DBG28" s="172"/>
      <c r="DBH28" s="172"/>
      <c r="DBI28" s="172"/>
      <c r="DBJ28" s="172"/>
      <c r="DBK28" s="172"/>
      <c r="DBL28" s="172"/>
      <c r="DBM28" s="172"/>
      <c r="DBN28" s="172"/>
      <c r="DBO28" s="172"/>
      <c r="DBP28" s="172"/>
      <c r="DBQ28" s="172"/>
      <c r="DBR28" s="172"/>
      <c r="DBS28" s="172"/>
      <c r="DBT28" s="172"/>
      <c r="DBU28" s="172"/>
      <c r="DBV28" s="172"/>
      <c r="DBW28" s="172"/>
      <c r="DBX28" s="172"/>
      <c r="DBY28" s="172"/>
      <c r="DBZ28" s="172"/>
      <c r="DCA28" s="172"/>
      <c r="DCB28" s="172"/>
      <c r="DCC28" s="172"/>
      <c r="DCD28" s="172"/>
      <c r="DCE28" s="172"/>
      <c r="DCF28" s="172"/>
      <c r="DCG28" s="172"/>
      <c r="DCH28" s="172"/>
      <c r="DCI28" s="172"/>
      <c r="DCJ28" s="172"/>
      <c r="DCK28" s="172"/>
      <c r="DCL28" s="172"/>
      <c r="DCM28" s="172"/>
      <c r="DCN28" s="172"/>
      <c r="DCO28" s="172"/>
      <c r="DCP28" s="172"/>
      <c r="DCQ28" s="172"/>
      <c r="DCR28" s="172"/>
      <c r="DCS28" s="172"/>
      <c r="DCT28" s="172"/>
      <c r="DCU28" s="172"/>
      <c r="DCV28" s="172"/>
      <c r="DCW28" s="172"/>
      <c r="DCX28" s="172"/>
      <c r="DCY28" s="172"/>
      <c r="DCZ28" s="172"/>
      <c r="DDA28" s="172"/>
      <c r="DDB28" s="172"/>
      <c r="DDC28" s="172"/>
      <c r="DDD28" s="172"/>
      <c r="DDE28" s="172"/>
      <c r="DDF28" s="172"/>
      <c r="DDG28" s="172"/>
      <c r="DDH28" s="172"/>
      <c r="DDI28" s="172"/>
      <c r="DDJ28" s="172"/>
      <c r="DDK28" s="172"/>
      <c r="DDL28" s="172"/>
      <c r="DDM28" s="172"/>
      <c r="DDN28" s="172"/>
      <c r="DDO28" s="172"/>
      <c r="DDP28" s="172"/>
      <c r="DDQ28" s="172"/>
      <c r="DDR28" s="172"/>
      <c r="DDS28" s="172"/>
      <c r="DDT28" s="172"/>
      <c r="DDU28" s="172"/>
      <c r="DDV28" s="172"/>
      <c r="DDW28" s="172"/>
      <c r="DDX28" s="172"/>
      <c r="DDY28" s="172"/>
      <c r="DDZ28" s="172"/>
      <c r="DEA28" s="172"/>
      <c r="DEB28" s="172"/>
      <c r="DEC28" s="172"/>
      <c r="DED28" s="172"/>
      <c r="DEE28" s="172"/>
      <c r="DEF28" s="172"/>
      <c r="DEG28" s="172"/>
      <c r="DEH28" s="172"/>
      <c r="DEI28" s="172"/>
      <c r="DEJ28" s="172"/>
      <c r="DEK28" s="172"/>
      <c r="DEL28" s="172"/>
      <c r="DEM28" s="172"/>
      <c r="DEN28" s="172"/>
      <c r="DEO28" s="172"/>
      <c r="DEP28" s="172"/>
      <c r="DEQ28" s="172"/>
      <c r="DER28" s="172"/>
      <c r="DES28" s="172"/>
      <c r="DET28" s="172"/>
      <c r="DEU28" s="172"/>
      <c r="DEV28" s="172"/>
      <c r="DEW28" s="172"/>
      <c r="DEX28" s="172"/>
      <c r="DEY28" s="172"/>
      <c r="DEZ28" s="172"/>
      <c r="DFA28" s="172"/>
      <c r="DFB28" s="172"/>
      <c r="DFC28" s="172"/>
      <c r="DFD28" s="172"/>
      <c r="DFE28" s="172"/>
      <c r="DFF28" s="172"/>
      <c r="DFG28" s="172"/>
      <c r="DFH28" s="172"/>
      <c r="DFI28" s="172"/>
      <c r="DFJ28" s="172"/>
      <c r="DFK28" s="172"/>
      <c r="DFL28" s="172"/>
      <c r="DFM28" s="172"/>
      <c r="DFN28" s="172"/>
      <c r="DFO28" s="172"/>
      <c r="DFP28" s="172"/>
      <c r="DFQ28" s="172"/>
      <c r="DFR28" s="172"/>
      <c r="DFS28" s="172"/>
      <c r="DFT28" s="172"/>
      <c r="DFU28" s="172"/>
      <c r="DFV28" s="172"/>
      <c r="DFW28" s="172"/>
      <c r="DFX28" s="172"/>
      <c r="DFY28" s="172"/>
      <c r="DFZ28" s="172"/>
      <c r="DGA28" s="172"/>
      <c r="DGB28" s="172"/>
      <c r="DGC28" s="172"/>
      <c r="DGD28" s="172"/>
      <c r="DGE28" s="172"/>
      <c r="DGF28" s="172"/>
      <c r="DGG28" s="172"/>
      <c r="DGH28" s="172"/>
      <c r="DGI28" s="172"/>
      <c r="DGJ28" s="172"/>
      <c r="DGK28" s="172"/>
      <c r="DGL28" s="172"/>
      <c r="DGM28" s="172"/>
      <c r="DGN28" s="172"/>
      <c r="DGO28" s="172"/>
      <c r="DGP28" s="172"/>
      <c r="DGQ28" s="172"/>
      <c r="DGR28" s="172"/>
      <c r="DGS28" s="172"/>
      <c r="DGT28" s="172"/>
      <c r="DGU28" s="172"/>
      <c r="DGV28" s="172"/>
      <c r="DGW28" s="172"/>
      <c r="DGX28" s="172"/>
      <c r="DGY28" s="172"/>
      <c r="DGZ28" s="172"/>
      <c r="DHA28" s="172"/>
      <c r="DHB28" s="172"/>
      <c r="DHC28" s="172"/>
      <c r="DHD28" s="172"/>
      <c r="DHE28" s="172"/>
      <c r="DHF28" s="172"/>
      <c r="DHG28" s="172"/>
      <c r="DHH28" s="172"/>
      <c r="DHI28" s="172"/>
      <c r="DHJ28" s="172"/>
      <c r="DHK28" s="172"/>
      <c r="DHL28" s="172"/>
      <c r="DHM28" s="172"/>
      <c r="DHN28" s="172"/>
      <c r="DHO28" s="172"/>
      <c r="DHP28" s="172"/>
      <c r="DHQ28" s="172"/>
      <c r="DHR28" s="172"/>
      <c r="DHS28" s="172"/>
      <c r="DHT28" s="172"/>
      <c r="DHU28" s="172"/>
      <c r="DHV28" s="172"/>
      <c r="DHW28" s="172"/>
      <c r="DHX28" s="172"/>
      <c r="DHY28" s="172"/>
      <c r="DHZ28" s="172"/>
      <c r="DIA28" s="172"/>
      <c r="DIB28" s="172"/>
      <c r="DIC28" s="172"/>
      <c r="DID28" s="172"/>
      <c r="DIE28" s="172"/>
      <c r="DIF28" s="172"/>
      <c r="DIG28" s="172"/>
      <c r="DIH28" s="172"/>
      <c r="DII28" s="172"/>
      <c r="DIJ28" s="172"/>
      <c r="DIK28" s="172"/>
      <c r="DIL28" s="172"/>
      <c r="DIM28" s="172"/>
      <c r="DIN28" s="172"/>
      <c r="DIO28" s="172"/>
      <c r="DIP28" s="172"/>
      <c r="DIQ28" s="172"/>
      <c r="DIR28" s="172"/>
      <c r="DIS28" s="172"/>
      <c r="DIT28" s="172"/>
      <c r="DIU28" s="172"/>
      <c r="DIV28" s="172"/>
      <c r="DIW28" s="172"/>
      <c r="DIX28" s="172"/>
      <c r="DIY28" s="172"/>
      <c r="DIZ28" s="172"/>
      <c r="DJA28" s="172"/>
      <c r="DJB28" s="172"/>
      <c r="DJC28" s="172"/>
      <c r="DJD28" s="172"/>
      <c r="DJE28" s="172"/>
      <c r="DJF28" s="172"/>
      <c r="DJG28" s="172"/>
      <c r="DJH28" s="172"/>
      <c r="DJI28" s="172"/>
      <c r="DJJ28" s="172"/>
      <c r="DJK28" s="172"/>
      <c r="DJL28" s="172"/>
      <c r="DJM28" s="172"/>
      <c r="DJN28" s="172"/>
      <c r="DJO28" s="172"/>
      <c r="DJP28" s="172"/>
      <c r="DJQ28" s="172"/>
      <c r="DJR28" s="172"/>
      <c r="DJS28" s="172"/>
      <c r="DJT28" s="172"/>
      <c r="DJU28" s="172"/>
      <c r="DJV28" s="172"/>
      <c r="DJW28" s="172"/>
      <c r="DJX28" s="172"/>
      <c r="DJY28" s="172"/>
      <c r="DJZ28" s="172"/>
      <c r="DKA28" s="172"/>
      <c r="DKB28" s="172"/>
      <c r="DKC28" s="172"/>
      <c r="DKD28" s="172"/>
      <c r="DKE28" s="172"/>
      <c r="DKF28" s="172"/>
      <c r="DKG28" s="172"/>
      <c r="DKH28" s="172"/>
      <c r="DKI28" s="172"/>
      <c r="DKJ28" s="172"/>
      <c r="DKK28" s="172"/>
      <c r="DKL28" s="172"/>
      <c r="DKM28" s="172"/>
      <c r="DKN28" s="172"/>
      <c r="DKO28" s="172"/>
      <c r="DKP28" s="172"/>
      <c r="DKQ28" s="172"/>
      <c r="DKR28" s="172"/>
      <c r="DKS28" s="172"/>
      <c r="DKT28" s="172"/>
      <c r="DKU28" s="172"/>
      <c r="DKV28" s="172"/>
      <c r="DKW28" s="172"/>
      <c r="DKX28" s="172"/>
      <c r="DKY28" s="172"/>
      <c r="DKZ28" s="172"/>
      <c r="DLA28" s="172"/>
      <c r="DLB28" s="172"/>
      <c r="DLC28" s="172"/>
      <c r="DLD28" s="172"/>
      <c r="DLE28" s="172"/>
      <c r="DLF28" s="172"/>
      <c r="DLG28" s="172"/>
      <c r="DLH28" s="172"/>
      <c r="DLI28" s="172"/>
      <c r="DLJ28" s="172"/>
      <c r="DLK28" s="172"/>
      <c r="DLL28" s="172"/>
      <c r="DLM28" s="172"/>
      <c r="DLN28" s="172"/>
      <c r="DLO28" s="172"/>
      <c r="DLP28" s="172"/>
      <c r="DLQ28" s="172"/>
      <c r="DLR28" s="172"/>
      <c r="DLS28" s="172"/>
      <c r="DLT28" s="172"/>
      <c r="DLU28" s="172"/>
      <c r="DLV28" s="172"/>
      <c r="DLW28" s="172"/>
      <c r="DLX28" s="172"/>
      <c r="DLY28" s="172"/>
      <c r="DLZ28" s="172"/>
      <c r="DMA28" s="172"/>
      <c r="DMB28" s="172"/>
      <c r="DMC28" s="172"/>
      <c r="DMD28" s="172"/>
      <c r="DME28" s="172"/>
      <c r="DMF28" s="172"/>
      <c r="DMG28" s="172"/>
      <c r="DMH28" s="172"/>
      <c r="DMI28" s="172"/>
      <c r="DMJ28" s="172"/>
      <c r="DMK28" s="172"/>
      <c r="DML28" s="172"/>
      <c r="DMM28" s="172"/>
      <c r="DMN28" s="172"/>
      <c r="DMO28" s="172"/>
      <c r="DMP28" s="172"/>
      <c r="DMQ28" s="172"/>
      <c r="DMR28" s="172"/>
      <c r="DMS28" s="172"/>
      <c r="DMT28" s="172"/>
      <c r="DMU28" s="172"/>
      <c r="DMV28" s="172"/>
      <c r="DMW28" s="172"/>
      <c r="DMX28" s="172"/>
      <c r="DMY28" s="172"/>
      <c r="DMZ28" s="172"/>
      <c r="DNA28" s="172"/>
      <c r="DNB28" s="172"/>
      <c r="DNC28" s="172"/>
      <c r="DND28" s="172"/>
      <c r="DNE28" s="172"/>
      <c r="DNF28" s="172"/>
      <c r="DNG28" s="172"/>
      <c r="DNH28" s="172"/>
      <c r="DNI28" s="172"/>
      <c r="DNJ28" s="172"/>
      <c r="DNK28" s="172"/>
      <c r="DNL28" s="172"/>
      <c r="DNM28" s="172"/>
      <c r="DNN28" s="172"/>
      <c r="DNO28" s="172"/>
      <c r="DNP28" s="172"/>
      <c r="DNQ28" s="172"/>
      <c r="DNR28" s="172"/>
      <c r="DNS28" s="172"/>
      <c r="DNT28" s="172"/>
      <c r="DNU28" s="172"/>
      <c r="DNV28" s="172"/>
      <c r="DNW28" s="172"/>
      <c r="DNX28" s="172"/>
      <c r="DNY28" s="172"/>
      <c r="DNZ28" s="172"/>
      <c r="DOA28" s="172"/>
      <c r="DOB28" s="172"/>
      <c r="DOC28" s="172"/>
      <c r="DOD28" s="172"/>
      <c r="DOE28" s="172"/>
      <c r="DOF28" s="172"/>
      <c r="DOG28" s="172"/>
      <c r="DOH28" s="172"/>
      <c r="DOI28" s="172"/>
      <c r="DOJ28" s="172"/>
      <c r="DOK28" s="172"/>
      <c r="DOL28" s="172"/>
      <c r="DOM28" s="172"/>
      <c r="DON28" s="172"/>
      <c r="DOO28" s="172"/>
      <c r="DOP28" s="172"/>
      <c r="DOQ28" s="172"/>
      <c r="DOR28" s="172"/>
      <c r="DOS28" s="172"/>
      <c r="DOT28" s="172"/>
      <c r="DOU28" s="172"/>
      <c r="DOV28" s="172"/>
      <c r="DOW28" s="172"/>
      <c r="DOX28" s="172"/>
      <c r="DOY28" s="172"/>
      <c r="DOZ28" s="172"/>
      <c r="DPA28" s="172"/>
      <c r="DPB28" s="172"/>
      <c r="DPC28" s="172"/>
      <c r="DPD28" s="172"/>
      <c r="DPE28" s="172"/>
      <c r="DPF28" s="172"/>
      <c r="DPG28" s="172"/>
      <c r="DPH28" s="172"/>
      <c r="DPI28" s="172"/>
      <c r="DPJ28" s="172"/>
      <c r="DPK28" s="172"/>
      <c r="DPL28" s="172"/>
      <c r="DPM28" s="172"/>
      <c r="DPN28" s="172"/>
      <c r="DPO28" s="172"/>
      <c r="DPP28" s="172"/>
      <c r="DPQ28" s="172"/>
      <c r="DPR28" s="172"/>
      <c r="DPS28" s="172"/>
      <c r="DPT28" s="172"/>
      <c r="DPU28" s="172"/>
      <c r="DPV28" s="172"/>
      <c r="DPW28" s="172"/>
      <c r="DPX28" s="172"/>
      <c r="DPY28" s="172"/>
      <c r="DPZ28" s="172"/>
      <c r="DQA28" s="172"/>
      <c r="DQB28" s="172"/>
      <c r="DQC28" s="172"/>
      <c r="DQD28" s="172"/>
      <c r="DQE28" s="172"/>
      <c r="DQF28" s="172"/>
      <c r="DQG28" s="172"/>
      <c r="DQH28" s="172"/>
      <c r="DQI28" s="172"/>
      <c r="DQJ28" s="172"/>
      <c r="DQK28" s="172"/>
      <c r="DQL28" s="172"/>
      <c r="DQM28" s="172"/>
      <c r="DQN28" s="172"/>
      <c r="DQO28" s="172"/>
      <c r="DQP28" s="172"/>
      <c r="DQQ28" s="172"/>
      <c r="DQR28" s="172"/>
      <c r="DQS28" s="172"/>
      <c r="DQT28" s="172"/>
      <c r="DQU28" s="172"/>
      <c r="DQV28" s="172"/>
      <c r="DQW28" s="172"/>
      <c r="DQX28" s="172"/>
      <c r="DQY28" s="172"/>
      <c r="DQZ28" s="172"/>
      <c r="DRA28" s="172"/>
      <c r="DRB28" s="172"/>
      <c r="DRC28" s="172"/>
      <c r="DRD28" s="172"/>
      <c r="DRE28" s="172"/>
      <c r="DRF28" s="172"/>
      <c r="DRG28" s="172"/>
      <c r="DRH28" s="172"/>
      <c r="DRI28" s="172"/>
      <c r="DRJ28" s="172"/>
      <c r="DRK28" s="172"/>
      <c r="DRL28" s="172"/>
      <c r="DRM28" s="172"/>
      <c r="DRN28" s="172"/>
      <c r="DRO28" s="172"/>
      <c r="DRP28" s="172"/>
      <c r="DRQ28" s="172"/>
      <c r="DRR28" s="172"/>
      <c r="DRS28" s="172"/>
      <c r="DRT28" s="172"/>
      <c r="DRU28" s="172"/>
      <c r="DRV28" s="172"/>
      <c r="DRW28" s="172"/>
      <c r="DRX28" s="172"/>
      <c r="DRY28" s="172"/>
      <c r="DRZ28" s="172"/>
      <c r="DSA28" s="172"/>
      <c r="DSB28" s="172"/>
      <c r="DSC28" s="172"/>
      <c r="DSD28" s="172"/>
      <c r="DSE28" s="172"/>
      <c r="DSF28" s="172"/>
      <c r="DSG28" s="172"/>
      <c r="DSH28" s="172"/>
      <c r="DSI28" s="172"/>
      <c r="DSJ28" s="172"/>
      <c r="DSK28" s="172"/>
      <c r="DSL28" s="172"/>
      <c r="DSM28" s="172"/>
      <c r="DSN28" s="172"/>
      <c r="DSO28" s="172"/>
      <c r="DSP28" s="172"/>
      <c r="DSQ28" s="172"/>
      <c r="DSR28" s="172"/>
      <c r="DSS28" s="172"/>
      <c r="DST28" s="172"/>
      <c r="DSU28" s="172"/>
      <c r="DSV28" s="172"/>
      <c r="DSW28" s="172"/>
      <c r="DSX28" s="172"/>
      <c r="DSY28" s="172"/>
      <c r="DSZ28" s="172"/>
      <c r="DTA28" s="172"/>
      <c r="DTB28" s="172"/>
      <c r="DTC28" s="172"/>
      <c r="DTD28" s="172"/>
      <c r="DTE28" s="172"/>
      <c r="DTF28" s="172"/>
      <c r="DTG28" s="172"/>
      <c r="DTH28" s="172"/>
      <c r="DTI28" s="172"/>
      <c r="DTJ28" s="172"/>
      <c r="DTK28" s="172"/>
      <c r="DTL28" s="172"/>
      <c r="DTM28" s="172"/>
      <c r="DTN28" s="172"/>
      <c r="DTO28" s="172"/>
      <c r="DTP28" s="172"/>
      <c r="DTQ28" s="172"/>
      <c r="DTR28" s="172"/>
      <c r="DTS28" s="172"/>
      <c r="DTT28" s="172"/>
      <c r="DTU28" s="172"/>
      <c r="DTV28" s="172"/>
      <c r="DTW28" s="172"/>
      <c r="DTX28" s="172"/>
      <c r="DTY28" s="172"/>
      <c r="DTZ28" s="172"/>
      <c r="DUA28" s="172"/>
      <c r="DUB28" s="172"/>
      <c r="DUC28" s="172"/>
      <c r="DUD28" s="172"/>
      <c r="DUE28" s="172"/>
      <c r="DUF28" s="172"/>
      <c r="DUG28" s="172"/>
      <c r="DUH28" s="172"/>
      <c r="DUI28" s="172"/>
      <c r="DUJ28" s="172"/>
      <c r="DUK28" s="172"/>
      <c r="DUL28" s="172"/>
      <c r="DUM28" s="172"/>
      <c r="DUN28" s="172"/>
      <c r="DUO28" s="172"/>
      <c r="DUP28" s="172"/>
      <c r="DUQ28" s="172"/>
      <c r="DUR28" s="172"/>
      <c r="DUS28" s="172"/>
      <c r="DUT28" s="172"/>
      <c r="DUU28" s="172"/>
      <c r="DUV28" s="172"/>
      <c r="DUW28" s="172"/>
      <c r="DUX28" s="172"/>
      <c r="DUY28" s="172"/>
      <c r="DUZ28" s="172"/>
      <c r="DVA28" s="172"/>
      <c r="DVB28" s="172"/>
      <c r="DVC28" s="172"/>
      <c r="DVD28" s="172"/>
      <c r="DVE28" s="172"/>
      <c r="DVF28" s="172"/>
      <c r="DVG28" s="172"/>
      <c r="DVH28" s="172"/>
      <c r="DVI28" s="172"/>
      <c r="DVJ28" s="172"/>
      <c r="DVK28" s="172"/>
      <c r="DVL28" s="172"/>
      <c r="DVM28" s="172"/>
      <c r="DVN28" s="172"/>
      <c r="DVO28" s="172"/>
      <c r="DVP28" s="172"/>
      <c r="DVQ28" s="172"/>
      <c r="DVR28" s="172"/>
      <c r="DVS28" s="172"/>
      <c r="DVT28" s="172"/>
      <c r="DVU28" s="172"/>
      <c r="DVV28" s="172"/>
      <c r="DVW28" s="172"/>
      <c r="DVX28" s="172"/>
      <c r="DVY28" s="172"/>
      <c r="DVZ28" s="172"/>
      <c r="DWA28" s="172"/>
      <c r="DWB28" s="172"/>
      <c r="DWC28" s="172"/>
      <c r="DWD28" s="172"/>
      <c r="DWE28" s="172"/>
      <c r="DWF28" s="172"/>
      <c r="DWG28" s="172"/>
      <c r="DWH28" s="172"/>
      <c r="DWI28" s="172"/>
      <c r="DWJ28" s="172"/>
      <c r="DWK28" s="172"/>
      <c r="DWL28" s="172"/>
      <c r="DWM28" s="172"/>
      <c r="DWN28" s="172"/>
      <c r="DWO28" s="172"/>
      <c r="DWP28" s="172"/>
      <c r="DWQ28" s="172"/>
      <c r="DWR28" s="172"/>
      <c r="DWS28" s="172"/>
      <c r="DWT28" s="172"/>
      <c r="DWU28" s="172"/>
      <c r="DWV28" s="172"/>
      <c r="DWW28" s="172"/>
      <c r="DWX28" s="172"/>
      <c r="DWY28" s="172"/>
      <c r="DWZ28" s="172"/>
      <c r="DXA28" s="172"/>
      <c r="DXB28" s="172"/>
      <c r="DXC28" s="172"/>
      <c r="DXD28" s="172"/>
      <c r="DXE28" s="172"/>
      <c r="DXF28" s="172"/>
      <c r="DXG28" s="172"/>
      <c r="DXH28" s="172"/>
      <c r="DXI28" s="172"/>
      <c r="DXJ28" s="172"/>
      <c r="DXK28" s="172"/>
      <c r="DXL28" s="172"/>
      <c r="DXM28" s="172"/>
      <c r="DXN28" s="172"/>
      <c r="DXO28" s="172"/>
      <c r="DXP28" s="172"/>
      <c r="DXQ28" s="172"/>
      <c r="DXR28" s="172"/>
      <c r="DXS28" s="172"/>
      <c r="DXT28" s="172"/>
      <c r="DXU28" s="172"/>
      <c r="DXV28" s="172"/>
      <c r="DXW28" s="172"/>
      <c r="DXX28" s="172"/>
      <c r="DXY28" s="172"/>
      <c r="DXZ28" s="172"/>
      <c r="DYA28" s="172"/>
      <c r="DYB28" s="172"/>
      <c r="DYC28" s="172"/>
      <c r="DYD28" s="172"/>
      <c r="DYE28" s="172"/>
      <c r="DYF28" s="172"/>
      <c r="DYG28" s="172"/>
      <c r="DYH28" s="172"/>
      <c r="DYI28" s="172"/>
      <c r="DYJ28" s="172"/>
      <c r="DYK28" s="172"/>
      <c r="DYL28" s="172"/>
      <c r="DYM28" s="172"/>
      <c r="DYN28" s="172"/>
      <c r="DYO28" s="172"/>
      <c r="DYP28" s="172"/>
      <c r="DYQ28" s="172"/>
      <c r="DYR28" s="172"/>
      <c r="DYS28" s="172"/>
      <c r="DYT28" s="172"/>
      <c r="DYU28" s="172"/>
      <c r="DYV28" s="172"/>
      <c r="DYW28" s="172"/>
      <c r="DYX28" s="172"/>
      <c r="DYY28" s="172"/>
      <c r="DYZ28" s="172"/>
      <c r="DZA28" s="172"/>
      <c r="DZB28" s="172"/>
      <c r="DZC28" s="172"/>
      <c r="DZD28" s="172"/>
      <c r="DZE28" s="172"/>
      <c r="DZF28" s="172"/>
      <c r="DZG28" s="172"/>
      <c r="DZH28" s="172"/>
      <c r="DZI28" s="172"/>
      <c r="DZJ28" s="172"/>
      <c r="DZK28" s="172"/>
      <c r="DZL28" s="172"/>
      <c r="DZM28" s="172"/>
      <c r="DZN28" s="172"/>
      <c r="DZO28" s="172"/>
      <c r="DZP28" s="172"/>
      <c r="DZQ28" s="172"/>
      <c r="DZR28" s="172"/>
      <c r="DZS28" s="172"/>
      <c r="DZT28" s="172"/>
      <c r="DZU28" s="172"/>
      <c r="DZV28" s="172"/>
      <c r="DZW28" s="172"/>
      <c r="DZX28" s="172"/>
      <c r="DZY28" s="172"/>
      <c r="DZZ28" s="172"/>
      <c r="EAA28" s="172"/>
      <c r="EAB28" s="172"/>
      <c r="EAC28" s="172"/>
      <c r="EAD28" s="172"/>
      <c r="EAE28" s="172"/>
      <c r="EAF28" s="172"/>
      <c r="EAG28" s="172"/>
      <c r="EAH28" s="172"/>
      <c r="EAI28" s="172"/>
      <c r="EAJ28" s="172"/>
      <c r="EAK28" s="172"/>
      <c r="EAL28" s="172"/>
      <c r="EAM28" s="172"/>
      <c r="EAN28" s="172"/>
      <c r="EAO28" s="172"/>
      <c r="EAP28" s="172"/>
      <c r="EAQ28" s="172"/>
      <c r="EAR28" s="172"/>
      <c r="EAS28" s="172"/>
      <c r="EAT28" s="172"/>
      <c r="EAU28" s="172"/>
      <c r="EAV28" s="172"/>
      <c r="EAW28" s="172"/>
      <c r="EAX28" s="172"/>
      <c r="EAY28" s="172"/>
      <c r="EAZ28" s="172"/>
      <c r="EBA28" s="172"/>
      <c r="EBB28" s="172"/>
      <c r="EBC28" s="172"/>
      <c r="EBD28" s="172"/>
      <c r="EBE28" s="172"/>
      <c r="EBF28" s="172"/>
      <c r="EBG28" s="172"/>
      <c r="EBH28" s="172"/>
      <c r="EBI28" s="172"/>
      <c r="EBJ28" s="172"/>
      <c r="EBK28" s="172"/>
      <c r="EBL28" s="172"/>
      <c r="EBM28" s="172"/>
      <c r="EBN28" s="172"/>
      <c r="EBO28" s="172"/>
      <c r="EBP28" s="172"/>
      <c r="EBQ28" s="172"/>
      <c r="EBR28" s="172"/>
      <c r="EBS28" s="172"/>
      <c r="EBT28" s="172"/>
      <c r="EBU28" s="172"/>
      <c r="EBV28" s="172"/>
      <c r="EBW28" s="172"/>
      <c r="EBX28" s="172"/>
      <c r="EBY28" s="172"/>
      <c r="EBZ28" s="172"/>
      <c r="ECA28" s="172"/>
      <c r="ECB28" s="172"/>
      <c r="ECC28" s="172"/>
      <c r="ECD28" s="172"/>
      <c r="ECE28" s="172"/>
      <c r="ECF28" s="172"/>
      <c r="ECG28" s="172"/>
      <c r="ECH28" s="172"/>
      <c r="ECI28" s="172"/>
      <c r="ECJ28" s="172"/>
      <c r="ECK28" s="172"/>
      <c r="ECL28" s="172"/>
      <c r="ECM28" s="172"/>
      <c r="ECN28" s="172"/>
      <c r="ECO28" s="172"/>
      <c r="ECP28" s="172"/>
      <c r="ECQ28" s="172"/>
      <c r="ECR28" s="172"/>
      <c r="ECS28" s="172"/>
      <c r="ECT28" s="172"/>
      <c r="ECU28" s="172"/>
      <c r="ECV28" s="172"/>
      <c r="ECW28" s="172"/>
      <c r="ECX28" s="172"/>
      <c r="ECY28" s="172"/>
      <c r="ECZ28" s="172"/>
      <c r="EDA28" s="172"/>
      <c r="EDB28" s="172"/>
      <c r="EDC28" s="172"/>
      <c r="EDD28" s="172"/>
      <c r="EDE28" s="172"/>
      <c r="EDF28" s="172"/>
      <c r="EDG28" s="172"/>
      <c r="EDH28" s="172"/>
      <c r="EDI28" s="172"/>
      <c r="EDJ28" s="172"/>
      <c r="EDK28" s="172"/>
      <c r="EDL28" s="172"/>
      <c r="EDM28" s="172"/>
      <c r="EDN28" s="172"/>
      <c r="EDO28" s="172"/>
      <c r="EDP28" s="172"/>
      <c r="EDQ28" s="172"/>
      <c r="EDR28" s="172"/>
      <c r="EDS28" s="172"/>
      <c r="EDT28" s="172"/>
      <c r="EDU28" s="172"/>
      <c r="EDV28" s="172"/>
      <c r="EDW28" s="172"/>
      <c r="EDX28" s="172"/>
      <c r="EDY28" s="172"/>
      <c r="EDZ28" s="172"/>
      <c r="EEA28" s="172"/>
      <c r="EEB28" s="172"/>
      <c r="EEC28" s="172"/>
      <c r="EED28" s="172"/>
      <c r="EEE28" s="172"/>
      <c r="EEF28" s="172"/>
      <c r="EEG28" s="172"/>
      <c r="EEH28" s="172"/>
      <c r="EEI28" s="172"/>
      <c r="EEJ28" s="172"/>
      <c r="EEK28" s="172"/>
      <c r="EEL28" s="172"/>
      <c r="EEM28" s="172"/>
      <c r="EEN28" s="172"/>
      <c r="EEO28" s="172"/>
      <c r="EEP28" s="172"/>
      <c r="EEQ28" s="172"/>
      <c r="EER28" s="172"/>
      <c r="EES28" s="172"/>
      <c r="EET28" s="172"/>
      <c r="EEU28" s="172"/>
      <c r="EEV28" s="172"/>
      <c r="EEW28" s="172"/>
      <c r="EEX28" s="172"/>
      <c r="EEY28" s="172"/>
      <c r="EEZ28" s="172"/>
      <c r="EFA28" s="172"/>
      <c r="EFB28" s="172"/>
      <c r="EFC28" s="172"/>
      <c r="EFD28" s="172"/>
      <c r="EFE28" s="172"/>
      <c r="EFF28" s="172"/>
      <c r="EFG28" s="172"/>
      <c r="EFH28" s="172"/>
      <c r="EFI28" s="172"/>
      <c r="EFJ28" s="172"/>
      <c r="EFK28" s="172"/>
      <c r="EFL28" s="172"/>
      <c r="EFM28" s="172"/>
      <c r="EFN28" s="172"/>
      <c r="EFO28" s="172"/>
      <c r="EFP28" s="172"/>
      <c r="EFQ28" s="172"/>
      <c r="EFR28" s="172"/>
      <c r="EFS28" s="172"/>
      <c r="EFT28" s="172"/>
      <c r="EFU28" s="172"/>
      <c r="EFV28" s="172"/>
      <c r="EFW28" s="172"/>
      <c r="EFX28" s="172"/>
      <c r="EFY28" s="172"/>
      <c r="EFZ28" s="172"/>
      <c r="EGA28" s="172"/>
      <c r="EGB28" s="172"/>
      <c r="EGC28" s="172"/>
      <c r="EGD28" s="172"/>
      <c r="EGE28" s="172"/>
      <c r="EGF28" s="172"/>
      <c r="EGG28" s="172"/>
      <c r="EGH28" s="172"/>
      <c r="EGI28" s="172"/>
      <c r="EGJ28" s="172"/>
      <c r="EGK28" s="172"/>
      <c r="EGL28" s="172"/>
      <c r="EGM28" s="172"/>
      <c r="EGN28" s="172"/>
      <c r="EGO28" s="172"/>
      <c r="EGP28" s="172"/>
      <c r="EGQ28" s="172"/>
      <c r="EGR28" s="172"/>
      <c r="EGS28" s="172"/>
      <c r="EGT28" s="172"/>
      <c r="EGU28" s="172"/>
      <c r="EGV28" s="172"/>
      <c r="EGW28" s="172"/>
      <c r="EGX28" s="172"/>
      <c r="EGY28" s="172"/>
      <c r="EGZ28" s="172"/>
      <c r="EHA28" s="172"/>
      <c r="EHB28" s="172"/>
      <c r="EHC28" s="172"/>
      <c r="EHD28" s="172"/>
      <c r="EHE28" s="172"/>
      <c r="EHF28" s="172"/>
      <c r="EHG28" s="172"/>
      <c r="EHH28" s="172"/>
      <c r="EHI28" s="172"/>
      <c r="EHJ28" s="172"/>
      <c r="EHK28" s="172"/>
      <c r="EHL28" s="172"/>
      <c r="EHM28" s="172"/>
      <c r="EHN28" s="172"/>
      <c r="EHO28" s="172"/>
      <c r="EHP28" s="172"/>
      <c r="EHQ28" s="172"/>
      <c r="EHR28" s="172"/>
      <c r="EHS28" s="172"/>
      <c r="EHT28" s="172"/>
      <c r="EHU28" s="172"/>
      <c r="EHV28" s="172"/>
      <c r="EHW28" s="172"/>
      <c r="EHX28" s="172"/>
      <c r="EHY28" s="172"/>
      <c r="EHZ28" s="172"/>
      <c r="EIA28" s="172"/>
      <c r="EIB28" s="172"/>
      <c r="EIC28" s="172"/>
      <c r="EID28" s="172"/>
      <c r="EIE28" s="172"/>
      <c r="EIF28" s="172"/>
      <c r="EIG28" s="172"/>
      <c r="EIH28" s="172"/>
      <c r="EII28" s="172"/>
      <c r="EIJ28" s="172"/>
      <c r="EIK28" s="172"/>
      <c r="EIL28" s="172"/>
      <c r="EIM28" s="172"/>
      <c r="EIN28" s="172"/>
      <c r="EIO28" s="172"/>
      <c r="EIP28" s="172"/>
      <c r="EIQ28" s="172"/>
      <c r="EIR28" s="172"/>
      <c r="EIS28" s="172"/>
      <c r="EIT28" s="172"/>
      <c r="EIU28" s="172"/>
      <c r="EIV28" s="172"/>
      <c r="EIW28" s="172"/>
      <c r="EIX28" s="172"/>
      <c r="EIY28" s="172"/>
      <c r="EIZ28" s="172"/>
      <c r="EJA28" s="172"/>
      <c r="EJB28" s="172"/>
      <c r="EJC28" s="172"/>
      <c r="EJD28" s="172"/>
      <c r="EJE28" s="172"/>
      <c r="EJF28" s="172"/>
      <c r="EJG28" s="172"/>
      <c r="EJH28" s="172"/>
      <c r="EJI28" s="172"/>
      <c r="EJJ28" s="172"/>
      <c r="EJK28" s="172"/>
      <c r="EJL28" s="172"/>
      <c r="EJM28" s="172"/>
      <c r="EJN28" s="172"/>
      <c r="EJO28" s="172"/>
      <c r="EJP28" s="172"/>
      <c r="EJQ28" s="172"/>
      <c r="EJR28" s="172"/>
      <c r="EJS28" s="172"/>
      <c r="EJT28" s="172"/>
      <c r="EJU28" s="172"/>
      <c r="EJV28" s="172"/>
      <c r="EJW28" s="172"/>
      <c r="EJX28" s="172"/>
      <c r="EJY28" s="172"/>
      <c r="EJZ28" s="172"/>
      <c r="EKA28" s="172"/>
      <c r="EKB28" s="172"/>
      <c r="EKC28" s="172"/>
      <c r="EKD28" s="172"/>
      <c r="EKE28" s="172"/>
      <c r="EKF28" s="172"/>
      <c r="EKG28" s="172"/>
      <c r="EKH28" s="172"/>
      <c r="EKI28" s="172"/>
      <c r="EKJ28" s="172"/>
      <c r="EKK28" s="172"/>
      <c r="EKL28" s="172"/>
      <c r="EKM28" s="172"/>
      <c r="EKN28" s="172"/>
      <c r="EKO28" s="172"/>
      <c r="EKP28" s="172"/>
      <c r="EKQ28" s="172"/>
      <c r="EKR28" s="172"/>
      <c r="EKS28" s="172"/>
      <c r="EKT28" s="172"/>
      <c r="EKU28" s="172"/>
      <c r="EKV28" s="172"/>
      <c r="EKW28" s="172"/>
      <c r="EKX28" s="172"/>
      <c r="EKY28" s="172"/>
      <c r="EKZ28" s="172"/>
      <c r="ELA28" s="172"/>
      <c r="ELB28" s="172"/>
      <c r="ELC28" s="172"/>
      <c r="ELD28" s="172"/>
      <c r="ELE28" s="172"/>
      <c r="ELF28" s="172"/>
      <c r="ELG28" s="172"/>
      <c r="ELH28" s="172"/>
      <c r="ELI28" s="172"/>
      <c r="ELJ28" s="172"/>
      <c r="ELK28" s="172"/>
      <c r="ELL28" s="172"/>
      <c r="ELM28" s="172"/>
      <c r="ELN28" s="172"/>
      <c r="ELO28" s="172"/>
      <c r="ELP28" s="172"/>
      <c r="ELQ28" s="172"/>
      <c r="ELR28" s="172"/>
      <c r="ELS28" s="172"/>
      <c r="ELT28" s="172"/>
      <c r="ELU28" s="172"/>
      <c r="ELV28" s="172"/>
      <c r="ELW28" s="172"/>
      <c r="ELX28" s="172"/>
      <c r="ELY28" s="172"/>
      <c r="ELZ28" s="172"/>
      <c r="EMA28" s="172"/>
      <c r="EMB28" s="172"/>
      <c r="EMC28" s="172"/>
      <c r="EMD28" s="172"/>
      <c r="EME28" s="172"/>
      <c r="EMF28" s="172"/>
      <c r="EMG28" s="172"/>
      <c r="EMH28" s="172"/>
      <c r="EMI28" s="172"/>
      <c r="EMJ28" s="172"/>
      <c r="EMK28" s="172"/>
      <c r="EML28" s="172"/>
      <c r="EMM28" s="172"/>
      <c r="EMN28" s="172"/>
      <c r="EMO28" s="172"/>
      <c r="EMP28" s="172"/>
      <c r="EMQ28" s="172"/>
      <c r="EMR28" s="172"/>
      <c r="EMS28" s="172"/>
      <c r="EMT28" s="172"/>
      <c r="EMU28" s="172"/>
      <c r="EMV28" s="172"/>
      <c r="EMW28" s="172"/>
      <c r="EMX28" s="172"/>
      <c r="EMY28" s="172"/>
      <c r="EMZ28" s="172"/>
      <c r="ENA28" s="172"/>
      <c r="ENB28" s="172"/>
      <c r="ENC28" s="172"/>
      <c r="END28" s="172"/>
      <c r="ENE28" s="172"/>
      <c r="ENF28" s="172"/>
      <c r="ENG28" s="172"/>
      <c r="ENH28" s="172"/>
      <c r="ENI28" s="172"/>
      <c r="ENJ28" s="172"/>
      <c r="ENK28" s="172"/>
      <c r="ENL28" s="172"/>
      <c r="ENM28" s="172"/>
      <c r="ENN28" s="172"/>
      <c r="ENO28" s="172"/>
      <c r="ENP28" s="172"/>
      <c r="ENQ28" s="172"/>
      <c r="ENR28" s="172"/>
      <c r="ENS28" s="172"/>
      <c r="ENT28" s="172"/>
      <c r="ENU28" s="172"/>
      <c r="ENV28" s="172"/>
      <c r="ENW28" s="172"/>
      <c r="ENX28" s="172"/>
      <c r="ENY28" s="172"/>
      <c r="ENZ28" s="172"/>
      <c r="EOA28" s="172"/>
      <c r="EOB28" s="172"/>
      <c r="EOC28" s="172"/>
      <c r="EOD28" s="172"/>
      <c r="EOE28" s="172"/>
      <c r="EOF28" s="172"/>
      <c r="EOG28" s="172"/>
      <c r="EOH28" s="172"/>
      <c r="EOI28" s="172"/>
      <c r="EOJ28" s="172"/>
      <c r="EOK28" s="172"/>
      <c r="EOL28" s="172"/>
      <c r="EOM28" s="172"/>
      <c r="EON28" s="172"/>
      <c r="EOO28" s="172"/>
      <c r="EOP28" s="172"/>
      <c r="EOQ28" s="172"/>
      <c r="EOR28" s="172"/>
      <c r="EOS28" s="172"/>
      <c r="EOT28" s="172"/>
      <c r="EOU28" s="172"/>
      <c r="EOV28" s="172"/>
      <c r="EOW28" s="172"/>
      <c r="EOX28" s="172"/>
      <c r="EOY28" s="172"/>
      <c r="EOZ28" s="172"/>
      <c r="EPA28" s="172"/>
      <c r="EPB28" s="172"/>
      <c r="EPC28" s="172"/>
      <c r="EPD28" s="172"/>
      <c r="EPE28" s="172"/>
      <c r="EPF28" s="172"/>
      <c r="EPG28" s="172"/>
      <c r="EPH28" s="172"/>
      <c r="EPI28" s="172"/>
      <c r="EPJ28" s="172"/>
      <c r="EPK28" s="172"/>
      <c r="EPL28" s="172"/>
      <c r="EPM28" s="172"/>
      <c r="EPN28" s="172"/>
      <c r="EPO28" s="172"/>
      <c r="EPP28" s="172"/>
      <c r="EPQ28" s="172"/>
      <c r="EPR28" s="172"/>
      <c r="EPS28" s="172"/>
      <c r="EPT28" s="172"/>
      <c r="EPU28" s="172"/>
      <c r="EPV28" s="172"/>
      <c r="EPW28" s="172"/>
      <c r="EPX28" s="172"/>
      <c r="EPY28" s="172"/>
      <c r="EPZ28" s="172"/>
      <c r="EQA28" s="172"/>
      <c r="EQB28" s="172"/>
      <c r="EQC28" s="172"/>
      <c r="EQD28" s="172"/>
      <c r="EQE28" s="172"/>
      <c r="EQF28" s="172"/>
      <c r="EQG28" s="172"/>
      <c r="EQH28" s="172"/>
      <c r="EQI28" s="172"/>
      <c r="EQJ28" s="172"/>
      <c r="EQK28" s="172"/>
      <c r="EQL28" s="172"/>
      <c r="EQM28" s="172"/>
      <c r="EQN28" s="172"/>
      <c r="EQO28" s="172"/>
      <c r="EQP28" s="172"/>
      <c r="EQQ28" s="172"/>
      <c r="EQR28" s="172"/>
      <c r="EQS28" s="172"/>
      <c r="EQT28" s="172"/>
      <c r="EQU28" s="172"/>
      <c r="EQV28" s="172"/>
      <c r="EQW28" s="172"/>
      <c r="EQX28" s="172"/>
      <c r="EQY28" s="172"/>
      <c r="EQZ28" s="172"/>
      <c r="ERA28" s="172"/>
      <c r="ERB28" s="172"/>
      <c r="ERC28" s="172"/>
      <c r="ERD28" s="172"/>
      <c r="ERE28" s="172"/>
      <c r="ERF28" s="172"/>
      <c r="ERG28" s="172"/>
      <c r="ERH28" s="172"/>
      <c r="ERI28" s="172"/>
      <c r="ERJ28" s="172"/>
      <c r="ERK28" s="172"/>
      <c r="ERL28" s="172"/>
      <c r="ERM28" s="172"/>
      <c r="ERN28" s="172"/>
      <c r="ERO28" s="172"/>
      <c r="ERP28" s="172"/>
      <c r="ERQ28" s="172"/>
      <c r="ERR28" s="172"/>
      <c r="ERS28" s="172"/>
      <c r="ERT28" s="172"/>
      <c r="ERU28" s="172"/>
      <c r="ERV28" s="172"/>
      <c r="ERW28" s="172"/>
      <c r="ERX28" s="172"/>
      <c r="ERY28" s="172"/>
      <c r="ERZ28" s="172"/>
      <c r="ESA28" s="172"/>
      <c r="ESB28" s="172"/>
      <c r="ESC28" s="172"/>
      <c r="ESD28" s="172"/>
      <c r="ESE28" s="172"/>
      <c r="ESF28" s="172"/>
      <c r="ESG28" s="172"/>
      <c r="ESH28" s="172"/>
      <c r="ESI28" s="172"/>
      <c r="ESJ28" s="172"/>
      <c r="ESK28" s="172"/>
      <c r="ESL28" s="172"/>
      <c r="ESM28" s="172"/>
      <c r="ESN28" s="172"/>
      <c r="ESO28" s="172"/>
      <c r="ESP28" s="172"/>
      <c r="ESQ28" s="172"/>
      <c r="ESR28" s="172"/>
      <c r="ESS28" s="172"/>
      <c r="EST28" s="172"/>
      <c r="ESU28" s="172"/>
      <c r="ESV28" s="172"/>
      <c r="ESW28" s="172"/>
      <c r="ESX28" s="172"/>
      <c r="ESY28" s="172"/>
      <c r="ESZ28" s="172"/>
      <c r="ETA28" s="172"/>
      <c r="ETB28" s="172"/>
      <c r="ETC28" s="172"/>
      <c r="ETD28" s="172"/>
      <c r="ETE28" s="172"/>
      <c r="ETF28" s="172"/>
      <c r="ETG28" s="172"/>
      <c r="ETH28" s="172"/>
      <c r="ETI28" s="172"/>
      <c r="ETJ28" s="172"/>
      <c r="ETK28" s="172"/>
      <c r="ETL28" s="172"/>
      <c r="ETM28" s="172"/>
      <c r="ETN28" s="172"/>
      <c r="ETO28" s="172"/>
      <c r="ETP28" s="172"/>
      <c r="ETQ28" s="172"/>
      <c r="ETR28" s="172"/>
      <c r="ETS28" s="172"/>
      <c r="ETT28" s="172"/>
      <c r="ETU28" s="172"/>
      <c r="ETV28" s="172"/>
      <c r="ETW28" s="172"/>
      <c r="ETX28" s="172"/>
      <c r="ETY28" s="172"/>
      <c r="ETZ28" s="172"/>
      <c r="EUA28" s="172"/>
      <c r="EUB28" s="172"/>
      <c r="EUC28" s="172"/>
      <c r="EUD28" s="172"/>
      <c r="EUE28" s="172"/>
      <c r="EUF28" s="172"/>
      <c r="EUG28" s="172"/>
      <c r="EUH28" s="172"/>
      <c r="EUI28" s="172"/>
      <c r="EUJ28" s="172"/>
      <c r="EUK28" s="172"/>
      <c r="EUL28" s="172"/>
      <c r="EUM28" s="172"/>
      <c r="EUN28" s="172"/>
      <c r="EUO28" s="172"/>
      <c r="EUP28" s="172"/>
      <c r="EUQ28" s="172"/>
      <c r="EUR28" s="172"/>
      <c r="EUS28" s="172"/>
      <c r="EUT28" s="172"/>
      <c r="EUU28" s="172"/>
      <c r="EUV28" s="172"/>
      <c r="EUW28" s="172"/>
      <c r="EUX28" s="172"/>
      <c r="EUY28" s="172"/>
      <c r="EUZ28" s="172"/>
      <c r="EVA28" s="172"/>
      <c r="EVB28" s="172"/>
      <c r="EVC28" s="172"/>
      <c r="EVD28" s="172"/>
      <c r="EVE28" s="172"/>
      <c r="EVF28" s="172"/>
      <c r="EVG28" s="172"/>
      <c r="EVH28" s="172"/>
      <c r="EVI28" s="172"/>
      <c r="EVJ28" s="172"/>
      <c r="EVK28" s="172"/>
      <c r="EVL28" s="172"/>
      <c r="EVM28" s="172"/>
      <c r="EVN28" s="172"/>
      <c r="EVO28" s="172"/>
      <c r="EVP28" s="172"/>
      <c r="EVQ28" s="172"/>
      <c r="EVR28" s="172"/>
      <c r="EVS28" s="172"/>
      <c r="EVT28" s="172"/>
      <c r="EVU28" s="172"/>
      <c r="EVV28" s="172"/>
      <c r="EVW28" s="172"/>
      <c r="EVX28" s="172"/>
      <c r="EVY28" s="172"/>
      <c r="EVZ28" s="172"/>
      <c r="EWA28" s="172"/>
      <c r="EWB28" s="172"/>
      <c r="EWC28" s="172"/>
      <c r="EWD28" s="172"/>
      <c r="EWE28" s="172"/>
      <c r="EWF28" s="172"/>
      <c r="EWG28" s="172"/>
      <c r="EWH28" s="172"/>
      <c r="EWI28" s="172"/>
      <c r="EWJ28" s="172"/>
      <c r="EWK28" s="172"/>
      <c r="EWL28" s="172"/>
      <c r="EWM28" s="172"/>
      <c r="EWN28" s="172"/>
      <c r="EWO28" s="172"/>
      <c r="EWP28" s="172"/>
      <c r="EWQ28" s="172"/>
      <c r="EWR28" s="172"/>
      <c r="EWS28" s="172"/>
      <c r="EWT28" s="172"/>
      <c r="EWU28" s="172"/>
      <c r="EWV28" s="172"/>
      <c r="EWW28" s="172"/>
      <c r="EWX28" s="172"/>
      <c r="EWY28" s="172"/>
      <c r="EWZ28" s="172"/>
      <c r="EXA28" s="172"/>
      <c r="EXB28" s="172"/>
      <c r="EXC28" s="172"/>
      <c r="EXD28" s="172"/>
      <c r="EXE28" s="172"/>
      <c r="EXF28" s="172"/>
      <c r="EXG28" s="172"/>
      <c r="EXH28" s="172"/>
      <c r="EXI28" s="172"/>
      <c r="EXJ28" s="172"/>
      <c r="EXK28" s="172"/>
      <c r="EXL28" s="172"/>
      <c r="EXM28" s="172"/>
      <c r="EXN28" s="172"/>
      <c r="EXO28" s="172"/>
      <c r="EXP28" s="172"/>
      <c r="EXQ28" s="172"/>
      <c r="EXR28" s="172"/>
      <c r="EXS28" s="172"/>
      <c r="EXT28" s="172"/>
      <c r="EXU28" s="172"/>
      <c r="EXV28" s="172"/>
      <c r="EXW28" s="172"/>
      <c r="EXX28" s="172"/>
      <c r="EXY28" s="172"/>
      <c r="EXZ28" s="172"/>
      <c r="EYA28" s="172"/>
      <c r="EYB28" s="172"/>
      <c r="EYC28" s="172"/>
      <c r="EYD28" s="172"/>
      <c r="EYE28" s="172"/>
      <c r="EYF28" s="172"/>
      <c r="EYG28" s="172"/>
      <c r="EYH28" s="172"/>
      <c r="EYI28" s="172"/>
      <c r="EYJ28" s="172"/>
      <c r="EYK28" s="172"/>
      <c r="EYL28" s="172"/>
      <c r="EYM28" s="172"/>
      <c r="EYN28" s="172"/>
      <c r="EYO28" s="172"/>
      <c r="EYP28" s="172"/>
      <c r="EYQ28" s="172"/>
      <c r="EYR28" s="172"/>
      <c r="EYS28" s="172"/>
      <c r="EYT28" s="172"/>
      <c r="EYU28" s="172"/>
      <c r="EYV28" s="172"/>
      <c r="EYW28" s="172"/>
      <c r="EYX28" s="172"/>
      <c r="EYY28" s="172"/>
      <c r="EYZ28" s="172"/>
      <c r="EZA28" s="172"/>
      <c r="EZB28" s="172"/>
      <c r="EZC28" s="172"/>
      <c r="EZD28" s="172"/>
      <c r="EZE28" s="172"/>
      <c r="EZF28" s="172"/>
      <c r="EZG28" s="172"/>
      <c r="EZH28" s="172"/>
      <c r="EZI28" s="172"/>
      <c r="EZJ28" s="172"/>
      <c r="EZK28" s="172"/>
      <c r="EZL28" s="172"/>
      <c r="EZM28" s="172"/>
      <c r="EZN28" s="172"/>
      <c r="EZO28" s="172"/>
      <c r="EZP28" s="172"/>
      <c r="EZQ28" s="172"/>
      <c r="EZR28" s="172"/>
      <c r="EZS28" s="172"/>
      <c r="EZT28" s="172"/>
      <c r="EZU28" s="172"/>
      <c r="EZV28" s="172"/>
      <c r="EZW28" s="172"/>
      <c r="EZX28" s="172"/>
      <c r="EZY28" s="172"/>
      <c r="EZZ28" s="172"/>
      <c r="FAA28" s="172"/>
      <c r="FAB28" s="172"/>
      <c r="FAC28" s="172"/>
      <c r="FAD28" s="172"/>
      <c r="FAE28" s="172"/>
      <c r="FAF28" s="172"/>
      <c r="FAG28" s="172"/>
      <c r="FAH28" s="172"/>
      <c r="FAI28" s="172"/>
      <c r="FAJ28" s="172"/>
      <c r="FAK28" s="172"/>
      <c r="FAL28" s="172"/>
      <c r="FAM28" s="172"/>
      <c r="FAN28" s="172"/>
      <c r="FAO28" s="172"/>
      <c r="FAP28" s="172"/>
      <c r="FAQ28" s="172"/>
      <c r="FAR28" s="172"/>
      <c r="FAS28" s="172"/>
      <c r="FAT28" s="172"/>
      <c r="FAU28" s="172"/>
      <c r="FAV28" s="172"/>
      <c r="FAW28" s="172"/>
      <c r="FAX28" s="172"/>
      <c r="FAY28" s="172"/>
      <c r="FAZ28" s="172"/>
      <c r="FBA28" s="172"/>
      <c r="FBB28" s="172"/>
      <c r="FBC28" s="172"/>
      <c r="FBD28" s="172"/>
      <c r="FBE28" s="172"/>
      <c r="FBF28" s="172"/>
      <c r="FBG28" s="172"/>
      <c r="FBH28" s="172"/>
      <c r="FBI28" s="172"/>
      <c r="FBJ28" s="172"/>
      <c r="FBK28" s="172"/>
      <c r="FBL28" s="172"/>
      <c r="FBM28" s="172"/>
      <c r="FBN28" s="172"/>
      <c r="FBO28" s="172"/>
      <c r="FBP28" s="172"/>
      <c r="FBQ28" s="172"/>
      <c r="FBR28" s="172"/>
      <c r="FBS28" s="172"/>
      <c r="FBT28" s="172"/>
      <c r="FBU28" s="172"/>
      <c r="FBV28" s="172"/>
      <c r="FBW28" s="172"/>
      <c r="FBX28" s="172"/>
      <c r="FBY28" s="172"/>
      <c r="FBZ28" s="172"/>
      <c r="FCA28" s="172"/>
      <c r="FCB28" s="172"/>
      <c r="FCC28" s="172"/>
      <c r="FCD28" s="172"/>
      <c r="FCE28" s="172"/>
      <c r="FCF28" s="172"/>
      <c r="FCG28" s="172"/>
      <c r="FCH28" s="172"/>
      <c r="FCI28" s="172"/>
      <c r="FCJ28" s="172"/>
      <c r="FCK28" s="172"/>
      <c r="FCL28" s="172"/>
      <c r="FCM28" s="172"/>
      <c r="FCN28" s="172"/>
      <c r="FCO28" s="172"/>
      <c r="FCP28" s="172"/>
      <c r="FCQ28" s="172"/>
      <c r="FCR28" s="172"/>
      <c r="FCS28" s="172"/>
      <c r="FCT28" s="172"/>
      <c r="FCU28" s="172"/>
      <c r="FCV28" s="172"/>
      <c r="FCW28" s="172"/>
      <c r="FCX28" s="172"/>
      <c r="FCY28" s="172"/>
      <c r="FCZ28" s="172"/>
      <c r="FDA28" s="172"/>
      <c r="FDB28" s="172"/>
      <c r="FDC28" s="172"/>
      <c r="FDD28" s="172"/>
      <c r="FDE28" s="172"/>
      <c r="FDF28" s="172"/>
      <c r="FDG28" s="172"/>
      <c r="FDH28" s="172"/>
      <c r="FDI28" s="172"/>
      <c r="FDJ28" s="172"/>
      <c r="FDK28" s="172"/>
      <c r="FDL28" s="172"/>
      <c r="FDM28" s="172"/>
      <c r="FDN28" s="172"/>
      <c r="FDO28" s="172"/>
      <c r="FDP28" s="172"/>
      <c r="FDQ28" s="172"/>
      <c r="FDR28" s="172"/>
      <c r="FDS28" s="172"/>
      <c r="FDT28" s="172"/>
      <c r="FDU28" s="172"/>
      <c r="FDV28" s="172"/>
      <c r="FDW28" s="172"/>
      <c r="FDX28" s="172"/>
      <c r="FDY28" s="172"/>
      <c r="FDZ28" s="172"/>
      <c r="FEA28" s="172"/>
      <c r="FEB28" s="172"/>
      <c r="FEC28" s="172"/>
      <c r="FED28" s="172"/>
      <c r="FEE28" s="172"/>
      <c r="FEF28" s="172"/>
      <c r="FEG28" s="172"/>
      <c r="FEH28" s="172"/>
      <c r="FEI28" s="172"/>
      <c r="FEJ28" s="172"/>
      <c r="FEK28" s="172"/>
      <c r="FEL28" s="172"/>
      <c r="FEM28" s="172"/>
      <c r="FEN28" s="172"/>
      <c r="FEO28" s="172"/>
      <c r="FEP28" s="172"/>
      <c r="FEQ28" s="172"/>
      <c r="FER28" s="172"/>
      <c r="FES28" s="172"/>
      <c r="FET28" s="172"/>
      <c r="FEU28" s="172"/>
      <c r="FEV28" s="172"/>
      <c r="FEW28" s="172"/>
      <c r="FEX28" s="172"/>
      <c r="FEY28" s="172"/>
      <c r="FEZ28" s="172"/>
      <c r="FFA28" s="172"/>
      <c r="FFB28" s="172"/>
      <c r="FFC28" s="172"/>
      <c r="FFD28" s="172"/>
      <c r="FFE28" s="172"/>
      <c r="FFF28" s="172"/>
      <c r="FFG28" s="172"/>
      <c r="FFH28" s="172"/>
      <c r="FFI28" s="172"/>
      <c r="FFJ28" s="172"/>
      <c r="FFK28" s="172"/>
      <c r="FFL28" s="172"/>
      <c r="FFM28" s="172"/>
      <c r="FFN28" s="172"/>
      <c r="FFO28" s="172"/>
      <c r="FFP28" s="172"/>
      <c r="FFQ28" s="172"/>
      <c r="FFR28" s="172"/>
      <c r="FFS28" s="172"/>
      <c r="FFT28" s="172"/>
      <c r="FFU28" s="172"/>
      <c r="FFV28" s="172"/>
      <c r="FFW28" s="172"/>
      <c r="FFX28" s="172"/>
      <c r="FFY28" s="172"/>
      <c r="FFZ28" s="172"/>
      <c r="FGA28" s="172"/>
      <c r="FGB28" s="172"/>
      <c r="FGC28" s="172"/>
      <c r="FGD28" s="172"/>
      <c r="FGE28" s="172"/>
      <c r="FGF28" s="172"/>
      <c r="FGG28" s="172"/>
      <c r="FGH28" s="172"/>
      <c r="FGI28" s="172"/>
      <c r="FGJ28" s="172"/>
      <c r="FGK28" s="172"/>
      <c r="FGL28" s="172"/>
      <c r="FGM28" s="172"/>
      <c r="FGN28" s="172"/>
      <c r="FGO28" s="172"/>
      <c r="FGP28" s="172"/>
      <c r="FGQ28" s="172"/>
      <c r="FGR28" s="172"/>
      <c r="FGS28" s="172"/>
      <c r="FGT28" s="172"/>
      <c r="FGU28" s="172"/>
      <c r="FGV28" s="172"/>
      <c r="FGW28" s="172"/>
      <c r="FGX28" s="172"/>
      <c r="FGY28" s="172"/>
      <c r="FGZ28" s="172"/>
      <c r="FHA28" s="172"/>
      <c r="FHB28" s="172"/>
      <c r="FHC28" s="172"/>
      <c r="FHD28" s="172"/>
      <c r="FHE28" s="172"/>
      <c r="FHF28" s="172"/>
      <c r="FHG28" s="172"/>
      <c r="FHH28" s="172"/>
      <c r="FHI28" s="172"/>
      <c r="FHJ28" s="172"/>
      <c r="FHK28" s="172"/>
      <c r="FHL28" s="172"/>
      <c r="FHM28" s="172"/>
      <c r="FHN28" s="172"/>
      <c r="FHO28" s="172"/>
      <c r="FHP28" s="172"/>
      <c r="FHQ28" s="172"/>
      <c r="FHR28" s="172"/>
      <c r="FHS28" s="172"/>
      <c r="FHT28" s="172"/>
      <c r="FHU28" s="172"/>
      <c r="FHV28" s="172"/>
      <c r="FHW28" s="172"/>
      <c r="FHX28" s="172"/>
      <c r="FHY28" s="172"/>
      <c r="FHZ28" s="172"/>
      <c r="FIA28" s="172"/>
      <c r="FIB28" s="172"/>
      <c r="FIC28" s="172"/>
      <c r="FID28" s="172"/>
      <c r="FIE28" s="172"/>
      <c r="FIF28" s="172"/>
      <c r="FIG28" s="172"/>
      <c r="FIH28" s="172"/>
      <c r="FII28" s="172"/>
      <c r="FIJ28" s="172"/>
      <c r="FIK28" s="172"/>
      <c r="FIL28" s="172"/>
      <c r="FIM28" s="172"/>
      <c r="FIN28" s="172"/>
      <c r="FIO28" s="172"/>
      <c r="FIP28" s="172"/>
      <c r="FIQ28" s="172"/>
      <c r="FIR28" s="172"/>
      <c r="FIS28" s="172"/>
      <c r="FIT28" s="172"/>
      <c r="FIU28" s="172"/>
      <c r="FIV28" s="172"/>
      <c r="FIW28" s="172"/>
      <c r="FIX28" s="172"/>
      <c r="FIY28" s="172"/>
      <c r="FIZ28" s="172"/>
      <c r="FJA28" s="172"/>
      <c r="FJB28" s="172"/>
      <c r="FJC28" s="172"/>
      <c r="FJD28" s="172"/>
      <c r="FJE28" s="172"/>
      <c r="FJF28" s="172"/>
      <c r="FJG28" s="172"/>
      <c r="FJH28" s="172"/>
      <c r="FJI28" s="172"/>
      <c r="FJJ28" s="172"/>
      <c r="FJK28" s="172"/>
      <c r="FJL28" s="172"/>
      <c r="FJM28" s="172"/>
      <c r="FJN28" s="172"/>
      <c r="FJO28" s="172"/>
      <c r="FJP28" s="172"/>
      <c r="FJQ28" s="172"/>
      <c r="FJR28" s="172"/>
      <c r="FJS28" s="172"/>
      <c r="FJT28" s="172"/>
      <c r="FJU28" s="172"/>
      <c r="FJV28" s="172"/>
      <c r="FJW28" s="172"/>
      <c r="FJX28" s="172"/>
      <c r="FJY28" s="172"/>
      <c r="FJZ28" s="172"/>
      <c r="FKA28" s="172"/>
      <c r="FKB28" s="172"/>
      <c r="FKC28" s="172"/>
      <c r="FKD28" s="172"/>
      <c r="FKE28" s="172"/>
      <c r="FKF28" s="172"/>
      <c r="FKG28" s="172"/>
      <c r="FKH28" s="172"/>
      <c r="FKI28" s="172"/>
      <c r="FKJ28" s="172"/>
      <c r="FKK28" s="172"/>
      <c r="FKL28" s="172"/>
      <c r="FKM28" s="172"/>
      <c r="FKN28" s="172"/>
      <c r="FKO28" s="172"/>
      <c r="FKP28" s="172"/>
      <c r="FKQ28" s="172"/>
      <c r="FKR28" s="172"/>
      <c r="FKS28" s="172"/>
      <c r="FKT28" s="172"/>
      <c r="FKU28" s="172"/>
      <c r="FKV28" s="172"/>
      <c r="FKW28" s="172"/>
      <c r="FKX28" s="172"/>
      <c r="FKY28" s="172"/>
      <c r="FKZ28" s="172"/>
      <c r="FLA28" s="172"/>
      <c r="FLB28" s="172"/>
      <c r="FLC28" s="172"/>
      <c r="FLD28" s="172"/>
      <c r="FLE28" s="172"/>
      <c r="FLF28" s="172"/>
      <c r="FLG28" s="172"/>
      <c r="FLH28" s="172"/>
      <c r="FLI28" s="172"/>
      <c r="FLJ28" s="172"/>
      <c r="FLK28" s="172"/>
      <c r="FLL28" s="172"/>
      <c r="FLM28" s="172"/>
      <c r="FLN28" s="172"/>
      <c r="FLO28" s="172"/>
      <c r="FLP28" s="172"/>
      <c r="FLQ28" s="172"/>
      <c r="FLR28" s="172"/>
      <c r="FLS28" s="172"/>
      <c r="FLT28" s="172"/>
      <c r="FLU28" s="172"/>
      <c r="FLV28" s="172"/>
      <c r="FLW28" s="172"/>
      <c r="FLX28" s="172"/>
      <c r="FLY28" s="172"/>
      <c r="FLZ28" s="172"/>
      <c r="FMA28" s="172"/>
      <c r="FMB28" s="172"/>
      <c r="FMC28" s="172"/>
      <c r="FMD28" s="172"/>
      <c r="FME28" s="172"/>
      <c r="FMF28" s="172"/>
      <c r="FMG28" s="172"/>
      <c r="FMH28" s="172"/>
      <c r="FMI28" s="172"/>
      <c r="FMJ28" s="172"/>
      <c r="FMK28" s="172"/>
      <c r="FML28" s="172"/>
      <c r="FMM28" s="172"/>
      <c r="FMN28" s="172"/>
      <c r="FMO28" s="172"/>
      <c r="FMP28" s="172"/>
      <c r="FMQ28" s="172"/>
      <c r="FMR28" s="172"/>
      <c r="FMS28" s="172"/>
      <c r="FMT28" s="172"/>
      <c r="FMU28" s="172"/>
      <c r="FMV28" s="172"/>
      <c r="FMW28" s="172"/>
      <c r="FMX28" s="172"/>
      <c r="FMY28" s="172"/>
      <c r="FMZ28" s="172"/>
      <c r="FNA28" s="172"/>
      <c r="FNB28" s="172"/>
      <c r="FNC28" s="172"/>
      <c r="FND28" s="172"/>
      <c r="FNE28" s="172"/>
      <c r="FNF28" s="172"/>
      <c r="FNG28" s="172"/>
      <c r="FNH28" s="172"/>
      <c r="FNI28" s="172"/>
      <c r="FNJ28" s="172"/>
      <c r="FNK28" s="172"/>
      <c r="FNL28" s="172"/>
      <c r="FNM28" s="172"/>
      <c r="FNN28" s="172"/>
      <c r="FNO28" s="172"/>
      <c r="FNP28" s="172"/>
      <c r="FNQ28" s="172"/>
      <c r="FNR28" s="172"/>
      <c r="FNS28" s="172"/>
      <c r="FNT28" s="172"/>
      <c r="FNU28" s="172"/>
      <c r="FNV28" s="172"/>
      <c r="FNW28" s="172"/>
      <c r="FNX28" s="172"/>
      <c r="FNY28" s="172"/>
      <c r="FNZ28" s="172"/>
      <c r="FOA28" s="172"/>
      <c r="FOB28" s="172"/>
      <c r="FOC28" s="172"/>
      <c r="FOD28" s="172"/>
      <c r="FOE28" s="172"/>
      <c r="FOF28" s="172"/>
      <c r="FOG28" s="172"/>
      <c r="FOH28" s="172"/>
      <c r="FOI28" s="172"/>
      <c r="FOJ28" s="172"/>
      <c r="FOK28" s="172"/>
      <c r="FOL28" s="172"/>
      <c r="FOM28" s="172"/>
      <c r="FON28" s="172"/>
      <c r="FOO28" s="172"/>
      <c r="FOP28" s="172"/>
      <c r="FOQ28" s="172"/>
      <c r="FOR28" s="172"/>
      <c r="FOS28" s="172"/>
      <c r="FOT28" s="172"/>
      <c r="FOU28" s="172"/>
      <c r="FOV28" s="172"/>
      <c r="FOW28" s="172"/>
      <c r="FOX28" s="172"/>
      <c r="FOY28" s="172"/>
      <c r="FOZ28" s="172"/>
      <c r="FPA28" s="172"/>
      <c r="FPB28" s="172"/>
      <c r="FPC28" s="172"/>
      <c r="FPD28" s="172"/>
      <c r="FPE28" s="172"/>
      <c r="FPF28" s="172"/>
      <c r="FPG28" s="172"/>
      <c r="FPH28" s="172"/>
      <c r="FPI28" s="172"/>
      <c r="FPJ28" s="172"/>
      <c r="FPK28" s="172"/>
      <c r="FPL28" s="172"/>
      <c r="FPM28" s="172"/>
      <c r="FPN28" s="172"/>
      <c r="FPO28" s="172"/>
      <c r="FPP28" s="172"/>
      <c r="FPQ28" s="172"/>
      <c r="FPR28" s="172"/>
      <c r="FPS28" s="172"/>
      <c r="FPT28" s="172"/>
      <c r="FPU28" s="172"/>
      <c r="FPV28" s="172"/>
      <c r="FPW28" s="172"/>
      <c r="FPX28" s="172"/>
      <c r="FPY28" s="172"/>
      <c r="FPZ28" s="172"/>
      <c r="FQA28" s="172"/>
      <c r="FQB28" s="172"/>
      <c r="FQC28" s="172"/>
      <c r="FQD28" s="172"/>
      <c r="FQE28" s="172"/>
      <c r="FQF28" s="172"/>
      <c r="FQG28" s="172"/>
      <c r="FQH28" s="172"/>
      <c r="FQI28" s="172"/>
      <c r="FQJ28" s="172"/>
      <c r="FQK28" s="172"/>
      <c r="FQL28" s="172"/>
      <c r="FQM28" s="172"/>
      <c r="FQN28" s="172"/>
      <c r="FQO28" s="172"/>
      <c r="FQP28" s="172"/>
      <c r="FQQ28" s="172"/>
      <c r="FQR28" s="172"/>
      <c r="FQS28" s="172"/>
      <c r="FQT28" s="172"/>
      <c r="FQU28" s="172"/>
      <c r="FQV28" s="172"/>
      <c r="FQW28" s="172"/>
      <c r="FQX28" s="172"/>
      <c r="FQY28" s="172"/>
      <c r="FQZ28" s="172"/>
      <c r="FRA28" s="172"/>
      <c r="FRB28" s="172"/>
      <c r="FRC28" s="172"/>
      <c r="FRD28" s="172"/>
      <c r="FRE28" s="172"/>
      <c r="FRF28" s="172"/>
      <c r="FRG28" s="172"/>
      <c r="FRH28" s="172"/>
      <c r="FRI28" s="172"/>
      <c r="FRJ28" s="172"/>
      <c r="FRK28" s="172"/>
      <c r="FRL28" s="172"/>
      <c r="FRM28" s="172"/>
      <c r="FRN28" s="172"/>
      <c r="FRO28" s="172"/>
      <c r="FRP28" s="172"/>
      <c r="FRQ28" s="172"/>
      <c r="FRR28" s="172"/>
      <c r="FRS28" s="172"/>
      <c r="FRT28" s="172"/>
      <c r="FRU28" s="172"/>
      <c r="FRV28" s="172"/>
      <c r="FRW28" s="172"/>
      <c r="FRX28" s="172"/>
      <c r="FRY28" s="172"/>
      <c r="FRZ28" s="172"/>
      <c r="FSA28" s="172"/>
      <c r="FSB28" s="172"/>
      <c r="FSC28" s="172"/>
      <c r="FSD28" s="172"/>
      <c r="FSE28" s="172"/>
      <c r="FSF28" s="172"/>
      <c r="FSG28" s="172"/>
      <c r="FSH28" s="172"/>
      <c r="FSI28" s="172"/>
      <c r="FSJ28" s="172"/>
      <c r="FSK28" s="172"/>
      <c r="FSL28" s="172"/>
      <c r="FSM28" s="172"/>
      <c r="FSN28" s="172"/>
      <c r="FSO28" s="172"/>
      <c r="FSP28" s="172"/>
      <c r="FSQ28" s="172"/>
      <c r="FSR28" s="172"/>
      <c r="FSS28" s="172"/>
      <c r="FST28" s="172"/>
      <c r="FSU28" s="172"/>
      <c r="FSV28" s="172"/>
      <c r="FSW28" s="172"/>
      <c r="FSX28" s="172"/>
      <c r="FSY28" s="172"/>
      <c r="FSZ28" s="172"/>
      <c r="FTA28" s="172"/>
      <c r="FTB28" s="172"/>
      <c r="FTC28" s="172"/>
      <c r="FTD28" s="172"/>
      <c r="FTE28" s="172"/>
      <c r="FTF28" s="172"/>
      <c r="FTG28" s="172"/>
      <c r="FTH28" s="172"/>
      <c r="FTI28" s="172"/>
      <c r="FTJ28" s="172"/>
      <c r="FTK28" s="172"/>
      <c r="FTL28" s="172"/>
      <c r="FTM28" s="172"/>
      <c r="FTN28" s="172"/>
      <c r="FTO28" s="172"/>
      <c r="FTP28" s="172"/>
      <c r="FTQ28" s="172"/>
      <c r="FTR28" s="172"/>
      <c r="FTS28" s="172"/>
      <c r="FTT28" s="172"/>
      <c r="FTU28" s="172"/>
      <c r="FTV28" s="172"/>
      <c r="FTW28" s="172"/>
      <c r="FTX28" s="172"/>
      <c r="FTY28" s="172"/>
      <c r="FTZ28" s="172"/>
      <c r="FUA28" s="172"/>
      <c r="FUB28" s="172"/>
      <c r="FUC28" s="172"/>
      <c r="FUD28" s="172"/>
      <c r="FUE28" s="172"/>
      <c r="FUF28" s="172"/>
      <c r="FUG28" s="172"/>
      <c r="FUH28" s="172"/>
      <c r="FUI28" s="172"/>
      <c r="FUJ28" s="172"/>
      <c r="FUK28" s="172"/>
      <c r="FUL28" s="172"/>
      <c r="FUM28" s="172"/>
      <c r="FUN28" s="172"/>
      <c r="FUO28" s="172"/>
      <c r="FUP28" s="172"/>
      <c r="FUQ28" s="172"/>
      <c r="FUR28" s="172"/>
      <c r="FUS28" s="172"/>
      <c r="FUT28" s="172"/>
      <c r="FUU28" s="172"/>
      <c r="FUV28" s="172"/>
      <c r="FUW28" s="172"/>
      <c r="FUX28" s="172"/>
      <c r="FUY28" s="172"/>
      <c r="FUZ28" s="172"/>
      <c r="FVA28" s="172"/>
      <c r="FVB28" s="172"/>
      <c r="FVC28" s="172"/>
      <c r="FVD28" s="172"/>
      <c r="FVE28" s="172"/>
      <c r="FVF28" s="172"/>
      <c r="FVG28" s="172"/>
      <c r="FVH28" s="172"/>
      <c r="FVI28" s="172"/>
      <c r="FVJ28" s="172"/>
      <c r="FVK28" s="172"/>
      <c r="FVL28" s="172"/>
      <c r="FVM28" s="172"/>
      <c r="FVN28" s="172"/>
      <c r="FVO28" s="172"/>
      <c r="FVP28" s="172"/>
      <c r="FVQ28" s="172"/>
      <c r="FVR28" s="172"/>
      <c r="FVS28" s="172"/>
      <c r="FVT28" s="172"/>
      <c r="FVU28" s="172"/>
      <c r="FVV28" s="172"/>
      <c r="FVW28" s="172"/>
      <c r="FVX28" s="172"/>
      <c r="FVY28" s="172"/>
      <c r="FVZ28" s="172"/>
      <c r="FWA28" s="172"/>
      <c r="FWB28" s="172"/>
      <c r="FWC28" s="172"/>
      <c r="FWD28" s="172"/>
      <c r="FWE28" s="172"/>
      <c r="FWF28" s="172"/>
      <c r="FWG28" s="172"/>
      <c r="FWH28" s="172"/>
      <c r="FWI28" s="172"/>
      <c r="FWJ28" s="172"/>
      <c r="FWK28" s="172"/>
      <c r="FWL28" s="172"/>
      <c r="FWM28" s="172"/>
      <c r="FWN28" s="172"/>
      <c r="FWO28" s="172"/>
      <c r="FWP28" s="172"/>
      <c r="FWQ28" s="172"/>
      <c r="FWR28" s="172"/>
      <c r="FWS28" s="172"/>
      <c r="FWT28" s="172"/>
      <c r="FWU28" s="172"/>
      <c r="FWV28" s="172"/>
      <c r="FWW28" s="172"/>
      <c r="FWX28" s="172"/>
      <c r="FWY28" s="172"/>
      <c r="FWZ28" s="172"/>
      <c r="FXA28" s="172"/>
      <c r="FXB28" s="172"/>
      <c r="FXC28" s="172"/>
      <c r="FXD28" s="172"/>
      <c r="FXE28" s="172"/>
      <c r="FXF28" s="172"/>
      <c r="FXG28" s="172"/>
      <c r="FXH28" s="172"/>
      <c r="FXI28" s="172"/>
      <c r="FXJ28" s="172"/>
      <c r="FXK28" s="172"/>
      <c r="FXL28" s="172"/>
      <c r="FXM28" s="172"/>
      <c r="FXN28" s="172"/>
      <c r="FXO28" s="172"/>
      <c r="FXP28" s="172"/>
      <c r="FXQ28" s="172"/>
      <c r="FXR28" s="172"/>
      <c r="FXS28" s="172"/>
      <c r="FXT28" s="172"/>
      <c r="FXU28" s="172"/>
      <c r="FXV28" s="172"/>
      <c r="FXW28" s="172"/>
      <c r="FXX28" s="172"/>
      <c r="FXY28" s="172"/>
      <c r="FXZ28" s="172"/>
      <c r="FYA28" s="172"/>
      <c r="FYB28" s="172"/>
      <c r="FYC28" s="172"/>
      <c r="FYD28" s="172"/>
      <c r="FYE28" s="172"/>
      <c r="FYF28" s="172"/>
      <c r="FYG28" s="172"/>
      <c r="FYH28" s="172"/>
      <c r="FYI28" s="172"/>
      <c r="FYJ28" s="172"/>
      <c r="FYK28" s="172"/>
      <c r="FYL28" s="172"/>
      <c r="FYM28" s="172"/>
      <c r="FYN28" s="172"/>
      <c r="FYO28" s="172"/>
      <c r="FYP28" s="172"/>
      <c r="FYQ28" s="172"/>
      <c r="FYR28" s="172"/>
      <c r="FYS28" s="172"/>
      <c r="FYT28" s="172"/>
      <c r="FYU28" s="172"/>
      <c r="FYV28" s="172"/>
      <c r="FYW28" s="172"/>
      <c r="FYX28" s="172"/>
      <c r="FYY28" s="172"/>
      <c r="FYZ28" s="172"/>
      <c r="FZA28" s="172"/>
      <c r="FZB28" s="172"/>
      <c r="FZC28" s="172"/>
      <c r="FZD28" s="172"/>
      <c r="FZE28" s="172"/>
      <c r="FZF28" s="172"/>
      <c r="FZG28" s="172"/>
      <c r="FZH28" s="172"/>
      <c r="FZI28" s="172"/>
      <c r="FZJ28" s="172"/>
      <c r="FZK28" s="172"/>
      <c r="FZL28" s="172"/>
      <c r="FZM28" s="172"/>
      <c r="FZN28" s="172"/>
      <c r="FZO28" s="172"/>
      <c r="FZP28" s="172"/>
      <c r="FZQ28" s="172"/>
      <c r="FZR28" s="172"/>
      <c r="FZS28" s="172"/>
      <c r="FZT28" s="172"/>
      <c r="FZU28" s="172"/>
      <c r="FZV28" s="172"/>
      <c r="FZW28" s="172"/>
      <c r="FZX28" s="172"/>
      <c r="FZY28" s="172"/>
      <c r="FZZ28" s="172"/>
      <c r="GAA28" s="172"/>
      <c r="GAB28" s="172"/>
      <c r="GAC28" s="172"/>
      <c r="GAD28" s="172"/>
      <c r="GAE28" s="172"/>
      <c r="GAF28" s="172"/>
      <c r="GAG28" s="172"/>
      <c r="GAH28" s="172"/>
      <c r="GAI28" s="172"/>
      <c r="GAJ28" s="172"/>
      <c r="GAK28" s="172"/>
      <c r="GAL28" s="172"/>
      <c r="GAM28" s="172"/>
      <c r="GAN28" s="172"/>
      <c r="GAO28" s="172"/>
      <c r="GAP28" s="172"/>
      <c r="GAQ28" s="172"/>
      <c r="GAR28" s="172"/>
      <c r="GAS28" s="172"/>
      <c r="GAT28" s="172"/>
      <c r="GAU28" s="172"/>
      <c r="GAV28" s="172"/>
      <c r="GAW28" s="172"/>
      <c r="GAX28" s="172"/>
      <c r="GAY28" s="172"/>
      <c r="GAZ28" s="172"/>
      <c r="GBA28" s="172"/>
      <c r="GBB28" s="172"/>
      <c r="GBC28" s="172"/>
      <c r="GBD28" s="172"/>
      <c r="GBE28" s="172"/>
      <c r="GBF28" s="172"/>
      <c r="GBG28" s="172"/>
      <c r="GBH28" s="172"/>
      <c r="GBI28" s="172"/>
      <c r="GBJ28" s="172"/>
      <c r="GBK28" s="172"/>
      <c r="GBL28" s="172"/>
      <c r="GBM28" s="172"/>
      <c r="GBN28" s="172"/>
      <c r="GBO28" s="172"/>
      <c r="GBP28" s="172"/>
      <c r="GBQ28" s="172"/>
      <c r="GBR28" s="172"/>
      <c r="GBS28" s="172"/>
      <c r="GBT28" s="172"/>
      <c r="GBU28" s="172"/>
      <c r="GBV28" s="172"/>
      <c r="GBW28" s="172"/>
      <c r="GBX28" s="172"/>
      <c r="GBY28" s="172"/>
      <c r="GBZ28" s="172"/>
      <c r="GCA28" s="172"/>
      <c r="GCB28" s="172"/>
      <c r="GCC28" s="172"/>
      <c r="GCD28" s="172"/>
      <c r="GCE28" s="172"/>
      <c r="GCF28" s="172"/>
      <c r="GCG28" s="172"/>
      <c r="GCH28" s="172"/>
      <c r="GCI28" s="172"/>
      <c r="GCJ28" s="172"/>
      <c r="GCK28" s="172"/>
      <c r="GCL28" s="172"/>
      <c r="GCM28" s="172"/>
      <c r="GCN28" s="172"/>
      <c r="GCO28" s="172"/>
      <c r="GCP28" s="172"/>
      <c r="GCQ28" s="172"/>
      <c r="GCR28" s="172"/>
      <c r="GCS28" s="172"/>
      <c r="GCT28" s="172"/>
      <c r="GCU28" s="172"/>
      <c r="GCV28" s="172"/>
      <c r="GCW28" s="172"/>
      <c r="GCX28" s="172"/>
      <c r="GCY28" s="172"/>
      <c r="GCZ28" s="172"/>
      <c r="GDA28" s="172"/>
      <c r="GDB28" s="172"/>
      <c r="GDC28" s="172"/>
      <c r="GDD28" s="172"/>
      <c r="GDE28" s="172"/>
      <c r="GDF28" s="172"/>
      <c r="GDG28" s="172"/>
      <c r="GDH28" s="172"/>
      <c r="GDI28" s="172"/>
      <c r="GDJ28" s="172"/>
      <c r="GDK28" s="172"/>
      <c r="GDL28" s="172"/>
      <c r="GDM28" s="172"/>
      <c r="GDN28" s="172"/>
      <c r="GDO28" s="172"/>
      <c r="GDP28" s="172"/>
      <c r="GDQ28" s="172"/>
      <c r="GDR28" s="172"/>
      <c r="GDS28" s="172"/>
      <c r="GDT28" s="172"/>
      <c r="GDU28" s="172"/>
      <c r="GDV28" s="172"/>
      <c r="GDW28" s="172"/>
      <c r="GDX28" s="172"/>
      <c r="GDY28" s="172"/>
      <c r="GDZ28" s="172"/>
      <c r="GEA28" s="172"/>
      <c r="GEB28" s="172"/>
      <c r="GEC28" s="172"/>
      <c r="GED28" s="172"/>
      <c r="GEE28" s="172"/>
      <c r="GEF28" s="172"/>
      <c r="GEG28" s="172"/>
      <c r="GEH28" s="172"/>
      <c r="GEI28" s="172"/>
      <c r="GEJ28" s="172"/>
      <c r="GEK28" s="172"/>
      <c r="GEL28" s="172"/>
      <c r="GEM28" s="172"/>
      <c r="GEN28" s="172"/>
      <c r="GEO28" s="172"/>
      <c r="GEP28" s="172"/>
      <c r="GEQ28" s="172"/>
      <c r="GER28" s="172"/>
      <c r="GES28" s="172"/>
      <c r="GET28" s="172"/>
      <c r="GEU28" s="172"/>
      <c r="GEV28" s="172"/>
      <c r="GEW28" s="172"/>
      <c r="GEX28" s="172"/>
      <c r="GEY28" s="172"/>
      <c r="GEZ28" s="172"/>
      <c r="GFA28" s="172"/>
      <c r="GFB28" s="172"/>
      <c r="GFC28" s="172"/>
      <c r="GFD28" s="172"/>
      <c r="GFE28" s="172"/>
      <c r="GFF28" s="172"/>
      <c r="GFG28" s="172"/>
      <c r="GFH28" s="172"/>
      <c r="GFI28" s="172"/>
      <c r="GFJ28" s="172"/>
      <c r="GFK28" s="172"/>
      <c r="GFL28" s="172"/>
      <c r="GFM28" s="172"/>
      <c r="GFN28" s="172"/>
      <c r="GFO28" s="172"/>
      <c r="GFP28" s="172"/>
      <c r="GFQ28" s="172"/>
      <c r="GFR28" s="172"/>
      <c r="GFS28" s="172"/>
      <c r="GFT28" s="172"/>
      <c r="GFU28" s="172"/>
      <c r="GFV28" s="172"/>
      <c r="GFW28" s="172"/>
      <c r="GFX28" s="172"/>
      <c r="GFY28" s="172"/>
      <c r="GFZ28" s="172"/>
      <c r="GGA28" s="172"/>
      <c r="GGB28" s="172"/>
      <c r="GGC28" s="172"/>
      <c r="GGD28" s="172"/>
      <c r="GGE28" s="172"/>
      <c r="GGF28" s="172"/>
      <c r="GGG28" s="172"/>
      <c r="GGH28" s="172"/>
      <c r="GGI28" s="172"/>
      <c r="GGJ28" s="172"/>
      <c r="GGK28" s="172"/>
      <c r="GGL28" s="172"/>
      <c r="GGM28" s="172"/>
      <c r="GGN28" s="172"/>
      <c r="GGO28" s="172"/>
      <c r="GGP28" s="172"/>
      <c r="GGQ28" s="172"/>
      <c r="GGR28" s="172"/>
      <c r="GGS28" s="172"/>
      <c r="GGT28" s="172"/>
      <c r="GGU28" s="172"/>
      <c r="GGV28" s="172"/>
      <c r="GGW28" s="172"/>
      <c r="GGX28" s="172"/>
      <c r="GGY28" s="172"/>
      <c r="GGZ28" s="172"/>
      <c r="GHA28" s="172"/>
      <c r="GHB28" s="172"/>
      <c r="GHC28" s="172"/>
      <c r="GHD28" s="172"/>
      <c r="GHE28" s="172"/>
      <c r="GHF28" s="172"/>
      <c r="GHG28" s="172"/>
      <c r="GHH28" s="172"/>
      <c r="GHI28" s="172"/>
      <c r="GHJ28" s="172"/>
      <c r="GHK28" s="172"/>
      <c r="GHL28" s="172"/>
      <c r="GHM28" s="172"/>
      <c r="GHN28" s="172"/>
      <c r="GHO28" s="172"/>
      <c r="GHP28" s="172"/>
      <c r="GHQ28" s="172"/>
      <c r="GHR28" s="172"/>
      <c r="GHS28" s="172"/>
      <c r="GHT28" s="172"/>
      <c r="GHU28" s="172"/>
      <c r="GHV28" s="172"/>
      <c r="GHW28" s="172"/>
      <c r="GHX28" s="172"/>
      <c r="GHY28" s="172"/>
      <c r="GHZ28" s="172"/>
      <c r="GIA28" s="172"/>
      <c r="GIB28" s="172"/>
      <c r="GIC28" s="172"/>
      <c r="GID28" s="172"/>
      <c r="GIE28" s="172"/>
      <c r="GIF28" s="172"/>
      <c r="GIG28" s="172"/>
      <c r="GIH28" s="172"/>
      <c r="GII28" s="172"/>
      <c r="GIJ28" s="172"/>
      <c r="GIK28" s="172"/>
      <c r="GIL28" s="172"/>
      <c r="GIM28" s="172"/>
      <c r="GIN28" s="172"/>
      <c r="GIO28" s="172"/>
      <c r="GIP28" s="172"/>
      <c r="GIQ28" s="172"/>
      <c r="GIR28" s="172"/>
      <c r="GIS28" s="172"/>
      <c r="GIT28" s="172"/>
      <c r="GIU28" s="172"/>
      <c r="GIV28" s="172"/>
      <c r="GIW28" s="172"/>
      <c r="GIX28" s="172"/>
      <c r="GIY28" s="172"/>
      <c r="GIZ28" s="172"/>
      <c r="GJA28" s="172"/>
      <c r="GJB28" s="172"/>
      <c r="GJC28" s="172"/>
      <c r="GJD28" s="172"/>
      <c r="GJE28" s="172"/>
      <c r="GJF28" s="172"/>
      <c r="GJG28" s="172"/>
      <c r="GJH28" s="172"/>
      <c r="GJI28" s="172"/>
      <c r="GJJ28" s="172"/>
      <c r="GJK28" s="172"/>
      <c r="GJL28" s="172"/>
      <c r="GJM28" s="172"/>
      <c r="GJN28" s="172"/>
      <c r="GJO28" s="172"/>
      <c r="GJP28" s="172"/>
      <c r="GJQ28" s="172"/>
      <c r="GJR28" s="172"/>
      <c r="GJS28" s="172"/>
      <c r="GJT28" s="172"/>
      <c r="GJU28" s="172"/>
      <c r="GJV28" s="172"/>
      <c r="GJW28" s="172"/>
      <c r="GJX28" s="172"/>
      <c r="GJY28" s="172"/>
      <c r="GJZ28" s="172"/>
      <c r="GKA28" s="172"/>
      <c r="GKB28" s="172"/>
      <c r="GKC28" s="172"/>
      <c r="GKD28" s="172"/>
      <c r="GKE28" s="172"/>
      <c r="GKF28" s="172"/>
      <c r="GKG28" s="172"/>
      <c r="GKH28" s="172"/>
      <c r="GKI28" s="172"/>
      <c r="GKJ28" s="172"/>
      <c r="GKK28" s="172"/>
      <c r="GKL28" s="172"/>
      <c r="GKM28" s="172"/>
      <c r="GKN28" s="172"/>
      <c r="GKO28" s="172"/>
      <c r="GKP28" s="172"/>
      <c r="GKQ28" s="172"/>
      <c r="GKR28" s="172"/>
      <c r="GKS28" s="172"/>
      <c r="GKT28" s="172"/>
      <c r="GKU28" s="172"/>
      <c r="GKV28" s="172"/>
      <c r="GKW28" s="172"/>
      <c r="GKX28" s="172"/>
      <c r="GKY28" s="172"/>
      <c r="GKZ28" s="172"/>
      <c r="GLA28" s="172"/>
      <c r="GLB28" s="172"/>
      <c r="GLC28" s="172"/>
      <c r="GLD28" s="172"/>
      <c r="GLE28" s="172"/>
      <c r="GLF28" s="172"/>
      <c r="GLG28" s="172"/>
      <c r="GLH28" s="172"/>
      <c r="GLI28" s="172"/>
      <c r="GLJ28" s="172"/>
      <c r="GLK28" s="172"/>
      <c r="GLL28" s="172"/>
      <c r="GLM28" s="172"/>
      <c r="GLN28" s="172"/>
      <c r="GLO28" s="172"/>
      <c r="GLP28" s="172"/>
      <c r="GLQ28" s="172"/>
      <c r="GLR28" s="172"/>
      <c r="GLS28" s="172"/>
      <c r="GLT28" s="172"/>
      <c r="GLU28" s="172"/>
      <c r="GLV28" s="172"/>
      <c r="GLW28" s="172"/>
      <c r="GLX28" s="172"/>
      <c r="GLY28" s="172"/>
      <c r="GLZ28" s="172"/>
      <c r="GMA28" s="172"/>
      <c r="GMB28" s="172"/>
      <c r="GMC28" s="172"/>
      <c r="GMD28" s="172"/>
      <c r="GME28" s="172"/>
      <c r="GMF28" s="172"/>
      <c r="GMG28" s="172"/>
      <c r="GMH28" s="172"/>
      <c r="GMI28" s="172"/>
      <c r="GMJ28" s="172"/>
      <c r="GMK28" s="172"/>
      <c r="GML28" s="172"/>
      <c r="GMM28" s="172"/>
      <c r="GMN28" s="172"/>
      <c r="GMO28" s="172"/>
      <c r="GMP28" s="172"/>
      <c r="GMQ28" s="172"/>
      <c r="GMR28" s="172"/>
      <c r="GMS28" s="172"/>
      <c r="GMT28" s="172"/>
      <c r="GMU28" s="172"/>
      <c r="GMV28" s="172"/>
      <c r="GMW28" s="172"/>
      <c r="GMX28" s="172"/>
      <c r="GMY28" s="172"/>
      <c r="GMZ28" s="172"/>
      <c r="GNA28" s="172"/>
      <c r="GNB28" s="172"/>
      <c r="GNC28" s="172"/>
      <c r="GND28" s="172"/>
      <c r="GNE28" s="172"/>
      <c r="GNF28" s="172"/>
      <c r="GNG28" s="172"/>
      <c r="GNH28" s="172"/>
      <c r="GNI28" s="172"/>
      <c r="GNJ28" s="172"/>
      <c r="GNK28" s="172"/>
      <c r="GNL28" s="172"/>
      <c r="GNM28" s="172"/>
      <c r="GNN28" s="172"/>
      <c r="GNO28" s="172"/>
      <c r="GNP28" s="172"/>
      <c r="GNQ28" s="172"/>
      <c r="GNR28" s="172"/>
      <c r="GNS28" s="172"/>
      <c r="GNT28" s="172"/>
      <c r="GNU28" s="172"/>
      <c r="GNV28" s="172"/>
      <c r="GNW28" s="172"/>
      <c r="GNX28" s="172"/>
      <c r="GNY28" s="172"/>
      <c r="GNZ28" s="172"/>
      <c r="GOA28" s="172"/>
      <c r="GOB28" s="172"/>
      <c r="GOC28" s="172"/>
      <c r="GOD28" s="172"/>
      <c r="GOE28" s="172"/>
      <c r="GOF28" s="172"/>
      <c r="GOG28" s="172"/>
      <c r="GOH28" s="172"/>
      <c r="GOI28" s="172"/>
      <c r="GOJ28" s="172"/>
      <c r="GOK28" s="172"/>
      <c r="GOL28" s="172"/>
      <c r="GOM28" s="172"/>
      <c r="GON28" s="172"/>
      <c r="GOO28" s="172"/>
      <c r="GOP28" s="172"/>
      <c r="GOQ28" s="172"/>
      <c r="GOR28" s="172"/>
      <c r="GOS28" s="172"/>
      <c r="GOT28" s="172"/>
      <c r="GOU28" s="172"/>
      <c r="GOV28" s="172"/>
      <c r="GOW28" s="172"/>
      <c r="GOX28" s="172"/>
      <c r="GOY28" s="172"/>
      <c r="GOZ28" s="172"/>
      <c r="GPA28" s="172"/>
      <c r="GPB28" s="172"/>
      <c r="GPC28" s="172"/>
      <c r="GPD28" s="172"/>
      <c r="GPE28" s="172"/>
      <c r="GPF28" s="172"/>
      <c r="GPG28" s="172"/>
      <c r="GPH28" s="172"/>
      <c r="GPI28" s="172"/>
      <c r="GPJ28" s="172"/>
      <c r="GPK28" s="172"/>
      <c r="GPL28" s="172"/>
      <c r="GPM28" s="172"/>
      <c r="GPN28" s="172"/>
      <c r="GPO28" s="172"/>
      <c r="GPP28" s="172"/>
      <c r="GPQ28" s="172"/>
      <c r="GPR28" s="172"/>
      <c r="GPS28" s="172"/>
      <c r="GPT28" s="172"/>
      <c r="GPU28" s="172"/>
      <c r="GPV28" s="172"/>
      <c r="GPW28" s="172"/>
      <c r="GPX28" s="172"/>
      <c r="GPY28" s="172"/>
      <c r="GPZ28" s="172"/>
      <c r="GQA28" s="172"/>
      <c r="GQB28" s="172"/>
      <c r="GQC28" s="172"/>
      <c r="GQD28" s="172"/>
      <c r="GQE28" s="172"/>
      <c r="GQF28" s="172"/>
      <c r="GQG28" s="172"/>
      <c r="GQH28" s="172"/>
      <c r="GQI28" s="172"/>
      <c r="GQJ28" s="172"/>
      <c r="GQK28" s="172"/>
      <c r="GQL28" s="172"/>
      <c r="GQM28" s="172"/>
      <c r="GQN28" s="172"/>
      <c r="GQO28" s="172"/>
      <c r="GQP28" s="172"/>
      <c r="GQQ28" s="172"/>
      <c r="GQR28" s="172"/>
      <c r="GQS28" s="172"/>
      <c r="GQT28" s="172"/>
      <c r="GQU28" s="172"/>
      <c r="GQV28" s="172"/>
      <c r="GQW28" s="172"/>
      <c r="GQX28" s="172"/>
      <c r="GQY28" s="172"/>
      <c r="GQZ28" s="172"/>
      <c r="GRA28" s="172"/>
      <c r="GRB28" s="172"/>
      <c r="GRC28" s="172"/>
      <c r="GRD28" s="172"/>
      <c r="GRE28" s="172"/>
      <c r="GRF28" s="172"/>
      <c r="GRG28" s="172"/>
      <c r="GRH28" s="172"/>
      <c r="GRI28" s="172"/>
      <c r="GRJ28" s="172"/>
      <c r="GRK28" s="172"/>
      <c r="GRL28" s="172"/>
      <c r="GRM28" s="172"/>
      <c r="GRN28" s="172"/>
      <c r="GRO28" s="172"/>
      <c r="GRP28" s="172"/>
      <c r="GRQ28" s="172"/>
      <c r="GRR28" s="172"/>
      <c r="GRS28" s="172"/>
      <c r="GRT28" s="172"/>
      <c r="GRU28" s="172"/>
      <c r="GRV28" s="172"/>
      <c r="GRW28" s="172"/>
      <c r="GRX28" s="172"/>
      <c r="GRY28" s="172"/>
      <c r="GRZ28" s="172"/>
      <c r="GSA28" s="172"/>
      <c r="GSB28" s="172"/>
      <c r="GSC28" s="172"/>
      <c r="GSD28" s="172"/>
      <c r="GSE28" s="172"/>
      <c r="GSF28" s="172"/>
      <c r="GSG28" s="172"/>
      <c r="GSH28" s="172"/>
      <c r="GSI28" s="172"/>
      <c r="GSJ28" s="172"/>
      <c r="GSK28" s="172"/>
      <c r="GSL28" s="172"/>
      <c r="GSM28" s="172"/>
      <c r="GSN28" s="172"/>
      <c r="GSO28" s="172"/>
      <c r="GSP28" s="172"/>
      <c r="GSQ28" s="172"/>
      <c r="GSR28" s="172"/>
      <c r="GSS28" s="172"/>
      <c r="GST28" s="172"/>
      <c r="GSU28" s="172"/>
      <c r="GSV28" s="172"/>
      <c r="GSW28" s="172"/>
      <c r="GSX28" s="172"/>
      <c r="GSY28" s="172"/>
      <c r="GSZ28" s="172"/>
      <c r="GTA28" s="172"/>
      <c r="GTB28" s="172"/>
      <c r="GTC28" s="172"/>
      <c r="GTD28" s="172"/>
      <c r="GTE28" s="172"/>
      <c r="GTF28" s="172"/>
      <c r="GTG28" s="172"/>
      <c r="GTH28" s="172"/>
      <c r="GTI28" s="172"/>
      <c r="GTJ28" s="172"/>
      <c r="GTK28" s="172"/>
      <c r="GTL28" s="172"/>
      <c r="GTM28" s="172"/>
      <c r="GTN28" s="172"/>
      <c r="GTO28" s="172"/>
      <c r="GTP28" s="172"/>
      <c r="GTQ28" s="172"/>
      <c r="GTR28" s="172"/>
      <c r="GTS28" s="172"/>
      <c r="GTT28" s="172"/>
      <c r="GTU28" s="172"/>
      <c r="GTV28" s="172"/>
      <c r="GTW28" s="172"/>
      <c r="GTX28" s="172"/>
      <c r="GTY28" s="172"/>
      <c r="GTZ28" s="172"/>
      <c r="GUA28" s="172"/>
      <c r="GUB28" s="172"/>
      <c r="GUC28" s="172"/>
      <c r="GUD28" s="172"/>
      <c r="GUE28" s="172"/>
      <c r="GUF28" s="172"/>
      <c r="GUG28" s="172"/>
      <c r="GUH28" s="172"/>
      <c r="GUI28" s="172"/>
      <c r="GUJ28" s="172"/>
      <c r="GUK28" s="172"/>
      <c r="GUL28" s="172"/>
      <c r="GUM28" s="172"/>
      <c r="GUN28" s="172"/>
      <c r="GUO28" s="172"/>
      <c r="GUP28" s="172"/>
      <c r="GUQ28" s="172"/>
      <c r="GUR28" s="172"/>
      <c r="GUS28" s="172"/>
      <c r="GUT28" s="172"/>
      <c r="GUU28" s="172"/>
      <c r="GUV28" s="172"/>
      <c r="GUW28" s="172"/>
      <c r="GUX28" s="172"/>
      <c r="GUY28" s="172"/>
      <c r="GUZ28" s="172"/>
      <c r="GVA28" s="172"/>
      <c r="GVB28" s="172"/>
      <c r="GVC28" s="172"/>
      <c r="GVD28" s="172"/>
      <c r="GVE28" s="172"/>
      <c r="GVF28" s="172"/>
      <c r="GVG28" s="172"/>
      <c r="GVH28" s="172"/>
      <c r="GVI28" s="172"/>
      <c r="GVJ28" s="172"/>
      <c r="GVK28" s="172"/>
      <c r="GVL28" s="172"/>
      <c r="GVM28" s="172"/>
      <c r="GVN28" s="172"/>
      <c r="GVO28" s="172"/>
      <c r="GVP28" s="172"/>
      <c r="GVQ28" s="172"/>
      <c r="GVR28" s="172"/>
      <c r="GVS28" s="172"/>
      <c r="GVT28" s="172"/>
      <c r="GVU28" s="172"/>
      <c r="GVV28" s="172"/>
      <c r="GVW28" s="172"/>
      <c r="GVX28" s="172"/>
      <c r="GVY28" s="172"/>
      <c r="GVZ28" s="172"/>
      <c r="GWA28" s="172"/>
      <c r="GWB28" s="172"/>
      <c r="GWC28" s="172"/>
      <c r="GWD28" s="172"/>
      <c r="GWE28" s="172"/>
      <c r="GWF28" s="172"/>
      <c r="GWG28" s="172"/>
      <c r="GWH28" s="172"/>
      <c r="GWI28" s="172"/>
      <c r="GWJ28" s="172"/>
      <c r="GWK28" s="172"/>
      <c r="GWL28" s="172"/>
      <c r="GWM28" s="172"/>
      <c r="GWN28" s="172"/>
      <c r="GWO28" s="172"/>
      <c r="GWP28" s="172"/>
      <c r="GWQ28" s="172"/>
      <c r="GWR28" s="172"/>
      <c r="GWS28" s="172"/>
      <c r="GWT28" s="172"/>
      <c r="GWU28" s="172"/>
      <c r="GWV28" s="172"/>
      <c r="GWW28" s="172"/>
      <c r="GWX28" s="172"/>
      <c r="GWY28" s="172"/>
      <c r="GWZ28" s="172"/>
      <c r="GXA28" s="172"/>
      <c r="GXB28" s="172"/>
      <c r="GXC28" s="172"/>
      <c r="GXD28" s="172"/>
      <c r="GXE28" s="172"/>
      <c r="GXF28" s="172"/>
      <c r="GXG28" s="172"/>
      <c r="GXH28" s="172"/>
      <c r="GXI28" s="172"/>
      <c r="GXJ28" s="172"/>
      <c r="GXK28" s="172"/>
      <c r="GXL28" s="172"/>
      <c r="GXM28" s="172"/>
      <c r="GXN28" s="172"/>
      <c r="GXO28" s="172"/>
      <c r="GXP28" s="172"/>
      <c r="GXQ28" s="172"/>
      <c r="GXR28" s="172"/>
      <c r="GXS28" s="172"/>
      <c r="GXT28" s="172"/>
      <c r="GXU28" s="172"/>
      <c r="GXV28" s="172"/>
      <c r="GXW28" s="172"/>
      <c r="GXX28" s="172"/>
      <c r="GXY28" s="172"/>
      <c r="GXZ28" s="172"/>
      <c r="GYA28" s="172"/>
      <c r="GYB28" s="172"/>
      <c r="GYC28" s="172"/>
      <c r="GYD28" s="172"/>
      <c r="GYE28" s="172"/>
      <c r="GYF28" s="172"/>
      <c r="GYG28" s="172"/>
      <c r="GYH28" s="172"/>
      <c r="GYI28" s="172"/>
      <c r="GYJ28" s="172"/>
      <c r="GYK28" s="172"/>
      <c r="GYL28" s="172"/>
      <c r="GYM28" s="172"/>
      <c r="GYN28" s="172"/>
      <c r="GYO28" s="172"/>
      <c r="GYP28" s="172"/>
      <c r="GYQ28" s="172"/>
      <c r="GYR28" s="172"/>
      <c r="GYS28" s="172"/>
      <c r="GYT28" s="172"/>
      <c r="GYU28" s="172"/>
      <c r="GYV28" s="172"/>
      <c r="GYW28" s="172"/>
      <c r="GYX28" s="172"/>
      <c r="GYY28" s="172"/>
      <c r="GYZ28" s="172"/>
      <c r="GZA28" s="172"/>
      <c r="GZB28" s="172"/>
      <c r="GZC28" s="172"/>
      <c r="GZD28" s="172"/>
      <c r="GZE28" s="172"/>
      <c r="GZF28" s="172"/>
      <c r="GZG28" s="172"/>
      <c r="GZH28" s="172"/>
      <c r="GZI28" s="172"/>
      <c r="GZJ28" s="172"/>
      <c r="GZK28" s="172"/>
      <c r="GZL28" s="172"/>
      <c r="GZM28" s="172"/>
      <c r="GZN28" s="172"/>
      <c r="GZO28" s="172"/>
      <c r="GZP28" s="172"/>
      <c r="GZQ28" s="172"/>
      <c r="GZR28" s="172"/>
      <c r="GZS28" s="172"/>
      <c r="GZT28" s="172"/>
      <c r="GZU28" s="172"/>
      <c r="GZV28" s="172"/>
      <c r="GZW28" s="172"/>
      <c r="GZX28" s="172"/>
      <c r="GZY28" s="172"/>
      <c r="GZZ28" s="172"/>
      <c r="HAA28" s="172"/>
      <c r="HAB28" s="172"/>
      <c r="HAC28" s="172"/>
      <c r="HAD28" s="172"/>
      <c r="HAE28" s="172"/>
      <c r="HAF28" s="172"/>
      <c r="HAG28" s="172"/>
      <c r="HAH28" s="172"/>
      <c r="HAI28" s="172"/>
      <c r="HAJ28" s="172"/>
      <c r="HAK28" s="172"/>
      <c r="HAL28" s="172"/>
      <c r="HAM28" s="172"/>
      <c r="HAN28" s="172"/>
      <c r="HAO28" s="172"/>
      <c r="HAP28" s="172"/>
      <c r="HAQ28" s="172"/>
      <c r="HAR28" s="172"/>
      <c r="HAS28" s="172"/>
      <c r="HAT28" s="172"/>
      <c r="HAU28" s="172"/>
      <c r="HAV28" s="172"/>
      <c r="HAW28" s="172"/>
      <c r="HAX28" s="172"/>
      <c r="HAY28" s="172"/>
      <c r="HAZ28" s="172"/>
      <c r="HBA28" s="172"/>
      <c r="HBB28" s="172"/>
      <c r="HBC28" s="172"/>
      <c r="HBD28" s="172"/>
      <c r="HBE28" s="172"/>
      <c r="HBF28" s="172"/>
      <c r="HBG28" s="172"/>
      <c r="HBH28" s="172"/>
      <c r="HBI28" s="172"/>
      <c r="HBJ28" s="172"/>
      <c r="HBK28" s="172"/>
      <c r="HBL28" s="172"/>
      <c r="HBM28" s="172"/>
      <c r="HBN28" s="172"/>
      <c r="HBO28" s="172"/>
      <c r="HBP28" s="172"/>
      <c r="HBQ28" s="172"/>
      <c r="HBR28" s="172"/>
      <c r="HBS28" s="172"/>
      <c r="HBT28" s="172"/>
      <c r="HBU28" s="172"/>
      <c r="HBV28" s="172"/>
      <c r="HBW28" s="172"/>
      <c r="HBX28" s="172"/>
      <c r="HBY28" s="172"/>
      <c r="HBZ28" s="172"/>
      <c r="HCA28" s="172"/>
      <c r="HCB28" s="172"/>
      <c r="HCC28" s="172"/>
      <c r="HCD28" s="172"/>
      <c r="HCE28" s="172"/>
      <c r="HCF28" s="172"/>
      <c r="HCG28" s="172"/>
      <c r="HCH28" s="172"/>
      <c r="HCI28" s="172"/>
      <c r="HCJ28" s="172"/>
      <c r="HCK28" s="172"/>
      <c r="HCL28" s="172"/>
      <c r="HCM28" s="172"/>
      <c r="HCN28" s="172"/>
      <c r="HCO28" s="172"/>
      <c r="HCP28" s="172"/>
      <c r="HCQ28" s="172"/>
      <c r="HCR28" s="172"/>
      <c r="HCS28" s="172"/>
      <c r="HCT28" s="172"/>
      <c r="HCU28" s="172"/>
      <c r="HCV28" s="172"/>
      <c r="HCW28" s="172"/>
      <c r="HCX28" s="172"/>
      <c r="HCY28" s="172"/>
      <c r="HCZ28" s="172"/>
      <c r="HDA28" s="172"/>
      <c r="HDB28" s="172"/>
      <c r="HDC28" s="172"/>
      <c r="HDD28" s="172"/>
      <c r="HDE28" s="172"/>
      <c r="HDF28" s="172"/>
      <c r="HDG28" s="172"/>
      <c r="HDH28" s="172"/>
      <c r="HDI28" s="172"/>
      <c r="HDJ28" s="172"/>
      <c r="HDK28" s="172"/>
      <c r="HDL28" s="172"/>
      <c r="HDM28" s="172"/>
      <c r="HDN28" s="172"/>
      <c r="HDO28" s="172"/>
      <c r="HDP28" s="172"/>
      <c r="HDQ28" s="172"/>
      <c r="HDR28" s="172"/>
      <c r="HDS28" s="172"/>
      <c r="HDT28" s="172"/>
      <c r="HDU28" s="172"/>
      <c r="HDV28" s="172"/>
      <c r="HDW28" s="172"/>
      <c r="HDX28" s="172"/>
      <c r="HDY28" s="172"/>
      <c r="HDZ28" s="172"/>
      <c r="HEA28" s="172"/>
      <c r="HEB28" s="172"/>
      <c r="HEC28" s="172"/>
      <c r="HED28" s="172"/>
      <c r="HEE28" s="172"/>
      <c r="HEF28" s="172"/>
      <c r="HEG28" s="172"/>
      <c r="HEH28" s="172"/>
      <c r="HEI28" s="172"/>
      <c r="HEJ28" s="172"/>
      <c r="HEK28" s="172"/>
      <c r="HEL28" s="172"/>
      <c r="HEM28" s="172"/>
      <c r="HEN28" s="172"/>
      <c r="HEO28" s="172"/>
      <c r="HEP28" s="172"/>
      <c r="HEQ28" s="172"/>
      <c r="HER28" s="172"/>
      <c r="HES28" s="172"/>
      <c r="HET28" s="172"/>
      <c r="HEU28" s="172"/>
      <c r="HEV28" s="172"/>
      <c r="HEW28" s="172"/>
      <c r="HEX28" s="172"/>
      <c r="HEY28" s="172"/>
      <c r="HEZ28" s="172"/>
      <c r="HFA28" s="172"/>
      <c r="HFB28" s="172"/>
      <c r="HFC28" s="172"/>
      <c r="HFD28" s="172"/>
      <c r="HFE28" s="172"/>
      <c r="HFF28" s="172"/>
      <c r="HFG28" s="172"/>
      <c r="HFH28" s="172"/>
      <c r="HFI28" s="172"/>
      <c r="HFJ28" s="172"/>
      <c r="HFK28" s="172"/>
      <c r="HFL28" s="172"/>
      <c r="HFM28" s="172"/>
      <c r="HFN28" s="172"/>
      <c r="HFO28" s="172"/>
      <c r="HFP28" s="172"/>
      <c r="HFQ28" s="172"/>
      <c r="HFR28" s="172"/>
      <c r="HFS28" s="172"/>
      <c r="HFT28" s="172"/>
      <c r="HFU28" s="172"/>
      <c r="HFV28" s="172"/>
      <c r="HFW28" s="172"/>
      <c r="HFX28" s="172"/>
      <c r="HFY28" s="172"/>
      <c r="HFZ28" s="172"/>
      <c r="HGA28" s="172"/>
      <c r="HGB28" s="172"/>
      <c r="HGC28" s="172"/>
      <c r="HGD28" s="172"/>
      <c r="HGE28" s="172"/>
      <c r="HGF28" s="172"/>
      <c r="HGG28" s="172"/>
      <c r="HGH28" s="172"/>
      <c r="HGI28" s="172"/>
      <c r="HGJ28" s="172"/>
      <c r="HGK28" s="172"/>
      <c r="HGL28" s="172"/>
      <c r="HGM28" s="172"/>
      <c r="HGN28" s="172"/>
      <c r="HGO28" s="172"/>
      <c r="HGP28" s="172"/>
      <c r="HGQ28" s="172"/>
      <c r="HGR28" s="172"/>
      <c r="HGS28" s="172"/>
      <c r="HGT28" s="172"/>
      <c r="HGU28" s="172"/>
      <c r="HGV28" s="172"/>
      <c r="HGW28" s="172"/>
      <c r="HGX28" s="172"/>
      <c r="HGY28" s="172"/>
      <c r="HGZ28" s="172"/>
      <c r="HHA28" s="172"/>
      <c r="HHB28" s="172"/>
      <c r="HHC28" s="172"/>
      <c r="HHD28" s="172"/>
      <c r="HHE28" s="172"/>
      <c r="HHF28" s="172"/>
      <c r="HHG28" s="172"/>
      <c r="HHH28" s="172"/>
      <c r="HHI28" s="172"/>
      <c r="HHJ28" s="172"/>
      <c r="HHK28" s="172"/>
      <c r="HHL28" s="172"/>
      <c r="HHM28" s="172"/>
      <c r="HHN28" s="172"/>
      <c r="HHO28" s="172"/>
      <c r="HHP28" s="172"/>
      <c r="HHQ28" s="172"/>
      <c r="HHR28" s="172"/>
      <c r="HHS28" s="172"/>
      <c r="HHT28" s="172"/>
      <c r="HHU28" s="172"/>
      <c r="HHV28" s="172"/>
      <c r="HHW28" s="172"/>
      <c r="HHX28" s="172"/>
      <c r="HHY28" s="172"/>
      <c r="HHZ28" s="172"/>
      <c r="HIA28" s="172"/>
      <c r="HIB28" s="172"/>
      <c r="HIC28" s="172"/>
      <c r="HID28" s="172"/>
      <c r="HIE28" s="172"/>
      <c r="HIF28" s="172"/>
      <c r="HIG28" s="172"/>
      <c r="HIH28" s="172"/>
      <c r="HII28" s="172"/>
      <c r="HIJ28" s="172"/>
      <c r="HIK28" s="172"/>
      <c r="HIL28" s="172"/>
      <c r="HIM28" s="172"/>
      <c r="HIN28" s="172"/>
      <c r="HIO28" s="172"/>
      <c r="HIP28" s="172"/>
      <c r="HIQ28" s="172"/>
      <c r="HIR28" s="172"/>
      <c r="HIS28" s="172"/>
      <c r="HIT28" s="172"/>
      <c r="HIU28" s="172"/>
      <c r="HIV28" s="172"/>
      <c r="HIW28" s="172"/>
      <c r="HIX28" s="172"/>
      <c r="HIY28" s="172"/>
      <c r="HIZ28" s="172"/>
      <c r="HJA28" s="172"/>
      <c r="HJB28" s="172"/>
      <c r="HJC28" s="172"/>
      <c r="HJD28" s="172"/>
      <c r="HJE28" s="172"/>
      <c r="HJF28" s="172"/>
      <c r="HJG28" s="172"/>
      <c r="HJH28" s="172"/>
      <c r="HJI28" s="172"/>
      <c r="HJJ28" s="172"/>
      <c r="HJK28" s="172"/>
      <c r="HJL28" s="172"/>
      <c r="HJM28" s="172"/>
      <c r="HJN28" s="172"/>
      <c r="HJO28" s="172"/>
      <c r="HJP28" s="172"/>
      <c r="HJQ28" s="172"/>
      <c r="HJR28" s="172"/>
      <c r="HJS28" s="172"/>
      <c r="HJT28" s="172"/>
      <c r="HJU28" s="172"/>
      <c r="HJV28" s="172"/>
      <c r="HJW28" s="172"/>
      <c r="HJX28" s="172"/>
      <c r="HJY28" s="172"/>
      <c r="HJZ28" s="172"/>
      <c r="HKA28" s="172"/>
      <c r="HKB28" s="172"/>
      <c r="HKC28" s="172"/>
      <c r="HKD28" s="172"/>
      <c r="HKE28" s="172"/>
      <c r="HKF28" s="172"/>
      <c r="HKG28" s="172"/>
      <c r="HKH28" s="172"/>
      <c r="HKI28" s="172"/>
      <c r="HKJ28" s="172"/>
      <c r="HKK28" s="172"/>
      <c r="HKL28" s="172"/>
      <c r="HKM28" s="172"/>
      <c r="HKN28" s="172"/>
      <c r="HKO28" s="172"/>
      <c r="HKP28" s="172"/>
      <c r="HKQ28" s="172"/>
      <c r="HKR28" s="172"/>
      <c r="HKS28" s="172"/>
      <c r="HKT28" s="172"/>
      <c r="HKU28" s="172"/>
      <c r="HKV28" s="172"/>
      <c r="HKW28" s="172"/>
      <c r="HKX28" s="172"/>
      <c r="HKY28" s="172"/>
      <c r="HKZ28" s="172"/>
      <c r="HLA28" s="172"/>
      <c r="HLB28" s="172"/>
      <c r="HLC28" s="172"/>
      <c r="HLD28" s="172"/>
      <c r="HLE28" s="172"/>
      <c r="HLF28" s="172"/>
      <c r="HLG28" s="172"/>
      <c r="HLH28" s="172"/>
      <c r="HLI28" s="172"/>
      <c r="HLJ28" s="172"/>
      <c r="HLK28" s="172"/>
      <c r="HLL28" s="172"/>
      <c r="HLM28" s="172"/>
      <c r="HLN28" s="172"/>
      <c r="HLO28" s="172"/>
      <c r="HLP28" s="172"/>
      <c r="HLQ28" s="172"/>
      <c r="HLR28" s="172"/>
      <c r="HLS28" s="172"/>
      <c r="HLT28" s="172"/>
      <c r="HLU28" s="172"/>
      <c r="HLV28" s="172"/>
      <c r="HLW28" s="172"/>
      <c r="HLX28" s="172"/>
      <c r="HLY28" s="172"/>
      <c r="HLZ28" s="172"/>
      <c r="HMA28" s="172"/>
      <c r="HMB28" s="172"/>
      <c r="HMC28" s="172"/>
      <c r="HMD28" s="172"/>
      <c r="HME28" s="172"/>
      <c r="HMF28" s="172"/>
      <c r="HMG28" s="172"/>
      <c r="HMH28" s="172"/>
      <c r="HMI28" s="172"/>
      <c r="HMJ28" s="172"/>
      <c r="HMK28" s="172"/>
      <c r="HML28" s="172"/>
      <c r="HMM28" s="172"/>
      <c r="HMN28" s="172"/>
      <c r="HMO28" s="172"/>
      <c r="HMP28" s="172"/>
      <c r="HMQ28" s="172"/>
      <c r="HMR28" s="172"/>
      <c r="HMS28" s="172"/>
      <c r="HMT28" s="172"/>
      <c r="HMU28" s="172"/>
      <c r="HMV28" s="172"/>
      <c r="HMW28" s="172"/>
      <c r="HMX28" s="172"/>
      <c r="HMY28" s="172"/>
      <c r="HMZ28" s="172"/>
      <c r="HNA28" s="172"/>
      <c r="HNB28" s="172"/>
      <c r="HNC28" s="172"/>
      <c r="HND28" s="172"/>
      <c r="HNE28" s="172"/>
      <c r="HNF28" s="172"/>
      <c r="HNG28" s="172"/>
      <c r="HNH28" s="172"/>
      <c r="HNI28" s="172"/>
      <c r="HNJ28" s="172"/>
      <c r="HNK28" s="172"/>
      <c r="HNL28" s="172"/>
      <c r="HNM28" s="172"/>
      <c r="HNN28" s="172"/>
      <c r="HNO28" s="172"/>
      <c r="HNP28" s="172"/>
      <c r="HNQ28" s="172"/>
      <c r="HNR28" s="172"/>
      <c r="HNS28" s="172"/>
      <c r="HNT28" s="172"/>
      <c r="HNU28" s="172"/>
      <c r="HNV28" s="172"/>
      <c r="HNW28" s="172"/>
      <c r="HNX28" s="172"/>
      <c r="HNY28" s="172"/>
      <c r="HNZ28" s="172"/>
      <c r="HOA28" s="172"/>
      <c r="HOB28" s="172"/>
      <c r="HOC28" s="172"/>
      <c r="HOD28" s="172"/>
      <c r="HOE28" s="172"/>
      <c r="HOF28" s="172"/>
      <c r="HOG28" s="172"/>
      <c r="HOH28" s="172"/>
      <c r="HOI28" s="172"/>
      <c r="HOJ28" s="172"/>
      <c r="HOK28" s="172"/>
      <c r="HOL28" s="172"/>
      <c r="HOM28" s="172"/>
      <c r="HON28" s="172"/>
      <c r="HOO28" s="172"/>
      <c r="HOP28" s="172"/>
      <c r="HOQ28" s="172"/>
      <c r="HOR28" s="172"/>
      <c r="HOS28" s="172"/>
      <c r="HOT28" s="172"/>
      <c r="HOU28" s="172"/>
      <c r="HOV28" s="172"/>
      <c r="HOW28" s="172"/>
      <c r="HOX28" s="172"/>
      <c r="HOY28" s="172"/>
      <c r="HOZ28" s="172"/>
      <c r="HPA28" s="172"/>
      <c r="HPB28" s="172"/>
      <c r="HPC28" s="172"/>
      <c r="HPD28" s="172"/>
      <c r="HPE28" s="172"/>
      <c r="HPF28" s="172"/>
      <c r="HPG28" s="172"/>
      <c r="HPH28" s="172"/>
      <c r="HPI28" s="172"/>
      <c r="HPJ28" s="172"/>
      <c r="HPK28" s="172"/>
      <c r="HPL28" s="172"/>
      <c r="HPM28" s="172"/>
      <c r="HPN28" s="172"/>
      <c r="HPO28" s="172"/>
      <c r="HPP28" s="172"/>
      <c r="HPQ28" s="172"/>
      <c r="HPR28" s="172"/>
      <c r="HPS28" s="172"/>
      <c r="HPT28" s="172"/>
      <c r="HPU28" s="172"/>
      <c r="HPV28" s="172"/>
      <c r="HPW28" s="172"/>
      <c r="HPX28" s="172"/>
      <c r="HPY28" s="172"/>
      <c r="HPZ28" s="172"/>
      <c r="HQA28" s="172"/>
      <c r="HQB28" s="172"/>
      <c r="HQC28" s="172"/>
      <c r="HQD28" s="172"/>
      <c r="HQE28" s="172"/>
      <c r="HQF28" s="172"/>
      <c r="HQG28" s="172"/>
      <c r="HQH28" s="172"/>
      <c r="HQI28" s="172"/>
      <c r="HQJ28" s="172"/>
      <c r="HQK28" s="172"/>
      <c r="HQL28" s="172"/>
      <c r="HQM28" s="172"/>
      <c r="HQN28" s="172"/>
      <c r="HQO28" s="172"/>
      <c r="HQP28" s="172"/>
      <c r="HQQ28" s="172"/>
      <c r="HQR28" s="172"/>
      <c r="HQS28" s="172"/>
      <c r="HQT28" s="172"/>
      <c r="HQU28" s="172"/>
      <c r="HQV28" s="172"/>
      <c r="HQW28" s="172"/>
      <c r="HQX28" s="172"/>
      <c r="HQY28" s="172"/>
      <c r="HQZ28" s="172"/>
      <c r="HRA28" s="172"/>
      <c r="HRB28" s="172"/>
      <c r="HRC28" s="172"/>
      <c r="HRD28" s="172"/>
      <c r="HRE28" s="172"/>
      <c r="HRF28" s="172"/>
      <c r="HRG28" s="172"/>
      <c r="HRH28" s="172"/>
      <c r="HRI28" s="172"/>
      <c r="HRJ28" s="172"/>
      <c r="HRK28" s="172"/>
      <c r="HRL28" s="172"/>
      <c r="HRM28" s="172"/>
      <c r="HRN28" s="172"/>
      <c r="HRO28" s="172"/>
      <c r="HRP28" s="172"/>
      <c r="HRQ28" s="172"/>
      <c r="HRR28" s="172"/>
      <c r="HRS28" s="172"/>
      <c r="HRT28" s="172"/>
      <c r="HRU28" s="172"/>
      <c r="HRV28" s="172"/>
      <c r="HRW28" s="172"/>
      <c r="HRX28" s="172"/>
      <c r="HRY28" s="172"/>
      <c r="HRZ28" s="172"/>
      <c r="HSA28" s="172"/>
      <c r="HSB28" s="172"/>
      <c r="HSC28" s="172"/>
      <c r="HSD28" s="172"/>
      <c r="HSE28" s="172"/>
      <c r="HSF28" s="172"/>
      <c r="HSG28" s="172"/>
      <c r="HSH28" s="172"/>
      <c r="HSI28" s="172"/>
      <c r="HSJ28" s="172"/>
      <c r="HSK28" s="172"/>
      <c r="HSL28" s="172"/>
      <c r="HSM28" s="172"/>
      <c r="HSN28" s="172"/>
      <c r="HSO28" s="172"/>
      <c r="HSP28" s="172"/>
      <c r="HSQ28" s="172"/>
      <c r="HSR28" s="172"/>
      <c r="HSS28" s="172"/>
      <c r="HST28" s="172"/>
      <c r="HSU28" s="172"/>
      <c r="HSV28" s="172"/>
      <c r="HSW28" s="172"/>
      <c r="HSX28" s="172"/>
      <c r="HSY28" s="172"/>
      <c r="HSZ28" s="172"/>
      <c r="HTA28" s="172"/>
      <c r="HTB28" s="172"/>
      <c r="HTC28" s="172"/>
      <c r="HTD28" s="172"/>
      <c r="HTE28" s="172"/>
      <c r="HTF28" s="172"/>
      <c r="HTG28" s="172"/>
      <c r="HTH28" s="172"/>
      <c r="HTI28" s="172"/>
      <c r="HTJ28" s="172"/>
      <c r="HTK28" s="172"/>
      <c r="HTL28" s="172"/>
      <c r="HTM28" s="172"/>
      <c r="HTN28" s="172"/>
      <c r="HTO28" s="172"/>
      <c r="HTP28" s="172"/>
      <c r="HTQ28" s="172"/>
      <c r="HTR28" s="172"/>
      <c r="HTS28" s="172"/>
      <c r="HTT28" s="172"/>
      <c r="HTU28" s="172"/>
      <c r="HTV28" s="172"/>
      <c r="HTW28" s="172"/>
      <c r="HTX28" s="172"/>
      <c r="HTY28" s="172"/>
      <c r="HTZ28" s="172"/>
      <c r="HUA28" s="172"/>
      <c r="HUB28" s="172"/>
      <c r="HUC28" s="172"/>
      <c r="HUD28" s="172"/>
      <c r="HUE28" s="172"/>
      <c r="HUF28" s="172"/>
      <c r="HUG28" s="172"/>
      <c r="HUH28" s="172"/>
      <c r="HUI28" s="172"/>
      <c r="HUJ28" s="172"/>
      <c r="HUK28" s="172"/>
      <c r="HUL28" s="172"/>
      <c r="HUM28" s="172"/>
      <c r="HUN28" s="172"/>
      <c r="HUO28" s="172"/>
      <c r="HUP28" s="172"/>
      <c r="HUQ28" s="172"/>
      <c r="HUR28" s="172"/>
      <c r="HUS28" s="172"/>
      <c r="HUT28" s="172"/>
      <c r="HUU28" s="172"/>
      <c r="HUV28" s="172"/>
      <c r="HUW28" s="172"/>
      <c r="HUX28" s="172"/>
      <c r="HUY28" s="172"/>
      <c r="HUZ28" s="172"/>
      <c r="HVA28" s="172"/>
      <c r="HVB28" s="172"/>
      <c r="HVC28" s="172"/>
      <c r="HVD28" s="172"/>
      <c r="HVE28" s="172"/>
      <c r="HVF28" s="172"/>
      <c r="HVG28" s="172"/>
      <c r="HVH28" s="172"/>
      <c r="HVI28" s="172"/>
      <c r="HVJ28" s="172"/>
      <c r="HVK28" s="172"/>
      <c r="HVL28" s="172"/>
      <c r="HVM28" s="172"/>
      <c r="HVN28" s="172"/>
      <c r="HVO28" s="172"/>
      <c r="HVP28" s="172"/>
      <c r="HVQ28" s="172"/>
      <c r="HVR28" s="172"/>
      <c r="HVS28" s="172"/>
      <c r="HVT28" s="172"/>
      <c r="HVU28" s="172"/>
      <c r="HVV28" s="172"/>
      <c r="HVW28" s="172"/>
      <c r="HVX28" s="172"/>
      <c r="HVY28" s="172"/>
      <c r="HVZ28" s="172"/>
      <c r="HWA28" s="172"/>
      <c r="HWB28" s="172"/>
      <c r="HWC28" s="172"/>
      <c r="HWD28" s="172"/>
      <c r="HWE28" s="172"/>
      <c r="HWF28" s="172"/>
      <c r="HWG28" s="172"/>
      <c r="HWH28" s="172"/>
      <c r="HWI28" s="172"/>
      <c r="HWJ28" s="172"/>
      <c r="HWK28" s="172"/>
      <c r="HWL28" s="172"/>
      <c r="HWM28" s="172"/>
      <c r="HWN28" s="172"/>
      <c r="HWO28" s="172"/>
      <c r="HWP28" s="172"/>
      <c r="HWQ28" s="172"/>
      <c r="HWR28" s="172"/>
      <c r="HWS28" s="172"/>
      <c r="HWT28" s="172"/>
      <c r="HWU28" s="172"/>
      <c r="HWV28" s="172"/>
      <c r="HWW28" s="172"/>
      <c r="HWX28" s="172"/>
      <c r="HWY28" s="172"/>
      <c r="HWZ28" s="172"/>
      <c r="HXA28" s="172"/>
      <c r="HXB28" s="172"/>
      <c r="HXC28" s="172"/>
      <c r="HXD28" s="172"/>
      <c r="HXE28" s="172"/>
      <c r="HXF28" s="172"/>
      <c r="HXG28" s="172"/>
      <c r="HXH28" s="172"/>
      <c r="HXI28" s="172"/>
      <c r="HXJ28" s="172"/>
      <c r="HXK28" s="172"/>
      <c r="HXL28" s="172"/>
      <c r="HXM28" s="172"/>
      <c r="HXN28" s="172"/>
      <c r="HXO28" s="172"/>
      <c r="HXP28" s="172"/>
      <c r="HXQ28" s="172"/>
      <c r="HXR28" s="172"/>
      <c r="HXS28" s="172"/>
      <c r="HXT28" s="172"/>
      <c r="HXU28" s="172"/>
      <c r="HXV28" s="172"/>
      <c r="HXW28" s="172"/>
      <c r="HXX28" s="172"/>
      <c r="HXY28" s="172"/>
      <c r="HXZ28" s="172"/>
      <c r="HYA28" s="172"/>
      <c r="HYB28" s="172"/>
      <c r="HYC28" s="172"/>
      <c r="HYD28" s="172"/>
      <c r="HYE28" s="172"/>
      <c r="HYF28" s="172"/>
      <c r="HYG28" s="172"/>
      <c r="HYH28" s="172"/>
      <c r="HYI28" s="172"/>
      <c r="HYJ28" s="172"/>
      <c r="HYK28" s="172"/>
      <c r="HYL28" s="172"/>
      <c r="HYM28" s="172"/>
      <c r="HYN28" s="172"/>
      <c r="HYO28" s="172"/>
      <c r="HYP28" s="172"/>
      <c r="HYQ28" s="172"/>
      <c r="HYR28" s="172"/>
      <c r="HYS28" s="172"/>
      <c r="HYT28" s="172"/>
      <c r="HYU28" s="172"/>
      <c r="HYV28" s="172"/>
      <c r="HYW28" s="172"/>
      <c r="HYX28" s="172"/>
      <c r="HYY28" s="172"/>
      <c r="HYZ28" s="172"/>
      <c r="HZA28" s="172"/>
      <c r="HZB28" s="172"/>
      <c r="HZC28" s="172"/>
      <c r="HZD28" s="172"/>
      <c r="HZE28" s="172"/>
      <c r="HZF28" s="172"/>
      <c r="HZG28" s="172"/>
      <c r="HZH28" s="172"/>
      <c r="HZI28" s="172"/>
      <c r="HZJ28" s="172"/>
      <c r="HZK28" s="172"/>
      <c r="HZL28" s="172"/>
      <c r="HZM28" s="172"/>
      <c r="HZN28" s="172"/>
      <c r="HZO28" s="172"/>
      <c r="HZP28" s="172"/>
      <c r="HZQ28" s="172"/>
      <c r="HZR28" s="172"/>
      <c r="HZS28" s="172"/>
      <c r="HZT28" s="172"/>
      <c r="HZU28" s="172"/>
      <c r="HZV28" s="172"/>
      <c r="HZW28" s="172"/>
      <c r="HZX28" s="172"/>
      <c r="HZY28" s="172"/>
      <c r="HZZ28" s="172"/>
      <c r="IAA28" s="172"/>
      <c r="IAB28" s="172"/>
      <c r="IAC28" s="172"/>
      <c r="IAD28" s="172"/>
      <c r="IAE28" s="172"/>
      <c r="IAF28" s="172"/>
      <c r="IAG28" s="172"/>
      <c r="IAH28" s="172"/>
      <c r="IAI28" s="172"/>
      <c r="IAJ28" s="172"/>
      <c r="IAK28" s="172"/>
      <c r="IAL28" s="172"/>
      <c r="IAM28" s="172"/>
      <c r="IAN28" s="172"/>
      <c r="IAO28" s="172"/>
      <c r="IAP28" s="172"/>
      <c r="IAQ28" s="172"/>
      <c r="IAR28" s="172"/>
      <c r="IAS28" s="172"/>
      <c r="IAT28" s="172"/>
      <c r="IAU28" s="172"/>
      <c r="IAV28" s="172"/>
      <c r="IAW28" s="172"/>
      <c r="IAX28" s="172"/>
      <c r="IAY28" s="172"/>
      <c r="IAZ28" s="172"/>
      <c r="IBA28" s="172"/>
      <c r="IBB28" s="172"/>
      <c r="IBC28" s="172"/>
      <c r="IBD28" s="172"/>
      <c r="IBE28" s="172"/>
      <c r="IBF28" s="172"/>
      <c r="IBG28" s="172"/>
      <c r="IBH28" s="172"/>
      <c r="IBI28" s="172"/>
      <c r="IBJ28" s="172"/>
      <c r="IBK28" s="172"/>
      <c r="IBL28" s="172"/>
      <c r="IBM28" s="172"/>
      <c r="IBN28" s="172"/>
      <c r="IBO28" s="172"/>
      <c r="IBP28" s="172"/>
      <c r="IBQ28" s="172"/>
      <c r="IBR28" s="172"/>
      <c r="IBS28" s="172"/>
      <c r="IBT28" s="172"/>
      <c r="IBU28" s="172"/>
      <c r="IBV28" s="172"/>
      <c r="IBW28" s="172"/>
      <c r="IBX28" s="172"/>
      <c r="IBY28" s="172"/>
      <c r="IBZ28" s="172"/>
      <c r="ICA28" s="172"/>
      <c r="ICB28" s="172"/>
      <c r="ICC28" s="172"/>
      <c r="ICD28" s="172"/>
      <c r="ICE28" s="172"/>
      <c r="ICF28" s="172"/>
      <c r="ICG28" s="172"/>
      <c r="ICH28" s="172"/>
      <c r="ICI28" s="172"/>
      <c r="ICJ28" s="172"/>
      <c r="ICK28" s="172"/>
      <c r="ICL28" s="172"/>
      <c r="ICM28" s="172"/>
      <c r="ICN28" s="172"/>
      <c r="ICO28" s="172"/>
      <c r="ICP28" s="172"/>
      <c r="ICQ28" s="172"/>
      <c r="ICR28" s="172"/>
      <c r="ICS28" s="172"/>
      <c r="ICT28" s="172"/>
      <c r="ICU28" s="172"/>
      <c r="ICV28" s="172"/>
      <c r="ICW28" s="172"/>
      <c r="ICX28" s="172"/>
      <c r="ICY28" s="172"/>
      <c r="ICZ28" s="172"/>
      <c r="IDA28" s="172"/>
      <c r="IDB28" s="172"/>
      <c r="IDC28" s="172"/>
      <c r="IDD28" s="172"/>
      <c r="IDE28" s="172"/>
      <c r="IDF28" s="172"/>
      <c r="IDG28" s="172"/>
      <c r="IDH28" s="172"/>
      <c r="IDI28" s="172"/>
      <c r="IDJ28" s="172"/>
      <c r="IDK28" s="172"/>
      <c r="IDL28" s="172"/>
      <c r="IDM28" s="172"/>
      <c r="IDN28" s="172"/>
      <c r="IDO28" s="172"/>
      <c r="IDP28" s="172"/>
      <c r="IDQ28" s="172"/>
      <c r="IDR28" s="172"/>
      <c r="IDS28" s="172"/>
      <c r="IDT28" s="172"/>
      <c r="IDU28" s="172"/>
      <c r="IDV28" s="172"/>
      <c r="IDW28" s="172"/>
      <c r="IDX28" s="172"/>
      <c r="IDY28" s="172"/>
      <c r="IDZ28" s="172"/>
      <c r="IEA28" s="172"/>
      <c r="IEB28" s="172"/>
      <c r="IEC28" s="172"/>
      <c r="IED28" s="172"/>
      <c r="IEE28" s="172"/>
      <c r="IEF28" s="172"/>
      <c r="IEG28" s="172"/>
      <c r="IEH28" s="172"/>
      <c r="IEI28" s="172"/>
      <c r="IEJ28" s="172"/>
      <c r="IEK28" s="172"/>
      <c r="IEL28" s="172"/>
      <c r="IEM28" s="172"/>
      <c r="IEN28" s="172"/>
      <c r="IEO28" s="172"/>
      <c r="IEP28" s="172"/>
      <c r="IEQ28" s="172"/>
      <c r="IER28" s="172"/>
      <c r="IES28" s="172"/>
      <c r="IET28" s="172"/>
      <c r="IEU28" s="172"/>
      <c r="IEV28" s="172"/>
      <c r="IEW28" s="172"/>
      <c r="IEX28" s="172"/>
      <c r="IEY28" s="172"/>
      <c r="IEZ28" s="172"/>
      <c r="IFA28" s="172"/>
      <c r="IFB28" s="172"/>
      <c r="IFC28" s="172"/>
      <c r="IFD28" s="172"/>
      <c r="IFE28" s="172"/>
      <c r="IFF28" s="172"/>
      <c r="IFG28" s="172"/>
      <c r="IFH28" s="172"/>
      <c r="IFI28" s="172"/>
      <c r="IFJ28" s="172"/>
      <c r="IFK28" s="172"/>
      <c r="IFL28" s="172"/>
      <c r="IFM28" s="172"/>
      <c r="IFN28" s="172"/>
      <c r="IFO28" s="172"/>
      <c r="IFP28" s="172"/>
      <c r="IFQ28" s="172"/>
      <c r="IFR28" s="172"/>
      <c r="IFS28" s="172"/>
      <c r="IFT28" s="172"/>
      <c r="IFU28" s="172"/>
      <c r="IFV28" s="172"/>
      <c r="IFW28" s="172"/>
      <c r="IFX28" s="172"/>
      <c r="IFY28" s="172"/>
      <c r="IFZ28" s="172"/>
      <c r="IGA28" s="172"/>
      <c r="IGB28" s="172"/>
      <c r="IGC28" s="172"/>
      <c r="IGD28" s="172"/>
      <c r="IGE28" s="172"/>
      <c r="IGF28" s="172"/>
      <c r="IGG28" s="172"/>
      <c r="IGH28" s="172"/>
      <c r="IGI28" s="172"/>
      <c r="IGJ28" s="172"/>
      <c r="IGK28" s="172"/>
      <c r="IGL28" s="172"/>
      <c r="IGM28" s="172"/>
      <c r="IGN28" s="172"/>
      <c r="IGO28" s="172"/>
      <c r="IGP28" s="172"/>
      <c r="IGQ28" s="172"/>
      <c r="IGR28" s="172"/>
      <c r="IGS28" s="172"/>
      <c r="IGT28" s="172"/>
      <c r="IGU28" s="172"/>
      <c r="IGV28" s="172"/>
      <c r="IGW28" s="172"/>
      <c r="IGX28" s="172"/>
      <c r="IGY28" s="172"/>
      <c r="IGZ28" s="172"/>
      <c r="IHA28" s="172"/>
      <c r="IHB28" s="172"/>
      <c r="IHC28" s="172"/>
      <c r="IHD28" s="172"/>
      <c r="IHE28" s="172"/>
      <c r="IHF28" s="172"/>
      <c r="IHG28" s="172"/>
      <c r="IHH28" s="172"/>
      <c r="IHI28" s="172"/>
      <c r="IHJ28" s="172"/>
      <c r="IHK28" s="172"/>
      <c r="IHL28" s="172"/>
      <c r="IHM28" s="172"/>
      <c r="IHN28" s="172"/>
      <c r="IHO28" s="172"/>
      <c r="IHP28" s="172"/>
      <c r="IHQ28" s="172"/>
      <c r="IHR28" s="172"/>
      <c r="IHS28" s="172"/>
      <c r="IHT28" s="172"/>
      <c r="IHU28" s="172"/>
      <c r="IHV28" s="172"/>
      <c r="IHW28" s="172"/>
      <c r="IHX28" s="172"/>
      <c r="IHY28" s="172"/>
      <c r="IHZ28" s="172"/>
      <c r="IIA28" s="172"/>
      <c r="IIB28" s="172"/>
      <c r="IIC28" s="172"/>
      <c r="IID28" s="172"/>
      <c r="IIE28" s="172"/>
      <c r="IIF28" s="172"/>
      <c r="IIG28" s="172"/>
      <c r="IIH28" s="172"/>
      <c r="III28" s="172"/>
      <c r="IIJ28" s="172"/>
      <c r="IIK28" s="172"/>
      <c r="IIL28" s="172"/>
      <c r="IIM28" s="172"/>
      <c r="IIN28" s="172"/>
      <c r="IIO28" s="172"/>
      <c r="IIP28" s="172"/>
      <c r="IIQ28" s="172"/>
      <c r="IIR28" s="172"/>
      <c r="IIS28" s="172"/>
      <c r="IIT28" s="172"/>
      <c r="IIU28" s="172"/>
      <c r="IIV28" s="172"/>
      <c r="IIW28" s="172"/>
      <c r="IIX28" s="172"/>
      <c r="IIY28" s="172"/>
      <c r="IIZ28" s="172"/>
      <c r="IJA28" s="172"/>
      <c r="IJB28" s="172"/>
      <c r="IJC28" s="172"/>
      <c r="IJD28" s="172"/>
      <c r="IJE28" s="172"/>
      <c r="IJF28" s="172"/>
      <c r="IJG28" s="172"/>
      <c r="IJH28" s="172"/>
      <c r="IJI28" s="172"/>
      <c r="IJJ28" s="172"/>
      <c r="IJK28" s="172"/>
      <c r="IJL28" s="172"/>
      <c r="IJM28" s="172"/>
      <c r="IJN28" s="172"/>
      <c r="IJO28" s="172"/>
      <c r="IJP28" s="172"/>
      <c r="IJQ28" s="172"/>
      <c r="IJR28" s="172"/>
      <c r="IJS28" s="172"/>
      <c r="IJT28" s="172"/>
      <c r="IJU28" s="172"/>
      <c r="IJV28" s="172"/>
      <c r="IJW28" s="172"/>
      <c r="IJX28" s="172"/>
      <c r="IJY28" s="172"/>
      <c r="IJZ28" s="172"/>
      <c r="IKA28" s="172"/>
      <c r="IKB28" s="172"/>
      <c r="IKC28" s="172"/>
      <c r="IKD28" s="172"/>
      <c r="IKE28" s="172"/>
      <c r="IKF28" s="172"/>
      <c r="IKG28" s="172"/>
      <c r="IKH28" s="172"/>
      <c r="IKI28" s="172"/>
      <c r="IKJ28" s="172"/>
      <c r="IKK28" s="172"/>
      <c r="IKL28" s="172"/>
      <c r="IKM28" s="172"/>
      <c r="IKN28" s="172"/>
      <c r="IKO28" s="172"/>
      <c r="IKP28" s="172"/>
      <c r="IKQ28" s="172"/>
      <c r="IKR28" s="172"/>
      <c r="IKS28" s="172"/>
      <c r="IKT28" s="172"/>
      <c r="IKU28" s="172"/>
      <c r="IKV28" s="172"/>
      <c r="IKW28" s="172"/>
      <c r="IKX28" s="172"/>
      <c r="IKY28" s="172"/>
      <c r="IKZ28" s="172"/>
      <c r="ILA28" s="172"/>
      <c r="ILB28" s="172"/>
      <c r="ILC28" s="172"/>
      <c r="ILD28" s="172"/>
      <c r="ILE28" s="172"/>
      <c r="ILF28" s="172"/>
      <c r="ILG28" s="172"/>
      <c r="ILH28" s="172"/>
      <c r="ILI28" s="172"/>
      <c r="ILJ28" s="172"/>
      <c r="ILK28" s="172"/>
      <c r="ILL28" s="172"/>
      <c r="ILM28" s="172"/>
      <c r="ILN28" s="172"/>
      <c r="ILO28" s="172"/>
      <c r="ILP28" s="172"/>
      <c r="ILQ28" s="172"/>
      <c r="ILR28" s="172"/>
      <c r="ILS28" s="172"/>
      <c r="ILT28" s="172"/>
      <c r="ILU28" s="172"/>
      <c r="ILV28" s="172"/>
      <c r="ILW28" s="172"/>
      <c r="ILX28" s="172"/>
      <c r="ILY28" s="172"/>
      <c r="ILZ28" s="172"/>
      <c r="IMA28" s="172"/>
      <c r="IMB28" s="172"/>
      <c r="IMC28" s="172"/>
      <c r="IMD28" s="172"/>
      <c r="IME28" s="172"/>
      <c r="IMF28" s="172"/>
      <c r="IMG28" s="172"/>
      <c r="IMH28" s="172"/>
      <c r="IMI28" s="172"/>
      <c r="IMJ28" s="172"/>
      <c r="IMK28" s="172"/>
      <c r="IML28" s="172"/>
      <c r="IMM28" s="172"/>
      <c r="IMN28" s="172"/>
      <c r="IMO28" s="172"/>
      <c r="IMP28" s="172"/>
      <c r="IMQ28" s="172"/>
      <c r="IMR28" s="172"/>
      <c r="IMS28" s="172"/>
      <c r="IMT28" s="172"/>
      <c r="IMU28" s="172"/>
      <c r="IMV28" s="172"/>
      <c r="IMW28" s="172"/>
      <c r="IMX28" s="172"/>
      <c r="IMY28" s="172"/>
      <c r="IMZ28" s="172"/>
      <c r="INA28" s="172"/>
      <c r="INB28" s="172"/>
      <c r="INC28" s="172"/>
      <c r="IND28" s="172"/>
      <c r="INE28" s="172"/>
      <c r="INF28" s="172"/>
      <c r="ING28" s="172"/>
      <c r="INH28" s="172"/>
      <c r="INI28" s="172"/>
      <c r="INJ28" s="172"/>
      <c r="INK28" s="172"/>
      <c r="INL28" s="172"/>
      <c r="INM28" s="172"/>
      <c r="INN28" s="172"/>
      <c r="INO28" s="172"/>
      <c r="INP28" s="172"/>
      <c r="INQ28" s="172"/>
      <c r="INR28" s="172"/>
      <c r="INS28" s="172"/>
      <c r="INT28" s="172"/>
      <c r="INU28" s="172"/>
      <c r="INV28" s="172"/>
      <c r="INW28" s="172"/>
      <c r="INX28" s="172"/>
      <c r="INY28" s="172"/>
      <c r="INZ28" s="172"/>
      <c r="IOA28" s="172"/>
      <c r="IOB28" s="172"/>
      <c r="IOC28" s="172"/>
      <c r="IOD28" s="172"/>
      <c r="IOE28" s="172"/>
      <c r="IOF28" s="172"/>
      <c r="IOG28" s="172"/>
      <c r="IOH28" s="172"/>
      <c r="IOI28" s="172"/>
      <c r="IOJ28" s="172"/>
      <c r="IOK28" s="172"/>
      <c r="IOL28" s="172"/>
      <c r="IOM28" s="172"/>
      <c r="ION28" s="172"/>
      <c r="IOO28" s="172"/>
      <c r="IOP28" s="172"/>
      <c r="IOQ28" s="172"/>
      <c r="IOR28" s="172"/>
      <c r="IOS28" s="172"/>
      <c r="IOT28" s="172"/>
      <c r="IOU28" s="172"/>
      <c r="IOV28" s="172"/>
      <c r="IOW28" s="172"/>
      <c r="IOX28" s="172"/>
      <c r="IOY28" s="172"/>
      <c r="IOZ28" s="172"/>
      <c r="IPA28" s="172"/>
      <c r="IPB28" s="172"/>
      <c r="IPC28" s="172"/>
      <c r="IPD28" s="172"/>
      <c r="IPE28" s="172"/>
      <c r="IPF28" s="172"/>
      <c r="IPG28" s="172"/>
      <c r="IPH28" s="172"/>
      <c r="IPI28" s="172"/>
      <c r="IPJ28" s="172"/>
      <c r="IPK28" s="172"/>
      <c r="IPL28" s="172"/>
      <c r="IPM28" s="172"/>
      <c r="IPN28" s="172"/>
      <c r="IPO28" s="172"/>
      <c r="IPP28" s="172"/>
      <c r="IPQ28" s="172"/>
      <c r="IPR28" s="172"/>
      <c r="IPS28" s="172"/>
      <c r="IPT28" s="172"/>
      <c r="IPU28" s="172"/>
      <c r="IPV28" s="172"/>
      <c r="IPW28" s="172"/>
      <c r="IPX28" s="172"/>
      <c r="IPY28" s="172"/>
      <c r="IPZ28" s="172"/>
      <c r="IQA28" s="172"/>
      <c r="IQB28" s="172"/>
      <c r="IQC28" s="172"/>
      <c r="IQD28" s="172"/>
      <c r="IQE28" s="172"/>
      <c r="IQF28" s="172"/>
      <c r="IQG28" s="172"/>
      <c r="IQH28" s="172"/>
      <c r="IQI28" s="172"/>
      <c r="IQJ28" s="172"/>
      <c r="IQK28" s="172"/>
      <c r="IQL28" s="172"/>
      <c r="IQM28" s="172"/>
      <c r="IQN28" s="172"/>
      <c r="IQO28" s="172"/>
      <c r="IQP28" s="172"/>
      <c r="IQQ28" s="172"/>
      <c r="IQR28" s="172"/>
      <c r="IQS28" s="172"/>
      <c r="IQT28" s="172"/>
      <c r="IQU28" s="172"/>
      <c r="IQV28" s="172"/>
      <c r="IQW28" s="172"/>
      <c r="IQX28" s="172"/>
      <c r="IQY28" s="172"/>
      <c r="IQZ28" s="172"/>
      <c r="IRA28" s="172"/>
      <c r="IRB28" s="172"/>
      <c r="IRC28" s="172"/>
      <c r="IRD28" s="172"/>
      <c r="IRE28" s="172"/>
      <c r="IRF28" s="172"/>
      <c r="IRG28" s="172"/>
      <c r="IRH28" s="172"/>
      <c r="IRI28" s="172"/>
      <c r="IRJ28" s="172"/>
      <c r="IRK28" s="172"/>
      <c r="IRL28" s="172"/>
      <c r="IRM28" s="172"/>
      <c r="IRN28" s="172"/>
      <c r="IRO28" s="172"/>
      <c r="IRP28" s="172"/>
      <c r="IRQ28" s="172"/>
      <c r="IRR28" s="172"/>
      <c r="IRS28" s="172"/>
      <c r="IRT28" s="172"/>
      <c r="IRU28" s="172"/>
      <c r="IRV28" s="172"/>
      <c r="IRW28" s="172"/>
      <c r="IRX28" s="172"/>
      <c r="IRY28" s="172"/>
      <c r="IRZ28" s="172"/>
      <c r="ISA28" s="172"/>
      <c r="ISB28" s="172"/>
      <c r="ISC28" s="172"/>
      <c r="ISD28" s="172"/>
      <c r="ISE28" s="172"/>
      <c r="ISF28" s="172"/>
      <c r="ISG28" s="172"/>
      <c r="ISH28" s="172"/>
      <c r="ISI28" s="172"/>
      <c r="ISJ28" s="172"/>
      <c r="ISK28" s="172"/>
      <c r="ISL28" s="172"/>
      <c r="ISM28" s="172"/>
      <c r="ISN28" s="172"/>
      <c r="ISO28" s="172"/>
      <c r="ISP28" s="172"/>
      <c r="ISQ28" s="172"/>
      <c r="ISR28" s="172"/>
      <c r="ISS28" s="172"/>
      <c r="IST28" s="172"/>
      <c r="ISU28" s="172"/>
      <c r="ISV28" s="172"/>
      <c r="ISW28" s="172"/>
      <c r="ISX28" s="172"/>
      <c r="ISY28" s="172"/>
      <c r="ISZ28" s="172"/>
      <c r="ITA28" s="172"/>
      <c r="ITB28" s="172"/>
      <c r="ITC28" s="172"/>
      <c r="ITD28" s="172"/>
      <c r="ITE28" s="172"/>
      <c r="ITF28" s="172"/>
      <c r="ITG28" s="172"/>
      <c r="ITH28" s="172"/>
      <c r="ITI28" s="172"/>
      <c r="ITJ28" s="172"/>
      <c r="ITK28" s="172"/>
      <c r="ITL28" s="172"/>
      <c r="ITM28" s="172"/>
      <c r="ITN28" s="172"/>
      <c r="ITO28" s="172"/>
      <c r="ITP28" s="172"/>
      <c r="ITQ28" s="172"/>
      <c r="ITR28" s="172"/>
      <c r="ITS28" s="172"/>
      <c r="ITT28" s="172"/>
      <c r="ITU28" s="172"/>
      <c r="ITV28" s="172"/>
      <c r="ITW28" s="172"/>
      <c r="ITX28" s="172"/>
      <c r="ITY28" s="172"/>
      <c r="ITZ28" s="172"/>
      <c r="IUA28" s="172"/>
      <c r="IUB28" s="172"/>
      <c r="IUC28" s="172"/>
      <c r="IUD28" s="172"/>
      <c r="IUE28" s="172"/>
      <c r="IUF28" s="172"/>
      <c r="IUG28" s="172"/>
      <c r="IUH28" s="172"/>
      <c r="IUI28" s="172"/>
      <c r="IUJ28" s="172"/>
      <c r="IUK28" s="172"/>
      <c r="IUL28" s="172"/>
      <c r="IUM28" s="172"/>
      <c r="IUN28" s="172"/>
      <c r="IUO28" s="172"/>
      <c r="IUP28" s="172"/>
      <c r="IUQ28" s="172"/>
      <c r="IUR28" s="172"/>
      <c r="IUS28" s="172"/>
      <c r="IUT28" s="172"/>
      <c r="IUU28" s="172"/>
      <c r="IUV28" s="172"/>
      <c r="IUW28" s="172"/>
      <c r="IUX28" s="172"/>
      <c r="IUY28" s="172"/>
      <c r="IUZ28" s="172"/>
      <c r="IVA28" s="172"/>
      <c r="IVB28" s="172"/>
      <c r="IVC28" s="172"/>
      <c r="IVD28" s="172"/>
      <c r="IVE28" s="172"/>
      <c r="IVF28" s="172"/>
      <c r="IVG28" s="172"/>
      <c r="IVH28" s="172"/>
      <c r="IVI28" s="172"/>
      <c r="IVJ28" s="172"/>
      <c r="IVK28" s="172"/>
      <c r="IVL28" s="172"/>
      <c r="IVM28" s="172"/>
      <c r="IVN28" s="172"/>
      <c r="IVO28" s="172"/>
      <c r="IVP28" s="172"/>
      <c r="IVQ28" s="172"/>
      <c r="IVR28" s="172"/>
      <c r="IVS28" s="172"/>
      <c r="IVT28" s="172"/>
      <c r="IVU28" s="172"/>
      <c r="IVV28" s="172"/>
      <c r="IVW28" s="172"/>
      <c r="IVX28" s="172"/>
      <c r="IVY28" s="172"/>
      <c r="IVZ28" s="172"/>
      <c r="IWA28" s="172"/>
      <c r="IWB28" s="172"/>
      <c r="IWC28" s="172"/>
      <c r="IWD28" s="172"/>
      <c r="IWE28" s="172"/>
      <c r="IWF28" s="172"/>
      <c r="IWG28" s="172"/>
      <c r="IWH28" s="172"/>
      <c r="IWI28" s="172"/>
      <c r="IWJ28" s="172"/>
      <c r="IWK28" s="172"/>
      <c r="IWL28" s="172"/>
      <c r="IWM28" s="172"/>
      <c r="IWN28" s="172"/>
      <c r="IWO28" s="172"/>
      <c r="IWP28" s="172"/>
      <c r="IWQ28" s="172"/>
      <c r="IWR28" s="172"/>
      <c r="IWS28" s="172"/>
      <c r="IWT28" s="172"/>
      <c r="IWU28" s="172"/>
      <c r="IWV28" s="172"/>
      <c r="IWW28" s="172"/>
      <c r="IWX28" s="172"/>
      <c r="IWY28" s="172"/>
      <c r="IWZ28" s="172"/>
      <c r="IXA28" s="172"/>
      <c r="IXB28" s="172"/>
      <c r="IXC28" s="172"/>
      <c r="IXD28" s="172"/>
      <c r="IXE28" s="172"/>
      <c r="IXF28" s="172"/>
      <c r="IXG28" s="172"/>
      <c r="IXH28" s="172"/>
      <c r="IXI28" s="172"/>
      <c r="IXJ28" s="172"/>
      <c r="IXK28" s="172"/>
      <c r="IXL28" s="172"/>
      <c r="IXM28" s="172"/>
      <c r="IXN28" s="172"/>
      <c r="IXO28" s="172"/>
      <c r="IXP28" s="172"/>
      <c r="IXQ28" s="172"/>
      <c r="IXR28" s="172"/>
      <c r="IXS28" s="172"/>
      <c r="IXT28" s="172"/>
      <c r="IXU28" s="172"/>
      <c r="IXV28" s="172"/>
      <c r="IXW28" s="172"/>
      <c r="IXX28" s="172"/>
      <c r="IXY28" s="172"/>
      <c r="IXZ28" s="172"/>
      <c r="IYA28" s="172"/>
      <c r="IYB28" s="172"/>
      <c r="IYC28" s="172"/>
      <c r="IYD28" s="172"/>
      <c r="IYE28" s="172"/>
      <c r="IYF28" s="172"/>
      <c r="IYG28" s="172"/>
      <c r="IYH28" s="172"/>
      <c r="IYI28" s="172"/>
      <c r="IYJ28" s="172"/>
      <c r="IYK28" s="172"/>
      <c r="IYL28" s="172"/>
      <c r="IYM28" s="172"/>
      <c r="IYN28" s="172"/>
      <c r="IYO28" s="172"/>
      <c r="IYP28" s="172"/>
      <c r="IYQ28" s="172"/>
      <c r="IYR28" s="172"/>
      <c r="IYS28" s="172"/>
      <c r="IYT28" s="172"/>
      <c r="IYU28" s="172"/>
      <c r="IYV28" s="172"/>
      <c r="IYW28" s="172"/>
      <c r="IYX28" s="172"/>
      <c r="IYY28" s="172"/>
      <c r="IYZ28" s="172"/>
      <c r="IZA28" s="172"/>
      <c r="IZB28" s="172"/>
      <c r="IZC28" s="172"/>
      <c r="IZD28" s="172"/>
      <c r="IZE28" s="172"/>
      <c r="IZF28" s="172"/>
      <c r="IZG28" s="172"/>
      <c r="IZH28" s="172"/>
      <c r="IZI28" s="172"/>
      <c r="IZJ28" s="172"/>
      <c r="IZK28" s="172"/>
      <c r="IZL28" s="172"/>
      <c r="IZM28" s="172"/>
      <c r="IZN28" s="172"/>
      <c r="IZO28" s="172"/>
      <c r="IZP28" s="172"/>
      <c r="IZQ28" s="172"/>
      <c r="IZR28" s="172"/>
      <c r="IZS28" s="172"/>
      <c r="IZT28" s="172"/>
      <c r="IZU28" s="172"/>
      <c r="IZV28" s="172"/>
      <c r="IZW28" s="172"/>
      <c r="IZX28" s="172"/>
      <c r="IZY28" s="172"/>
      <c r="IZZ28" s="172"/>
      <c r="JAA28" s="172"/>
      <c r="JAB28" s="172"/>
      <c r="JAC28" s="172"/>
      <c r="JAD28" s="172"/>
      <c r="JAE28" s="172"/>
      <c r="JAF28" s="172"/>
      <c r="JAG28" s="172"/>
      <c r="JAH28" s="172"/>
      <c r="JAI28" s="172"/>
      <c r="JAJ28" s="172"/>
      <c r="JAK28" s="172"/>
      <c r="JAL28" s="172"/>
      <c r="JAM28" s="172"/>
      <c r="JAN28" s="172"/>
      <c r="JAO28" s="172"/>
      <c r="JAP28" s="172"/>
      <c r="JAQ28" s="172"/>
      <c r="JAR28" s="172"/>
      <c r="JAS28" s="172"/>
      <c r="JAT28" s="172"/>
      <c r="JAU28" s="172"/>
      <c r="JAV28" s="172"/>
      <c r="JAW28" s="172"/>
      <c r="JAX28" s="172"/>
      <c r="JAY28" s="172"/>
      <c r="JAZ28" s="172"/>
      <c r="JBA28" s="172"/>
      <c r="JBB28" s="172"/>
      <c r="JBC28" s="172"/>
      <c r="JBD28" s="172"/>
      <c r="JBE28" s="172"/>
      <c r="JBF28" s="172"/>
      <c r="JBG28" s="172"/>
      <c r="JBH28" s="172"/>
      <c r="JBI28" s="172"/>
      <c r="JBJ28" s="172"/>
      <c r="JBK28" s="172"/>
      <c r="JBL28" s="172"/>
      <c r="JBM28" s="172"/>
      <c r="JBN28" s="172"/>
      <c r="JBO28" s="172"/>
      <c r="JBP28" s="172"/>
      <c r="JBQ28" s="172"/>
      <c r="JBR28" s="172"/>
      <c r="JBS28" s="172"/>
      <c r="JBT28" s="172"/>
      <c r="JBU28" s="172"/>
      <c r="JBV28" s="172"/>
      <c r="JBW28" s="172"/>
      <c r="JBX28" s="172"/>
      <c r="JBY28" s="172"/>
      <c r="JBZ28" s="172"/>
      <c r="JCA28" s="172"/>
      <c r="JCB28" s="172"/>
      <c r="JCC28" s="172"/>
      <c r="JCD28" s="172"/>
      <c r="JCE28" s="172"/>
      <c r="JCF28" s="172"/>
      <c r="JCG28" s="172"/>
      <c r="JCH28" s="172"/>
      <c r="JCI28" s="172"/>
      <c r="JCJ28" s="172"/>
      <c r="JCK28" s="172"/>
      <c r="JCL28" s="172"/>
      <c r="JCM28" s="172"/>
      <c r="JCN28" s="172"/>
      <c r="JCO28" s="172"/>
      <c r="JCP28" s="172"/>
      <c r="JCQ28" s="172"/>
      <c r="JCR28" s="172"/>
      <c r="JCS28" s="172"/>
      <c r="JCT28" s="172"/>
      <c r="JCU28" s="172"/>
      <c r="JCV28" s="172"/>
      <c r="JCW28" s="172"/>
      <c r="JCX28" s="172"/>
      <c r="JCY28" s="172"/>
      <c r="JCZ28" s="172"/>
      <c r="JDA28" s="172"/>
      <c r="JDB28" s="172"/>
      <c r="JDC28" s="172"/>
      <c r="JDD28" s="172"/>
      <c r="JDE28" s="172"/>
      <c r="JDF28" s="172"/>
      <c r="JDG28" s="172"/>
      <c r="JDH28" s="172"/>
      <c r="JDI28" s="172"/>
      <c r="JDJ28" s="172"/>
      <c r="JDK28" s="172"/>
      <c r="JDL28" s="172"/>
      <c r="JDM28" s="172"/>
      <c r="JDN28" s="172"/>
      <c r="JDO28" s="172"/>
      <c r="JDP28" s="172"/>
      <c r="JDQ28" s="172"/>
      <c r="JDR28" s="172"/>
      <c r="JDS28" s="172"/>
      <c r="JDT28" s="172"/>
      <c r="JDU28" s="172"/>
      <c r="JDV28" s="172"/>
      <c r="JDW28" s="172"/>
      <c r="JDX28" s="172"/>
      <c r="JDY28" s="172"/>
      <c r="JDZ28" s="172"/>
      <c r="JEA28" s="172"/>
      <c r="JEB28" s="172"/>
      <c r="JEC28" s="172"/>
      <c r="JED28" s="172"/>
      <c r="JEE28" s="172"/>
      <c r="JEF28" s="172"/>
      <c r="JEG28" s="172"/>
      <c r="JEH28" s="172"/>
      <c r="JEI28" s="172"/>
      <c r="JEJ28" s="172"/>
      <c r="JEK28" s="172"/>
      <c r="JEL28" s="172"/>
      <c r="JEM28" s="172"/>
      <c r="JEN28" s="172"/>
      <c r="JEO28" s="172"/>
      <c r="JEP28" s="172"/>
      <c r="JEQ28" s="172"/>
      <c r="JER28" s="172"/>
      <c r="JES28" s="172"/>
      <c r="JET28" s="172"/>
      <c r="JEU28" s="172"/>
      <c r="JEV28" s="172"/>
      <c r="JEW28" s="172"/>
      <c r="JEX28" s="172"/>
      <c r="JEY28" s="172"/>
      <c r="JEZ28" s="172"/>
      <c r="JFA28" s="172"/>
      <c r="JFB28" s="172"/>
      <c r="JFC28" s="172"/>
      <c r="JFD28" s="172"/>
      <c r="JFE28" s="172"/>
      <c r="JFF28" s="172"/>
      <c r="JFG28" s="172"/>
      <c r="JFH28" s="172"/>
      <c r="JFI28" s="172"/>
      <c r="JFJ28" s="172"/>
      <c r="JFK28" s="172"/>
      <c r="JFL28" s="172"/>
      <c r="JFM28" s="172"/>
      <c r="JFN28" s="172"/>
      <c r="JFO28" s="172"/>
      <c r="JFP28" s="172"/>
      <c r="JFQ28" s="172"/>
      <c r="JFR28" s="172"/>
      <c r="JFS28" s="172"/>
      <c r="JFT28" s="172"/>
      <c r="JFU28" s="172"/>
      <c r="JFV28" s="172"/>
      <c r="JFW28" s="172"/>
      <c r="JFX28" s="172"/>
      <c r="JFY28" s="172"/>
      <c r="JFZ28" s="172"/>
      <c r="JGA28" s="172"/>
      <c r="JGB28" s="172"/>
      <c r="JGC28" s="172"/>
      <c r="JGD28" s="172"/>
      <c r="JGE28" s="172"/>
      <c r="JGF28" s="172"/>
      <c r="JGG28" s="172"/>
      <c r="JGH28" s="172"/>
      <c r="JGI28" s="172"/>
      <c r="JGJ28" s="172"/>
      <c r="JGK28" s="172"/>
      <c r="JGL28" s="172"/>
      <c r="JGM28" s="172"/>
      <c r="JGN28" s="172"/>
      <c r="JGO28" s="172"/>
      <c r="JGP28" s="172"/>
      <c r="JGQ28" s="172"/>
      <c r="JGR28" s="172"/>
      <c r="JGS28" s="172"/>
      <c r="JGT28" s="172"/>
      <c r="JGU28" s="172"/>
      <c r="JGV28" s="172"/>
      <c r="JGW28" s="172"/>
      <c r="JGX28" s="172"/>
      <c r="JGY28" s="172"/>
      <c r="JGZ28" s="172"/>
      <c r="JHA28" s="172"/>
      <c r="JHB28" s="172"/>
      <c r="JHC28" s="172"/>
      <c r="JHD28" s="172"/>
      <c r="JHE28" s="172"/>
      <c r="JHF28" s="172"/>
      <c r="JHG28" s="172"/>
      <c r="JHH28" s="172"/>
      <c r="JHI28" s="172"/>
      <c r="JHJ28" s="172"/>
      <c r="JHK28" s="172"/>
      <c r="JHL28" s="172"/>
      <c r="JHM28" s="172"/>
      <c r="JHN28" s="172"/>
      <c r="JHO28" s="172"/>
      <c r="JHP28" s="172"/>
      <c r="JHQ28" s="172"/>
      <c r="JHR28" s="172"/>
      <c r="JHS28" s="172"/>
      <c r="JHT28" s="172"/>
      <c r="JHU28" s="172"/>
      <c r="JHV28" s="172"/>
      <c r="JHW28" s="172"/>
      <c r="JHX28" s="172"/>
      <c r="JHY28" s="172"/>
      <c r="JHZ28" s="172"/>
      <c r="JIA28" s="172"/>
      <c r="JIB28" s="172"/>
      <c r="JIC28" s="172"/>
      <c r="JID28" s="172"/>
      <c r="JIE28" s="172"/>
      <c r="JIF28" s="172"/>
      <c r="JIG28" s="172"/>
      <c r="JIH28" s="172"/>
      <c r="JII28" s="172"/>
      <c r="JIJ28" s="172"/>
      <c r="JIK28" s="172"/>
      <c r="JIL28" s="172"/>
      <c r="JIM28" s="172"/>
      <c r="JIN28" s="172"/>
      <c r="JIO28" s="172"/>
      <c r="JIP28" s="172"/>
      <c r="JIQ28" s="172"/>
      <c r="JIR28" s="172"/>
      <c r="JIS28" s="172"/>
      <c r="JIT28" s="172"/>
      <c r="JIU28" s="172"/>
      <c r="JIV28" s="172"/>
      <c r="JIW28" s="172"/>
      <c r="JIX28" s="172"/>
      <c r="JIY28" s="172"/>
      <c r="JIZ28" s="172"/>
      <c r="JJA28" s="172"/>
      <c r="JJB28" s="172"/>
      <c r="JJC28" s="172"/>
      <c r="JJD28" s="172"/>
      <c r="JJE28" s="172"/>
      <c r="JJF28" s="172"/>
      <c r="JJG28" s="172"/>
      <c r="JJH28" s="172"/>
      <c r="JJI28" s="172"/>
      <c r="JJJ28" s="172"/>
      <c r="JJK28" s="172"/>
      <c r="JJL28" s="172"/>
      <c r="JJM28" s="172"/>
      <c r="JJN28" s="172"/>
      <c r="JJO28" s="172"/>
      <c r="JJP28" s="172"/>
      <c r="JJQ28" s="172"/>
      <c r="JJR28" s="172"/>
      <c r="JJS28" s="172"/>
      <c r="JJT28" s="172"/>
      <c r="JJU28" s="172"/>
      <c r="JJV28" s="172"/>
      <c r="JJW28" s="172"/>
      <c r="JJX28" s="172"/>
      <c r="JJY28" s="172"/>
      <c r="JJZ28" s="172"/>
      <c r="JKA28" s="172"/>
      <c r="JKB28" s="172"/>
      <c r="JKC28" s="172"/>
      <c r="JKD28" s="172"/>
      <c r="JKE28" s="172"/>
      <c r="JKF28" s="172"/>
      <c r="JKG28" s="172"/>
      <c r="JKH28" s="172"/>
      <c r="JKI28" s="172"/>
      <c r="JKJ28" s="172"/>
      <c r="JKK28" s="172"/>
      <c r="JKL28" s="172"/>
      <c r="JKM28" s="172"/>
      <c r="JKN28" s="172"/>
      <c r="JKO28" s="172"/>
      <c r="JKP28" s="172"/>
      <c r="JKQ28" s="172"/>
      <c r="JKR28" s="172"/>
      <c r="JKS28" s="172"/>
      <c r="JKT28" s="172"/>
      <c r="JKU28" s="172"/>
      <c r="JKV28" s="172"/>
      <c r="JKW28" s="172"/>
      <c r="JKX28" s="172"/>
      <c r="JKY28" s="172"/>
      <c r="JKZ28" s="172"/>
      <c r="JLA28" s="172"/>
      <c r="JLB28" s="172"/>
      <c r="JLC28" s="172"/>
      <c r="JLD28" s="172"/>
      <c r="JLE28" s="172"/>
      <c r="JLF28" s="172"/>
      <c r="JLG28" s="172"/>
      <c r="JLH28" s="172"/>
      <c r="JLI28" s="172"/>
      <c r="JLJ28" s="172"/>
      <c r="JLK28" s="172"/>
      <c r="JLL28" s="172"/>
      <c r="JLM28" s="172"/>
      <c r="JLN28" s="172"/>
      <c r="JLO28" s="172"/>
      <c r="JLP28" s="172"/>
      <c r="JLQ28" s="172"/>
      <c r="JLR28" s="172"/>
      <c r="JLS28" s="172"/>
      <c r="JLT28" s="172"/>
      <c r="JLU28" s="172"/>
      <c r="JLV28" s="172"/>
      <c r="JLW28" s="172"/>
      <c r="JLX28" s="172"/>
      <c r="JLY28" s="172"/>
      <c r="JLZ28" s="172"/>
      <c r="JMA28" s="172"/>
      <c r="JMB28" s="172"/>
      <c r="JMC28" s="172"/>
      <c r="JMD28" s="172"/>
      <c r="JME28" s="172"/>
      <c r="JMF28" s="172"/>
      <c r="JMG28" s="172"/>
      <c r="JMH28" s="172"/>
      <c r="JMI28" s="172"/>
      <c r="JMJ28" s="172"/>
      <c r="JMK28" s="172"/>
      <c r="JML28" s="172"/>
      <c r="JMM28" s="172"/>
      <c r="JMN28" s="172"/>
      <c r="JMO28" s="172"/>
      <c r="JMP28" s="172"/>
      <c r="JMQ28" s="172"/>
      <c r="JMR28" s="172"/>
      <c r="JMS28" s="172"/>
      <c r="JMT28" s="172"/>
      <c r="JMU28" s="172"/>
      <c r="JMV28" s="172"/>
      <c r="JMW28" s="172"/>
      <c r="JMX28" s="172"/>
      <c r="JMY28" s="172"/>
      <c r="JMZ28" s="172"/>
      <c r="JNA28" s="172"/>
      <c r="JNB28" s="172"/>
      <c r="JNC28" s="172"/>
      <c r="JND28" s="172"/>
      <c r="JNE28" s="172"/>
      <c r="JNF28" s="172"/>
      <c r="JNG28" s="172"/>
      <c r="JNH28" s="172"/>
      <c r="JNI28" s="172"/>
      <c r="JNJ28" s="172"/>
      <c r="JNK28" s="172"/>
      <c r="JNL28" s="172"/>
      <c r="JNM28" s="172"/>
      <c r="JNN28" s="172"/>
      <c r="JNO28" s="172"/>
      <c r="JNP28" s="172"/>
      <c r="JNQ28" s="172"/>
      <c r="JNR28" s="172"/>
      <c r="JNS28" s="172"/>
      <c r="JNT28" s="172"/>
      <c r="JNU28" s="172"/>
      <c r="JNV28" s="172"/>
      <c r="JNW28" s="172"/>
      <c r="JNX28" s="172"/>
      <c r="JNY28" s="172"/>
      <c r="JNZ28" s="172"/>
      <c r="JOA28" s="172"/>
      <c r="JOB28" s="172"/>
      <c r="JOC28" s="172"/>
      <c r="JOD28" s="172"/>
      <c r="JOE28" s="172"/>
      <c r="JOF28" s="172"/>
      <c r="JOG28" s="172"/>
      <c r="JOH28" s="172"/>
      <c r="JOI28" s="172"/>
      <c r="JOJ28" s="172"/>
      <c r="JOK28" s="172"/>
      <c r="JOL28" s="172"/>
      <c r="JOM28" s="172"/>
      <c r="JON28" s="172"/>
      <c r="JOO28" s="172"/>
      <c r="JOP28" s="172"/>
      <c r="JOQ28" s="172"/>
      <c r="JOR28" s="172"/>
      <c r="JOS28" s="172"/>
      <c r="JOT28" s="172"/>
      <c r="JOU28" s="172"/>
      <c r="JOV28" s="172"/>
      <c r="JOW28" s="172"/>
      <c r="JOX28" s="172"/>
      <c r="JOY28" s="172"/>
      <c r="JOZ28" s="172"/>
      <c r="JPA28" s="172"/>
      <c r="JPB28" s="172"/>
      <c r="JPC28" s="172"/>
      <c r="JPD28" s="172"/>
      <c r="JPE28" s="172"/>
      <c r="JPF28" s="172"/>
      <c r="JPG28" s="172"/>
      <c r="JPH28" s="172"/>
      <c r="JPI28" s="172"/>
      <c r="JPJ28" s="172"/>
      <c r="JPK28" s="172"/>
      <c r="JPL28" s="172"/>
      <c r="JPM28" s="172"/>
      <c r="JPN28" s="172"/>
      <c r="JPO28" s="172"/>
      <c r="JPP28" s="172"/>
      <c r="JPQ28" s="172"/>
      <c r="JPR28" s="172"/>
      <c r="JPS28" s="172"/>
      <c r="JPT28" s="172"/>
      <c r="JPU28" s="172"/>
      <c r="JPV28" s="172"/>
      <c r="JPW28" s="172"/>
      <c r="JPX28" s="172"/>
      <c r="JPY28" s="172"/>
      <c r="JPZ28" s="172"/>
      <c r="JQA28" s="172"/>
      <c r="JQB28" s="172"/>
      <c r="JQC28" s="172"/>
      <c r="JQD28" s="172"/>
      <c r="JQE28" s="172"/>
      <c r="JQF28" s="172"/>
      <c r="JQG28" s="172"/>
      <c r="JQH28" s="172"/>
      <c r="JQI28" s="172"/>
      <c r="JQJ28" s="172"/>
      <c r="JQK28" s="172"/>
      <c r="JQL28" s="172"/>
      <c r="JQM28" s="172"/>
      <c r="JQN28" s="172"/>
      <c r="JQO28" s="172"/>
      <c r="JQP28" s="172"/>
      <c r="JQQ28" s="172"/>
      <c r="JQR28" s="172"/>
      <c r="JQS28" s="172"/>
      <c r="JQT28" s="172"/>
      <c r="JQU28" s="172"/>
      <c r="JQV28" s="172"/>
      <c r="JQW28" s="172"/>
      <c r="JQX28" s="172"/>
      <c r="JQY28" s="172"/>
      <c r="JQZ28" s="172"/>
      <c r="JRA28" s="172"/>
      <c r="JRB28" s="172"/>
      <c r="JRC28" s="172"/>
      <c r="JRD28" s="172"/>
      <c r="JRE28" s="172"/>
      <c r="JRF28" s="172"/>
      <c r="JRG28" s="172"/>
      <c r="JRH28" s="172"/>
      <c r="JRI28" s="172"/>
      <c r="JRJ28" s="172"/>
      <c r="JRK28" s="172"/>
      <c r="JRL28" s="172"/>
      <c r="JRM28" s="172"/>
      <c r="JRN28" s="172"/>
      <c r="JRO28" s="172"/>
      <c r="JRP28" s="172"/>
      <c r="JRQ28" s="172"/>
      <c r="JRR28" s="172"/>
      <c r="JRS28" s="172"/>
      <c r="JRT28" s="172"/>
      <c r="JRU28" s="172"/>
      <c r="JRV28" s="172"/>
      <c r="JRW28" s="172"/>
      <c r="JRX28" s="172"/>
      <c r="JRY28" s="172"/>
      <c r="JRZ28" s="172"/>
      <c r="JSA28" s="172"/>
      <c r="JSB28" s="172"/>
      <c r="JSC28" s="172"/>
      <c r="JSD28" s="172"/>
      <c r="JSE28" s="172"/>
      <c r="JSF28" s="172"/>
      <c r="JSG28" s="172"/>
      <c r="JSH28" s="172"/>
      <c r="JSI28" s="172"/>
      <c r="JSJ28" s="172"/>
      <c r="JSK28" s="172"/>
      <c r="JSL28" s="172"/>
      <c r="JSM28" s="172"/>
      <c r="JSN28" s="172"/>
      <c r="JSO28" s="172"/>
      <c r="JSP28" s="172"/>
      <c r="JSQ28" s="172"/>
      <c r="JSR28" s="172"/>
      <c r="JSS28" s="172"/>
      <c r="JST28" s="172"/>
      <c r="JSU28" s="172"/>
      <c r="JSV28" s="172"/>
      <c r="JSW28" s="172"/>
      <c r="JSX28" s="172"/>
      <c r="JSY28" s="172"/>
      <c r="JSZ28" s="172"/>
      <c r="JTA28" s="172"/>
      <c r="JTB28" s="172"/>
      <c r="JTC28" s="172"/>
      <c r="JTD28" s="172"/>
      <c r="JTE28" s="172"/>
      <c r="JTF28" s="172"/>
      <c r="JTG28" s="172"/>
      <c r="JTH28" s="172"/>
      <c r="JTI28" s="172"/>
      <c r="JTJ28" s="172"/>
      <c r="JTK28" s="172"/>
      <c r="JTL28" s="172"/>
      <c r="JTM28" s="172"/>
      <c r="JTN28" s="172"/>
      <c r="JTO28" s="172"/>
      <c r="JTP28" s="172"/>
      <c r="JTQ28" s="172"/>
      <c r="JTR28" s="172"/>
      <c r="JTS28" s="172"/>
      <c r="JTT28" s="172"/>
      <c r="JTU28" s="172"/>
      <c r="JTV28" s="172"/>
      <c r="JTW28" s="172"/>
      <c r="JTX28" s="172"/>
      <c r="JTY28" s="172"/>
      <c r="JTZ28" s="172"/>
      <c r="JUA28" s="172"/>
      <c r="JUB28" s="172"/>
      <c r="JUC28" s="172"/>
      <c r="JUD28" s="172"/>
      <c r="JUE28" s="172"/>
      <c r="JUF28" s="172"/>
      <c r="JUG28" s="172"/>
      <c r="JUH28" s="172"/>
      <c r="JUI28" s="172"/>
      <c r="JUJ28" s="172"/>
      <c r="JUK28" s="172"/>
      <c r="JUL28" s="172"/>
      <c r="JUM28" s="172"/>
      <c r="JUN28" s="172"/>
      <c r="JUO28" s="172"/>
      <c r="JUP28" s="172"/>
      <c r="JUQ28" s="172"/>
      <c r="JUR28" s="172"/>
      <c r="JUS28" s="172"/>
      <c r="JUT28" s="172"/>
      <c r="JUU28" s="172"/>
      <c r="JUV28" s="172"/>
      <c r="JUW28" s="172"/>
      <c r="JUX28" s="172"/>
      <c r="JUY28" s="172"/>
      <c r="JUZ28" s="172"/>
      <c r="JVA28" s="172"/>
      <c r="JVB28" s="172"/>
      <c r="JVC28" s="172"/>
      <c r="JVD28" s="172"/>
      <c r="JVE28" s="172"/>
      <c r="JVF28" s="172"/>
      <c r="JVG28" s="172"/>
      <c r="JVH28" s="172"/>
      <c r="JVI28" s="172"/>
      <c r="JVJ28" s="172"/>
      <c r="JVK28" s="172"/>
      <c r="JVL28" s="172"/>
      <c r="JVM28" s="172"/>
      <c r="JVN28" s="172"/>
      <c r="JVO28" s="172"/>
      <c r="JVP28" s="172"/>
      <c r="JVQ28" s="172"/>
      <c r="JVR28" s="172"/>
      <c r="JVS28" s="172"/>
      <c r="JVT28" s="172"/>
      <c r="JVU28" s="172"/>
      <c r="JVV28" s="172"/>
      <c r="JVW28" s="172"/>
      <c r="JVX28" s="172"/>
      <c r="JVY28" s="172"/>
      <c r="JVZ28" s="172"/>
      <c r="JWA28" s="172"/>
      <c r="JWB28" s="172"/>
      <c r="JWC28" s="172"/>
      <c r="JWD28" s="172"/>
      <c r="JWE28" s="172"/>
      <c r="JWF28" s="172"/>
      <c r="JWG28" s="172"/>
      <c r="JWH28" s="172"/>
      <c r="JWI28" s="172"/>
      <c r="JWJ28" s="172"/>
      <c r="JWK28" s="172"/>
      <c r="JWL28" s="172"/>
      <c r="JWM28" s="172"/>
      <c r="JWN28" s="172"/>
      <c r="JWO28" s="172"/>
      <c r="JWP28" s="172"/>
      <c r="JWQ28" s="172"/>
      <c r="JWR28" s="172"/>
      <c r="JWS28" s="172"/>
      <c r="JWT28" s="172"/>
      <c r="JWU28" s="172"/>
      <c r="JWV28" s="172"/>
      <c r="JWW28" s="172"/>
      <c r="JWX28" s="172"/>
      <c r="JWY28" s="172"/>
      <c r="JWZ28" s="172"/>
      <c r="JXA28" s="172"/>
      <c r="JXB28" s="172"/>
      <c r="JXC28" s="172"/>
      <c r="JXD28" s="172"/>
      <c r="JXE28" s="172"/>
      <c r="JXF28" s="172"/>
      <c r="JXG28" s="172"/>
      <c r="JXH28" s="172"/>
      <c r="JXI28" s="172"/>
      <c r="JXJ28" s="172"/>
      <c r="JXK28" s="172"/>
      <c r="JXL28" s="172"/>
      <c r="JXM28" s="172"/>
      <c r="JXN28" s="172"/>
      <c r="JXO28" s="172"/>
      <c r="JXP28" s="172"/>
      <c r="JXQ28" s="172"/>
      <c r="JXR28" s="172"/>
      <c r="JXS28" s="172"/>
      <c r="JXT28" s="172"/>
      <c r="JXU28" s="172"/>
      <c r="JXV28" s="172"/>
      <c r="JXW28" s="172"/>
      <c r="JXX28" s="172"/>
      <c r="JXY28" s="172"/>
      <c r="JXZ28" s="172"/>
      <c r="JYA28" s="172"/>
      <c r="JYB28" s="172"/>
      <c r="JYC28" s="172"/>
      <c r="JYD28" s="172"/>
      <c r="JYE28" s="172"/>
      <c r="JYF28" s="172"/>
      <c r="JYG28" s="172"/>
      <c r="JYH28" s="172"/>
      <c r="JYI28" s="172"/>
      <c r="JYJ28" s="172"/>
      <c r="JYK28" s="172"/>
      <c r="JYL28" s="172"/>
      <c r="JYM28" s="172"/>
      <c r="JYN28" s="172"/>
      <c r="JYO28" s="172"/>
      <c r="JYP28" s="172"/>
      <c r="JYQ28" s="172"/>
      <c r="JYR28" s="172"/>
      <c r="JYS28" s="172"/>
      <c r="JYT28" s="172"/>
      <c r="JYU28" s="172"/>
      <c r="JYV28" s="172"/>
      <c r="JYW28" s="172"/>
      <c r="JYX28" s="172"/>
      <c r="JYY28" s="172"/>
      <c r="JYZ28" s="172"/>
      <c r="JZA28" s="172"/>
      <c r="JZB28" s="172"/>
      <c r="JZC28" s="172"/>
      <c r="JZD28" s="172"/>
      <c r="JZE28" s="172"/>
      <c r="JZF28" s="172"/>
      <c r="JZG28" s="172"/>
      <c r="JZH28" s="172"/>
      <c r="JZI28" s="172"/>
      <c r="JZJ28" s="172"/>
      <c r="JZK28" s="172"/>
      <c r="JZL28" s="172"/>
      <c r="JZM28" s="172"/>
      <c r="JZN28" s="172"/>
      <c r="JZO28" s="172"/>
      <c r="JZP28" s="172"/>
      <c r="JZQ28" s="172"/>
      <c r="JZR28" s="172"/>
      <c r="JZS28" s="172"/>
      <c r="JZT28" s="172"/>
      <c r="JZU28" s="172"/>
      <c r="JZV28" s="172"/>
      <c r="JZW28" s="172"/>
      <c r="JZX28" s="172"/>
      <c r="JZY28" s="172"/>
      <c r="JZZ28" s="172"/>
      <c r="KAA28" s="172"/>
      <c r="KAB28" s="172"/>
      <c r="KAC28" s="172"/>
      <c r="KAD28" s="172"/>
      <c r="KAE28" s="172"/>
      <c r="KAF28" s="172"/>
      <c r="KAG28" s="172"/>
      <c r="KAH28" s="172"/>
      <c r="KAI28" s="172"/>
      <c r="KAJ28" s="172"/>
      <c r="KAK28" s="172"/>
      <c r="KAL28" s="172"/>
      <c r="KAM28" s="172"/>
      <c r="KAN28" s="172"/>
      <c r="KAO28" s="172"/>
      <c r="KAP28" s="172"/>
      <c r="KAQ28" s="172"/>
      <c r="KAR28" s="172"/>
      <c r="KAS28" s="172"/>
      <c r="KAT28" s="172"/>
      <c r="KAU28" s="172"/>
      <c r="KAV28" s="172"/>
      <c r="KAW28" s="172"/>
      <c r="KAX28" s="172"/>
      <c r="KAY28" s="172"/>
      <c r="KAZ28" s="172"/>
      <c r="KBA28" s="172"/>
      <c r="KBB28" s="172"/>
      <c r="KBC28" s="172"/>
      <c r="KBD28" s="172"/>
      <c r="KBE28" s="172"/>
      <c r="KBF28" s="172"/>
      <c r="KBG28" s="172"/>
      <c r="KBH28" s="172"/>
      <c r="KBI28" s="172"/>
      <c r="KBJ28" s="172"/>
      <c r="KBK28" s="172"/>
      <c r="KBL28" s="172"/>
      <c r="KBM28" s="172"/>
      <c r="KBN28" s="172"/>
      <c r="KBO28" s="172"/>
      <c r="KBP28" s="172"/>
      <c r="KBQ28" s="172"/>
      <c r="KBR28" s="172"/>
      <c r="KBS28" s="172"/>
      <c r="KBT28" s="172"/>
      <c r="KBU28" s="172"/>
      <c r="KBV28" s="172"/>
      <c r="KBW28" s="172"/>
      <c r="KBX28" s="172"/>
      <c r="KBY28" s="172"/>
      <c r="KBZ28" s="172"/>
      <c r="KCA28" s="172"/>
      <c r="KCB28" s="172"/>
      <c r="KCC28" s="172"/>
      <c r="KCD28" s="172"/>
      <c r="KCE28" s="172"/>
      <c r="KCF28" s="172"/>
      <c r="KCG28" s="172"/>
      <c r="KCH28" s="172"/>
      <c r="KCI28" s="172"/>
      <c r="KCJ28" s="172"/>
      <c r="KCK28" s="172"/>
      <c r="KCL28" s="172"/>
      <c r="KCM28" s="172"/>
      <c r="KCN28" s="172"/>
      <c r="KCO28" s="172"/>
      <c r="KCP28" s="172"/>
      <c r="KCQ28" s="172"/>
      <c r="KCR28" s="172"/>
      <c r="KCS28" s="172"/>
      <c r="KCT28" s="172"/>
      <c r="KCU28" s="172"/>
      <c r="KCV28" s="172"/>
      <c r="KCW28" s="172"/>
      <c r="KCX28" s="172"/>
      <c r="KCY28" s="172"/>
      <c r="KCZ28" s="172"/>
      <c r="KDA28" s="172"/>
      <c r="KDB28" s="172"/>
      <c r="KDC28" s="172"/>
      <c r="KDD28" s="172"/>
      <c r="KDE28" s="172"/>
      <c r="KDF28" s="172"/>
      <c r="KDG28" s="172"/>
      <c r="KDH28" s="172"/>
      <c r="KDI28" s="172"/>
      <c r="KDJ28" s="172"/>
      <c r="KDK28" s="172"/>
      <c r="KDL28" s="172"/>
      <c r="KDM28" s="172"/>
      <c r="KDN28" s="172"/>
      <c r="KDO28" s="172"/>
      <c r="KDP28" s="172"/>
      <c r="KDQ28" s="172"/>
      <c r="KDR28" s="172"/>
      <c r="KDS28" s="172"/>
      <c r="KDT28" s="172"/>
      <c r="KDU28" s="172"/>
      <c r="KDV28" s="172"/>
      <c r="KDW28" s="172"/>
      <c r="KDX28" s="172"/>
      <c r="KDY28" s="172"/>
      <c r="KDZ28" s="172"/>
      <c r="KEA28" s="172"/>
      <c r="KEB28" s="172"/>
      <c r="KEC28" s="172"/>
      <c r="KED28" s="172"/>
      <c r="KEE28" s="172"/>
      <c r="KEF28" s="172"/>
      <c r="KEG28" s="172"/>
      <c r="KEH28" s="172"/>
      <c r="KEI28" s="172"/>
      <c r="KEJ28" s="172"/>
      <c r="KEK28" s="172"/>
      <c r="KEL28" s="172"/>
      <c r="KEM28" s="172"/>
      <c r="KEN28" s="172"/>
      <c r="KEO28" s="172"/>
      <c r="KEP28" s="172"/>
      <c r="KEQ28" s="172"/>
      <c r="KER28" s="172"/>
      <c r="KES28" s="172"/>
      <c r="KET28" s="172"/>
      <c r="KEU28" s="172"/>
      <c r="KEV28" s="172"/>
      <c r="KEW28" s="172"/>
      <c r="KEX28" s="172"/>
      <c r="KEY28" s="172"/>
      <c r="KEZ28" s="172"/>
      <c r="KFA28" s="172"/>
      <c r="KFB28" s="172"/>
      <c r="KFC28" s="172"/>
      <c r="KFD28" s="172"/>
      <c r="KFE28" s="172"/>
      <c r="KFF28" s="172"/>
      <c r="KFG28" s="172"/>
      <c r="KFH28" s="172"/>
      <c r="KFI28" s="172"/>
      <c r="KFJ28" s="172"/>
      <c r="KFK28" s="172"/>
      <c r="KFL28" s="172"/>
      <c r="KFM28" s="172"/>
      <c r="KFN28" s="172"/>
      <c r="KFO28" s="172"/>
      <c r="KFP28" s="172"/>
      <c r="KFQ28" s="172"/>
      <c r="KFR28" s="172"/>
      <c r="KFS28" s="172"/>
      <c r="KFT28" s="172"/>
      <c r="KFU28" s="172"/>
      <c r="KFV28" s="172"/>
      <c r="KFW28" s="172"/>
      <c r="KFX28" s="172"/>
      <c r="KFY28" s="172"/>
      <c r="KFZ28" s="172"/>
      <c r="KGA28" s="172"/>
      <c r="KGB28" s="172"/>
      <c r="KGC28" s="172"/>
      <c r="KGD28" s="172"/>
      <c r="KGE28" s="172"/>
      <c r="KGF28" s="172"/>
      <c r="KGG28" s="172"/>
      <c r="KGH28" s="172"/>
      <c r="KGI28" s="172"/>
      <c r="KGJ28" s="172"/>
      <c r="KGK28" s="172"/>
      <c r="KGL28" s="172"/>
      <c r="KGM28" s="172"/>
      <c r="KGN28" s="172"/>
      <c r="KGO28" s="172"/>
      <c r="KGP28" s="172"/>
      <c r="KGQ28" s="172"/>
      <c r="KGR28" s="172"/>
      <c r="KGS28" s="172"/>
      <c r="KGT28" s="172"/>
      <c r="KGU28" s="172"/>
      <c r="KGV28" s="172"/>
      <c r="KGW28" s="172"/>
      <c r="KGX28" s="172"/>
      <c r="KGY28" s="172"/>
      <c r="KGZ28" s="172"/>
      <c r="KHA28" s="172"/>
      <c r="KHB28" s="172"/>
      <c r="KHC28" s="172"/>
      <c r="KHD28" s="172"/>
      <c r="KHE28" s="172"/>
      <c r="KHF28" s="172"/>
      <c r="KHG28" s="172"/>
      <c r="KHH28" s="172"/>
      <c r="KHI28" s="172"/>
      <c r="KHJ28" s="172"/>
      <c r="KHK28" s="172"/>
      <c r="KHL28" s="172"/>
      <c r="KHM28" s="172"/>
      <c r="KHN28" s="172"/>
      <c r="KHO28" s="172"/>
      <c r="KHP28" s="172"/>
      <c r="KHQ28" s="172"/>
      <c r="KHR28" s="172"/>
      <c r="KHS28" s="172"/>
      <c r="KHT28" s="172"/>
      <c r="KHU28" s="172"/>
      <c r="KHV28" s="172"/>
      <c r="KHW28" s="172"/>
      <c r="KHX28" s="172"/>
      <c r="KHY28" s="172"/>
      <c r="KHZ28" s="172"/>
      <c r="KIA28" s="172"/>
      <c r="KIB28" s="172"/>
      <c r="KIC28" s="172"/>
      <c r="KID28" s="172"/>
      <c r="KIE28" s="172"/>
      <c r="KIF28" s="172"/>
      <c r="KIG28" s="172"/>
      <c r="KIH28" s="172"/>
      <c r="KII28" s="172"/>
      <c r="KIJ28" s="172"/>
      <c r="KIK28" s="172"/>
      <c r="KIL28" s="172"/>
      <c r="KIM28" s="172"/>
      <c r="KIN28" s="172"/>
      <c r="KIO28" s="172"/>
      <c r="KIP28" s="172"/>
      <c r="KIQ28" s="172"/>
      <c r="KIR28" s="172"/>
      <c r="KIS28" s="172"/>
      <c r="KIT28" s="172"/>
      <c r="KIU28" s="172"/>
      <c r="KIV28" s="172"/>
      <c r="KIW28" s="172"/>
      <c r="KIX28" s="172"/>
      <c r="KIY28" s="172"/>
      <c r="KIZ28" s="172"/>
      <c r="KJA28" s="172"/>
      <c r="KJB28" s="172"/>
      <c r="KJC28" s="172"/>
      <c r="KJD28" s="172"/>
      <c r="KJE28" s="172"/>
      <c r="KJF28" s="172"/>
      <c r="KJG28" s="172"/>
      <c r="KJH28" s="172"/>
      <c r="KJI28" s="172"/>
      <c r="KJJ28" s="172"/>
      <c r="KJK28" s="172"/>
      <c r="KJL28" s="172"/>
      <c r="KJM28" s="172"/>
      <c r="KJN28" s="172"/>
      <c r="KJO28" s="172"/>
      <c r="KJP28" s="172"/>
      <c r="KJQ28" s="172"/>
      <c r="KJR28" s="172"/>
      <c r="KJS28" s="172"/>
      <c r="KJT28" s="172"/>
      <c r="KJU28" s="172"/>
      <c r="KJV28" s="172"/>
      <c r="KJW28" s="172"/>
      <c r="KJX28" s="172"/>
      <c r="KJY28" s="172"/>
      <c r="KJZ28" s="172"/>
      <c r="KKA28" s="172"/>
      <c r="KKB28" s="172"/>
      <c r="KKC28" s="172"/>
      <c r="KKD28" s="172"/>
      <c r="KKE28" s="172"/>
      <c r="KKF28" s="172"/>
      <c r="KKG28" s="172"/>
      <c r="KKH28" s="172"/>
      <c r="KKI28" s="172"/>
      <c r="KKJ28" s="172"/>
      <c r="KKK28" s="172"/>
      <c r="KKL28" s="172"/>
      <c r="KKM28" s="172"/>
      <c r="KKN28" s="172"/>
      <c r="KKO28" s="172"/>
      <c r="KKP28" s="172"/>
      <c r="KKQ28" s="172"/>
      <c r="KKR28" s="172"/>
      <c r="KKS28" s="172"/>
      <c r="KKT28" s="172"/>
      <c r="KKU28" s="172"/>
      <c r="KKV28" s="172"/>
      <c r="KKW28" s="172"/>
      <c r="KKX28" s="172"/>
      <c r="KKY28" s="172"/>
      <c r="KKZ28" s="172"/>
      <c r="KLA28" s="172"/>
      <c r="KLB28" s="172"/>
      <c r="KLC28" s="172"/>
      <c r="KLD28" s="172"/>
      <c r="KLE28" s="172"/>
      <c r="KLF28" s="172"/>
      <c r="KLG28" s="172"/>
      <c r="KLH28" s="172"/>
      <c r="KLI28" s="172"/>
      <c r="KLJ28" s="172"/>
      <c r="KLK28" s="172"/>
      <c r="KLL28" s="172"/>
      <c r="KLM28" s="172"/>
      <c r="KLN28" s="172"/>
      <c r="KLO28" s="172"/>
      <c r="KLP28" s="172"/>
      <c r="KLQ28" s="172"/>
      <c r="KLR28" s="172"/>
      <c r="KLS28" s="172"/>
      <c r="KLT28" s="172"/>
      <c r="KLU28" s="172"/>
      <c r="KLV28" s="172"/>
      <c r="KLW28" s="172"/>
      <c r="KLX28" s="172"/>
      <c r="KLY28" s="172"/>
      <c r="KLZ28" s="172"/>
      <c r="KMA28" s="172"/>
      <c r="KMB28" s="172"/>
      <c r="KMC28" s="172"/>
      <c r="KMD28" s="172"/>
      <c r="KME28" s="172"/>
      <c r="KMF28" s="172"/>
      <c r="KMG28" s="172"/>
      <c r="KMH28" s="172"/>
      <c r="KMI28" s="172"/>
      <c r="KMJ28" s="172"/>
      <c r="KMK28" s="172"/>
      <c r="KML28" s="172"/>
      <c r="KMM28" s="172"/>
      <c r="KMN28" s="172"/>
      <c r="KMO28" s="172"/>
      <c r="KMP28" s="172"/>
      <c r="KMQ28" s="172"/>
      <c r="KMR28" s="172"/>
      <c r="KMS28" s="172"/>
      <c r="KMT28" s="172"/>
      <c r="KMU28" s="172"/>
      <c r="KMV28" s="172"/>
      <c r="KMW28" s="172"/>
      <c r="KMX28" s="172"/>
      <c r="KMY28" s="172"/>
      <c r="KMZ28" s="172"/>
      <c r="KNA28" s="172"/>
      <c r="KNB28" s="172"/>
      <c r="KNC28" s="172"/>
      <c r="KND28" s="172"/>
      <c r="KNE28" s="172"/>
      <c r="KNF28" s="172"/>
      <c r="KNG28" s="172"/>
      <c r="KNH28" s="172"/>
      <c r="KNI28" s="172"/>
      <c r="KNJ28" s="172"/>
      <c r="KNK28" s="172"/>
      <c r="KNL28" s="172"/>
      <c r="KNM28" s="172"/>
      <c r="KNN28" s="172"/>
      <c r="KNO28" s="172"/>
      <c r="KNP28" s="172"/>
      <c r="KNQ28" s="172"/>
      <c r="KNR28" s="172"/>
      <c r="KNS28" s="172"/>
      <c r="KNT28" s="172"/>
      <c r="KNU28" s="172"/>
      <c r="KNV28" s="172"/>
      <c r="KNW28" s="172"/>
      <c r="KNX28" s="172"/>
      <c r="KNY28" s="172"/>
      <c r="KNZ28" s="172"/>
      <c r="KOA28" s="172"/>
      <c r="KOB28" s="172"/>
      <c r="KOC28" s="172"/>
      <c r="KOD28" s="172"/>
      <c r="KOE28" s="172"/>
      <c r="KOF28" s="172"/>
      <c r="KOG28" s="172"/>
      <c r="KOH28" s="172"/>
      <c r="KOI28" s="172"/>
      <c r="KOJ28" s="172"/>
      <c r="KOK28" s="172"/>
      <c r="KOL28" s="172"/>
      <c r="KOM28" s="172"/>
      <c r="KON28" s="172"/>
      <c r="KOO28" s="172"/>
      <c r="KOP28" s="172"/>
      <c r="KOQ28" s="172"/>
      <c r="KOR28" s="172"/>
      <c r="KOS28" s="172"/>
      <c r="KOT28" s="172"/>
      <c r="KOU28" s="172"/>
      <c r="KOV28" s="172"/>
      <c r="KOW28" s="172"/>
      <c r="KOX28" s="172"/>
      <c r="KOY28" s="172"/>
      <c r="KOZ28" s="172"/>
      <c r="KPA28" s="172"/>
      <c r="KPB28" s="172"/>
      <c r="KPC28" s="172"/>
      <c r="KPD28" s="172"/>
      <c r="KPE28" s="172"/>
      <c r="KPF28" s="172"/>
      <c r="KPG28" s="172"/>
      <c r="KPH28" s="172"/>
      <c r="KPI28" s="172"/>
      <c r="KPJ28" s="172"/>
      <c r="KPK28" s="172"/>
      <c r="KPL28" s="172"/>
      <c r="KPM28" s="172"/>
      <c r="KPN28" s="172"/>
      <c r="KPO28" s="172"/>
      <c r="KPP28" s="172"/>
      <c r="KPQ28" s="172"/>
      <c r="KPR28" s="172"/>
      <c r="KPS28" s="172"/>
      <c r="KPT28" s="172"/>
      <c r="KPU28" s="172"/>
      <c r="KPV28" s="172"/>
      <c r="KPW28" s="172"/>
      <c r="KPX28" s="172"/>
      <c r="KPY28" s="172"/>
      <c r="KPZ28" s="172"/>
      <c r="KQA28" s="172"/>
      <c r="KQB28" s="172"/>
      <c r="KQC28" s="172"/>
      <c r="KQD28" s="172"/>
      <c r="KQE28" s="172"/>
      <c r="KQF28" s="172"/>
      <c r="KQG28" s="172"/>
      <c r="KQH28" s="172"/>
      <c r="KQI28" s="172"/>
      <c r="KQJ28" s="172"/>
      <c r="KQK28" s="172"/>
      <c r="KQL28" s="172"/>
      <c r="KQM28" s="172"/>
      <c r="KQN28" s="172"/>
      <c r="KQO28" s="172"/>
      <c r="KQP28" s="172"/>
      <c r="KQQ28" s="172"/>
      <c r="KQR28" s="172"/>
      <c r="KQS28" s="172"/>
      <c r="KQT28" s="172"/>
      <c r="KQU28" s="172"/>
      <c r="KQV28" s="172"/>
      <c r="KQW28" s="172"/>
      <c r="KQX28" s="172"/>
      <c r="KQY28" s="172"/>
      <c r="KQZ28" s="172"/>
      <c r="KRA28" s="172"/>
      <c r="KRB28" s="172"/>
      <c r="KRC28" s="172"/>
      <c r="KRD28" s="172"/>
      <c r="KRE28" s="172"/>
      <c r="KRF28" s="172"/>
      <c r="KRG28" s="172"/>
      <c r="KRH28" s="172"/>
      <c r="KRI28" s="172"/>
      <c r="KRJ28" s="172"/>
      <c r="KRK28" s="172"/>
      <c r="KRL28" s="172"/>
      <c r="KRM28" s="172"/>
      <c r="KRN28" s="172"/>
      <c r="KRO28" s="172"/>
      <c r="KRP28" s="172"/>
      <c r="KRQ28" s="172"/>
      <c r="KRR28" s="172"/>
      <c r="KRS28" s="172"/>
      <c r="KRT28" s="172"/>
      <c r="KRU28" s="172"/>
      <c r="KRV28" s="172"/>
      <c r="KRW28" s="172"/>
      <c r="KRX28" s="172"/>
      <c r="KRY28" s="172"/>
      <c r="KRZ28" s="172"/>
      <c r="KSA28" s="172"/>
      <c r="KSB28" s="172"/>
      <c r="KSC28" s="172"/>
      <c r="KSD28" s="172"/>
      <c r="KSE28" s="172"/>
      <c r="KSF28" s="172"/>
      <c r="KSG28" s="172"/>
      <c r="KSH28" s="172"/>
      <c r="KSI28" s="172"/>
      <c r="KSJ28" s="172"/>
      <c r="KSK28" s="172"/>
      <c r="KSL28" s="172"/>
      <c r="KSM28" s="172"/>
      <c r="KSN28" s="172"/>
      <c r="KSO28" s="172"/>
      <c r="KSP28" s="172"/>
      <c r="KSQ28" s="172"/>
      <c r="KSR28" s="172"/>
      <c r="KSS28" s="172"/>
      <c r="KST28" s="172"/>
      <c r="KSU28" s="172"/>
      <c r="KSV28" s="172"/>
      <c r="KSW28" s="172"/>
      <c r="KSX28" s="172"/>
      <c r="KSY28" s="172"/>
      <c r="KSZ28" s="172"/>
      <c r="KTA28" s="172"/>
      <c r="KTB28" s="172"/>
      <c r="KTC28" s="172"/>
      <c r="KTD28" s="172"/>
      <c r="KTE28" s="172"/>
      <c r="KTF28" s="172"/>
      <c r="KTG28" s="172"/>
      <c r="KTH28" s="172"/>
      <c r="KTI28" s="172"/>
      <c r="KTJ28" s="172"/>
      <c r="KTK28" s="172"/>
      <c r="KTL28" s="172"/>
      <c r="KTM28" s="172"/>
      <c r="KTN28" s="172"/>
      <c r="KTO28" s="172"/>
      <c r="KTP28" s="172"/>
      <c r="KTQ28" s="172"/>
      <c r="KTR28" s="172"/>
      <c r="KTS28" s="172"/>
      <c r="KTT28" s="172"/>
      <c r="KTU28" s="172"/>
      <c r="KTV28" s="172"/>
      <c r="KTW28" s="172"/>
      <c r="KTX28" s="172"/>
      <c r="KTY28" s="172"/>
      <c r="KTZ28" s="172"/>
      <c r="KUA28" s="172"/>
      <c r="KUB28" s="172"/>
      <c r="KUC28" s="172"/>
      <c r="KUD28" s="172"/>
      <c r="KUE28" s="172"/>
      <c r="KUF28" s="172"/>
      <c r="KUG28" s="172"/>
      <c r="KUH28" s="172"/>
      <c r="KUI28" s="172"/>
      <c r="KUJ28" s="172"/>
      <c r="KUK28" s="172"/>
      <c r="KUL28" s="172"/>
      <c r="KUM28" s="172"/>
      <c r="KUN28" s="172"/>
      <c r="KUO28" s="172"/>
      <c r="KUP28" s="172"/>
      <c r="KUQ28" s="172"/>
      <c r="KUR28" s="172"/>
      <c r="KUS28" s="172"/>
      <c r="KUT28" s="172"/>
      <c r="KUU28" s="172"/>
      <c r="KUV28" s="172"/>
      <c r="KUW28" s="172"/>
      <c r="KUX28" s="172"/>
      <c r="KUY28" s="172"/>
      <c r="KUZ28" s="172"/>
      <c r="KVA28" s="172"/>
      <c r="KVB28" s="172"/>
      <c r="KVC28" s="172"/>
      <c r="KVD28" s="172"/>
      <c r="KVE28" s="172"/>
      <c r="KVF28" s="172"/>
      <c r="KVG28" s="172"/>
      <c r="KVH28" s="172"/>
      <c r="KVI28" s="172"/>
      <c r="KVJ28" s="172"/>
      <c r="KVK28" s="172"/>
      <c r="KVL28" s="172"/>
      <c r="KVM28" s="172"/>
      <c r="KVN28" s="172"/>
      <c r="KVO28" s="172"/>
      <c r="KVP28" s="172"/>
      <c r="KVQ28" s="172"/>
      <c r="KVR28" s="172"/>
      <c r="KVS28" s="172"/>
      <c r="KVT28" s="172"/>
      <c r="KVU28" s="172"/>
      <c r="KVV28" s="172"/>
      <c r="KVW28" s="172"/>
      <c r="KVX28" s="172"/>
      <c r="KVY28" s="172"/>
      <c r="KVZ28" s="172"/>
      <c r="KWA28" s="172"/>
      <c r="KWB28" s="172"/>
      <c r="KWC28" s="172"/>
      <c r="KWD28" s="172"/>
      <c r="KWE28" s="172"/>
      <c r="KWF28" s="172"/>
      <c r="KWG28" s="172"/>
      <c r="KWH28" s="172"/>
      <c r="KWI28" s="172"/>
      <c r="KWJ28" s="172"/>
      <c r="KWK28" s="172"/>
      <c r="KWL28" s="172"/>
      <c r="KWM28" s="172"/>
      <c r="KWN28" s="172"/>
      <c r="KWO28" s="172"/>
      <c r="KWP28" s="172"/>
      <c r="KWQ28" s="172"/>
      <c r="KWR28" s="172"/>
      <c r="KWS28" s="172"/>
      <c r="KWT28" s="172"/>
      <c r="KWU28" s="172"/>
      <c r="KWV28" s="172"/>
      <c r="KWW28" s="172"/>
      <c r="KWX28" s="172"/>
      <c r="KWY28" s="172"/>
      <c r="KWZ28" s="172"/>
      <c r="KXA28" s="172"/>
      <c r="KXB28" s="172"/>
      <c r="KXC28" s="172"/>
      <c r="KXD28" s="172"/>
      <c r="KXE28" s="172"/>
      <c r="KXF28" s="172"/>
      <c r="KXG28" s="172"/>
      <c r="KXH28" s="172"/>
      <c r="KXI28" s="172"/>
      <c r="KXJ28" s="172"/>
      <c r="KXK28" s="172"/>
      <c r="KXL28" s="172"/>
      <c r="KXM28" s="172"/>
      <c r="KXN28" s="172"/>
      <c r="KXO28" s="172"/>
      <c r="KXP28" s="172"/>
      <c r="KXQ28" s="172"/>
      <c r="KXR28" s="172"/>
      <c r="KXS28" s="172"/>
      <c r="KXT28" s="172"/>
      <c r="KXU28" s="172"/>
      <c r="KXV28" s="172"/>
      <c r="KXW28" s="172"/>
      <c r="KXX28" s="172"/>
      <c r="KXY28" s="172"/>
      <c r="KXZ28" s="172"/>
      <c r="KYA28" s="172"/>
      <c r="KYB28" s="172"/>
      <c r="KYC28" s="172"/>
      <c r="KYD28" s="172"/>
      <c r="KYE28" s="172"/>
      <c r="KYF28" s="172"/>
      <c r="KYG28" s="172"/>
      <c r="KYH28" s="172"/>
      <c r="KYI28" s="172"/>
      <c r="KYJ28" s="172"/>
      <c r="KYK28" s="172"/>
      <c r="KYL28" s="172"/>
      <c r="KYM28" s="172"/>
      <c r="KYN28" s="172"/>
      <c r="KYO28" s="172"/>
      <c r="KYP28" s="172"/>
      <c r="KYQ28" s="172"/>
      <c r="KYR28" s="172"/>
      <c r="KYS28" s="172"/>
      <c r="KYT28" s="172"/>
      <c r="KYU28" s="172"/>
      <c r="KYV28" s="172"/>
      <c r="KYW28" s="172"/>
      <c r="KYX28" s="172"/>
      <c r="KYY28" s="172"/>
      <c r="KYZ28" s="172"/>
      <c r="KZA28" s="172"/>
      <c r="KZB28" s="172"/>
      <c r="KZC28" s="172"/>
      <c r="KZD28" s="172"/>
      <c r="KZE28" s="172"/>
      <c r="KZF28" s="172"/>
      <c r="KZG28" s="172"/>
      <c r="KZH28" s="172"/>
      <c r="KZI28" s="172"/>
      <c r="KZJ28" s="172"/>
      <c r="KZK28" s="172"/>
      <c r="KZL28" s="172"/>
      <c r="KZM28" s="172"/>
      <c r="KZN28" s="172"/>
      <c r="KZO28" s="172"/>
      <c r="KZP28" s="172"/>
      <c r="KZQ28" s="172"/>
      <c r="KZR28" s="172"/>
      <c r="KZS28" s="172"/>
      <c r="KZT28" s="172"/>
      <c r="KZU28" s="172"/>
      <c r="KZV28" s="172"/>
      <c r="KZW28" s="172"/>
      <c r="KZX28" s="172"/>
      <c r="KZY28" s="172"/>
      <c r="KZZ28" s="172"/>
      <c r="LAA28" s="172"/>
      <c r="LAB28" s="172"/>
      <c r="LAC28" s="172"/>
      <c r="LAD28" s="172"/>
      <c r="LAE28" s="172"/>
      <c r="LAF28" s="172"/>
      <c r="LAG28" s="172"/>
      <c r="LAH28" s="172"/>
      <c r="LAI28" s="172"/>
      <c r="LAJ28" s="172"/>
      <c r="LAK28" s="172"/>
      <c r="LAL28" s="172"/>
      <c r="LAM28" s="172"/>
      <c r="LAN28" s="172"/>
      <c r="LAO28" s="172"/>
      <c r="LAP28" s="172"/>
      <c r="LAQ28" s="172"/>
      <c r="LAR28" s="172"/>
      <c r="LAS28" s="172"/>
      <c r="LAT28" s="172"/>
      <c r="LAU28" s="172"/>
      <c r="LAV28" s="172"/>
      <c r="LAW28" s="172"/>
      <c r="LAX28" s="172"/>
      <c r="LAY28" s="172"/>
      <c r="LAZ28" s="172"/>
      <c r="LBA28" s="172"/>
      <c r="LBB28" s="172"/>
      <c r="LBC28" s="172"/>
      <c r="LBD28" s="172"/>
      <c r="LBE28" s="172"/>
      <c r="LBF28" s="172"/>
      <c r="LBG28" s="172"/>
      <c r="LBH28" s="172"/>
      <c r="LBI28" s="172"/>
      <c r="LBJ28" s="172"/>
      <c r="LBK28" s="172"/>
      <c r="LBL28" s="172"/>
      <c r="LBM28" s="172"/>
      <c r="LBN28" s="172"/>
      <c r="LBO28" s="172"/>
      <c r="LBP28" s="172"/>
      <c r="LBQ28" s="172"/>
      <c r="LBR28" s="172"/>
      <c r="LBS28" s="172"/>
      <c r="LBT28" s="172"/>
      <c r="LBU28" s="172"/>
      <c r="LBV28" s="172"/>
      <c r="LBW28" s="172"/>
      <c r="LBX28" s="172"/>
      <c r="LBY28" s="172"/>
      <c r="LBZ28" s="172"/>
      <c r="LCA28" s="172"/>
      <c r="LCB28" s="172"/>
      <c r="LCC28" s="172"/>
      <c r="LCD28" s="172"/>
      <c r="LCE28" s="172"/>
      <c r="LCF28" s="172"/>
      <c r="LCG28" s="172"/>
      <c r="LCH28" s="172"/>
      <c r="LCI28" s="172"/>
      <c r="LCJ28" s="172"/>
      <c r="LCK28" s="172"/>
      <c r="LCL28" s="172"/>
      <c r="LCM28" s="172"/>
      <c r="LCN28" s="172"/>
      <c r="LCO28" s="172"/>
      <c r="LCP28" s="172"/>
      <c r="LCQ28" s="172"/>
      <c r="LCR28" s="172"/>
      <c r="LCS28" s="172"/>
      <c r="LCT28" s="172"/>
      <c r="LCU28" s="172"/>
      <c r="LCV28" s="172"/>
      <c r="LCW28" s="172"/>
      <c r="LCX28" s="172"/>
      <c r="LCY28" s="172"/>
      <c r="LCZ28" s="172"/>
      <c r="LDA28" s="172"/>
      <c r="LDB28" s="172"/>
      <c r="LDC28" s="172"/>
      <c r="LDD28" s="172"/>
      <c r="LDE28" s="172"/>
      <c r="LDF28" s="172"/>
      <c r="LDG28" s="172"/>
      <c r="LDH28" s="172"/>
      <c r="LDI28" s="172"/>
      <c r="LDJ28" s="172"/>
      <c r="LDK28" s="172"/>
      <c r="LDL28" s="172"/>
      <c r="LDM28" s="172"/>
      <c r="LDN28" s="172"/>
      <c r="LDO28" s="172"/>
      <c r="LDP28" s="172"/>
      <c r="LDQ28" s="172"/>
      <c r="LDR28" s="172"/>
      <c r="LDS28" s="172"/>
      <c r="LDT28" s="172"/>
      <c r="LDU28" s="172"/>
      <c r="LDV28" s="172"/>
      <c r="LDW28" s="172"/>
      <c r="LDX28" s="172"/>
      <c r="LDY28" s="172"/>
      <c r="LDZ28" s="172"/>
      <c r="LEA28" s="172"/>
      <c r="LEB28" s="172"/>
      <c r="LEC28" s="172"/>
      <c r="LED28" s="172"/>
      <c r="LEE28" s="172"/>
      <c r="LEF28" s="172"/>
      <c r="LEG28" s="172"/>
      <c r="LEH28" s="172"/>
      <c r="LEI28" s="172"/>
      <c r="LEJ28" s="172"/>
      <c r="LEK28" s="172"/>
      <c r="LEL28" s="172"/>
      <c r="LEM28" s="172"/>
      <c r="LEN28" s="172"/>
      <c r="LEO28" s="172"/>
      <c r="LEP28" s="172"/>
      <c r="LEQ28" s="172"/>
      <c r="LER28" s="172"/>
      <c r="LES28" s="172"/>
      <c r="LET28" s="172"/>
      <c r="LEU28" s="172"/>
      <c r="LEV28" s="172"/>
      <c r="LEW28" s="172"/>
      <c r="LEX28" s="172"/>
      <c r="LEY28" s="172"/>
      <c r="LEZ28" s="172"/>
      <c r="LFA28" s="172"/>
      <c r="LFB28" s="172"/>
      <c r="LFC28" s="172"/>
      <c r="LFD28" s="172"/>
      <c r="LFE28" s="172"/>
      <c r="LFF28" s="172"/>
      <c r="LFG28" s="172"/>
      <c r="LFH28" s="172"/>
      <c r="LFI28" s="172"/>
      <c r="LFJ28" s="172"/>
      <c r="LFK28" s="172"/>
      <c r="LFL28" s="172"/>
      <c r="LFM28" s="172"/>
      <c r="LFN28" s="172"/>
      <c r="LFO28" s="172"/>
      <c r="LFP28" s="172"/>
      <c r="LFQ28" s="172"/>
      <c r="LFR28" s="172"/>
      <c r="LFS28" s="172"/>
      <c r="LFT28" s="172"/>
      <c r="LFU28" s="172"/>
      <c r="LFV28" s="172"/>
      <c r="LFW28" s="172"/>
      <c r="LFX28" s="172"/>
      <c r="LFY28" s="172"/>
      <c r="LFZ28" s="172"/>
      <c r="LGA28" s="172"/>
      <c r="LGB28" s="172"/>
      <c r="LGC28" s="172"/>
      <c r="LGD28" s="172"/>
      <c r="LGE28" s="172"/>
      <c r="LGF28" s="172"/>
      <c r="LGG28" s="172"/>
      <c r="LGH28" s="172"/>
      <c r="LGI28" s="172"/>
      <c r="LGJ28" s="172"/>
      <c r="LGK28" s="172"/>
      <c r="LGL28" s="172"/>
      <c r="LGM28" s="172"/>
      <c r="LGN28" s="172"/>
      <c r="LGO28" s="172"/>
      <c r="LGP28" s="172"/>
      <c r="LGQ28" s="172"/>
      <c r="LGR28" s="172"/>
      <c r="LGS28" s="172"/>
      <c r="LGT28" s="172"/>
      <c r="LGU28" s="172"/>
      <c r="LGV28" s="172"/>
      <c r="LGW28" s="172"/>
      <c r="LGX28" s="172"/>
      <c r="LGY28" s="172"/>
      <c r="LGZ28" s="172"/>
      <c r="LHA28" s="172"/>
      <c r="LHB28" s="172"/>
      <c r="LHC28" s="172"/>
      <c r="LHD28" s="172"/>
      <c r="LHE28" s="172"/>
      <c r="LHF28" s="172"/>
      <c r="LHG28" s="172"/>
      <c r="LHH28" s="172"/>
      <c r="LHI28" s="172"/>
      <c r="LHJ28" s="172"/>
      <c r="LHK28" s="172"/>
      <c r="LHL28" s="172"/>
      <c r="LHM28" s="172"/>
      <c r="LHN28" s="172"/>
      <c r="LHO28" s="172"/>
      <c r="LHP28" s="172"/>
      <c r="LHQ28" s="172"/>
      <c r="LHR28" s="172"/>
      <c r="LHS28" s="172"/>
      <c r="LHT28" s="172"/>
      <c r="LHU28" s="172"/>
      <c r="LHV28" s="172"/>
      <c r="LHW28" s="172"/>
      <c r="LHX28" s="172"/>
      <c r="LHY28" s="172"/>
      <c r="LHZ28" s="172"/>
      <c r="LIA28" s="172"/>
      <c r="LIB28" s="172"/>
      <c r="LIC28" s="172"/>
      <c r="LID28" s="172"/>
      <c r="LIE28" s="172"/>
      <c r="LIF28" s="172"/>
      <c r="LIG28" s="172"/>
      <c r="LIH28" s="172"/>
      <c r="LII28" s="172"/>
      <c r="LIJ28" s="172"/>
      <c r="LIK28" s="172"/>
      <c r="LIL28" s="172"/>
      <c r="LIM28" s="172"/>
      <c r="LIN28" s="172"/>
      <c r="LIO28" s="172"/>
      <c r="LIP28" s="172"/>
      <c r="LIQ28" s="172"/>
      <c r="LIR28" s="172"/>
      <c r="LIS28" s="172"/>
      <c r="LIT28" s="172"/>
      <c r="LIU28" s="172"/>
      <c r="LIV28" s="172"/>
      <c r="LIW28" s="172"/>
      <c r="LIX28" s="172"/>
      <c r="LIY28" s="172"/>
      <c r="LIZ28" s="172"/>
      <c r="LJA28" s="172"/>
      <c r="LJB28" s="172"/>
      <c r="LJC28" s="172"/>
      <c r="LJD28" s="172"/>
      <c r="LJE28" s="172"/>
      <c r="LJF28" s="172"/>
      <c r="LJG28" s="172"/>
      <c r="LJH28" s="172"/>
      <c r="LJI28" s="172"/>
      <c r="LJJ28" s="172"/>
      <c r="LJK28" s="172"/>
      <c r="LJL28" s="172"/>
      <c r="LJM28" s="172"/>
      <c r="LJN28" s="172"/>
      <c r="LJO28" s="172"/>
      <c r="LJP28" s="172"/>
      <c r="LJQ28" s="172"/>
      <c r="LJR28" s="172"/>
      <c r="LJS28" s="172"/>
      <c r="LJT28" s="172"/>
      <c r="LJU28" s="172"/>
      <c r="LJV28" s="172"/>
      <c r="LJW28" s="172"/>
      <c r="LJX28" s="172"/>
      <c r="LJY28" s="172"/>
      <c r="LJZ28" s="172"/>
      <c r="LKA28" s="172"/>
      <c r="LKB28" s="172"/>
      <c r="LKC28" s="172"/>
      <c r="LKD28" s="172"/>
      <c r="LKE28" s="172"/>
      <c r="LKF28" s="172"/>
      <c r="LKG28" s="172"/>
      <c r="LKH28" s="172"/>
      <c r="LKI28" s="172"/>
      <c r="LKJ28" s="172"/>
      <c r="LKK28" s="172"/>
      <c r="LKL28" s="172"/>
      <c r="LKM28" s="172"/>
      <c r="LKN28" s="172"/>
      <c r="LKO28" s="172"/>
      <c r="LKP28" s="172"/>
      <c r="LKQ28" s="172"/>
      <c r="LKR28" s="172"/>
      <c r="LKS28" s="172"/>
      <c r="LKT28" s="172"/>
      <c r="LKU28" s="172"/>
      <c r="LKV28" s="172"/>
      <c r="LKW28" s="172"/>
      <c r="LKX28" s="172"/>
      <c r="LKY28" s="172"/>
      <c r="LKZ28" s="172"/>
      <c r="LLA28" s="172"/>
      <c r="LLB28" s="172"/>
      <c r="LLC28" s="172"/>
      <c r="LLD28" s="172"/>
      <c r="LLE28" s="172"/>
      <c r="LLF28" s="172"/>
      <c r="LLG28" s="172"/>
      <c r="LLH28" s="172"/>
      <c r="LLI28" s="172"/>
      <c r="LLJ28" s="172"/>
      <c r="LLK28" s="172"/>
      <c r="LLL28" s="172"/>
      <c r="LLM28" s="172"/>
      <c r="LLN28" s="172"/>
      <c r="LLO28" s="172"/>
      <c r="LLP28" s="172"/>
      <c r="LLQ28" s="172"/>
      <c r="LLR28" s="172"/>
      <c r="LLS28" s="172"/>
      <c r="LLT28" s="172"/>
      <c r="LLU28" s="172"/>
      <c r="LLV28" s="172"/>
      <c r="LLW28" s="172"/>
      <c r="LLX28" s="172"/>
      <c r="LLY28" s="172"/>
      <c r="LLZ28" s="172"/>
      <c r="LMA28" s="172"/>
      <c r="LMB28" s="172"/>
      <c r="LMC28" s="172"/>
      <c r="LMD28" s="172"/>
      <c r="LME28" s="172"/>
      <c r="LMF28" s="172"/>
      <c r="LMG28" s="172"/>
      <c r="LMH28" s="172"/>
      <c r="LMI28" s="172"/>
      <c r="LMJ28" s="172"/>
      <c r="LMK28" s="172"/>
      <c r="LML28" s="172"/>
      <c r="LMM28" s="172"/>
      <c r="LMN28" s="172"/>
      <c r="LMO28" s="172"/>
      <c r="LMP28" s="172"/>
      <c r="LMQ28" s="172"/>
      <c r="LMR28" s="172"/>
      <c r="LMS28" s="172"/>
      <c r="LMT28" s="172"/>
      <c r="LMU28" s="172"/>
      <c r="LMV28" s="172"/>
      <c r="LMW28" s="172"/>
      <c r="LMX28" s="172"/>
      <c r="LMY28" s="172"/>
      <c r="LMZ28" s="172"/>
      <c r="LNA28" s="172"/>
      <c r="LNB28" s="172"/>
      <c r="LNC28" s="172"/>
      <c r="LND28" s="172"/>
      <c r="LNE28" s="172"/>
      <c r="LNF28" s="172"/>
      <c r="LNG28" s="172"/>
      <c r="LNH28" s="172"/>
      <c r="LNI28" s="172"/>
      <c r="LNJ28" s="172"/>
      <c r="LNK28" s="172"/>
      <c r="LNL28" s="172"/>
      <c r="LNM28" s="172"/>
      <c r="LNN28" s="172"/>
      <c r="LNO28" s="172"/>
      <c r="LNP28" s="172"/>
      <c r="LNQ28" s="172"/>
      <c r="LNR28" s="172"/>
      <c r="LNS28" s="172"/>
      <c r="LNT28" s="172"/>
      <c r="LNU28" s="172"/>
      <c r="LNV28" s="172"/>
      <c r="LNW28" s="172"/>
      <c r="LNX28" s="172"/>
      <c r="LNY28" s="172"/>
      <c r="LNZ28" s="172"/>
      <c r="LOA28" s="172"/>
      <c r="LOB28" s="172"/>
      <c r="LOC28" s="172"/>
      <c r="LOD28" s="172"/>
      <c r="LOE28" s="172"/>
      <c r="LOF28" s="172"/>
      <c r="LOG28" s="172"/>
      <c r="LOH28" s="172"/>
      <c r="LOI28" s="172"/>
      <c r="LOJ28" s="172"/>
      <c r="LOK28" s="172"/>
      <c r="LOL28" s="172"/>
      <c r="LOM28" s="172"/>
      <c r="LON28" s="172"/>
      <c r="LOO28" s="172"/>
      <c r="LOP28" s="172"/>
      <c r="LOQ28" s="172"/>
      <c r="LOR28" s="172"/>
      <c r="LOS28" s="172"/>
      <c r="LOT28" s="172"/>
      <c r="LOU28" s="172"/>
      <c r="LOV28" s="172"/>
      <c r="LOW28" s="172"/>
      <c r="LOX28" s="172"/>
      <c r="LOY28" s="172"/>
      <c r="LOZ28" s="172"/>
      <c r="LPA28" s="172"/>
      <c r="LPB28" s="172"/>
      <c r="LPC28" s="172"/>
      <c r="LPD28" s="172"/>
      <c r="LPE28" s="172"/>
      <c r="LPF28" s="172"/>
      <c r="LPG28" s="172"/>
      <c r="LPH28" s="172"/>
      <c r="LPI28" s="172"/>
      <c r="LPJ28" s="172"/>
      <c r="LPK28" s="172"/>
      <c r="LPL28" s="172"/>
      <c r="LPM28" s="172"/>
      <c r="LPN28" s="172"/>
      <c r="LPO28" s="172"/>
      <c r="LPP28" s="172"/>
      <c r="LPQ28" s="172"/>
      <c r="LPR28" s="172"/>
      <c r="LPS28" s="172"/>
      <c r="LPT28" s="172"/>
      <c r="LPU28" s="172"/>
      <c r="LPV28" s="172"/>
      <c r="LPW28" s="172"/>
      <c r="LPX28" s="172"/>
      <c r="LPY28" s="172"/>
      <c r="LPZ28" s="172"/>
      <c r="LQA28" s="172"/>
      <c r="LQB28" s="172"/>
      <c r="LQC28" s="172"/>
      <c r="LQD28" s="172"/>
      <c r="LQE28" s="172"/>
      <c r="LQF28" s="172"/>
      <c r="LQG28" s="172"/>
      <c r="LQH28" s="172"/>
      <c r="LQI28" s="172"/>
      <c r="LQJ28" s="172"/>
      <c r="LQK28" s="172"/>
      <c r="LQL28" s="172"/>
      <c r="LQM28" s="172"/>
      <c r="LQN28" s="172"/>
      <c r="LQO28" s="172"/>
      <c r="LQP28" s="172"/>
      <c r="LQQ28" s="172"/>
      <c r="LQR28" s="172"/>
      <c r="LQS28" s="172"/>
      <c r="LQT28" s="172"/>
      <c r="LQU28" s="172"/>
      <c r="LQV28" s="172"/>
      <c r="LQW28" s="172"/>
      <c r="LQX28" s="172"/>
      <c r="LQY28" s="172"/>
      <c r="LQZ28" s="172"/>
      <c r="LRA28" s="172"/>
      <c r="LRB28" s="172"/>
      <c r="LRC28" s="172"/>
      <c r="LRD28" s="172"/>
      <c r="LRE28" s="172"/>
      <c r="LRF28" s="172"/>
      <c r="LRG28" s="172"/>
      <c r="LRH28" s="172"/>
      <c r="LRI28" s="172"/>
      <c r="LRJ28" s="172"/>
      <c r="LRK28" s="172"/>
      <c r="LRL28" s="172"/>
      <c r="LRM28" s="172"/>
      <c r="LRN28" s="172"/>
      <c r="LRO28" s="172"/>
      <c r="LRP28" s="172"/>
      <c r="LRQ28" s="172"/>
      <c r="LRR28" s="172"/>
      <c r="LRS28" s="172"/>
      <c r="LRT28" s="172"/>
      <c r="LRU28" s="172"/>
      <c r="LRV28" s="172"/>
      <c r="LRW28" s="172"/>
      <c r="LRX28" s="172"/>
      <c r="LRY28" s="172"/>
      <c r="LRZ28" s="172"/>
      <c r="LSA28" s="172"/>
      <c r="LSB28" s="172"/>
      <c r="LSC28" s="172"/>
      <c r="LSD28" s="172"/>
      <c r="LSE28" s="172"/>
      <c r="LSF28" s="172"/>
      <c r="LSG28" s="172"/>
      <c r="LSH28" s="172"/>
      <c r="LSI28" s="172"/>
      <c r="LSJ28" s="172"/>
      <c r="LSK28" s="172"/>
      <c r="LSL28" s="172"/>
      <c r="LSM28" s="172"/>
      <c r="LSN28" s="172"/>
      <c r="LSO28" s="172"/>
      <c r="LSP28" s="172"/>
      <c r="LSQ28" s="172"/>
      <c r="LSR28" s="172"/>
      <c r="LSS28" s="172"/>
      <c r="LST28" s="172"/>
      <c r="LSU28" s="172"/>
      <c r="LSV28" s="172"/>
      <c r="LSW28" s="172"/>
      <c r="LSX28" s="172"/>
      <c r="LSY28" s="172"/>
      <c r="LSZ28" s="172"/>
      <c r="LTA28" s="172"/>
      <c r="LTB28" s="172"/>
      <c r="LTC28" s="172"/>
      <c r="LTD28" s="172"/>
      <c r="LTE28" s="172"/>
      <c r="LTF28" s="172"/>
      <c r="LTG28" s="172"/>
      <c r="LTH28" s="172"/>
      <c r="LTI28" s="172"/>
      <c r="LTJ28" s="172"/>
      <c r="LTK28" s="172"/>
      <c r="LTL28" s="172"/>
      <c r="LTM28" s="172"/>
      <c r="LTN28" s="172"/>
      <c r="LTO28" s="172"/>
      <c r="LTP28" s="172"/>
      <c r="LTQ28" s="172"/>
      <c r="LTR28" s="172"/>
      <c r="LTS28" s="172"/>
      <c r="LTT28" s="172"/>
      <c r="LTU28" s="172"/>
      <c r="LTV28" s="172"/>
      <c r="LTW28" s="172"/>
      <c r="LTX28" s="172"/>
      <c r="LTY28" s="172"/>
      <c r="LTZ28" s="172"/>
      <c r="LUA28" s="172"/>
      <c r="LUB28" s="172"/>
      <c r="LUC28" s="172"/>
      <c r="LUD28" s="172"/>
      <c r="LUE28" s="172"/>
      <c r="LUF28" s="172"/>
      <c r="LUG28" s="172"/>
      <c r="LUH28" s="172"/>
      <c r="LUI28" s="172"/>
      <c r="LUJ28" s="172"/>
      <c r="LUK28" s="172"/>
      <c r="LUL28" s="172"/>
      <c r="LUM28" s="172"/>
      <c r="LUN28" s="172"/>
      <c r="LUO28" s="172"/>
      <c r="LUP28" s="172"/>
      <c r="LUQ28" s="172"/>
      <c r="LUR28" s="172"/>
      <c r="LUS28" s="172"/>
      <c r="LUT28" s="172"/>
      <c r="LUU28" s="172"/>
      <c r="LUV28" s="172"/>
      <c r="LUW28" s="172"/>
      <c r="LUX28" s="172"/>
      <c r="LUY28" s="172"/>
      <c r="LUZ28" s="172"/>
      <c r="LVA28" s="172"/>
      <c r="LVB28" s="172"/>
      <c r="LVC28" s="172"/>
      <c r="LVD28" s="172"/>
      <c r="LVE28" s="172"/>
      <c r="LVF28" s="172"/>
      <c r="LVG28" s="172"/>
      <c r="LVH28" s="172"/>
      <c r="LVI28" s="172"/>
      <c r="LVJ28" s="172"/>
      <c r="LVK28" s="172"/>
      <c r="LVL28" s="172"/>
      <c r="LVM28" s="172"/>
      <c r="LVN28" s="172"/>
      <c r="LVO28" s="172"/>
      <c r="LVP28" s="172"/>
      <c r="LVQ28" s="172"/>
      <c r="LVR28" s="172"/>
      <c r="LVS28" s="172"/>
      <c r="LVT28" s="172"/>
      <c r="LVU28" s="172"/>
      <c r="LVV28" s="172"/>
      <c r="LVW28" s="172"/>
      <c r="LVX28" s="172"/>
      <c r="LVY28" s="172"/>
      <c r="LVZ28" s="172"/>
      <c r="LWA28" s="172"/>
      <c r="LWB28" s="172"/>
      <c r="LWC28" s="172"/>
      <c r="LWD28" s="172"/>
      <c r="LWE28" s="172"/>
      <c r="LWF28" s="172"/>
      <c r="LWG28" s="172"/>
      <c r="LWH28" s="172"/>
      <c r="LWI28" s="172"/>
      <c r="LWJ28" s="172"/>
      <c r="LWK28" s="172"/>
      <c r="LWL28" s="172"/>
      <c r="LWM28" s="172"/>
      <c r="LWN28" s="172"/>
      <c r="LWO28" s="172"/>
      <c r="LWP28" s="172"/>
      <c r="LWQ28" s="172"/>
      <c r="LWR28" s="172"/>
      <c r="LWS28" s="172"/>
      <c r="LWT28" s="172"/>
      <c r="LWU28" s="172"/>
      <c r="LWV28" s="172"/>
      <c r="LWW28" s="172"/>
      <c r="LWX28" s="172"/>
      <c r="LWY28" s="172"/>
      <c r="LWZ28" s="172"/>
      <c r="LXA28" s="172"/>
      <c r="LXB28" s="172"/>
      <c r="LXC28" s="172"/>
      <c r="LXD28" s="172"/>
      <c r="LXE28" s="172"/>
      <c r="LXF28" s="172"/>
      <c r="LXG28" s="172"/>
      <c r="LXH28" s="172"/>
      <c r="LXI28" s="172"/>
      <c r="LXJ28" s="172"/>
      <c r="LXK28" s="172"/>
      <c r="LXL28" s="172"/>
      <c r="LXM28" s="172"/>
      <c r="LXN28" s="172"/>
      <c r="LXO28" s="172"/>
      <c r="LXP28" s="172"/>
      <c r="LXQ28" s="172"/>
      <c r="LXR28" s="172"/>
      <c r="LXS28" s="172"/>
      <c r="LXT28" s="172"/>
      <c r="LXU28" s="172"/>
      <c r="LXV28" s="172"/>
      <c r="LXW28" s="172"/>
      <c r="LXX28" s="172"/>
      <c r="LXY28" s="172"/>
      <c r="LXZ28" s="172"/>
      <c r="LYA28" s="172"/>
      <c r="LYB28" s="172"/>
      <c r="LYC28" s="172"/>
      <c r="LYD28" s="172"/>
      <c r="LYE28" s="172"/>
      <c r="LYF28" s="172"/>
      <c r="LYG28" s="172"/>
      <c r="LYH28" s="172"/>
      <c r="LYI28" s="172"/>
      <c r="LYJ28" s="172"/>
      <c r="LYK28" s="172"/>
      <c r="LYL28" s="172"/>
      <c r="LYM28" s="172"/>
      <c r="LYN28" s="172"/>
      <c r="LYO28" s="172"/>
      <c r="LYP28" s="172"/>
      <c r="LYQ28" s="172"/>
      <c r="LYR28" s="172"/>
      <c r="LYS28" s="172"/>
      <c r="LYT28" s="172"/>
      <c r="LYU28" s="172"/>
      <c r="LYV28" s="172"/>
      <c r="LYW28" s="172"/>
      <c r="LYX28" s="172"/>
      <c r="LYY28" s="172"/>
      <c r="LYZ28" s="172"/>
      <c r="LZA28" s="172"/>
      <c r="LZB28" s="172"/>
      <c r="LZC28" s="172"/>
      <c r="LZD28" s="172"/>
      <c r="LZE28" s="172"/>
      <c r="LZF28" s="172"/>
      <c r="LZG28" s="172"/>
      <c r="LZH28" s="172"/>
      <c r="LZI28" s="172"/>
      <c r="LZJ28" s="172"/>
      <c r="LZK28" s="172"/>
      <c r="LZL28" s="172"/>
      <c r="LZM28" s="172"/>
      <c r="LZN28" s="172"/>
      <c r="LZO28" s="172"/>
      <c r="LZP28" s="172"/>
      <c r="LZQ28" s="172"/>
      <c r="LZR28" s="172"/>
      <c r="LZS28" s="172"/>
      <c r="LZT28" s="172"/>
      <c r="LZU28" s="172"/>
      <c r="LZV28" s="172"/>
      <c r="LZW28" s="172"/>
      <c r="LZX28" s="172"/>
      <c r="LZY28" s="172"/>
      <c r="LZZ28" s="172"/>
      <c r="MAA28" s="172"/>
      <c r="MAB28" s="172"/>
      <c r="MAC28" s="172"/>
      <c r="MAD28" s="172"/>
      <c r="MAE28" s="172"/>
      <c r="MAF28" s="172"/>
      <c r="MAG28" s="172"/>
      <c r="MAH28" s="172"/>
      <c r="MAI28" s="172"/>
      <c r="MAJ28" s="172"/>
      <c r="MAK28" s="172"/>
      <c r="MAL28" s="172"/>
      <c r="MAM28" s="172"/>
      <c r="MAN28" s="172"/>
      <c r="MAO28" s="172"/>
      <c r="MAP28" s="172"/>
      <c r="MAQ28" s="172"/>
      <c r="MAR28" s="172"/>
      <c r="MAS28" s="172"/>
      <c r="MAT28" s="172"/>
      <c r="MAU28" s="172"/>
      <c r="MAV28" s="172"/>
      <c r="MAW28" s="172"/>
      <c r="MAX28" s="172"/>
      <c r="MAY28" s="172"/>
      <c r="MAZ28" s="172"/>
      <c r="MBA28" s="172"/>
      <c r="MBB28" s="172"/>
      <c r="MBC28" s="172"/>
      <c r="MBD28" s="172"/>
      <c r="MBE28" s="172"/>
      <c r="MBF28" s="172"/>
      <c r="MBG28" s="172"/>
      <c r="MBH28" s="172"/>
      <c r="MBI28" s="172"/>
      <c r="MBJ28" s="172"/>
      <c r="MBK28" s="172"/>
      <c r="MBL28" s="172"/>
      <c r="MBM28" s="172"/>
      <c r="MBN28" s="172"/>
      <c r="MBO28" s="172"/>
      <c r="MBP28" s="172"/>
      <c r="MBQ28" s="172"/>
      <c r="MBR28" s="172"/>
      <c r="MBS28" s="172"/>
      <c r="MBT28" s="172"/>
      <c r="MBU28" s="172"/>
      <c r="MBV28" s="172"/>
      <c r="MBW28" s="172"/>
      <c r="MBX28" s="172"/>
      <c r="MBY28" s="172"/>
      <c r="MBZ28" s="172"/>
      <c r="MCA28" s="172"/>
      <c r="MCB28" s="172"/>
      <c r="MCC28" s="172"/>
      <c r="MCD28" s="172"/>
      <c r="MCE28" s="172"/>
      <c r="MCF28" s="172"/>
      <c r="MCG28" s="172"/>
      <c r="MCH28" s="172"/>
      <c r="MCI28" s="172"/>
      <c r="MCJ28" s="172"/>
      <c r="MCK28" s="172"/>
      <c r="MCL28" s="172"/>
      <c r="MCM28" s="172"/>
      <c r="MCN28" s="172"/>
      <c r="MCO28" s="172"/>
      <c r="MCP28" s="172"/>
      <c r="MCQ28" s="172"/>
      <c r="MCR28" s="172"/>
      <c r="MCS28" s="172"/>
      <c r="MCT28" s="172"/>
      <c r="MCU28" s="172"/>
      <c r="MCV28" s="172"/>
      <c r="MCW28" s="172"/>
      <c r="MCX28" s="172"/>
      <c r="MCY28" s="172"/>
      <c r="MCZ28" s="172"/>
      <c r="MDA28" s="172"/>
      <c r="MDB28" s="172"/>
      <c r="MDC28" s="172"/>
      <c r="MDD28" s="172"/>
      <c r="MDE28" s="172"/>
      <c r="MDF28" s="172"/>
      <c r="MDG28" s="172"/>
      <c r="MDH28" s="172"/>
      <c r="MDI28" s="172"/>
      <c r="MDJ28" s="172"/>
      <c r="MDK28" s="172"/>
      <c r="MDL28" s="172"/>
      <c r="MDM28" s="172"/>
      <c r="MDN28" s="172"/>
      <c r="MDO28" s="172"/>
      <c r="MDP28" s="172"/>
      <c r="MDQ28" s="172"/>
      <c r="MDR28" s="172"/>
      <c r="MDS28" s="172"/>
      <c r="MDT28" s="172"/>
      <c r="MDU28" s="172"/>
      <c r="MDV28" s="172"/>
      <c r="MDW28" s="172"/>
      <c r="MDX28" s="172"/>
      <c r="MDY28" s="172"/>
      <c r="MDZ28" s="172"/>
      <c r="MEA28" s="172"/>
      <c r="MEB28" s="172"/>
      <c r="MEC28" s="172"/>
      <c r="MED28" s="172"/>
      <c r="MEE28" s="172"/>
      <c r="MEF28" s="172"/>
      <c r="MEG28" s="172"/>
      <c r="MEH28" s="172"/>
      <c r="MEI28" s="172"/>
      <c r="MEJ28" s="172"/>
      <c r="MEK28" s="172"/>
      <c r="MEL28" s="172"/>
      <c r="MEM28" s="172"/>
      <c r="MEN28" s="172"/>
      <c r="MEO28" s="172"/>
      <c r="MEP28" s="172"/>
      <c r="MEQ28" s="172"/>
      <c r="MER28" s="172"/>
      <c r="MES28" s="172"/>
      <c r="MET28" s="172"/>
      <c r="MEU28" s="172"/>
      <c r="MEV28" s="172"/>
      <c r="MEW28" s="172"/>
      <c r="MEX28" s="172"/>
      <c r="MEY28" s="172"/>
      <c r="MEZ28" s="172"/>
      <c r="MFA28" s="172"/>
      <c r="MFB28" s="172"/>
      <c r="MFC28" s="172"/>
      <c r="MFD28" s="172"/>
      <c r="MFE28" s="172"/>
      <c r="MFF28" s="172"/>
      <c r="MFG28" s="172"/>
      <c r="MFH28" s="172"/>
      <c r="MFI28" s="172"/>
      <c r="MFJ28" s="172"/>
      <c r="MFK28" s="172"/>
      <c r="MFL28" s="172"/>
      <c r="MFM28" s="172"/>
      <c r="MFN28" s="172"/>
      <c r="MFO28" s="172"/>
      <c r="MFP28" s="172"/>
      <c r="MFQ28" s="172"/>
      <c r="MFR28" s="172"/>
      <c r="MFS28" s="172"/>
      <c r="MFT28" s="172"/>
      <c r="MFU28" s="172"/>
      <c r="MFV28" s="172"/>
      <c r="MFW28" s="172"/>
      <c r="MFX28" s="172"/>
      <c r="MFY28" s="172"/>
      <c r="MFZ28" s="172"/>
      <c r="MGA28" s="172"/>
      <c r="MGB28" s="172"/>
      <c r="MGC28" s="172"/>
      <c r="MGD28" s="172"/>
      <c r="MGE28" s="172"/>
      <c r="MGF28" s="172"/>
      <c r="MGG28" s="172"/>
      <c r="MGH28" s="172"/>
      <c r="MGI28" s="172"/>
      <c r="MGJ28" s="172"/>
      <c r="MGK28" s="172"/>
      <c r="MGL28" s="172"/>
      <c r="MGM28" s="172"/>
      <c r="MGN28" s="172"/>
      <c r="MGO28" s="172"/>
      <c r="MGP28" s="172"/>
      <c r="MGQ28" s="172"/>
      <c r="MGR28" s="172"/>
      <c r="MGS28" s="172"/>
      <c r="MGT28" s="172"/>
      <c r="MGU28" s="172"/>
      <c r="MGV28" s="172"/>
      <c r="MGW28" s="172"/>
      <c r="MGX28" s="172"/>
      <c r="MGY28" s="172"/>
      <c r="MGZ28" s="172"/>
      <c r="MHA28" s="172"/>
      <c r="MHB28" s="172"/>
      <c r="MHC28" s="172"/>
      <c r="MHD28" s="172"/>
      <c r="MHE28" s="172"/>
      <c r="MHF28" s="172"/>
      <c r="MHG28" s="172"/>
      <c r="MHH28" s="172"/>
      <c r="MHI28" s="172"/>
      <c r="MHJ28" s="172"/>
      <c r="MHK28" s="172"/>
      <c r="MHL28" s="172"/>
      <c r="MHM28" s="172"/>
      <c r="MHN28" s="172"/>
      <c r="MHO28" s="172"/>
      <c r="MHP28" s="172"/>
      <c r="MHQ28" s="172"/>
      <c r="MHR28" s="172"/>
      <c r="MHS28" s="172"/>
      <c r="MHT28" s="172"/>
      <c r="MHU28" s="172"/>
      <c r="MHV28" s="172"/>
      <c r="MHW28" s="172"/>
      <c r="MHX28" s="172"/>
      <c r="MHY28" s="172"/>
      <c r="MHZ28" s="172"/>
      <c r="MIA28" s="172"/>
      <c r="MIB28" s="172"/>
      <c r="MIC28" s="172"/>
      <c r="MID28" s="172"/>
      <c r="MIE28" s="172"/>
      <c r="MIF28" s="172"/>
      <c r="MIG28" s="172"/>
      <c r="MIH28" s="172"/>
      <c r="MII28" s="172"/>
      <c r="MIJ28" s="172"/>
      <c r="MIK28" s="172"/>
      <c r="MIL28" s="172"/>
      <c r="MIM28" s="172"/>
      <c r="MIN28" s="172"/>
      <c r="MIO28" s="172"/>
      <c r="MIP28" s="172"/>
      <c r="MIQ28" s="172"/>
      <c r="MIR28" s="172"/>
      <c r="MIS28" s="172"/>
      <c r="MIT28" s="172"/>
      <c r="MIU28" s="172"/>
      <c r="MIV28" s="172"/>
      <c r="MIW28" s="172"/>
      <c r="MIX28" s="172"/>
      <c r="MIY28" s="172"/>
      <c r="MIZ28" s="172"/>
      <c r="MJA28" s="172"/>
      <c r="MJB28" s="172"/>
      <c r="MJC28" s="172"/>
      <c r="MJD28" s="172"/>
      <c r="MJE28" s="172"/>
      <c r="MJF28" s="172"/>
      <c r="MJG28" s="172"/>
      <c r="MJH28" s="172"/>
      <c r="MJI28" s="172"/>
      <c r="MJJ28" s="172"/>
      <c r="MJK28" s="172"/>
      <c r="MJL28" s="172"/>
      <c r="MJM28" s="172"/>
      <c r="MJN28" s="172"/>
      <c r="MJO28" s="172"/>
      <c r="MJP28" s="172"/>
      <c r="MJQ28" s="172"/>
      <c r="MJR28" s="172"/>
      <c r="MJS28" s="172"/>
      <c r="MJT28" s="172"/>
      <c r="MJU28" s="172"/>
      <c r="MJV28" s="172"/>
      <c r="MJW28" s="172"/>
      <c r="MJX28" s="172"/>
      <c r="MJY28" s="172"/>
      <c r="MJZ28" s="172"/>
      <c r="MKA28" s="172"/>
      <c r="MKB28" s="172"/>
      <c r="MKC28" s="172"/>
      <c r="MKD28" s="172"/>
      <c r="MKE28" s="172"/>
      <c r="MKF28" s="172"/>
      <c r="MKG28" s="172"/>
      <c r="MKH28" s="172"/>
      <c r="MKI28" s="172"/>
      <c r="MKJ28" s="172"/>
      <c r="MKK28" s="172"/>
      <c r="MKL28" s="172"/>
      <c r="MKM28" s="172"/>
      <c r="MKN28" s="172"/>
      <c r="MKO28" s="172"/>
      <c r="MKP28" s="172"/>
      <c r="MKQ28" s="172"/>
      <c r="MKR28" s="172"/>
      <c r="MKS28" s="172"/>
      <c r="MKT28" s="172"/>
      <c r="MKU28" s="172"/>
      <c r="MKV28" s="172"/>
      <c r="MKW28" s="172"/>
      <c r="MKX28" s="172"/>
      <c r="MKY28" s="172"/>
      <c r="MKZ28" s="172"/>
      <c r="MLA28" s="172"/>
      <c r="MLB28" s="172"/>
      <c r="MLC28" s="172"/>
      <c r="MLD28" s="172"/>
      <c r="MLE28" s="172"/>
      <c r="MLF28" s="172"/>
      <c r="MLG28" s="172"/>
      <c r="MLH28" s="172"/>
      <c r="MLI28" s="172"/>
      <c r="MLJ28" s="172"/>
      <c r="MLK28" s="172"/>
      <c r="MLL28" s="172"/>
      <c r="MLM28" s="172"/>
      <c r="MLN28" s="172"/>
      <c r="MLO28" s="172"/>
      <c r="MLP28" s="172"/>
      <c r="MLQ28" s="172"/>
      <c r="MLR28" s="172"/>
      <c r="MLS28" s="172"/>
      <c r="MLT28" s="172"/>
      <c r="MLU28" s="172"/>
      <c r="MLV28" s="172"/>
      <c r="MLW28" s="172"/>
      <c r="MLX28" s="172"/>
      <c r="MLY28" s="172"/>
      <c r="MLZ28" s="172"/>
      <c r="MMA28" s="172"/>
      <c r="MMB28" s="172"/>
      <c r="MMC28" s="172"/>
      <c r="MMD28" s="172"/>
      <c r="MME28" s="172"/>
      <c r="MMF28" s="172"/>
      <c r="MMG28" s="172"/>
      <c r="MMH28" s="172"/>
      <c r="MMI28" s="172"/>
      <c r="MMJ28" s="172"/>
      <c r="MMK28" s="172"/>
      <c r="MML28" s="172"/>
      <c r="MMM28" s="172"/>
      <c r="MMN28" s="172"/>
      <c r="MMO28" s="172"/>
      <c r="MMP28" s="172"/>
      <c r="MMQ28" s="172"/>
      <c r="MMR28" s="172"/>
      <c r="MMS28" s="172"/>
      <c r="MMT28" s="172"/>
      <c r="MMU28" s="172"/>
      <c r="MMV28" s="172"/>
      <c r="MMW28" s="172"/>
      <c r="MMX28" s="172"/>
      <c r="MMY28" s="172"/>
      <c r="MMZ28" s="172"/>
      <c r="MNA28" s="172"/>
      <c r="MNB28" s="172"/>
      <c r="MNC28" s="172"/>
      <c r="MND28" s="172"/>
      <c r="MNE28" s="172"/>
      <c r="MNF28" s="172"/>
      <c r="MNG28" s="172"/>
      <c r="MNH28" s="172"/>
      <c r="MNI28" s="172"/>
      <c r="MNJ28" s="172"/>
      <c r="MNK28" s="172"/>
      <c r="MNL28" s="172"/>
      <c r="MNM28" s="172"/>
      <c r="MNN28" s="172"/>
      <c r="MNO28" s="172"/>
      <c r="MNP28" s="172"/>
      <c r="MNQ28" s="172"/>
      <c r="MNR28" s="172"/>
      <c r="MNS28" s="172"/>
      <c r="MNT28" s="172"/>
      <c r="MNU28" s="172"/>
      <c r="MNV28" s="172"/>
      <c r="MNW28" s="172"/>
      <c r="MNX28" s="172"/>
      <c r="MNY28" s="172"/>
      <c r="MNZ28" s="172"/>
      <c r="MOA28" s="172"/>
      <c r="MOB28" s="172"/>
      <c r="MOC28" s="172"/>
      <c r="MOD28" s="172"/>
      <c r="MOE28" s="172"/>
      <c r="MOF28" s="172"/>
      <c r="MOG28" s="172"/>
      <c r="MOH28" s="172"/>
      <c r="MOI28" s="172"/>
      <c r="MOJ28" s="172"/>
      <c r="MOK28" s="172"/>
      <c r="MOL28" s="172"/>
      <c r="MOM28" s="172"/>
      <c r="MON28" s="172"/>
      <c r="MOO28" s="172"/>
      <c r="MOP28" s="172"/>
      <c r="MOQ28" s="172"/>
      <c r="MOR28" s="172"/>
      <c r="MOS28" s="172"/>
      <c r="MOT28" s="172"/>
      <c r="MOU28" s="172"/>
      <c r="MOV28" s="172"/>
      <c r="MOW28" s="172"/>
      <c r="MOX28" s="172"/>
      <c r="MOY28" s="172"/>
      <c r="MOZ28" s="172"/>
      <c r="MPA28" s="172"/>
      <c r="MPB28" s="172"/>
      <c r="MPC28" s="172"/>
      <c r="MPD28" s="172"/>
      <c r="MPE28" s="172"/>
      <c r="MPF28" s="172"/>
      <c r="MPG28" s="172"/>
      <c r="MPH28" s="172"/>
      <c r="MPI28" s="172"/>
      <c r="MPJ28" s="172"/>
      <c r="MPK28" s="172"/>
      <c r="MPL28" s="172"/>
      <c r="MPM28" s="172"/>
      <c r="MPN28" s="172"/>
      <c r="MPO28" s="172"/>
      <c r="MPP28" s="172"/>
      <c r="MPQ28" s="172"/>
      <c r="MPR28" s="172"/>
      <c r="MPS28" s="172"/>
      <c r="MPT28" s="172"/>
      <c r="MPU28" s="172"/>
      <c r="MPV28" s="172"/>
      <c r="MPW28" s="172"/>
      <c r="MPX28" s="172"/>
      <c r="MPY28" s="172"/>
      <c r="MPZ28" s="172"/>
      <c r="MQA28" s="172"/>
      <c r="MQB28" s="172"/>
      <c r="MQC28" s="172"/>
      <c r="MQD28" s="172"/>
      <c r="MQE28" s="172"/>
      <c r="MQF28" s="172"/>
      <c r="MQG28" s="172"/>
      <c r="MQH28" s="172"/>
      <c r="MQI28" s="172"/>
      <c r="MQJ28" s="172"/>
      <c r="MQK28" s="172"/>
      <c r="MQL28" s="172"/>
      <c r="MQM28" s="172"/>
      <c r="MQN28" s="172"/>
      <c r="MQO28" s="172"/>
      <c r="MQP28" s="172"/>
      <c r="MQQ28" s="172"/>
      <c r="MQR28" s="172"/>
      <c r="MQS28" s="172"/>
      <c r="MQT28" s="172"/>
      <c r="MQU28" s="172"/>
      <c r="MQV28" s="172"/>
      <c r="MQW28" s="172"/>
      <c r="MQX28" s="172"/>
      <c r="MQY28" s="172"/>
      <c r="MQZ28" s="172"/>
      <c r="MRA28" s="172"/>
      <c r="MRB28" s="172"/>
      <c r="MRC28" s="172"/>
      <c r="MRD28" s="172"/>
      <c r="MRE28" s="172"/>
      <c r="MRF28" s="172"/>
      <c r="MRG28" s="172"/>
      <c r="MRH28" s="172"/>
      <c r="MRI28" s="172"/>
      <c r="MRJ28" s="172"/>
      <c r="MRK28" s="172"/>
      <c r="MRL28" s="172"/>
      <c r="MRM28" s="172"/>
      <c r="MRN28" s="172"/>
      <c r="MRO28" s="172"/>
      <c r="MRP28" s="172"/>
      <c r="MRQ28" s="172"/>
      <c r="MRR28" s="172"/>
      <c r="MRS28" s="172"/>
      <c r="MRT28" s="172"/>
      <c r="MRU28" s="172"/>
      <c r="MRV28" s="172"/>
      <c r="MRW28" s="172"/>
      <c r="MRX28" s="172"/>
      <c r="MRY28" s="172"/>
      <c r="MRZ28" s="172"/>
      <c r="MSA28" s="172"/>
      <c r="MSB28" s="172"/>
      <c r="MSC28" s="172"/>
      <c r="MSD28" s="172"/>
      <c r="MSE28" s="172"/>
      <c r="MSF28" s="172"/>
      <c r="MSG28" s="172"/>
      <c r="MSH28" s="172"/>
      <c r="MSI28" s="172"/>
      <c r="MSJ28" s="172"/>
      <c r="MSK28" s="172"/>
      <c r="MSL28" s="172"/>
      <c r="MSM28" s="172"/>
      <c r="MSN28" s="172"/>
      <c r="MSO28" s="172"/>
      <c r="MSP28" s="172"/>
      <c r="MSQ28" s="172"/>
      <c r="MSR28" s="172"/>
      <c r="MSS28" s="172"/>
      <c r="MST28" s="172"/>
      <c r="MSU28" s="172"/>
      <c r="MSV28" s="172"/>
      <c r="MSW28" s="172"/>
      <c r="MSX28" s="172"/>
      <c r="MSY28" s="172"/>
      <c r="MSZ28" s="172"/>
      <c r="MTA28" s="172"/>
      <c r="MTB28" s="172"/>
      <c r="MTC28" s="172"/>
      <c r="MTD28" s="172"/>
      <c r="MTE28" s="172"/>
      <c r="MTF28" s="172"/>
      <c r="MTG28" s="172"/>
      <c r="MTH28" s="172"/>
      <c r="MTI28" s="172"/>
      <c r="MTJ28" s="172"/>
      <c r="MTK28" s="172"/>
      <c r="MTL28" s="172"/>
      <c r="MTM28" s="172"/>
      <c r="MTN28" s="172"/>
      <c r="MTO28" s="172"/>
      <c r="MTP28" s="172"/>
      <c r="MTQ28" s="172"/>
      <c r="MTR28" s="172"/>
      <c r="MTS28" s="172"/>
      <c r="MTT28" s="172"/>
      <c r="MTU28" s="172"/>
      <c r="MTV28" s="172"/>
      <c r="MTW28" s="172"/>
      <c r="MTX28" s="172"/>
      <c r="MTY28" s="172"/>
      <c r="MTZ28" s="172"/>
      <c r="MUA28" s="172"/>
      <c r="MUB28" s="172"/>
      <c r="MUC28" s="172"/>
      <c r="MUD28" s="172"/>
      <c r="MUE28" s="172"/>
      <c r="MUF28" s="172"/>
      <c r="MUG28" s="172"/>
      <c r="MUH28" s="172"/>
      <c r="MUI28" s="172"/>
      <c r="MUJ28" s="172"/>
      <c r="MUK28" s="172"/>
      <c r="MUL28" s="172"/>
      <c r="MUM28" s="172"/>
      <c r="MUN28" s="172"/>
      <c r="MUO28" s="172"/>
      <c r="MUP28" s="172"/>
      <c r="MUQ28" s="172"/>
      <c r="MUR28" s="172"/>
      <c r="MUS28" s="172"/>
      <c r="MUT28" s="172"/>
      <c r="MUU28" s="172"/>
      <c r="MUV28" s="172"/>
      <c r="MUW28" s="172"/>
      <c r="MUX28" s="172"/>
      <c r="MUY28" s="172"/>
      <c r="MUZ28" s="172"/>
      <c r="MVA28" s="172"/>
      <c r="MVB28" s="172"/>
      <c r="MVC28" s="172"/>
      <c r="MVD28" s="172"/>
      <c r="MVE28" s="172"/>
      <c r="MVF28" s="172"/>
      <c r="MVG28" s="172"/>
      <c r="MVH28" s="172"/>
      <c r="MVI28" s="172"/>
      <c r="MVJ28" s="172"/>
      <c r="MVK28" s="172"/>
      <c r="MVL28" s="172"/>
      <c r="MVM28" s="172"/>
      <c r="MVN28" s="172"/>
      <c r="MVO28" s="172"/>
      <c r="MVP28" s="172"/>
      <c r="MVQ28" s="172"/>
      <c r="MVR28" s="172"/>
      <c r="MVS28" s="172"/>
      <c r="MVT28" s="172"/>
      <c r="MVU28" s="172"/>
      <c r="MVV28" s="172"/>
      <c r="MVW28" s="172"/>
      <c r="MVX28" s="172"/>
      <c r="MVY28" s="172"/>
      <c r="MVZ28" s="172"/>
      <c r="MWA28" s="172"/>
      <c r="MWB28" s="172"/>
      <c r="MWC28" s="172"/>
      <c r="MWD28" s="172"/>
      <c r="MWE28" s="172"/>
      <c r="MWF28" s="172"/>
      <c r="MWG28" s="172"/>
      <c r="MWH28" s="172"/>
      <c r="MWI28" s="172"/>
      <c r="MWJ28" s="172"/>
      <c r="MWK28" s="172"/>
      <c r="MWL28" s="172"/>
      <c r="MWM28" s="172"/>
      <c r="MWN28" s="172"/>
      <c r="MWO28" s="172"/>
      <c r="MWP28" s="172"/>
      <c r="MWQ28" s="172"/>
      <c r="MWR28" s="172"/>
      <c r="MWS28" s="172"/>
      <c r="MWT28" s="172"/>
      <c r="MWU28" s="172"/>
      <c r="MWV28" s="172"/>
      <c r="MWW28" s="172"/>
      <c r="MWX28" s="172"/>
      <c r="MWY28" s="172"/>
      <c r="MWZ28" s="172"/>
      <c r="MXA28" s="172"/>
      <c r="MXB28" s="172"/>
      <c r="MXC28" s="172"/>
      <c r="MXD28" s="172"/>
      <c r="MXE28" s="172"/>
      <c r="MXF28" s="172"/>
      <c r="MXG28" s="172"/>
      <c r="MXH28" s="172"/>
      <c r="MXI28" s="172"/>
      <c r="MXJ28" s="172"/>
      <c r="MXK28" s="172"/>
      <c r="MXL28" s="172"/>
      <c r="MXM28" s="172"/>
      <c r="MXN28" s="172"/>
      <c r="MXO28" s="172"/>
      <c r="MXP28" s="172"/>
      <c r="MXQ28" s="172"/>
      <c r="MXR28" s="172"/>
      <c r="MXS28" s="172"/>
      <c r="MXT28" s="172"/>
      <c r="MXU28" s="172"/>
      <c r="MXV28" s="172"/>
      <c r="MXW28" s="172"/>
      <c r="MXX28" s="172"/>
      <c r="MXY28" s="172"/>
      <c r="MXZ28" s="172"/>
      <c r="MYA28" s="172"/>
      <c r="MYB28" s="172"/>
      <c r="MYC28" s="172"/>
      <c r="MYD28" s="172"/>
      <c r="MYE28" s="172"/>
      <c r="MYF28" s="172"/>
      <c r="MYG28" s="172"/>
      <c r="MYH28" s="172"/>
      <c r="MYI28" s="172"/>
      <c r="MYJ28" s="172"/>
      <c r="MYK28" s="172"/>
      <c r="MYL28" s="172"/>
      <c r="MYM28" s="172"/>
      <c r="MYN28" s="172"/>
      <c r="MYO28" s="172"/>
      <c r="MYP28" s="172"/>
      <c r="MYQ28" s="172"/>
      <c r="MYR28" s="172"/>
      <c r="MYS28" s="172"/>
      <c r="MYT28" s="172"/>
      <c r="MYU28" s="172"/>
      <c r="MYV28" s="172"/>
      <c r="MYW28" s="172"/>
      <c r="MYX28" s="172"/>
      <c r="MYY28" s="172"/>
      <c r="MYZ28" s="172"/>
      <c r="MZA28" s="172"/>
      <c r="MZB28" s="172"/>
      <c r="MZC28" s="172"/>
      <c r="MZD28" s="172"/>
      <c r="MZE28" s="172"/>
      <c r="MZF28" s="172"/>
      <c r="MZG28" s="172"/>
      <c r="MZH28" s="172"/>
      <c r="MZI28" s="172"/>
      <c r="MZJ28" s="172"/>
      <c r="MZK28" s="172"/>
      <c r="MZL28" s="172"/>
      <c r="MZM28" s="172"/>
      <c r="MZN28" s="172"/>
      <c r="MZO28" s="172"/>
      <c r="MZP28" s="172"/>
      <c r="MZQ28" s="172"/>
      <c r="MZR28" s="172"/>
      <c r="MZS28" s="172"/>
      <c r="MZT28" s="172"/>
      <c r="MZU28" s="172"/>
      <c r="MZV28" s="172"/>
      <c r="MZW28" s="172"/>
      <c r="MZX28" s="172"/>
      <c r="MZY28" s="172"/>
      <c r="MZZ28" s="172"/>
      <c r="NAA28" s="172"/>
      <c r="NAB28" s="172"/>
      <c r="NAC28" s="172"/>
      <c r="NAD28" s="172"/>
      <c r="NAE28" s="172"/>
      <c r="NAF28" s="172"/>
      <c r="NAG28" s="172"/>
      <c r="NAH28" s="172"/>
      <c r="NAI28" s="172"/>
      <c r="NAJ28" s="172"/>
      <c r="NAK28" s="172"/>
      <c r="NAL28" s="172"/>
      <c r="NAM28" s="172"/>
      <c r="NAN28" s="172"/>
      <c r="NAO28" s="172"/>
      <c r="NAP28" s="172"/>
      <c r="NAQ28" s="172"/>
      <c r="NAR28" s="172"/>
      <c r="NAS28" s="172"/>
      <c r="NAT28" s="172"/>
      <c r="NAU28" s="172"/>
      <c r="NAV28" s="172"/>
      <c r="NAW28" s="172"/>
      <c r="NAX28" s="172"/>
      <c r="NAY28" s="172"/>
      <c r="NAZ28" s="172"/>
      <c r="NBA28" s="172"/>
      <c r="NBB28" s="172"/>
      <c r="NBC28" s="172"/>
      <c r="NBD28" s="172"/>
      <c r="NBE28" s="172"/>
      <c r="NBF28" s="172"/>
      <c r="NBG28" s="172"/>
      <c r="NBH28" s="172"/>
      <c r="NBI28" s="172"/>
      <c r="NBJ28" s="172"/>
      <c r="NBK28" s="172"/>
      <c r="NBL28" s="172"/>
      <c r="NBM28" s="172"/>
      <c r="NBN28" s="172"/>
      <c r="NBO28" s="172"/>
      <c r="NBP28" s="172"/>
      <c r="NBQ28" s="172"/>
      <c r="NBR28" s="172"/>
      <c r="NBS28" s="172"/>
      <c r="NBT28" s="172"/>
      <c r="NBU28" s="172"/>
      <c r="NBV28" s="172"/>
      <c r="NBW28" s="172"/>
      <c r="NBX28" s="172"/>
      <c r="NBY28" s="172"/>
      <c r="NBZ28" s="172"/>
      <c r="NCA28" s="172"/>
      <c r="NCB28" s="172"/>
      <c r="NCC28" s="172"/>
      <c r="NCD28" s="172"/>
      <c r="NCE28" s="172"/>
      <c r="NCF28" s="172"/>
      <c r="NCG28" s="172"/>
      <c r="NCH28" s="172"/>
      <c r="NCI28" s="172"/>
      <c r="NCJ28" s="172"/>
      <c r="NCK28" s="172"/>
      <c r="NCL28" s="172"/>
      <c r="NCM28" s="172"/>
      <c r="NCN28" s="172"/>
      <c r="NCO28" s="172"/>
      <c r="NCP28" s="172"/>
      <c r="NCQ28" s="172"/>
      <c r="NCR28" s="172"/>
      <c r="NCS28" s="172"/>
      <c r="NCT28" s="172"/>
      <c r="NCU28" s="172"/>
      <c r="NCV28" s="172"/>
      <c r="NCW28" s="172"/>
      <c r="NCX28" s="172"/>
      <c r="NCY28" s="172"/>
      <c r="NCZ28" s="172"/>
      <c r="NDA28" s="172"/>
      <c r="NDB28" s="172"/>
      <c r="NDC28" s="172"/>
      <c r="NDD28" s="172"/>
      <c r="NDE28" s="172"/>
      <c r="NDF28" s="172"/>
      <c r="NDG28" s="172"/>
      <c r="NDH28" s="172"/>
      <c r="NDI28" s="172"/>
      <c r="NDJ28" s="172"/>
      <c r="NDK28" s="172"/>
      <c r="NDL28" s="172"/>
      <c r="NDM28" s="172"/>
      <c r="NDN28" s="172"/>
      <c r="NDO28" s="172"/>
      <c r="NDP28" s="172"/>
      <c r="NDQ28" s="172"/>
      <c r="NDR28" s="172"/>
      <c r="NDS28" s="172"/>
      <c r="NDT28" s="172"/>
      <c r="NDU28" s="172"/>
      <c r="NDV28" s="172"/>
      <c r="NDW28" s="172"/>
      <c r="NDX28" s="172"/>
      <c r="NDY28" s="172"/>
      <c r="NDZ28" s="172"/>
      <c r="NEA28" s="172"/>
      <c r="NEB28" s="172"/>
      <c r="NEC28" s="172"/>
      <c r="NED28" s="172"/>
      <c r="NEE28" s="172"/>
      <c r="NEF28" s="172"/>
      <c r="NEG28" s="172"/>
      <c r="NEH28" s="172"/>
      <c r="NEI28" s="172"/>
      <c r="NEJ28" s="172"/>
      <c r="NEK28" s="172"/>
      <c r="NEL28" s="172"/>
      <c r="NEM28" s="172"/>
      <c r="NEN28" s="172"/>
      <c r="NEO28" s="172"/>
      <c r="NEP28" s="172"/>
      <c r="NEQ28" s="172"/>
      <c r="NER28" s="172"/>
      <c r="NES28" s="172"/>
      <c r="NET28" s="172"/>
      <c r="NEU28" s="172"/>
      <c r="NEV28" s="172"/>
      <c r="NEW28" s="172"/>
      <c r="NEX28" s="172"/>
      <c r="NEY28" s="172"/>
      <c r="NEZ28" s="172"/>
      <c r="NFA28" s="172"/>
      <c r="NFB28" s="172"/>
      <c r="NFC28" s="172"/>
      <c r="NFD28" s="172"/>
      <c r="NFE28" s="172"/>
      <c r="NFF28" s="172"/>
      <c r="NFG28" s="172"/>
      <c r="NFH28" s="172"/>
      <c r="NFI28" s="172"/>
      <c r="NFJ28" s="172"/>
      <c r="NFK28" s="172"/>
      <c r="NFL28" s="172"/>
      <c r="NFM28" s="172"/>
      <c r="NFN28" s="172"/>
      <c r="NFO28" s="172"/>
      <c r="NFP28" s="172"/>
      <c r="NFQ28" s="172"/>
      <c r="NFR28" s="172"/>
      <c r="NFS28" s="172"/>
      <c r="NFT28" s="172"/>
      <c r="NFU28" s="172"/>
      <c r="NFV28" s="172"/>
      <c r="NFW28" s="172"/>
      <c r="NFX28" s="172"/>
      <c r="NFY28" s="172"/>
      <c r="NFZ28" s="172"/>
      <c r="NGA28" s="172"/>
      <c r="NGB28" s="172"/>
      <c r="NGC28" s="172"/>
      <c r="NGD28" s="172"/>
      <c r="NGE28" s="172"/>
      <c r="NGF28" s="172"/>
      <c r="NGG28" s="172"/>
      <c r="NGH28" s="172"/>
      <c r="NGI28" s="172"/>
      <c r="NGJ28" s="172"/>
      <c r="NGK28" s="172"/>
      <c r="NGL28" s="172"/>
      <c r="NGM28" s="172"/>
      <c r="NGN28" s="172"/>
      <c r="NGO28" s="172"/>
      <c r="NGP28" s="172"/>
      <c r="NGQ28" s="172"/>
      <c r="NGR28" s="172"/>
      <c r="NGS28" s="172"/>
      <c r="NGT28" s="172"/>
      <c r="NGU28" s="172"/>
      <c r="NGV28" s="172"/>
      <c r="NGW28" s="172"/>
      <c r="NGX28" s="172"/>
      <c r="NGY28" s="172"/>
      <c r="NGZ28" s="172"/>
      <c r="NHA28" s="172"/>
      <c r="NHB28" s="172"/>
      <c r="NHC28" s="172"/>
      <c r="NHD28" s="172"/>
      <c r="NHE28" s="172"/>
      <c r="NHF28" s="172"/>
      <c r="NHG28" s="172"/>
      <c r="NHH28" s="172"/>
      <c r="NHI28" s="172"/>
      <c r="NHJ28" s="172"/>
      <c r="NHK28" s="172"/>
      <c r="NHL28" s="172"/>
      <c r="NHM28" s="172"/>
      <c r="NHN28" s="172"/>
      <c r="NHO28" s="172"/>
      <c r="NHP28" s="172"/>
      <c r="NHQ28" s="172"/>
      <c r="NHR28" s="172"/>
      <c r="NHS28" s="172"/>
      <c r="NHT28" s="172"/>
      <c r="NHU28" s="172"/>
      <c r="NHV28" s="172"/>
      <c r="NHW28" s="172"/>
      <c r="NHX28" s="172"/>
      <c r="NHY28" s="172"/>
      <c r="NHZ28" s="172"/>
      <c r="NIA28" s="172"/>
      <c r="NIB28" s="172"/>
      <c r="NIC28" s="172"/>
      <c r="NID28" s="172"/>
      <c r="NIE28" s="172"/>
      <c r="NIF28" s="172"/>
      <c r="NIG28" s="172"/>
      <c r="NIH28" s="172"/>
      <c r="NII28" s="172"/>
      <c r="NIJ28" s="172"/>
      <c r="NIK28" s="172"/>
      <c r="NIL28" s="172"/>
      <c r="NIM28" s="172"/>
      <c r="NIN28" s="172"/>
      <c r="NIO28" s="172"/>
      <c r="NIP28" s="172"/>
      <c r="NIQ28" s="172"/>
      <c r="NIR28" s="172"/>
      <c r="NIS28" s="172"/>
      <c r="NIT28" s="172"/>
      <c r="NIU28" s="172"/>
      <c r="NIV28" s="172"/>
      <c r="NIW28" s="172"/>
      <c r="NIX28" s="172"/>
      <c r="NIY28" s="172"/>
      <c r="NIZ28" s="172"/>
      <c r="NJA28" s="172"/>
      <c r="NJB28" s="172"/>
      <c r="NJC28" s="172"/>
      <c r="NJD28" s="172"/>
      <c r="NJE28" s="172"/>
      <c r="NJF28" s="172"/>
      <c r="NJG28" s="172"/>
      <c r="NJH28" s="172"/>
      <c r="NJI28" s="172"/>
      <c r="NJJ28" s="172"/>
      <c r="NJK28" s="172"/>
      <c r="NJL28" s="172"/>
      <c r="NJM28" s="172"/>
      <c r="NJN28" s="172"/>
      <c r="NJO28" s="172"/>
      <c r="NJP28" s="172"/>
      <c r="NJQ28" s="172"/>
      <c r="NJR28" s="172"/>
      <c r="NJS28" s="172"/>
      <c r="NJT28" s="172"/>
      <c r="NJU28" s="172"/>
      <c r="NJV28" s="172"/>
      <c r="NJW28" s="172"/>
      <c r="NJX28" s="172"/>
      <c r="NJY28" s="172"/>
      <c r="NJZ28" s="172"/>
      <c r="NKA28" s="172"/>
      <c r="NKB28" s="172"/>
      <c r="NKC28" s="172"/>
      <c r="NKD28" s="172"/>
      <c r="NKE28" s="172"/>
      <c r="NKF28" s="172"/>
      <c r="NKG28" s="172"/>
      <c r="NKH28" s="172"/>
      <c r="NKI28" s="172"/>
      <c r="NKJ28" s="172"/>
      <c r="NKK28" s="172"/>
      <c r="NKL28" s="172"/>
      <c r="NKM28" s="172"/>
      <c r="NKN28" s="172"/>
      <c r="NKO28" s="172"/>
      <c r="NKP28" s="172"/>
      <c r="NKQ28" s="172"/>
      <c r="NKR28" s="172"/>
      <c r="NKS28" s="172"/>
      <c r="NKT28" s="172"/>
      <c r="NKU28" s="172"/>
      <c r="NKV28" s="172"/>
      <c r="NKW28" s="172"/>
      <c r="NKX28" s="172"/>
      <c r="NKY28" s="172"/>
      <c r="NKZ28" s="172"/>
      <c r="NLA28" s="172"/>
      <c r="NLB28" s="172"/>
      <c r="NLC28" s="172"/>
      <c r="NLD28" s="172"/>
      <c r="NLE28" s="172"/>
      <c r="NLF28" s="172"/>
      <c r="NLG28" s="172"/>
      <c r="NLH28" s="172"/>
      <c r="NLI28" s="172"/>
      <c r="NLJ28" s="172"/>
      <c r="NLK28" s="172"/>
      <c r="NLL28" s="172"/>
      <c r="NLM28" s="172"/>
      <c r="NLN28" s="172"/>
      <c r="NLO28" s="172"/>
      <c r="NLP28" s="172"/>
      <c r="NLQ28" s="172"/>
      <c r="NLR28" s="172"/>
      <c r="NLS28" s="172"/>
      <c r="NLT28" s="172"/>
      <c r="NLU28" s="172"/>
      <c r="NLV28" s="172"/>
      <c r="NLW28" s="172"/>
      <c r="NLX28" s="172"/>
      <c r="NLY28" s="172"/>
      <c r="NLZ28" s="172"/>
      <c r="NMA28" s="172"/>
      <c r="NMB28" s="172"/>
      <c r="NMC28" s="172"/>
      <c r="NMD28" s="172"/>
      <c r="NME28" s="172"/>
      <c r="NMF28" s="172"/>
      <c r="NMG28" s="172"/>
      <c r="NMH28" s="172"/>
      <c r="NMI28" s="172"/>
      <c r="NMJ28" s="172"/>
      <c r="NMK28" s="172"/>
      <c r="NML28" s="172"/>
      <c r="NMM28" s="172"/>
      <c r="NMN28" s="172"/>
      <c r="NMO28" s="172"/>
      <c r="NMP28" s="172"/>
      <c r="NMQ28" s="172"/>
      <c r="NMR28" s="172"/>
      <c r="NMS28" s="172"/>
      <c r="NMT28" s="172"/>
      <c r="NMU28" s="172"/>
      <c r="NMV28" s="172"/>
      <c r="NMW28" s="172"/>
      <c r="NMX28" s="172"/>
      <c r="NMY28" s="172"/>
      <c r="NMZ28" s="172"/>
      <c r="NNA28" s="172"/>
      <c r="NNB28" s="172"/>
      <c r="NNC28" s="172"/>
      <c r="NND28" s="172"/>
      <c r="NNE28" s="172"/>
      <c r="NNF28" s="172"/>
      <c r="NNG28" s="172"/>
      <c r="NNH28" s="172"/>
      <c r="NNI28" s="172"/>
      <c r="NNJ28" s="172"/>
      <c r="NNK28" s="172"/>
      <c r="NNL28" s="172"/>
      <c r="NNM28" s="172"/>
      <c r="NNN28" s="172"/>
      <c r="NNO28" s="172"/>
      <c r="NNP28" s="172"/>
      <c r="NNQ28" s="172"/>
      <c r="NNR28" s="172"/>
      <c r="NNS28" s="172"/>
      <c r="NNT28" s="172"/>
      <c r="NNU28" s="172"/>
      <c r="NNV28" s="172"/>
      <c r="NNW28" s="172"/>
      <c r="NNX28" s="172"/>
      <c r="NNY28" s="172"/>
      <c r="NNZ28" s="172"/>
      <c r="NOA28" s="172"/>
      <c r="NOB28" s="172"/>
      <c r="NOC28" s="172"/>
      <c r="NOD28" s="172"/>
      <c r="NOE28" s="172"/>
      <c r="NOF28" s="172"/>
      <c r="NOG28" s="172"/>
      <c r="NOH28" s="172"/>
      <c r="NOI28" s="172"/>
      <c r="NOJ28" s="172"/>
      <c r="NOK28" s="172"/>
      <c r="NOL28" s="172"/>
      <c r="NOM28" s="172"/>
      <c r="NON28" s="172"/>
      <c r="NOO28" s="172"/>
      <c r="NOP28" s="172"/>
      <c r="NOQ28" s="172"/>
      <c r="NOR28" s="172"/>
      <c r="NOS28" s="172"/>
      <c r="NOT28" s="172"/>
      <c r="NOU28" s="172"/>
      <c r="NOV28" s="172"/>
      <c r="NOW28" s="172"/>
      <c r="NOX28" s="172"/>
      <c r="NOY28" s="172"/>
      <c r="NOZ28" s="172"/>
      <c r="NPA28" s="172"/>
      <c r="NPB28" s="172"/>
      <c r="NPC28" s="172"/>
      <c r="NPD28" s="172"/>
      <c r="NPE28" s="172"/>
      <c r="NPF28" s="172"/>
      <c r="NPG28" s="172"/>
      <c r="NPH28" s="172"/>
      <c r="NPI28" s="172"/>
      <c r="NPJ28" s="172"/>
      <c r="NPK28" s="172"/>
      <c r="NPL28" s="172"/>
      <c r="NPM28" s="172"/>
      <c r="NPN28" s="172"/>
      <c r="NPO28" s="172"/>
      <c r="NPP28" s="172"/>
      <c r="NPQ28" s="172"/>
      <c r="NPR28" s="172"/>
      <c r="NPS28" s="172"/>
      <c r="NPT28" s="172"/>
      <c r="NPU28" s="172"/>
      <c r="NPV28" s="172"/>
      <c r="NPW28" s="172"/>
      <c r="NPX28" s="172"/>
      <c r="NPY28" s="172"/>
      <c r="NPZ28" s="172"/>
      <c r="NQA28" s="172"/>
      <c r="NQB28" s="172"/>
      <c r="NQC28" s="172"/>
      <c r="NQD28" s="172"/>
      <c r="NQE28" s="172"/>
      <c r="NQF28" s="172"/>
      <c r="NQG28" s="172"/>
      <c r="NQH28" s="172"/>
      <c r="NQI28" s="172"/>
      <c r="NQJ28" s="172"/>
      <c r="NQK28" s="172"/>
      <c r="NQL28" s="172"/>
      <c r="NQM28" s="172"/>
      <c r="NQN28" s="172"/>
      <c r="NQO28" s="172"/>
      <c r="NQP28" s="172"/>
      <c r="NQQ28" s="172"/>
      <c r="NQR28" s="172"/>
      <c r="NQS28" s="172"/>
      <c r="NQT28" s="172"/>
      <c r="NQU28" s="172"/>
      <c r="NQV28" s="172"/>
      <c r="NQW28" s="172"/>
      <c r="NQX28" s="172"/>
      <c r="NQY28" s="172"/>
      <c r="NQZ28" s="172"/>
      <c r="NRA28" s="172"/>
      <c r="NRB28" s="172"/>
      <c r="NRC28" s="172"/>
      <c r="NRD28" s="172"/>
      <c r="NRE28" s="172"/>
      <c r="NRF28" s="172"/>
      <c r="NRG28" s="172"/>
      <c r="NRH28" s="172"/>
      <c r="NRI28" s="172"/>
      <c r="NRJ28" s="172"/>
      <c r="NRK28" s="172"/>
      <c r="NRL28" s="172"/>
      <c r="NRM28" s="172"/>
      <c r="NRN28" s="172"/>
      <c r="NRO28" s="172"/>
      <c r="NRP28" s="172"/>
      <c r="NRQ28" s="172"/>
      <c r="NRR28" s="172"/>
      <c r="NRS28" s="172"/>
      <c r="NRT28" s="172"/>
      <c r="NRU28" s="172"/>
      <c r="NRV28" s="172"/>
      <c r="NRW28" s="172"/>
      <c r="NRX28" s="172"/>
      <c r="NRY28" s="172"/>
      <c r="NRZ28" s="172"/>
      <c r="NSA28" s="172"/>
      <c r="NSB28" s="172"/>
      <c r="NSC28" s="172"/>
      <c r="NSD28" s="172"/>
      <c r="NSE28" s="172"/>
      <c r="NSF28" s="172"/>
      <c r="NSG28" s="172"/>
      <c r="NSH28" s="172"/>
      <c r="NSI28" s="172"/>
      <c r="NSJ28" s="172"/>
      <c r="NSK28" s="172"/>
      <c r="NSL28" s="172"/>
      <c r="NSM28" s="172"/>
      <c r="NSN28" s="172"/>
      <c r="NSO28" s="172"/>
      <c r="NSP28" s="172"/>
      <c r="NSQ28" s="172"/>
      <c r="NSR28" s="172"/>
      <c r="NSS28" s="172"/>
      <c r="NST28" s="172"/>
      <c r="NSU28" s="172"/>
      <c r="NSV28" s="172"/>
      <c r="NSW28" s="172"/>
      <c r="NSX28" s="172"/>
      <c r="NSY28" s="172"/>
      <c r="NSZ28" s="172"/>
      <c r="NTA28" s="172"/>
      <c r="NTB28" s="172"/>
      <c r="NTC28" s="172"/>
      <c r="NTD28" s="172"/>
      <c r="NTE28" s="172"/>
      <c r="NTF28" s="172"/>
      <c r="NTG28" s="172"/>
      <c r="NTH28" s="172"/>
      <c r="NTI28" s="172"/>
      <c r="NTJ28" s="172"/>
      <c r="NTK28" s="172"/>
      <c r="NTL28" s="172"/>
      <c r="NTM28" s="172"/>
      <c r="NTN28" s="172"/>
      <c r="NTO28" s="172"/>
      <c r="NTP28" s="172"/>
      <c r="NTQ28" s="172"/>
      <c r="NTR28" s="172"/>
      <c r="NTS28" s="172"/>
      <c r="NTT28" s="172"/>
      <c r="NTU28" s="172"/>
      <c r="NTV28" s="172"/>
      <c r="NTW28" s="172"/>
      <c r="NTX28" s="172"/>
      <c r="NTY28" s="172"/>
      <c r="NTZ28" s="172"/>
      <c r="NUA28" s="172"/>
      <c r="NUB28" s="172"/>
      <c r="NUC28" s="172"/>
      <c r="NUD28" s="172"/>
      <c r="NUE28" s="172"/>
      <c r="NUF28" s="172"/>
      <c r="NUG28" s="172"/>
      <c r="NUH28" s="172"/>
      <c r="NUI28" s="172"/>
      <c r="NUJ28" s="172"/>
      <c r="NUK28" s="172"/>
      <c r="NUL28" s="172"/>
      <c r="NUM28" s="172"/>
      <c r="NUN28" s="172"/>
      <c r="NUO28" s="172"/>
      <c r="NUP28" s="172"/>
      <c r="NUQ28" s="172"/>
      <c r="NUR28" s="172"/>
      <c r="NUS28" s="172"/>
      <c r="NUT28" s="172"/>
      <c r="NUU28" s="172"/>
      <c r="NUV28" s="172"/>
      <c r="NUW28" s="172"/>
      <c r="NUX28" s="172"/>
      <c r="NUY28" s="172"/>
      <c r="NUZ28" s="172"/>
      <c r="NVA28" s="172"/>
      <c r="NVB28" s="172"/>
      <c r="NVC28" s="172"/>
      <c r="NVD28" s="172"/>
      <c r="NVE28" s="172"/>
      <c r="NVF28" s="172"/>
      <c r="NVG28" s="172"/>
      <c r="NVH28" s="172"/>
      <c r="NVI28" s="172"/>
      <c r="NVJ28" s="172"/>
      <c r="NVK28" s="172"/>
      <c r="NVL28" s="172"/>
      <c r="NVM28" s="172"/>
      <c r="NVN28" s="172"/>
      <c r="NVO28" s="172"/>
      <c r="NVP28" s="172"/>
      <c r="NVQ28" s="172"/>
      <c r="NVR28" s="172"/>
      <c r="NVS28" s="172"/>
      <c r="NVT28" s="172"/>
      <c r="NVU28" s="172"/>
      <c r="NVV28" s="172"/>
      <c r="NVW28" s="172"/>
      <c r="NVX28" s="172"/>
      <c r="NVY28" s="172"/>
      <c r="NVZ28" s="172"/>
      <c r="NWA28" s="172"/>
      <c r="NWB28" s="172"/>
      <c r="NWC28" s="172"/>
      <c r="NWD28" s="172"/>
      <c r="NWE28" s="172"/>
      <c r="NWF28" s="172"/>
      <c r="NWG28" s="172"/>
      <c r="NWH28" s="172"/>
      <c r="NWI28" s="172"/>
      <c r="NWJ28" s="172"/>
      <c r="NWK28" s="172"/>
      <c r="NWL28" s="172"/>
      <c r="NWM28" s="172"/>
      <c r="NWN28" s="172"/>
      <c r="NWO28" s="172"/>
      <c r="NWP28" s="172"/>
      <c r="NWQ28" s="172"/>
      <c r="NWR28" s="172"/>
      <c r="NWS28" s="172"/>
      <c r="NWT28" s="172"/>
      <c r="NWU28" s="172"/>
      <c r="NWV28" s="172"/>
      <c r="NWW28" s="172"/>
      <c r="NWX28" s="172"/>
      <c r="NWY28" s="172"/>
      <c r="NWZ28" s="172"/>
      <c r="NXA28" s="172"/>
      <c r="NXB28" s="172"/>
      <c r="NXC28" s="172"/>
      <c r="NXD28" s="172"/>
      <c r="NXE28" s="172"/>
      <c r="NXF28" s="172"/>
      <c r="NXG28" s="172"/>
      <c r="NXH28" s="172"/>
      <c r="NXI28" s="172"/>
      <c r="NXJ28" s="172"/>
      <c r="NXK28" s="172"/>
      <c r="NXL28" s="172"/>
      <c r="NXM28" s="172"/>
      <c r="NXN28" s="172"/>
      <c r="NXO28" s="172"/>
      <c r="NXP28" s="172"/>
      <c r="NXQ28" s="172"/>
      <c r="NXR28" s="172"/>
      <c r="NXS28" s="172"/>
      <c r="NXT28" s="172"/>
      <c r="NXU28" s="172"/>
      <c r="NXV28" s="172"/>
      <c r="NXW28" s="172"/>
      <c r="NXX28" s="172"/>
      <c r="NXY28" s="172"/>
      <c r="NXZ28" s="172"/>
      <c r="NYA28" s="172"/>
      <c r="NYB28" s="172"/>
      <c r="NYC28" s="172"/>
      <c r="NYD28" s="172"/>
      <c r="NYE28" s="172"/>
      <c r="NYF28" s="172"/>
      <c r="NYG28" s="172"/>
      <c r="NYH28" s="172"/>
      <c r="NYI28" s="172"/>
      <c r="NYJ28" s="172"/>
      <c r="NYK28" s="172"/>
      <c r="NYL28" s="172"/>
      <c r="NYM28" s="172"/>
      <c r="NYN28" s="172"/>
      <c r="NYO28" s="172"/>
      <c r="NYP28" s="172"/>
      <c r="NYQ28" s="172"/>
      <c r="NYR28" s="172"/>
      <c r="NYS28" s="172"/>
      <c r="NYT28" s="172"/>
      <c r="NYU28" s="172"/>
      <c r="NYV28" s="172"/>
      <c r="NYW28" s="172"/>
      <c r="NYX28" s="172"/>
      <c r="NYY28" s="172"/>
      <c r="NYZ28" s="172"/>
      <c r="NZA28" s="172"/>
      <c r="NZB28" s="172"/>
      <c r="NZC28" s="172"/>
      <c r="NZD28" s="172"/>
      <c r="NZE28" s="172"/>
      <c r="NZF28" s="172"/>
      <c r="NZG28" s="172"/>
      <c r="NZH28" s="172"/>
      <c r="NZI28" s="172"/>
      <c r="NZJ28" s="172"/>
      <c r="NZK28" s="172"/>
      <c r="NZL28" s="172"/>
      <c r="NZM28" s="172"/>
      <c r="NZN28" s="172"/>
      <c r="NZO28" s="172"/>
      <c r="NZP28" s="172"/>
      <c r="NZQ28" s="172"/>
      <c r="NZR28" s="172"/>
      <c r="NZS28" s="172"/>
      <c r="NZT28" s="172"/>
      <c r="NZU28" s="172"/>
      <c r="NZV28" s="172"/>
      <c r="NZW28" s="172"/>
      <c r="NZX28" s="172"/>
      <c r="NZY28" s="172"/>
      <c r="NZZ28" s="172"/>
      <c r="OAA28" s="172"/>
      <c r="OAB28" s="172"/>
      <c r="OAC28" s="172"/>
      <c r="OAD28" s="172"/>
      <c r="OAE28" s="172"/>
      <c r="OAF28" s="172"/>
      <c r="OAG28" s="172"/>
      <c r="OAH28" s="172"/>
      <c r="OAI28" s="172"/>
      <c r="OAJ28" s="172"/>
      <c r="OAK28" s="172"/>
      <c r="OAL28" s="172"/>
      <c r="OAM28" s="172"/>
      <c r="OAN28" s="172"/>
      <c r="OAO28" s="172"/>
      <c r="OAP28" s="172"/>
      <c r="OAQ28" s="172"/>
      <c r="OAR28" s="172"/>
      <c r="OAS28" s="172"/>
      <c r="OAT28" s="172"/>
      <c r="OAU28" s="172"/>
      <c r="OAV28" s="172"/>
      <c r="OAW28" s="172"/>
      <c r="OAX28" s="172"/>
      <c r="OAY28" s="172"/>
      <c r="OAZ28" s="172"/>
      <c r="OBA28" s="172"/>
      <c r="OBB28" s="172"/>
      <c r="OBC28" s="172"/>
      <c r="OBD28" s="172"/>
      <c r="OBE28" s="172"/>
      <c r="OBF28" s="172"/>
      <c r="OBG28" s="172"/>
      <c r="OBH28" s="172"/>
      <c r="OBI28" s="172"/>
      <c r="OBJ28" s="172"/>
      <c r="OBK28" s="172"/>
      <c r="OBL28" s="172"/>
      <c r="OBM28" s="172"/>
      <c r="OBN28" s="172"/>
      <c r="OBO28" s="172"/>
      <c r="OBP28" s="172"/>
      <c r="OBQ28" s="172"/>
      <c r="OBR28" s="172"/>
      <c r="OBS28" s="172"/>
      <c r="OBT28" s="172"/>
      <c r="OBU28" s="172"/>
      <c r="OBV28" s="172"/>
      <c r="OBW28" s="172"/>
      <c r="OBX28" s="172"/>
      <c r="OBY28" s="172"/>
      <c r="OBZ28" s="172"/>
      <c r="OCA28" s="172"/>
      <c r="OCB28" s="172"/>
      <c r="OCC28" s="172"/>
      <c r="OCD28" s="172"/>
      <c r="OCE28" s="172"/>
      <c r="OCF28" s="172"/>
      <c r="OCG28" s="172"/>
      <c r="OCH28" s="172"/>
      <c r="OCI28" s="172"/>
      <c r="OCJ28" s="172"/>
      <c r="OCK28" s="172"/>
      <c r="OCL28" s="172"/>
      <c r="OCM28" s="172"/>
      <c r="OCN28" s="172"/>
      <c r="OCO28" s="172"/>
      <c r="OCP28" s="172"/>
      <c r="OCQ28" s="172"/>
      <c r="OCR28" s="172"/>
      <c r="OCS28" s="172"/>
      <c r="OCT28" s="172"/>
      <c r="OCU28" s="172"/>
      <c r="OCV28" s="172"/>
      <c r="OCW28" s="172"/>
      <c r="OCX28" s="172"/>
      <c r="OCY28" s="172"/>
      <c r="OCZ28" s="172"/>
      <c r="ODA28" s="172"/>
      <c r="ODB28" s="172"/>
      <c r="ODC28" s="172"/>
      <c r="ODD28" s="172"/>
      <c r="ODE28" s="172"/>
      <c r="ODF28" s="172"/>
      <c r="ODG28" s="172"/>
      <c r="ODH28" s="172"/>
      <c r="ODI28" s="172"/>
      <c r="ODJ28" s="172"/>
      <c r="ODK28" s="172"/>
      <c r="ODL28" s="172"/>
      <c r="ODM28" s="172"/>
      <c r="ODN28" s="172"/>
      <c r="ODO28" s="172"/>
      <c r="ODP28" s="172"/>
      <c r="ODQ28" s="172"/>
      <c r="ODR28" s="172"/>
      <c r="ODS28" s="172"/>
      <c r="ODT28" s="172"/>
      <c r="ODU28" s="172"/>
      <c r="ODV28" s="172"/>
      <c r="ODW28" s="172"/>
      <c r="ODX28" s="172"/>
      <c r="ODY28" s="172"/>
      <c r="ODZ28" s="172"/>
      <c r="OEA28" s="172"/>
      <c r="OEB28" s="172"/>
      <c r="OEC28" s="172"/>
      <c r="OED28" s="172"/>
      <c r="OEE28" s="172"/>
      <c r="OEF28" s="172"/>
      <c r="OEG28" s="172"/>
      <c r="OEH28" s="172"/>
      <c r="OEI28" s="172"/>
      <c r="OEJ28" s="172"/>
      <c r="OEK28" s="172"/>
      <c r="OEL28" s="172"/>
      <c r="OEM28" s="172"/>
      <c r="OEN28" s="172"/>
      <c r="OEO28" s="172"/>
      <c r="OEP28" s="172"/>
      <c r="OEQ28" s="172"/>
      <c r="OER28" s="172"/>
      <c r="OES28" s="172"/>
      <c r="OET28" s="172"/>
      <c r="OEU28" s="172"/>
      <c r="OEV28" s="172"/>
      <c r="OEW28" s="172"/>
      <c r="OEX28" s="172"/>
      <c r="OEY28" s="172"/>
      <c r="OEZ28" s="172"/>
      <c r="OFA28" s="172"/>
      <c r="OFB28" s="172"/>
      <c r="OFC28" s="172"/>
      <c r="OFD28" s="172"/>
      <c r="OFE28" s="172"/>
      <c r="OFF28" s="172"/>
      <c r="OFG28" s="172"/>
      <c r="OFH28" s="172"/>
      <c r="OFI28" s="172"/>
      <c r="OFJ28" s="172"/>
      <c r="OFK28" s="172"/>
      <c r="OFL28" s="172"/>
      <c r="OFM28" s="172"/>
      <c r="OFN28" s="172"/>
      <c r="OFO28" s="172"/>
      <c r="OFP28" s="172"/>
      <c r="OFQ28" s="172"/>
      <c r="OFR28" s="172"/>
      <c r="OFS28" s="172"/>
      <c r="OFT28" s="172"/>
      <c r="OFU28" s="172"/>
      <c r="OFV28" s="172"/>
      <c r="OFW28" s="172"/>
      <c r="OFX28" s="172"/>
      <c r="OFY28" s="172"/>
      <c r="OFZ28" s="172"/>
      <c r="OGA28" s="172"/>
      <c r="OGB28" s="172"/>
      <c r="OGC28" s="172"/>
      <c r="OGD28" s="172"/>
      <c r="OGE28" s="172"/>
      <c r="OGF28" s="172"/>
      <c r="OGG28" s="172"/>
      <c r="OGH28" s="172"/>
      <c r="OGI28" s="172"/>
      <c r="OGJ28" s="172"/>
      <c r="OGK28" s="172"/>
      <c r="OGL28" s="172"/>
      <c r="OGM28" s="172"/>
      <c r="OGN28" s="172"/>
      <c r="OGO28" s="172"/>
      <c r="OGP28" s="172"/>
      <c r="OGQ28" s="172"/>
      <c r="OGR28" s="172"/>
      <c r="OGS28" s="172"/>
      <c r="OGT28" s="172"/>
      <c r="OGU28" s="172"/>
      <c r="OGV28" s="172"/>
      <c r="OGW28" s="172"/>
      <c r="OGX28" s="172"/>
      <c r="OGY28" s="172"/>
      <c r="OGZ28" s="172"/>
      <c r="OHA28" s="172"/>
      <c r="OHB28" s="172"/>
      <c r="OHC28" s="172"/>
      <c r="OHD28" s="172"/>
      <c r="OHE28" s="172"/>
      <c r="OHF28" s="172"/>
      <c r="OHG28" s="172"/>
      <c r="OHH28" s="172"/>
      <c r="OHI28" s="172"/>
      <c r="OHJ28" s="172"/>
      <c r="OHK28" s="172"/>
      <c r="OHL28" s="172"/>
      <c r="OHM28" s="172"/>
      <c r="OHN28" s="172"/>
      <c r="OHO28" s="172"/>
      <c r="OHP28" s="172"/>
      <c r="OHQ28" s="172"/>
      <c r="OHR28" s="172"/>
      <c r="OHS28" s="172"/>
      <c r="OHT28" s="172"/>
      <c r="OHU28" s="172"/>
      <c r="OHV28" s="172"/>
      <c r="OHW28" s="172"/>
      <c r="OHX28" s="172"/>
      <c r="OHY28" s="172"/>
      <c r="OHZ28" s="172"/>
      <c r="OIA28" s="172"/>
      <c r="OIB28" s="172"/>
      <c r="OIC28" s="172"/>
      <c r="OID28" s="172"/>
      <c r="OIE28" s="172"/>
      <c r="OIF28" s="172"/>
      <c r="OIG28" s="172"/>
      <c r="OIH28" s="172"/>
      <c r="OII28" s="172"/>
      <c r="OIJ28" s="172"/>
      <c r="OIK28" s="172"/>
      <c r="OIL28" s="172"/>
      <c r="OIM28" s="172"/>
      <c r="OIN28" s="172"/>
      <c r="OIO28" s="172"/>
      <c r="OIP28" s="172"/>
      <c r="OIQ28" s="172"/>
      <c r="OIR28" s="172"/>
      <c r="OIS28" s="172"/>
      <c r="OIT28" s="172"/>
      <c r="OIU28" s="172"/>
      <c r="OIV28" s="172"/>
      <c r="OIW28" s="172"/>
      <c r="OIX28" s="172"/>
      <c r="OIY28" s="172"/>
      <c r="OIZ28" s="172"/>
      <c r="OJA28" s="172"/>
      <c r="OJB28" s="172"/>
      <c r="OJC28" s="172"/>
      <c r="OJD28" s="172"/>
      <c r="OJE28" s="172"/>
      <c r="OJF28" s="172"/>
      <c r="OJG28" s="172"/>
      <c r="OJH28" s="172"/>
      <c r="OJI28" s="172"/>
      <c r="OJJ28" s="172"/>
      <c r="OJK28" s="172"/>
      <c r="OJL28" s="172"/>
      <c r="OJM28" s="172"/>
      <c r="OJN28" s="172"/>
      <c r="OJO28" s="172"/>
      <c r="OJP28" s="172"/>
      <c r="OJQ28" s="172"/>
      <c r="OJR28" s="172"/>
      <c r="OJS28" s="172"/>
      <c r="OJT28" s="172"/>
      <c r="OJU28" s="172"/>
      <c r="OJV28" s="172"/>
      <c r="OJW28" s="172"/>
      <c r="OJX28" s="172"/>
      <c r="OJY28" s="172"/>
      <c r="OJZ28" s="172"/>
      <c r="OKA28" s="172"/>
      <c r="OKB28" s="172"/>
      <c r="OKC28" s="172"/>
      <c r="OKD28" s="172"/>
      <c r="OKE28" s="172"/>
      <c r="OKF28" s="172"/>
      <c r="OKG28" s="172"/>
      <c r="OKH28" s="172"/>
      <c r="OKI28" s="172"/>
      <c r="OKJ28" s="172"/>
      <c r="OKK28" s="172"/>
      <c r="OKL28" s="172"/>
      <c r="OKM28" s="172"/>
      <c r="OKN28" s="172"/>
      <c r="OKO28" s="172"/>
      <c r="OKP28" s="172"/>
      <c r="OKQ28" s="172"/>
      <c r="OKR28" s="172"/>
      <c r="OKS28" s="172"/>
      <c r="OKT28" s="172"/>
      <c r="OKU28" s="172"/>
      <c r="OKV28" s="172"/>
      <c r="OKW28" s="172"/>
      <c r="OKX28" s="172"/>
      <c r="OKY28" s="172"/>
      <c r="OKZ28" s="172"/>
      <c r="OLA28" s="172"/>
      <c r="OLB28" s="172"/>
      <c r="OLC28" s="172"/>
      <c r="OLD28" s="172"/>
      <c r="OLE28" s="172"/>
      <c r="OLF28" s="172"/>
      <c r="OLG28" s="172"/>
      <c r="OLH28" s="172"/>
      <c r="OLI28" s="172"/>
      <c r="OLJ28" s="172"/>
      <c r="OLK28" s="172"/>
      <c r="OLL28" s="172"/>
      <c r="OLM28" s="172"/>
      <c r="OLN28" s="172"/>
      <c r="OLO28" s="172"/>
      <c r="OLP28" s="172"/>
      <c r="OLQ28" s="172"/>
      <c r="OLR28" s="172"/>
      <c r="OLS28" s="172"/>
      <c r="OLT28" s="172"/>
      <c r="OLU28" s="172"/>
      <c r="OLV28" s="172"/>
      <c r="OLW28" s="172"/>
      <c r="OLX28" s="172"/>
      <c r="OLY28" s="172"/>
      <c r="OLZ28" s="172"/>
      <c r="OMA28" s="172"/>
      <c r="OMB28" s="172"/>
      <c r="OMC28" s="172"/>
      <c r="OMD28" s="172"/>
      <c r="OME28" s="172"/>
      <c r="OMF28" s="172"/>
      <c r="OMG28" s="172"/>
      <c r="OMH28" s="172"/>
      <c r="OMI28" s="172"/>
      <c r="OMJ28" s="172"/>
      <c r="OMK28" s="172"/>
      <c r="OML28" s="172"/>
      <c r="OMM28" s="172"/>
      <c r="OMN28" s="172"/>
      <c r="OMO28" s="172"/>
      <c r="OMP28" s="172"/>
      <c r="OMQ28" s="172"/>
      <c r="OMR28" s="172"/>
      <c r="OMS28" s="172"/>
      <c r="OMT28" s="172"/>
      <c r="OMU28" s="172"/>
      <c r="OMV28" s="172"/>
      <c r="OMW28" s="172"/>
      <c r="OMX28" s="172"/>
      <c r="OMY28" s="172"/>
      <c r="OMZ28" s="172"/>
      <c r="ONA28" s="172"/>
      <c r="ONB28" s="172"/>
      <c r="ONC28" s="172"/>
      <c r="OND28" s="172"/>
      <c r="ONE28" s="172"/>
      <c r="ONF28" s="172"/>
      <c r="ONG28" s="172"/>
      <c r="ONH28" s="172"/>
      <c r="ONI28" s="172"/>
      <c r="ONJ28" s="172"/>
      <c r="ONK28" s="172"/>
      <c r="ONL28" s="172"/>
      <c r="ONM28" s="172"/>
      <c r="ONN28" s="172"/>
      <c r="ONO28" s="172"/>
      <c r="ONP28" s="172"/>
      <c r="ONQ28" s="172"/>
      <c r="ONR28" s="172"/>
      <c r="ONS28" s="172"/>
      <c r="ONT28" s="172"/>
      <c r="ONU28" s="172"/>
      <c r="ONV28" s="172"/>
      <c r="ONW28" s="172"/>
      <c r="ONX28" s="172"/>
      <c r="ONY28" s="172"/>
      <c r="ONZ28" s="172"/>
      <c r="OOA28" s="172"/>
      <c r="OOB28" s="172"/>
      <c r="OOC28" s="172"/>
      <c r="OOD28" s="172"/>
      <c r="OOE28" s="172"/>
      <c r="OOF28" s="172"/>
      <c r="OOG28" s="172"/>
      <c r="OOH28" s="172"/>
      <c r="OOI28" s="172"/>
      <c r="OOJ28" s="172"/>
      <c r="OOK28" s="172"/>
      <c r="OOL28" s="172"/>
      <c r="OOM28" s="172"/>
      <c r="OON28" s="172"/>
      <c r="OOO28" s="172"/>
      <c r="OOP28" s="172"/>
      <c r="OOQ28" s="172"/>
      <c r="OOR28" s="172"/>
      <c r="OOS28" s="172"/>
      <c r="OOT28" s="172"/>
      <c r="OOU28" s="172"/>
      <c r="OOV28" s="172"/>
      <c r="OOW28" s="172"/>
      <c r="OOX28" s="172"/>
      <c r="OOY28" s="172"/>
      <c r="OOZ28" s="172"/>
      <c r="OPA28" s="172"/>
      <c r="OPB28" s="172"/>
      <c r="OPC28" s="172"/>
      <c r="OPD28" s="172"/>
      <c r="OPE28" s="172"/>
      <c r="OPF28" s="172"/>
      <c r="OPG28" s="172"/>
      <c r="OPH28" s="172"/>
      <c r="OPI28" s="172"/>
      <c r="OPJ28" s="172"/>
      <c r="OPK28" s="172"/>
      <c r="OPL28" s="172"/>
      <c r="OPM28" s="172"/>
      <c r="OPN28" s="172"/>
      <c r="OPO28" s="172"/>
      <c r="OPP28" s="172"/>
      <c r="OPQ28" s="172"/>
      <c r="OPR28" s="172"/>
      <c r="OPS28" s="172"/>
      <c r="OPT28" s="172"/>
      <c r="OPU28" s="172"/>
      <c r="OPV28" s="172"/>
      <c r="OPW28" s="172"/>
      <c r="OPX28" s="172"/>
      <c r="OPY28" s="172"/>
      <c r="OPZ28" s="172"/>
      <c r="OQA28" s="172"/>
      <c r="OQB28" s="172"/>
      <c r="OQC28" s="172"/>
      <c r="OQD28" s="172"/>
      <c r="OQE28" s="172"/>
      <c r="OQF28" s="172"/>
      <c r="OQG28" s="172"/>
      <c r="OQH28" s="172"/>
      <c r="OQI28" s="172"/>
      <c r="OQJ28" s="172"/>
      <c r="OQK28" s="172"/>
      <c r="OQL28" s="172"/>
      <c r="OQM28" s="172"/>
      <c r="OQN28" s="172"/>
      <c r="OQO28" s="172"/>
      <c r="OQP28" s="172"/>
      <c r="OQQ28" s="172"/>
      <c r="OQR28" s="172"/>
      <c r="OQS28" s="172"/>
      <c r="OQT28" s="172"/>
      <c r="OQU28" s="172"/>
      <c r="OQV28" s="172"/>
      <c r="OQW28" s="172"/>
      <c r="OQX28" s="172"/>
      <c r="OQY28" s="172"/>
      <c r="OQZ28" s="172"/>
      <c r="ORA28" s="172"/>
      <c r="ORB28" s="172"/>
      <c r="ORC28" s="172"/>
      <c r="ORD28" s="172"/>
      <c r="ORE28" s="172"/>
      <c r="ORF28" s="172"/>
      <c r="ORG28" s="172"/>
      <c r="ORH28" s="172"/>
      <c r="ORI28" s="172"/>
      <c r="ORJ28" s="172"/>
      <c r="ORK28" s="172"/>
      <c r="ORL28" s="172"/>
      <c r="ORM28" s="172"/>
      <c r="ORN28" s="172"/>
      <c r="ORO28" s="172"/>
      <c r="ORP28" s="172"/>
      <c r="ORQ28" s="172"/>
      <c r="ORR28" s="172"/>
      <c r="ORS28" s="172"/>
      <c r="ORT28" s="172"/>
      <c r="ORU28" s="172"/>
      <c r="ORV28" s="172"/>
      <c r="ORW28" s="172"/>
      <c r="ORX28" s="172"/>
      <c r="ORY28" s="172"/>
      <c r="ORZ28" s="172"/>
      <c r="OSA28" s="172"/>
      <c r="OSB28" s="172"/>
      <c r="OSC28" s="172"/>
      <c r="OSD28" s="172"/>
      <c r="OSE28" s="172"/>
      <c r="OSF28" s="172"/>
      <c r="OSG28" s="172"/>
      <c r="OSH28" s="172"/>
      <c r="OSI28" s="172"/>
      <c r="OSJ28" s="172"/>
      <c r="OSK28" s="172"/>
      <c r="OSL28" s="172"/>
      <c r="OSM28" s="172"/>
      <c r="OSN28" s="172"/>
      <c r="OSO28" s="172"/>
      <c r="OSP28" s="172"/>
      <c r="OSQ28" s="172"/>
      <c r="OSR28" s="172"/>
      <c r="OSS28" s="172"/>
      <c r="OST28" s="172"/>
      <c r="OSU28" s="172"/>
      <c r="OSV28" s="172"/>
      <c r="OSW28" s="172"/>
      <c r="OSX28" s="172"/>
      <c r="OSY28" s="172"/>
      <c r="OSZ28" s="172"/>
      <c r="OTA28" s="172"/>
      <c r="OTB28" s="172"/>
      <c r="OTC28" s="172"/>
      <c r="OTD28" s="172"/>
      <c r="OTE28" s="172"/>
      <c r="OTF28" s="172"/>
      <c r="OTG28" s="172"/>
      <c r="OTH28" s="172"/>
      <c r="OTI28" s="172"/>
      <c r="OTJ28" s="172"/>
      <c r="OTK28" s="172"/>
      <c r="OTL28" s="172"/>
      <c r="OTM28" s="172"/>
      <c r="OTN28" s="172"/>
      <c r="OTO28" s="172"/>
      <c r="OTP28" s="172"/>
      <c r="OTQ28" s="172"/>
      <c r="OTR28" s="172"/>
      <c r="OTS28" s="172"/>
      <c r="OTT28" s="172"/>
      <c r="OTU28" s="172"/>
      <c r="OTV28" s="172"/>
      <c r="OTW28" s="172"/>
      <c r="OTX28" s="172"/>
      <c r="OTY28" s="172"/>
      <c r="OTZ28" s="172"/>
      <c r="OUA28" s="172"/>
      <c r="OUB28" s="172"/>
      <c r="OUC28" s="172"/>
      <c r="OUD28" s="172"/>
      <c r="OUE28" s="172"/>
      <c r="OUF28" s="172"/>
      <c r="OUG28" s="172"/>
      <c r="OUH28" s="172"/>
      <c r="OUI28" s="172"/>
      <c r="OUJ28" s="172"/>
      <c r="OUK28" s="172"/>
      <c r="OUL28" s="172"/>
      <c r="OUM28" s="172"/>
      <c r="OUN28" s="172"/>
      <c r="OUO28" s="172"/>
      <c r="OUP28" s="172"/>
      <c r="OUQ28" s="172"/>
      <c r="OUR28" s="172"/>
      <c r="OUS28" s="172"/>
      <c r="OUT28" s="172"/>
      <c r="OUU28" s="172"/>
      <c r="OUV28" s="172"/>
      <c r="OUW28" s="172"/>
      <c r="OUX28" s="172"/>
      <c r="OUY28" s="172"/>
      <c r="OUZ28" s="172"/>
      <c r="OVA28" s="172"/>
      <c r="OVB28" s="172"/>
      <c r="OVC28" s="172"/>
      <c r="OVD28" s="172"/>
      <c r="OVE28" s="172"/>
      <c r="OVF28" s="172"/>
      <c r="OVG28" s="172"/>
      <c r="OVH28" s="172"/>
      <c r="OVI28" s="172"/>
      <c r="OVJ28" s="172"/>
      <c r="OVK28" s="172"/>
      <c r="OVL28" s="172"/>
      <c r="OVM28" s="172"/>
      <c r="OVN28" s="172"/>
      <c r="OVO28" s="172"/>
      <c r="OVP28" s="172"/>
      <c r="OVQ28" s="172"/>
      <c r="OVR28" s="172"/>
      <c r="OVS28" s="172"/>
      <c r="OVT28" s="172"/>
      <c r="OVU28" s="172"/>
      <c r="OVV28" s="172"/>
      <c r="OVW28" s="172"/>
      <c r="OVX28" s="172"/>
      <c r="OVY28" s="172"/>
      <c r="OVZ28" s="172"/>
      <c r="OWA28" s="172"/>
      <c r="OWB28" s="172"/>
      <c r="OWC28" s="172"/>
      <c r="OWD28" s="172"/>
      <c r="OWE28" s="172"/>
      <c r="OWF28" s="172"/>
      <c r="OWG28" s="172"/>
      <c r="OWH28" s="172"/>
      <c r="OWI28" s="172"/>
      <c r="OWJ28" s="172"/>
      <c r="OWK28" s="172"/>
      <c r="OWL28" s="172"/>
      <c r="OWM28" s="172"/>
      <c r="OWN28" s="172"/>
      <c r="OWO28" s="172"/>
      <c r="OWP28" s="172"/>
      <c r="OWQ28" s="172"/>
      <c r="OWR28" s="172"/>
      <c r="OWS28" s="172"/>
      <c r="OWT28" s="172"/>
      <c r="OWU28" s="172"/>
      <c r="OWV28" s="172"/>
      <c r="OWW28" s="172"/>
      <c r="OWX28" s="172"/>
      <c r="OWY28" s="172"/>
      <c r="OWZ28" s="172"/>
      <c r="OXA28" s="172"/>
      <c r="OXB28" s="172"/>
      <c r="OXC28" s="172"/>
      <c r="OXD28" s="172"/>
      <c r="OXE28" s="172"/>
      <c r="OXF28" s="172"/>
      <c r="OXG28" s="172"/>
      <c r="OXH28" s="172"/>
      <c r="OXI28" s="172"/>
      <c r="OXJ28" s="172"/>
      <c r="OXK28" s="172"/>
      <c r="OXL28" s="172"/>
      <c r="OXM28" s="172"/>
      <c r="OXN28" s="172"/>
      <c r="OXO28" s="172"/>
      <c r="OXP28" s="172"/>
      <c r="OXQ28" s="172"/>
      <c r="OXR28" s="172"/>
      <c r="OXS28" s="172"/>
      <c r="OXT28" s="172"/>
      <c r="OXU28" s="172"/>
      <c r="OXV28" s="172"/>
      <c r="OXW28" s="172"/>
      <c r="OXX28" s="172"/>
      <c r="OXY28" s="172"/>
      <c r="OXZ28" s="172"/>
      <c r="OYA28" s="172"/>
      <c r="OYB28" s="172"/>
      <c r="OYC28" s="172"/>
      <c r="OYD28" s="172"/>
      <c r="OYE28" s="172"/>
      <c r="OYF28" s="172"/>
      <c r="OYG28" s="172"/>
      <c r="OYH28" s="172"/>
      <c r="OYI28" s="172"/>
      <c r="OYJ28" s="172"/>
      <c r="OYK28" s="172"/>
      <c r="OYL28" s="172"/>
      <c r="OYM28" s="172"/>
      <c r="OYN28" s="172"/>
      <c r="OYO28" s="172"/>
      <c r="OYP28" s="172"/>
      <c r="OYQ28" s="172"/>
      <c r="OYR28" s="172"/>
      <c r="OYS28" s="172"/>
      <c r="OYT28" s="172"/>
      <c r="OYU28" s="172"/>
      <c r="OYV28" s="172"/>
      <c r="OYW28" s="172"/>
      <c r="OYX28" s="172"/>
      <c r="OYY28" s="172"/>
      <c r="OYZ28" s="172"/>
      <c r="OZA28" s="172"/>
      <c r="OZB28" s="172"/>
      <c r="OZC28" s="172"/>
      <c r="OZD28" s="172"/>
      <c r="OZE28" s="172"/>
      <c r="OZF28" s="172"/>
      <c r="OZG28" s="172"/>
      <c r="OZH28" s="172"/>
      <c r="OZI28" s="172"/>
      <c r="OZJ28" s="172"/>
      <c r="OZK28" s="172"/>
      <c r="OZL28" s="172"/>
      <c r="OZM28" s="172"/>
      <c r="OZN28" s="172"/>
      <c r="OZO28" s="172"/>
      <c r="OZP28" s="172"/>
      <c r="OZQ28" s="172"/>
      <c r="OZR28" s="172"/>
      <c r="OZS28" s="172"/>
      <c r="OZT28" s="172"/>
      <c r="OZU28" s="172"/>
      <c r="OZV28" s="172"/>
      <c r="OZW28" s="172"/>
      <c r="OZX28" s="172"/>
      <c r="OZY28" s="172"/>
      <c r="OZZ28" s="172"/>
      <c r="PAA28" s="172"/>
      <c r="PAB28" s="172"/>
      <c r="PAC28" s="172"/>
      <c r="PAD28" s="172"/>
      <c r="PAE28" s="172"/>
      <c r="PAF28" s="172"/>
      <c r="PAG28" s="172"/>
      <c r="PAH28" s="172"/>
      <c r="PAI28" s="172"/>
      <c r="PAJ28" s="172"/>
      <c r="PAK28" s="172"/>
      <c r="PAL28" s="172"/>
      <c r="PAM28" s="172"/>
      <c r="PAN28" s="172"/>
      <c r="PAO28" s="172"/>
      <c r="PAP28" s="172"/>
      <c r="PAQ28" s="172"/>
      <c r="PAR28" s="172"/>
      <c r="PAS28" s="172"/>
      <c r="PAT28" s="172"/>
      <c r="PAU28" s="172"/>
      <c r="PAV28" s="172"/>
      <c r="PAW28" s="172"/>
      <c r="PAX28" s="172"/>
      <c r="PAY28" s="172"/>
      <c r="PAZ28" s="172"/>
      <c r="PBA28" s="172"/>
      <c r="PBB28" s="172"/>
      <c r="PBC28" s="172"/>
      <c r="PBD28" s="172"/>
      <c r="PBE28" s="172"/>
      <c r="PBF28" s="172"/>
      <c r="PBG28" s="172"/>
      <c r="PBH28" s="172"/>
      <c r="PBI28" s="172"/>
      <c r="PBJ28" s="172"/>
      <c r="PBK28" s="172"/>
      <c r="PBL28" s="172"/>
      <c r="PBM28" s="172"/>
      <c r="PBN28" s="172"/>
      <c r="PBO28" s="172"/>
      <c r="PBP28" s="172"/>
      <c r="PBQ28" s="172"/>
      <c r="PBR28" s="172"/>
      <c r="PBS28" s="172"/>
      <c r="PBT28" s="172"/>
      <c r="PBU28" s="172"/>
      <c r="PBV28" s="172"/>
      <c r="PBW28" s="172"/>
      <c r="PBX28" s="172"/>
      <c r="PBY28" s="172"/>
      <c r="PBZ28" s="172"/>
      <c r="PCA28" s="172"/>
      <c r="PCB28" s="172"/>
      <c r="PCC28" s="172"/>
      <c r="PCD28" s="172"/>
      <c r="PCE28" s="172"/>
      <c r="PCF28" s="172"/>
      <c r="PCG28" s="172"/>
      <c r="PCH28" s="172"/>
      <c r="PCI28" s="172"/>
      <c r="PCJ28" s="172"/>
      <c r="PCK28" s="172"/>
      <c r="PCL28" s="172"/>
      <c r="PCM28" s="172"/>
      <c r="PCN28" s="172"/>
      <c r="PCO28" s="172"/>
      <c r="PCP28" s="172"/>
      <c r="PCQ28" s="172"/>
      <c r="PCR28" s="172"/>
      <c r="PCS28" s="172"/>
      <c r="PCT28" s="172"/>
      <c r="PCU28" s="172"/>
      <c r="PCV28" s="172"/>
      <c r="PCW28" s="172"/>
      <c r="PCX28" s="172"/>
      <c r="PCY28" s="172"/>
      <c r="PCZ28" s="172"/>
      <c r="PDA28" s="172"/>
      <c r="PDB28" s="172"/>
      <c r="PDC28" s="172"/>
      <c r="PDD28" s="172"/>
      <c r="PDE28" s="172"/>
      <c r="PDF28" s="172"/>
      <c r="PDG28" s="172"/>
      <c r="PDH28" s="172"/>
      <c r="PDI28" s="172"/>
      <c r="PDJ28" s="172"/>
      <c r="PDK28" s="172"/>
      <c r="PDL28" s="172"/>
      <c r="PDM28" s="172"/>
      <c r="PDN28" s="172"/>
      <c r="PDO28" s="172"/>
      <c r="PDP28" s="172"/>
      <c r="PDQ28" s="172"/>
      <c r="PDR28" s="172"/>
      <c r="PDS28" s="172"/>
      <c r="PDT28" s="172"/>
      <c r="PDU28" s="172"/>
      <c r="PDV28" s="172"/>
      <c r="PDW28" s="172"/>
      <c r="PDX28" s="172"/>
      <c r="PDY28" s="172"/>
      <c r="PDZ28" s="172"/>
      <c r="PEA28" s="172"/>
      <c r="PEB28" s="172"/>
      <c r="PEC28" s="172"/>
      <c r="PED28" s="172"/>
      <c r="PEE28" s="172"/>
      <c r="PEF28" s="172"/>
      <c r="PEG28" s="172"/>
      <c r="PEH28" s="172"/>
      <c r="PEI28" s="172"/>
      <c r="PEJ28" s="172"/>
      <c r="PEK28" s="172"/>
      <c r="PEL28" s="172"/>
      <c r="PEM28" s="172"/>
      <c r="PEN28" s="172"/>
      <c r="PEO28" s="172"/>
      <c r="PEP28" s="172"/>
      <c r="PEQ28" s="172"/>
      <c r="PER28" s="172"/>
      <c r="PES28" s="172"/>
      <c r="PET28" s="172"/>
      <c r="PEU28" s="172"/>
      <c r="PEV28" s="172"/>
      <c r="PEW28" s="172"/>
      <c r="PEX28" s="172"/>
      <c r="PEY28" s="172"/>
      <c r="PEZ28" s="172"/>
      <c r="PFA28" s="172"/>
      <c r="PFB28" s="172"/>
      <c r="PFC28" s="172"/>
      <c r="PFD28" s="172"/>
      <c r="PFE28" s="172"/>
      <c r="PFF28" s="172"/>
      <c r="PFG28" s="172"/>
      <c r="PFH28" s="172"/>
      <c r="PFI28" s="172"/>
      <c r="PFJ28" s="172"/>
      <c r="PFK28" s="172"/>
      <c r="PFL28" s="172"/>
      <c r="PFM28" s="172"/>
      <c r="PFN28" s="172"/>
      <c r="PFO28" s="172"/>
      <c r="PFP28" s="172"/>
      <c r="PFQ28" s="172"/>
      <c r="PFR28" s="172"/>
      <c r="PFS28" s="172"/>
      <c r="PFT28" s="172"/>
      <c r="PFU28" s="172"/>
      <c r="PFV28" s="172"/>
      <c r="PFW28" s="172"/>
      <c r="PFX28" s="172"/>
      <c r="PFY28" s="172"/>
      <c r="PFZ28" s="172"/>
      <c r="PGA28" s="172"/>
      <c r="PGB28" s="172"/>
      <c r="PGC28" s="172"/>
      <c r="PGD28" s="172"/>
      <c r="PGE28" s="172"/>
      <c r="PGF28" s="172"/>
      <c r="PGG28" s="172"/>
      <c r="PGH28" s="172"/>
      <c r="PGI28" s="172"/>
      <c r="PGJ28" s="172"/>
      <c r="PGK28" s="172"/>
      <c r="PGL28" s="172"/>
      <c r="PGM28" s="172"/>
      <c r="PGN28" s="172"/>
      <c r="PGO28" s="172"/>
      <c r="PGP28" s="172"/>
      <c r="PGQ28" s="172"/>
      <c r="PGR28" s="172"/>
      <c r="PGS28" s="172"/>
      <c r="PGT28" s="172"/>
      <c r="PGU28" s="172"/>
      <c r="PGV28" s="172"/>
      <c r="PGW28" s="172"/>
      <c r="PGX28" s="172"/>
      <c r="PGY28" s="172"/>
      <c r="PGZ28" s="172"/>
      <c r="PHA28" s="172"/>
      <c r="PHB28" s="172"/>
      <c r="PHC28" s="172"/>
      <c r="PHD28" s="172"/>
      <c r="PHE28" s="172"/>
      <c r="PHF28" s="172"/>
      <c r="PHG28" s="172"/>
      <c r="PHH28" s="172"/>
      <c r="PHI28" s="172"/>
      <c r="PHJ28" s="172"/>
      <c r="PHK28" s="172"/>
      <c r="PHL28" s="172"/>
      <c r="PHM28" s="172"/>
      <c r="PHN28" s="172"/>
      <c r="PHO28" s="172"/>
      <c r="PHP28" s="172"/>
      <c r="PHQ28" s="172"/>
      <c r="PHR28" s="172"/>
      <c r="PHS28" s="172"/>
      <c r="PHT28" s="172"/>
      <c r="PHU28" s="172"/>
      <c r="PHV28" s="172"/>
      <c r="PHW28" s="172"/>
      <c r="PHX28" s="172"/>
      <c r="PHY28" s="172"/>
      <c r="PHZ28" s="172"/>
      <c r="PIA28" s="172"/>
      <c r="PIB28" s="172"/>
      <c r="PIC28" s="172"/>
      <c r="PID28" s="172"/>
      <c r="PIE28" s="172"/>
      <c r="PIF28" s="172"/>
      <c r="PIG28" s="172"/>
      <c r="PIH28" s="172"/>
      <c r="PII28" s="172"/>
      <c r="PIJ28" s="172"/>
      <c r="PIK28" s="172"/>
      <c r="PIL28" s="172"/>
      <c r="PIM28" s="172"/>
      <c r="PIN28" s="172"/>
      <c r="PIO28" s="172"/>
      <c r="PIP28" s="172"/>
      <c r="PIQ28" s="172"/>
      <c r="PIR28" s="172"/>
      <c r="PIS28" s="172"/>
      <c r="PIT28" s="172"/>
      <c r="PIU28" s="172"/>
      <c r="PIV28" s="172"/>
      <c r="PIW28" s="172"/>
      <c r="PIX28" s="172"/>
      <c r="PIY28" s="172"/>
      <c r="PIZ28" s="172"/>
      <c r="PJA28" s="172"/>
      <c r="PJB28" s="172"/>
      <c r="PJC28" s="172"/>
      <c r="PJD28" s="172"/>
      <c r="PJE28" s="172"/>
      <c r="PJF28" s="172"/>
      <c r="PJG28" s="172"/>
      <c r="PJH28" s="172"/>
      <c r="PJI28" s="172"/>
      <c r="PJJ28" s="172"/>
      <c r="PJK28" s="172"/>
      <c r="PJL28" s="172"/>
      <c r="PJM28" s="172"/>
      <c r="PJN28" s="172"/>
      <c r="PJO28" s="172"/>
      <c r="PJP28" s="172"/>
      <c r="PJQ28" s="172"/>
      <c r="PJR28" s="172"/>
      <c r="PJS28" s="172"/>
      <c r="PJT28" s="172"/>
      <c r="PJU28" s="172"/>
      <c r="PJV28" s="172"/>
      <c r="PJW28" s="172"/>
      <c r="PJX28" s="172"/>
      <c r="PJY28" s="172"/>
      <c r="PJZ28" s="172"/>
      <c r="PKA28" s="172"/>
      <c r="PKB28" s="172"/>
      <c r="PKC28" s="172"/>
      <c r="PKD28" s="172"/>
      <c r="PKE28" s="172"/>
      <c r="PKF28" s="172"/>
      <c r="PKG28" s="172"/>
      <c r="PKH28" s="172"/>
      <c r="PKI28" s="172"/>
      <c r="PKJ28" s="172"/>
      <c r="PKK28" s="172"/>
      <c r="PKL28" s="172"/>
      <c r="PKM28" s="172"/>
      <c r="PKN28" s="172"/>
      <c r="PKO28" s="172"/>
      <c r="PKP28" s="172"/>
      <c r="PKQ28" s="172"/>
      <c r="PKR28" s="172"/>
      <c r="PKS28" s="172"/>
      <c r="PKT28" s="172"/>
      <c r="PKU28" s="172"/>
      <c r="PKV28" s="172"/>
      <c r="PKW28" s="172"/>
      <c r="PKX28" s="172"/>
      <c r="PKY28" s="172"/>
      <c r="PKZ28" s="172"/>
      <c r="PLA28" s="172"/>
      <c r="PLB28" s="172"/>
      <c r="PLC28" s="172"/>
      <c r="PLD28" s="172"/>
      <c r="PLE28" s="172"/>
      <c r="PLF28" s="172"/>
      <c r="PLG28" s="172"/>
      <c r="PLH28" s="172"/>
      <c r="PLI28" s="172"/>
      <c r="PLJ28" s="172"/>
      <c r="PLK28" s="172"/>
      <c r="PLL28" s="172"/>
      <c r="PLM28" s="172"/>
      <c r="PLN28" s="172"/>
      <c r="PLO28" s="172"/>
      <c r="PLP28" s="172"/>
      <c r="PLQ28" s="172"/>
      <c r="PLR28" s="172"/>
      <c r="PLS28" s="172"/>
      <c r="PLT28" s="172"/>
      <c r="PLU28" s="172"/>
      <c r="PLV28" s="172"/>
      <c r="PLW28" s="172"/>
      <c r="PLX28" s="172"/>
      <c r="PLY28" s="172"/>
      <c r="PLZ28" s="172"/>
      <c r="PMA28" s="172"/>
      <c r="PMB28" s="172"/>
      <c r="PMC28" s="172"/>
      <c r="PMD28" s="172"/>
      <c r="PME28" s="172"/>
      <c r="PMF28" s="172"/>
      <c r="PMG28" s="172"/>
      <c r="PMH28" s="172"/>
      <c r="PMI28" s="172"/>
      <c r="PMJ28" s="172"/>
      <c r="PMK28" s="172"/>
      <c r="PML28" s="172"/>
      <c r="PMM28" s="172"/>
      <c r="PMN28" s="172"/>
      <c r="PMO28" s="172"/>
      <c r="PMP28" s="172"/>
      <c r="PMQ28" s="172"/>
      <c r="PMR28" s="172"/>
      <c r="PMS28" s="172"/>
      <c r="PMT28" s="172"/>
      <c r="PMU28" s="172"/>
      <c r="PMV28" s="172"/>
      <c r="PMW28" s="172"/>
      <c r="PMX28" s="172"/>
      <c r="PMY28" s="172"/>
      <c r="PMZ28" s="172"/>
      <c r="PNA28" s="172"/>
      <c r="PNB28" s="172"/>
      <c r="PNC28" s="172"/>
      <c r="PND28" s="172"/>
      <c r="PNE28" s="172"/>
      <c r="PNF28" s="172"/>
      <c r="PNG28" s="172"/>
      <c r="PNH28" s="172"/>
      <c r="PNI28" s="172"/>
      <c r="PNJ28" s="172"/>
      <c r="PNK28" s="172"/>
      <c r="PNL28" s="172"/>
      <c r="PNM28" s="172"/>
      <c r="PNN28" s="172"/>
      <c r="PNO28" s="172"/>
      <c r="PNP28" s="172"/>
      <c r="PNQ28" s="172"/>
      <c r="PNR28" s="172"/>
      <c r="PNS28" s="172"/>
      <c r="PNT28" s="172"/>
      <c r="PNU28" s="172"/>
      <c r="PNV28" s="172"/>
      <c r="PNW28" s="172"/>
      <c r="PNX28" s="172"/>
      <c r="PNY28" s="172"/>
      <c r="PNZ28" s="172"/>
      <c r="POA28" s="172"/>
      <c r="POB28" s="172"/>
      <c r="POC28" s="172"/>
      <c r="POD28" s="172"/>
      <c r="POE28" s="172"/>
      <c r="POF28" s="172"/>
      <c r="POG28" s="172"/>
      <c r="POH28" s="172"/>
      <c r="POI28" s="172"/>
      <c r="POJ28" s="172"/>
      <c r="POK28" s="172"/>
      <c r="POL28" s="172"/>
      <c r="POM28" s="172"/>
      <c r="PON28" s="172"/>
      <c r="POO28" s="172"/>
      <c r="POP28" s="172"/>
      <c r="POQ28" s="172"/>
      <c r="POR28" s="172"/>
      <c r="POS28" s="172"/>
      <c r="POT28" s="172"/>
      <c r="POU28" s="172"/>
      <c r="POV28" s="172"/>
      <c r="POW28" s="172"/>
      <c r="POX28" s="172"/>
      <c r="POY28" s="172"/>
      <c r="POZ28" s="172"/>
      <c r="PPA28" s="172"/>
      <c r="PPB28" s="172"/>
      <c r="PPC28" s="172"/>
      <c r="PPD28" s="172"/>
      <c r="PPE28" s="172"/>
      <c r="PPF28" s="172"/>
      <c r="PPG28" s="172"/>
      <c r="PPH28" s="172"/>
      <c r="PPI28" s="172"/>
      <c r="PPJ28" s="172"/>
      <c r="PPK28" s="172"/>
      <c r="PPL28" s="172"/>
      <c r="PPM28" s="172"/>
      <c r="PPN28" s="172"/>
      <c r="PPO28" s="172"/>
      <c r="PPP28" s="172"/>
      <c r="PPQ28" s="172"/>
      <c r="PPR28" s="172"/>
      <c r="PPS28" s="172"/>
      <c r="PPT28" s="172"/>
      <c r="PPU28" s="172"/>
      <c r="PPV28" s="172"/>
      <c r="PPW28" s="172"/>
      <c r="PPX28" s="172"/>
      <c r="PPY28" s="172"/>
      <c r="PPZ28" s="172"/>
      <c r="PQA28" s="172"/>
      <c r="PQB28" s="172"/>
      <c r="PQC28" s="172"/>
      <c r="PQD28" s="172"/>
      <c r="PQE28" s="172"/>
      <c r="PQF28" s="172"/>
      <c r="PQG28" s="172"/>
      <c r="PQH28" s="172"/>
      <c r="PQI28" s="172"/>
      <c r="PQJ28" s="172"/>
      <c r="PQK28" s="172"/>
      <c r="PQL28" s="172"/>
      <c r="PQM28" s="172"/>
      <c r="PQN28" s="172"/>
      <c r="PQO28" s="172"/>
      <c r="PQP28" s="172"/>
      <c r="PQQ28" s="172"/>
      <c r="PQR28" s="172"/>
      <c r="PQS28" s="172"/>
      <c r="PQT28" s="172"/>
      <c r="PQU28" s="172"/>
      <c r="PQV28" s="172"/>
      <c r="PQW28" s="172"/>
      <c r="PQX28" s="172"/>
      <c r="PQY28" s="172"/>
      <c r="PQZ28" s="172"/>
      <c r="PRA28" s="172"/>
      <c r="PRB28" s="172"/>
      <c r="PRC28" s="172"/>
      <c r="PRD28" s="172"/>
      <c r="PRE28" s="172"/>
      <c r="PRF28" s="172"/>
      <c r="PRG28" s="172"/>
      <c r="PRH28" s="172"/>
      <c r="PRI28" s="172"/>
      <c r="PRJ28" s="172"/>
      <c r="PRK28" s="172"/>
      <c r="PRL28" s="172"/>
      <c r="PRM28" s="172"/>
      <c r="PRN28" s="172"/>
      <c r="PRO28" s="172"/>
      <c r="PRP28" s="172"/>
      <c r="PRQ28" s="172"/>
      <c r="PRR28" s="172"/>
      <c r="PRS28" s="172"/>
      <c r="PRT28" s="172"/>
      <c r="PRU28" s="172"/>
      <c r="PRV28" s="172"/>
      <c r="PRW28" s="172"/>
      <c r="PRX28" s="172"/>
      <c r="PRY28" s="172"/>
      <c r="PRZ28" s="172"/>
      <c r="PSA28" s="172"/>
      <c r="PSB28" s="172"/>
      <c r="PSC28" s="172"/>
      <c r="PSD28" s="172"/>
      <c r="PSE28" s="172"/>
      <c r="PSF28" s="172"/>
      <c r="PSG28" s="172"/>
      <c r="PSH28" s="172"/>
      <c r="PSI28" s="172"/>
      <c r="PSJ28" s="172"/>
      <c r="PSK28" s="172"/>
      <c r="PSL28" s="172"/>
      <c r="PSM28" s="172"/>
      <c r="PSN28" s="172"/>
      <c r="PSO28" s="172"/>
      <c r="PSP28" s="172"/>
      <c r="PSQ28" s="172"/>
      <c r="PSR28" s="172"/>
      <c r="PSS28" s="172"/>
      <c r="PST28" s="172"/>
      <c r="PSU28" s="172"/>
      <c r="PSV28" s="172"/>
      <c r="PSW28" s="172"/>
      <c r="PSX28" s="172"/>
      <c r="PSY28" s="172"/>
      <c r="PSZ28" s="172"/>
      <c r="PTA28" s="172"/>
      <c r="PTB28" s="172"/>
      <c r="PTC28" s="172"/>
      <c r="PTD28" s="172"/>
      <c r="PTE28" s="172"/>
      <c r="PTF28" s="172"/>
      <c r="PTG28" s="172"/>
      <c r="PTH28" s="172"/>
      <c r="PTI28" s="172"/>
      <c r="PTJ28" s="172"/>
      <c r="PTK28" s="172"/>
      <c r="PTL28" s="172"/>
      <c r="PTM28" s="172"/>
      <c r="PTN28" s="172"/>
      <c r="PTO28" s="172"/>
      <c r="PTP28" s="172"/>
      <c r="PTQ28" s="172"/>
      <c r="PTR28" s="172"/>
      <c r="PTS28" s="172"/>
      <c r="PTT28" s="172"/>
      <c r="PTU28" s="172"/>
      <c r="PTV28" s="172"/>
      <c r="PTW28" s="172"/>
      <c r="PTX28" s="172"/>
      <c r="PTY28" s="172"/>
      <c r="PTZ28" s="172"/>
      <c r="PUA28" s="172"/>
      <c r="PUB28" s="172"/>
      <c r="PUC28" s="172"/>
      <c r="PUD28" s="172"/>
      <c r="PUE28" s="172"/>
      <c r="PUF28" s="172"/>
      <c r="PUG28" s="172"/>
      <c r="PUH28" s="172"/>
      <c r="PUI28" s="172"/>
      <c r="PUJ28" s="172"/>
      <c r="PUK28" s="172"/>
      <c r="PUL28" s="172"/>
      <c r="PUM28" s="172"/>
      <c r="PUN28" s="172"/>
      <c r="PUO28" s="172"/>
      <c r="PUP28" s="172"/>
      <c r="PUQ28" s="172"/>
      <c r="PUR28" s="172"/>
      <c r="PUS28" s="172"/>
      <c r="PUT28" s="172"/>
      <c r="PUU28" s="172"/>
      <c r="PUV28" s="172"/>
      <c r="PUW28" s="172"/>
      <c r="PUX28" s="172"/>
      <c r="PUY28" s="172"/>
      <c r="PUZ28" s="172"/>
      <c r="PVA28" s="172"/>
      <c r="PVB28" s="172"/>
      <c r="PVC28" s="172"/>
      <c r="PVD28" s="172"/>
      <c r="PVE28" s="172"/>
      <c r="PVF28" s="172"/>
      <c r="PVG28" s="172"/>
      <c r="PVH28" s="172"/>
      <c r="PVI28" s="172"/>
      <c r="PVJ28" s="172"/>
      <c r="PVK28" s="172"/>
      <c r="PVL28" s="172"/>
      <c r="PVM28" s="172"/>
      <c r="PVN28" s="172"/>
      <c r="PVO28" s="172"/>
      <c r="PVP28" s="172"/>
      <c r="PVQ28" s="172"/>
      <c r="PVR28" s="172"/>
      <c r="PVS28" s="172"/>
      <c r="PVT28" s="172"/>
      <c r="PVU28" s="172"/>
      <c r="PVV28" s="172"/>
      <c r="PVW28" s="172"/>
      <c r="PVX28" s="172"/>
      <c r="PVY28" s="172"/>
      <c r="PVZ28" s="172"/>
      <c r="PWA28" s="172"/>
      <c r="PWB28" s="172"/>
      <c r="PWC28" s="172"/>
      <c r="PWD28" s="172"/>
      <c r="PWE28" s="172"/>
      <c r="PWF28" s="172"/>
      <c r="PWG28" s="172"/>
      <c r="PWH28" s="172"/>
      <c r="PWI28" s="172"/>
      <c r="PWJ28" s="172"/>
      <c r="PWK28" s="172"/>
      <c r="PWL28" s="172"/>
      <c r="PWM28" s="172"/>
      <c r="PWN28" s="172"/>
      <c r="PWO28" s="172"/>
      <c r="PWP28" s="172"/>
      <c r="PWQ28" s="172"/>
      <c r="PWR28" s="172"/>
      <c r="PWS28" s="172"/>
      <c r="PWT28" s="172"/>
      <c r="PWU28" s="172"/>
      <c r="PWV28" s="172"/>
      <c r="PWW28" s="172"/>
      <c r="PWX28" s="172"/>
      <c r="PWY28" s="172"/>
      <c r="PWZ28" s="172"/>
      <c r="PXA28" s="172"/>
      <c r="PXB28" s="172"/>
      <c r="PXC28" s="172"/>
      <c r="PXD28" s="172"/>
      <c r="PXE28" s="172"/>
      <c r="PXF28" s="172"/>
      <c r="PXG28" s="172"/>
      <c r="PXH28" s="172"/>
      <c r="PXI28" s="172"/>
      <c r="PXJ28" s="172"/>
      <c r="PXK28" s="172"/>
      <c r="PXL28" s="172"/>
      <c r="PXM28" s="172"/>
      <c r="PXN28" s="172"/>
      <c r="PXO28" s="172"/>
      <c r="PXP28" s="172"/>
      <c r="PXQ28" s="172"/>
      <c r="PXR28" s="172"/>
      <c r="PXS28" s="172"/>
      <c r="PXT28" s="172"/>
      <c r="PXU28" s="172"/>
      <c r="PXV28" s="172"/>
      <c r="PXW28" s="172"/>
      <c r="PXX28" s="172"/>
      <c r="PXY28" s="172"/>
      <c r="PXZ28" s="172"/>
      <c r="PYA28" s="172"/>
      <c r="PYB28" s="172"/>
      <c r="PYC28" s="172"/>
      <c r="PYD28" s="172"/>
      <c r="PYE28" s="172"/>
      <c r="PYF28" s="172"/>
      <c r="PYG28" s="172"/>
      <c r="PYH28" s="172"/>
      <c r="PYI28" s="172"/>
      <c r="PYJ28" s="172"/>
      <c r="PYK28" s="172"/>
      <c r="PYL28" s="172"/>
      <c r="PYM28" s="172"/>
      <c r="PYN28" s="172"/>
      <c r="PYO28" s="172"/>
      <c r="PYP28" s="172"/>
      <c r="PYQ28" s="172"/>
      <c r="PYR28" s="172"/>
      <c r="PYS28" s="172"/>
      <c r="PYT28" s="172"/>
      <c r="PYU28" s="172"/>
      <c r="PYV28" s="172"/>
      <c r="PYW28" s="172"/>
      <c r="PYX28" s="172"/>
      <c r="PYY28" s="172"/>
      <c r="PYZ28" s="172"/>
      <c r="PZA28" s="172"/>
      <c r="PZB28" s="172"/>
      <c r="PZC28" s="172"/>
      <c r="PZD28" s="172"/>
      <c r="PZE28" s="172"/>
      <c r="PZF28" s="172"/>
      <c r="PZG28" s="172"/>
      <c r="PZH28" s="172"/>
      <c r="PZI28" s="172"/>
      <c r="PZJ28" s="172"/>
      <c r="PZK28" s="172"/>
      <c r="PZL28" s="172"/>
      <c r="PZM28" s="172"/>
      <c r="PZN28" s="172"/>
      <c r="PZO28" s="172"/>
      <c r="PZP28" s="172"/>
      <c r="PZQ28" s="172"/>
      <c r="PZR28" s="172"/>
      <c r="PZS28" s="172"/>
      <c r="PZT28" s="172"/>
      <c r="PZU28" s="172"/>
      <c r="PZV28" s="172"/>
      <c r="PZW28" s="172"/>
      <c r="PZX28" s="172"/>
      <c r="PZY28" s="172"/>
      <c r="PZZ28" s="172"/>
      <c r="QAA28" s="172"/>
      <c r="QAB28" s="172"/>
      <c r="QAC28" s="172"/>
      <c r="QAD28" s="172"/>
      <c r="QAE28" s="172"/>
      <c r="QAF28" s="172"/>
      <c r="QAG28" s="172"/>
      <c r="QAH28" s="172"/>
      <c r="QAI28" s="172"/>
      <c r="QAJ28" s="172"/>
      <c r="QAK28" s="172"/>
      <c r="QAL28" s="172"/>
      <c r="QAM28" s="172"/>
      <c r="QAN28" s="172"/>
      <c r="QAO28" s="172"/>
      <c r="QAP28" s="172"/>
      <c r="QAQ28" s="172"/>
      <c r="QAR28" s="172"/>
      <c r="QAS28" s="172"/>
      <c r="QAT28" s="172"/>
      <c r="QAU28" s="172"/>
      <c r="QAV28" s="172"/>
      <c r="QAW28" s="172"/>
      <c r="QAX28" s="172"/>
      <c r="QAY28" s="172"/>
      <c r="QAZ28" s="172"/>
      <c r="QBA28" s="172"/>
      <c r="QBB28" s="172"/>
      <c r="QBC28" s="172"/>
      <c r="QBD28" s="172"/>
      <c r="QBE28" s="172"/>
      <c r="QBF28" s="172"/>
      <c r="QBG28" s="172"/>
      <c r="QBH28" s="172"/>
      <c r="QBI28" s="172"/>
      <c r="QBJ28" s="172"/>
      <c r="QBK28" s="172"/>
      <c r="QBL28" s="172"/>
      <c r="QBM28" s="172"/>
      <c r="QBN28" s="172"/>
      <c r="QBO28" s="172"/>
      <c r="QBP28" s="172"/>
      <c r="QBQ28" s="172"/>
      <c r="QBR28" s="172"/>
      <c r="QBS28" s="172"/>
      <c r="QBT28" s="172"/>
      <c r="QBU28" s="172"/>
      <c r="QBV28" s="172"/>
      <c r="QBW28" s="172"/>
      <c r="QBX28" s="172"/>
      <c r="QBY28" s="172"/>
      <c r="QBZ28" s="172"/>
      <c r="QCA28" s="172"/>
      <c r="QCB28" s="172"/>
      <c r="QCC28" s="172"/>
      <c r="QCD28" s="172"/>
      <c r="QCE28" s="172"/>
      <c r="QCF28" s="172"/>
      <c r="QCG28" s="172"/>
      <c r="QCH28" s="172"/>
      <c r="QCI28" s="172"/>
      <c r="QCJ28" s="172"/>
      <c r="QCK28" s="172"/>
      <c r="QCL28" s="172"/>
      <c r="QCM28" s="172"/>
      <c r="QCN28" s="172"/>
      <c r="QCO28" s="172"/>
      <c r="QCP28" s="172"/>
      <c r="QCQ28" s="172"/>
      <c r="QCR28" s="172"/>
      <c r="QCS28" s="172"/>
      <c r="QCT28" s="172"/>
      <c r="QCU28" s="172"/>
      <c r="QCV28" s="172"/>
      <c r="QCW28" s="172"/>
      <c r="QCX28" s="172"/>
      <c r="QCY28" s="172"/>
      <c r="QCZ28" s="172"/>
      <c r="QDA28" s="172"/>
      <c r="QDB28" s="172"/>
      <c r="QDC28" s="172"/>
      <c r="QDD28" s="172"/>
      <c r="QDE28" s="172"/>
      <c r="QDF28" s="172"/>
      <c r="QDG28" s="172"/>
      <c r="QDH28" s="172"/>
      <c r="QDI28" s="172"/>
      <c r="QDJ28" s="172"/>
      <c r="QDK28" s="172"/>
      <c r="QDL28" s="172"/>
      <c r="QDM28" s="172"/>
      <c r="QDN28" s="172"/>
      <c r="QDO28" s="172"/>
      <c r="QDP28" s="172"/>
      <c r="QDQ28" s="172"/>
      <c r="QDR28" s="172"/>
      <c r="QDS28" s="172"/>
      <c r="QDT28" s="172"/>
      <c r="QDU28" s="172"/>
      <c r="QDV28" s="172"/>
      <c r="QDW28" s="172"/>
      <c r="QDX28" s="172"/>
      <c r="QDY28" s="172"/>
      <c r="QDZ28" s="172"/>
      <c r="QEA28" s="172"/>
      <c r="QEB28" s="172"/>
      <c r="QEC28" s="172"/>
      <c r="QED28" s="172"/>
      <c r="QEE28" s="172"/>
      <c r="QEF28" s="172"/>
      <c r="QEG28" s="172"/>
      <c r="QEH28" s="172"/>
      <c r="QEI28" s="172"/>
      <c r="QEJ28" s="172"/>
      <c r="QEK28" s="172"/>
      <c r="QEL28" s="172"/>
      <c r="QEM28" s="172"/>
      <c r="QEN28" s="172"/>
      <c r="QEO28" s="172"/>
      <c r="QEP28" s="172"/>
      <c r="QEQ28" s="172"/>
      <c r="QER28" s="172"/>
      <c r="QES28" s="172"/>
      <c r="QET28" s="172"/>
      <c r="QEU28" s="172"/>
      <c r="QEV28" s="172"/>
      <c r="QEW28" s="172"/>
      <c r="QEX28" s="172"/>
      <c r="QEY28" s="172"/>
      <c r="QEZ28" s="172"/>
      <c r="QFA28" s="172"/>
      <c r="QFB28" s="172"/>
      <c r="QFC28" s="172"/>
      <c r="QFD28" s="172"/>
      <c r="QFE28" s="172"/>
      <c r="QFF28" s="172"/>
      <c r="QFG28" s="172"/>
      <c r="QFH28" s="172"/>
      <c r="QFI28" s="172"/>
      <c r="QFJ28" s="172"/>
      <c r="QFK28" s="172"/>
      <c r="QFL28" s="172"/>
      <c r="QFM28" s="172"/>
      <c r="QFN28" s="172"/>
      <c r="QFO28" s="172"/>
      <c r="QFP28" s="172"/>
      <c r="QFQ28" s="172"/>
      <c r="QFR28" s="172"/>
      <c r="QFS28" s="172"/>
      <c r="QFT28" s="172"/>
      <c r="QFU28" s="172"/>
      <c r="QFV28" s="172"/>
      <c r="QFW28" s="172"/>
      <c r="QFX28" s="172"/>
      <c r="QFY28" s="172"/>
      <c r="QFZ28" s="172"/>
      <c r="QGA28" s="172"/>
      <c r="QGB28" s="172"/>
      <c r="QGC28" s="172"/>
      <c r="QGD28" s="172"/>
      <c r="QGE28" s="172"/>
      <c r="QGF28" s="172"/>
      <c r="QGG28" s="172"/>
      <c r="QGH28" s="172"/>
      <c r="QGI28" s="172"/>
      <c r="QGJ28" s="172"/>
      <c r="QGK28" s="172"/>
      <c r="QGL28" s="172"/>
      <c r="QGM28" s="172"/>
      <c r="QGN28" s="172"/>
      <c r="QGO28" s="172"/>
      <c r="QGP28" s="172"/>
      <c r="QGQ28" s="172"/>
      <c r="QGR28" s="172"/>
      <c r="QGS28" s="172"/>
      <c r="QGT28" s="172"/>
      <c r="QGU28" s="172"/>
      <c r="QGV28" s="172"/>
      <c r="QGW28" s="172"/>
      <c r="QGX28" s="172"/>
      <c r="QGY28" s="172"/>
      <c r="QGZ28" s="172"/>
      <c r="QHA28" s="172"/>
      <c r="QHB28" s="172"/>
      <c r="QHC28" s="172"/>
      <c r="QHD28" s="172"/>
      <c r="QHE28" s="172"/>
      <c r="QHF28" s="172"/>
      <c r="QHG28" s="172"/>
      <c r="QHH28" s="172"/>
      <c r="QHI28" s="172"/>
      <c r="QHJ28" s="172"/>
      <c r="QHK28" s="172"/>
      <c r="QHL28" s="172"/>
      <c r="QHM28" s="172"/>
      <c r="QHN28" s="172"/>
      <c r="QHO28" s="172"/>
      <c r="QHP28" s="172"/>
      <c r="QHQ28" s="172"/>
      <c r="QHR28" s="172"/>
      <c r="QHS28" s="172"/>
      <c r="QHT28" s="172"/>
      <c r="QHU28" s="172"/>
      <c r="QHV28" s="172"/>
      <c r="QHW28" s="172"/>
      <c r="QHX28" s="172"/>
      <c r="QHY28" s="172"/>
      <c r="QHZ28" s="172"/>
      <c r="QIA28" s="172"/>
      <c r="QIB28" s="172"/>
      <c r="QIC28" s="172"/>
      <c r="QID28" s="172"/>
      <c r="QIE28" s="172"/>
      <c r="QIF28" s="172"/>
      <c r="QIG28" s="172"/>
      <c r="QIH28" s="172"/>
      <c r="QII28" s="172"/>
      <c r="QIJ28" s="172"/>
      <c r="QIK28" s="172"/>
      <c r="QIL28" s="172"/>
      <c r="QIM28" s="172"/>
      <c r="QIN28" s="172"/>
      <c r="QIO28" s="172"/>
      <c r="QIP28" s="172"/>
      <c r="QIQ28" s="172"/>
      <c r="QIR28" s="172"/>
      <c r="QIS28" s="172"/>
      <c r="QIT28" s="172"/>
      <c r="QIU28" s="172"/>
      <c r="QIV28" s="172"/>
      <c r="QIW28" s="172"/>
      <c r="QIX28" s="172"/>
      <c r="QIY28" s="172"/>
      <c r="QIZ28" s="172"/>
      <c r="QJA28" s="172"/>
      <c r="QJB28" s="172"/>
      <c r="QJC28" s="172"/>
      <c r="QJD28" s="172"/>
      <c r="QJE28" s="172"/>
      <c r="QJF28" s="172"/>
      <c r="QJG28" s="172"/>
      <c r="QJH28" s="172"/>
      <c r="QJI28" s="172"/>
      <c r="QJJ28" s="172"/>
      <c r="QJK28" s="172"/>
      <c r="QJL28" s="172"/>
      <c r="QJM28" s="172"/>
      <c r="QJN28" s="172"/>
      <c r="QJO28" s="172"/>
      <c r="QJP28" s="172"/>
      <c r="QJQ28" s="172"/>
      <c r="QJR28" s="172"/>
      <c r="QJS28" s="172"/>
      <c r="QJT28" s="172"/>
      <c r="QJU28" s="172"/>
      <c r="QJV28" s="172"/>
      <c r="QJW28" s="172"/>
      <c r="QJX28" s="172"/>
      <c r="QJY28" s="172"/>
      <c r="QJZ28" s="172"/>
      <c r="QKA28" s="172"/>
      <c r="QKB28" s="172"/>
      <c r="QKC28" s="172"/>
      <c r="QKD28" s="172"/>
      <c r="QKE28" s="172"/>
      <c r="QKF28" s="172"/>
      <c r="QKG28" s="172"/>
      <c r="QKH28" s="172"/>
      <c r="QKI28" s="172"/>
      <c r="QKJ28" s="172"/>
      <c r="QKK28" s="172"/>
      <c r="QKL28" s="172"/>
      <c r="QKM28" s="172"/>
      <c r="QKN28" s="172"/>
      <c r="QKO28" s="172"/>
      <c r="QKP28" s="172"/>
      <c r="QKQ28" s="172"/>
      <c r="QKR28" s="172"/>
      <c r="QKS28" s="172"/>
      <c r="QKT28" s="172"/>
      <c r="QKU28" s="172"/>
      <c r="QKV28" s="172"/>
      <c r="QKW28" s="172"/>
      <c r="QKX28" s="172"/>
      <c r="QKY28" s="172"/>
      <c r="QKZ28" s="172"/>
      <c r="QLA28" s="172"/>
      <c r="QLB28" s="172"/>
      <c r="QLC28" s="172"/>
      <c r="QLD28" s="172"/>
      <c r="QLE28" s="172"/>
      <c r="QLF28" s="172"/>
      <c r="QLG28" s="172"/>
      <c r="QLH28" s="172"/>
      <c r="QLI28" s="172"/>
      <c r="QLJ28" s="172"/>
      <c r="QLK28" s="172"/>
      <c r="QLL28" s="172"/>
      <c r="QLM28" s="172"/>
      <c r="QLN28" s="172"/>
      <c r="QLO28" s="172"/>
      <c r="QLP28" s="172"/>
      <c r="QLQ28" s="172"/>
      <c r="QLR28" s="172"/>
      <c r="QLS28" s="172"/>
      <c r="QLT28" s="172"/>
      <c r="QLU28" s="172"/>
      <c r="QLV28" s="172"/>
      <c r="QLW28" s="172"/>
      <c r="QLX28" s="172"/>
      <c r="QLY28" s="172"/>
      <c r="QLZ28" s="172"/>
      <c r="QMA28" s="172"/>
      <c r="QMB28" s="172"/>
      <c r="QMC28" s="172"/>
      <c r="QMD28" s="172"/>
      <c r="QME28" s="172"/>
      <c r="QMF28" s="172"/>
      <c r="QMG28" s="172"/>
      <c r="QMH28" s="172"/>
      <c r="QMI28" s="172"/>
      <c r="QMJ28" s="172"/>
      <c r="QMK28" s="172"/>
      <c r="QML28" s="172"/>
      <c r="QMM28" s="172"/>
      <c r="QMN28" s="172"/>
      <c r="QMO28" s="172"/>
      <c r="QMP28" s="172"/>
      <c r="QMQ28" s="172"/>
      <c r="QMR28" s="172"/>
      <c r="QMS28" s="172"/>
      <c r="QMT28" s="172"/>
      <c r="QMU28" s="172"/>
      <c r="QMV28" s="172"/>
      <c r="QMW28" s="172"/>
      <c r="QMX28" s="172"/>
      <c r="QMY28" s="172"/>
      <c r="QMZ28" s="172"/>
      <c r="QNA28" s="172"/>
      <c r="QNB28" s="172"/>
      <c r="QNC28" s="172"/>
      <c r="QND28" s="172"/>
      <c r="QNE28" s="172"/>
      <c r="QNF28" s="172"/>
      <c r="QNG28" s="172"/>
      <c r="QNH28" s="172"/>
      <c r="QNI28" s="172"/>
      <c r="QNJ28" s="172"/>
      <c r="QNK28" s="172"/>
      <c r="QNL28" s="172"/>
      <c r="QNM28" s="172"/>
      <c r="QNN28" s="172"/>
      <c r="QNO28" s="172"/>
      <c r="QNP28" s="172"/>
      <c r="QNQ28" s="172"/>
      <c r="QNR28" s="172"/>
      <c r="QNS28" s="172"/>
      <c r="QNT28" s="172"/>
      <c r="QNU28" s="172"/>
      <c r="QNV28" s="172"/>
      <c r="QNW28" s="172"/>
      <c r="QNX28" s="172"/>
      <c r="QNY28" s="172"/>
      <c r="QNZ28" s="172"/>
      <c r="QOA28" s="172"/>
      <c r="QOB28" s="172"/>
      <c r="QOC28" s="172"/>
      <c r="QOD28" s="172"/>
      <c r="QOE28" s="172"/>
      <c r="QOF28" s="172"/>
      <c r="QOG28" s="172"/>
      <c r="QOH28" s="172"/>
      <c r="QOI28" s="172"/>
      <c r="QOJ28" s="172"/>
      <c r="QOK28" s="172"/>
      <c r="QOL28" s="172"/>
      <c r="QOM28" s="172"/>
      <c r="QON28" s="172"/>
      <c r="QOO28" s="172"/>
      <c r="QOP28" s="172"/>
      <c r="QOQ28" s="172"/>
      <c r="QOR28" s="172"/>
      <c r="QOS28" s="172"/>
      <c r="QOT28" s="172"/>
      <c r="QOU28" s="172"/>
      <c r="QOV28" s="172"/>
      <c r="QOW28" s="172"/>
      <c r="QOX28" s="172"/>
      <c r="QOY28" s="172"/>
      <c r="QOZ28" s="172"/>
      <c r="QPA28" s="172"/>
      <c r="QPB28" s="172"/>
      <c r="QPC28" s="172"/>
      <c r="QPD28" s="172"/>
      <c r="QPE28" s="172"/>
      <c r="QPF28" s="172"/>
      <c r="QPG28" s="172"/>
      <c r="QPH28" s="172"/>
      <c r="QPI28" s="172"/>
      <c r="QPJ28" s="172"/>
      <c r="QPK28" s="172"/>
      <c r="QPL28" s="172"/>
      <c r="QPM28" s="172"/>
      <c r="QPN28" s="172"/>
      <c r="QPO28" s="172"/>
      <c r="QPP28" s="172"/>
      <c r="QPQ28" s="172"/>
      <c r="QPR28" s="172"/>
      <c r="QPS28" s="172"/>
      <c r="QPT28" s="172"/>
      <c r="QPU28" s="172"/>
      <c r="QPV28" s="172"/>
      <c r="QPW28" s="172"/>
      <c r="QPX28" s="172"/>
      <c r="QPY28" s="172"/>
      <c r="QPZ28" s="172"/>
      <c r="QQA28" s="172"/>
      <c r="QQB28" s="172"/>
      <c r="QQC28" s="172"/>
      <c r="QQD28" s="172"/>
      <c r="QQE28" s="172"/>
      <c r="QQF28" s="172"/>
      <c r="QQG28" s="172"/>
      <c r="QQH28" s="172"/>
      <c r="QQI28" s="172"/>
      <c r="QQJ28" s="172"/>
      <c r="QQK28" s="172"/>
      <c r="QQL28" s="172"/>
      <c r="QQM28" s="172"/>
      <c r="QQN28" s="172"/>
      <c r="QQO28" s="172"/>
      <c r="QQP28" s="172"/>
      <c r="QQQ28" s="172"/>
      <c r="QQR28" s="172"/>
      <c r="QQS28" s="172"/>
      <c r="QQT28" s="172"/>
      <c r="QQU28" s="172"/>
      <c r="QQV28" s="172"/>
      <c r="QQW28" s="172"/>
      <c r="QQX28" s="172"/>
      <c r="QQY28" s="172"/>
      <c r="QQZ28" s="172"/>
      <c r="QRA28" s="172"/>
      <c r="QRB28" s="172"/>
      <c r="QRC28" s="172"/>
      <c r="QRD28" s="172"/>
      <c r="QRE28" s="172"/>
      <c r="QRF28" s="172"/>
      <c r="QRG28" s="172"/>
      <c r="QRH28" s="172"/>
      <c r="QRI28" s="172"/>
      <c r="QRJ28" s="172"/>
      <c r="QRK28" s="172"/>
      <c r="QRL28" s="172"/>
      <c r="QRM28" s="172"/>
      <c r="QRN28" s="172"/>
      <c r="QRO28" s="172"/>
      <c r="QRP28" s="172"/>
      <c r="QRQ28" s="172"/>
      <c r="QRR28" s="172"/>
      <c r="QRS28" s="172"/>
      <c r="QRT28" s="172"/>
      <c r="QRU28" s="172"/>
      <c r="QRV28" s="172"/>
      <c r="QRW28" s="172"/>
      <c r="QRX28" s="172"/>
      <c r="QRY28" s="172"/>
      <c r="QRZ28" s="172"/>
      <c r="QSA28" s="172"/>
      <c r="QSB28" s="172"/>
      <c r="QSC28" s="172"/>
      <c r="QSD28" s="172"/>
      <c r="QSE28" s="172"/>
      <c r="QSF28" s="172"/>
      <c r="QSG28" s="172"/>
      <c r="QSH28" s="172"/>
      <c r="QSI28" s="172"/>
      <c r="QSJ28" s="172"/>
      <c r="QSK28" s="172"/>
      <c r="QSL28" s="172"/>
      <c r="QSM28" s="172"/>
      <c r="QSN28" s="172"/>
      <c r="QSO28" s="172"/>
      <c r="QSP28" s="172"/>
      <c r="QSQ28" s="172"/>
      <c r="QSR28" s="172"/>
      <c r="QSS28" s="172"/>
      <c r="QST28" s="172"/>
      <c r="QSU28" s="172"/>
      <c r="QSV28" s="172"/>
      <c r="QSW28" s="172"/>
      <c r="QSX28" s="172"/>
      <c r="QSY28" s="172"/>
      <c r="QSZ28" s="172"/>
      <c r="QTA28" s="172"/>
      <c r="QTB28" s="172"/>
      <c r="QTC28" s="172"/>
      <c r="QTD28" s="172"/>
      <c r="QTE28" s="172"/>
      <c r="QTF28" s="172"/>
      <c r="QTG28" s="172"/>
      <c r="QTH28" s="172"/>
      <c r="QTI28" s="172"/>
      <c r="QTJ28" s="172"/>
      <c r="QTK28" s="172"/>
      <c r="QTL28" s="172"/>
      <c r="QTM28" s="172"/>
      <c r="QTN28" s="172"/>
      <c r="QTO28" s="172"/>
      <c r="QTP28" s="172"/>
      <c r="QTQ28" s="172"/>
      <c r="QTR28" s="172"/>
      <c r="QTS28" s="172"/>
      <c r="QTT28" s="172"/>
      <c r="QTU28" s="172"/>
      <c r="QTV28" s="172"/>
      <c r="QTW28" s="172"/>
      <c r="QTX28" s="172"/>
      <c r="QTY28" s="172"/>
      <c r="QTZ28" s="172"/>
      <c r="QUA28" s="172"/>
      <c r="QUB28" s="172"/>
      <c r="QUC28" s="172"/>
      <c r="QUD28" s="172"/>
      <c r="QUE28" s="172"/>
      <c r="QUF28" s="172"/>
      <c r="QUG28" s="172"/>
      <c r="QUH28" s="172"/>
      <c r="QUI28" s="172"/>
      <c r="QUJ28" s="172"/>
      <c r="QUK28" s="172"/>
      <c r="QUL28" s="172"/>
      <c r="QUM28" s="172"/>
      <c r="QUN28" s="172"/>
      <c r="QUO28" s="172"/>
      <c r="QUP28" s="172"/>
      <c r="QUQ28" s="172"/>
      <c r="QUR28" s="172"/>
      <c r="QUS28" s="172"/>
      <c r="QUT28" s="172"/>
      <c r="QUU28" s="172"/>
      <c r="QUV28" s="172"/>
      <c r="QUW28" s="172"/>
      <c r="QUX28" s="172"/>
      <c r="QUY28" s="172"/>
      <c r="QUZ28" s="172"/>
      <c r="QVA28" s="172"/>
      <c r="QVB28" s="172"/>
      <c r="QVC28" s="172"/>
      <c r="QVD28" s="172"/>
      <c r="QVE28" s="172"/>
      <c r="QVF28" s="172"/>
      <c r="QVG28" s="172"/>
      <c r="QVH28" s="172"/>
      <c r="QVI28" s="172"/>
      <c r="QVJ28" s="172"/>
      <c r="QVK28" s="172"/>
      <c r="QVL28" s="172"/>
      <c r="QVM28" s="172"/>
      <c r="QVN28" s="172"/>
      <c r="QVO28" s="172"/>
      <c r="QVP28" s="172"/>
      <c r="QVQ28" s="172"/>
      <c r="QVR28" s="172"/>
      <c r="QVS28" s="172"/>
      <c r="QVT28" s="172"/>
      <c r="QVU28" s="172"/>
      <c r="QVV28" s="172"/>
      <c r="QVW28" s="172"/>
      <c r="QVX28" s="172"/>
      <c r="QVY28" s="172"/>
      <c r="QVZ28" s="172"/>
      <c r="QWA28" s="172"/>
      <c r="QWB28" s="172"/>
      <c r="QWC28" s="172"/>
      <c r="QWD28" s="172"/>
      <c r="QWE28" s="172"/>
      <c r="QWF28" s="172"/>
      <c r="QWG28" s="172"/>
      <c r="QWH28" s="172"/>
      <c r="QWI28" s="172"/>
      <c r="QWJ28" s="172"/>
      <c r="QWK28" s="172"/>
      <c r="QWL28" s="172"/>
      <c r="QWM28" s="172"/>
      <c r="QWN28" s="172"/>
      <c r="QWO28" s="172"/>
      <c r="QWP28" s="172"/>
      <c r="QWQ28" s="172"/>
      <c r="QWR28" s="172"/>
      <c r="QWS28" s="172"/>
      <c r="QWT28" s="172"/>
      <c r="QWU28" s="172"/>
      <c r="QWV28" s="172"/>
      <c r="QWW28" s="172"/>
      <c r="QWX28" s="172"/>
      <c r="QWY28" s="172"/>
      <c r="QWZ28" s="172"/>
      <c r="QXA28" s="172"/>
      <c r="QXB28" s="172"/>
      <c r="QXC28" s="172"/>
      <c r="QXD28" s="172"/>
      <c r="QXE28" s="172"/>
      <c r="QXF28" s="172"/>
      <c r="QXG28" s="172"/>
      <c r="QXH28" s="172"/>
      <c r="QXI28" s="172"/>
      <c r="QXJ28" s="172"/>
      <c r="QXK28" s="172"/>
      <c r="QXL28" s="172"/>
      <c r="QXM28" s="172"/>
      <c r="QXN28" s="172"/>
      <c r="QXO28" s="172"/>
      <c r="QXP28" s="172"/>
      <c r="QXQ28" s="172"/>
      <c r="QXR28" s="172"/>
      <c r="QXS28" s="172"/>
      <c r="QXT28" s="172"/>
      <c r="QXU28" s="172"/>
      <c r="QXV28" s="172"/>
      <c r="QXW28" s="172"/>
      <c r="QXX28" s="172"/>
      <c r="QXY28" s="172"/>
      <c r="QXZ28" s="172"/>
      <c r="QYA28" s="172"/>
      <c r="QYB28" s="172"/>
      <c r="QYC28" s="172"/>
      <c r="QYD28" s="172"/>
      <c r="QYE28" s="172"/>
      <c r="QYF28" s="172"/>
      <c r="QYG28" s="172"/>
      <c r="QYH28" s="172"/>
      <c r="QYI28" s="172"/>
      <c r="QYJ28" s="172"/>
      <c r="QYK28" s="172"/>
      <c r="QYL28" s="172"/>
      <c r="QYM28" s="172"/>
      <c r="QYN28" s="172"/>
      <c r="QYO28" s="172"/>
      <c r="QYP28" s="172"/>
      <c r="QYQ28" s="172"/>
      <c r="QYR28" s="172"/>
      <c r="QYS28" s="172"/>
      <c r="QYT28" s="172"/>
      <c r="QYU28" s="172"/>
      <c r="QYV28" s="172"/>
      <c r="QYW28" s="172"/>
      <c r="QYX28" s="172"/>
      <c r="QYY28" s="172"/>
      <c r="QYZ28" s="172"/>
      <c r="QZA28" s="172"/>
      <c r="QZB28" s="172"/>
      <c r="QZC28" s="172"/>
      <c r="QZD28" s="172"/>
      <c r="QZE28" s="172"/>
      <c r="QZF28" s="172"/>
      <c r="QZG28" s="172"/>
      <c r="QZH28" s="172"/>
      <c r="QZI28" s="172"/>
      <c r="QZJ28" s="172"/>
      <c r="QZK28" s="172"/>
      <c r="QZL28" s="172"/>
      <c r="QZM28" s="172"/>
      <c r="QZN28" s="172"/>
      <c r="QZO28" s="172"/>
      <c r="QZP28" s="172"/>
      <c r="QZQ28" s="172"/>
      <c r="QZR28" s="172"/>
      <c r="QZS28" s="172"/>
      <c r="QZT28" s="172"/>
      <c r="QZU28" s="172"/>
      <c r="QZV28" s="172"/>
      <c r="QZW28" s="172"/>
      <c r="QZX28" s="172"/>
      <c r="QZY28" s="172"/>
      <c r="QZZ28" s="172"/>
      <c r="RAA28" s="172"/>
      <c r="RAB28" s="172"/>
      <c r="RAC28" s="172"/>
      <c r="RAD28" s="172"/>
      <c r="RAE28" s="172"/>
      <c r="RAF28" s="172"/>
      <c r="RAG28" s="172"/>
      <c r="RAH28" s="172"/>
      <c r="RAI28" s="172"/>
      <c r="RAJ28" s="172"/>
      <c r="RAK28" s="172"/>
      <c r="RAL28" s="172"/>
      <c r="RAM28" s="172"/>
      <c r="RAN28" s="172"/>
      <c r="RAO28" s="172"/>
      <c r="RAP28" s="172"/>
      <c r="RAQ28" s="172"/>
      <c r="RAR28" s="172"/>
      <c r="RAS28" s="172"/>
      <c r="RAT28" s="172"/>
      <c r="RAU28" s="172"/>
      <c r="RAV28" s="172"/>
      <c r="RAW28" s="172"/>
      <c r="RAX28" s="172"/>
      <c r="RAY28" s="172"/>
      <c r="RAZ28" s="172"/>
      <c r="RBA28" s="172"/>
      <c r="RBB28" s="172"/>
      <c r="RBC28" s="172"/>
      <c r="RBD28" s="172"/>
      <c r="RBE28" s="172"/>
      <c r="RBF28" s="172"/>
      <c r="RBG28" s="172"/>
      <c r="RBH28" s="172"/>
      <c r="RBI28" s="172"/>
      <c r="RBJ28" s="172"/>
      <c r="RBK28" s="172"/>
      <c r="RBL28" s="172"/>
      <c r="RBM28" s="172"/>
      <c r="RBN28" s="172"/>
      <c r="RBO28" s="172"/>
      <c r="RBP28" s="172"/>
      <c r="RBQ28" s="172"/>
      <c r="RBR28" s="172"/>
      <c r="RBS28" s="172"/>
      <c r="RBT28" s="172"/>
      <c r="RBU28" s="172"/>
      <c r="RBV28" s="172"/>
      <c r="RBW28" s="172"/>
      <c r="RBX28" s="172"/>
      <c r="RBY28" s="172"/>
      <c r="RBZ28" s="172"/>
      <c r="RCA28" s="172"/>
      <c r="RCB28" s="172"/>
      <c r="RCC28" s="172"/>
      <c r="RCD28" s="172"/>
      <c r="RCE28" s="172"/>
      <c r="RCF28" s="172"/>
      <c r="RCG28" s="172"/>
      <c r="RCH28" s="172"/>
      <c r="RCI28" s="172"/>
      <c r="RCJ28" s="172"/>
      <c r="RCK28" s="172"/>
      <c r="RCL28" s="172"/>
      <c r="RCM28" s="172"/>
      <c r="RCN28" s="172"/>
      <c r="RCO28" s="172"/>
      <c r="RCP28" s="172"/>
      <c r="RCQ28" s="172"/>
      <c r="RCR28" s="172"/>
      <c r="RCS28" s="172"/>
      <c r="RCT28" s="172"/>
      <c r="RCU28" s="172"/>
      <c r="RCV28" s="172"/>
      <c r="RCW28" s="172"/>
      <c r="RCX28" s="172"/>
      <c r="RCY28" s="172"/>
      <c r="RCZ28" s="172"/>
      <c r="RDA28" s="172"/>
      <c r="RDB28" s="172"/>
      <c r="RDC28" s="172"/>
      <c r="RDD28" s="172"/>
      <c r="RDE28" s="172"/>
      <c r="RDF28" s="172"/>
      <c r="RDG28" s="172"/>
      <c r="RDH28" s="172"/>
      <c r="RDI28" s="172"/>
      <c r="RDJ28" s="172"/>
      <c r="RDK28" s="172"/>
      <c r="RDL28" s="172"/>
      <c r="RDM28" s="172"/>
      <c r="RDN28" s="172"/>
      <c r="RDO28" s="172"/>
      <c r="RDP28" s="172"/>
      <c r="RDQ28" s="172"/>
      <c r="RDR28" s="172"/>
      <c r="RDS28" s="172"/>
      <c r="RDT28" s="172"/>
      <c r="RDU28" s="172"/>
      <c r="RDV28" s="172"/>
      <c r="RDW28" s="172"/>
      <c r="RDX28" s="172"/>
      <c r="RDY28" s="172"/>
      <c r="RDZ28" s="172"/>
      <c r="REA28" s="172"/>
      <c r="REB28" s="172"/>
      <c r="REC28" s="172"/>
      <c r="RED28" s="172"/>
      <c r="REE28" s="172"/>
      <c r="REF28" s="172"/>
      <c r="REG28" s="172"/>
      <c r="REH28" s="172"/>
      <c r="REI28" s="172"/>
      <c r="REJ28" s="172"/>
      <c r="REK28" s="172"/>
      <c r="REL28" s="172"/>
      <c r="REM28" s="172"/>
      <c r="REN28" s="172"/>
      <c r="REO28" s="172"/>
      <c r="REP28" s="172"/>
      <c r="REQ28" s="172"/>
      <c r="RER28" s="172"/>
      <c r="RES28" s="172"/>
      <c r="RET28" s="172"/>
      <c r="REU28" s="172"/>
      <c r="REV28" s="172"/>
      <c r="REW28" s="172"/>
      <c r="REX28" s="172"/>
      <c r="REY28" s="172"/>
      <c r="REZ28" s="172"/>
      <c r="RFA28" s="172"/>
      <c r="RFB28" s="172"/>
      <c r="RFC28" s="172"/>
      <c r="RFD28" s="172"/>
      <c r="RFE28" s="172"/>
      <c r="RFF28" s="172"/>
      <c r="RFG28" s="172"/>
      <c r="RFH28" s="172"/>
      <c r="RFI28" s="172"/>
      <c r="RFJ28" s="172"/>
      <c r="RFK28" s="172"/>
      <c r="RFL28" s="172"/>
      <c r="RFM28" s="172"/>
      <c r="RFN28" s="172"/>
      <c r="RFO28" s="172"/>
      <c r="RFP28" s="172"/>
      <c r="RFQ28" s="172"/>
      <c r="RFR28" s="172"/>
      <c r="RFS28" s="172"/>
      <c r="RFT28" s="172"/>
      <c r="RFU28" s="172"/>
      <c r="RFV28" s="172"/>
      <c r="RFW28" s="172"/>
      <c r="RFX28" s="172"/>
      <c r="RFY28" s="172"/>
      <c r="RFZ28" s="172"/>
      <c r="RGA28" s="172"/>
      <c r="RGB28" s="172"/>
      <c r="RGC28" s="172"/>
      <c r="RGD28" s="172"/>
      <c r="RGE28" s="172"/>
      <c r="RGF28" s="172"/>
      <c r="RGG28" s="172"/>
      <c r="RGH28" s="172"/>
      <c r="RGI28" s="172"/>
      <c r="RGJ28" s="172"/>
      <c r="RGK28" s="172"/>
      <c r="RGL28" s="172"/>
      <c r="RGM28" s="172"/>
      <c r="RGN28" s="172"/>
      <c r="RGO28" s="172"/>
      <c r="RGP28" s="172"/>
      <c r="RGQ28" s="172"/>
      <c r="RGR28" s="172"/>
      <c r="RGS28" s="172"/>
      <c r="RGT28" s="172"/>
      <c r="RGU28" s="172"/>
      <c r="RGV28" s="172"/>
      <c r="RGW28" s="172"/>
      <c r="RGX28" s="172"/>
      <c r="RGY28" s="172"/>
      <c r="RGZ28" s="172"/>
      <c r="RHA28" s="172"/>
      <c r="RHB28" s="172"/>
      <c r="RHC28" s="172"/>
      <c r="RHD28" s="172"/>
      <c r="RHE28" s="172"/>
      <c r="RHF28" s="172"/>
      <c r="RHG28" s="172"/>
      <c r="RHH28" s="172"/>
      <c r="RHI28" s="172"/>
      <c r="RHJ28" s="172"/>
      <c r="RHK28" s="172"/>
      <c r="RHL28" s="172"/>
      <c r="RHM28" s="172"/>
      <c r="RHN28" s="172"/>
      <c r="RHO28" s="172"/>
      <c r="RHP28" s="172"/>
      <c r="RHQ28" s="172"/>
      <c r="RHR28" s="172"/>
      <c r="RHS28" s="172"/>
      <c r="RHT28" s="172"/>
      <c r="RHU28" s="172"/>
      <c r="RHV28" s="172"/>
      <c r="RHW28" s="172"/>
      <c r="RHX28" s="172"/>
      <c r="RHY28" s="172"/>
      <c r="RHZ28" s="172"/>
      <c r="RIA28" s="172"/>
      <c r="RIB28" s="172"/>
      <c r="RIC28" s="172"/>
      <c r="RID28" s="172"/>
      <c r="RIE28" s="172"/>
      <c r="RIF28" s="172"/>
      <c r="RIG28" s="172"/>
      <c r="RIH28" s="172"/>
      <c r="RII28" s="172"/>
      <c r="RIJ28" s="172"/>
      <c r="RIK28" s="172"/>
      <c r="RIL28" s="172"/>
      <c r="RIM28" s="172"/>
      <c r="RIN28" s="172"/>
      <c r="RIO28" s="172"/>
      <c r="RIP28" s="172"/>
      <c r="RIQ28" s="172"/>
      <c r="RIR28" s="172"/>
      <c r="RIS28" s="172"/>
      <c r="RIT28" s="172"/>
      <c r="RIU28" s="172"/>
      <c r="RIV28" s="172"/>
      <c r="RIW28" s="172"/>
      <c r="RIX28" s="172"/>
      <c r="RIY28" s="172"/>
      <c r="RIZ28" s="172"/>
      <c r="RJA28" s="172"/>
      <c r="RJB28" s="172"/>
      <c r="RJC28" s="172"/>
      <c r="RJD28" s="172"/>
      <c r="RJE28" s="172"/>
      <c r="RJF28" s="172"/>
      <c r="RJG28" s="172"/>
      <c r="RJH28" s="172"/>
      <c r="RJI28" s="172"/>
      <c r="RJJ28" s="172"/>
      <c r="RJK28" s="172"/>
      <c r="RJL28" s="172"/>
      <c r="RJM28" s="172"/>
      <c r="RJN28" s="172"/>
      <c r="RJO28" s="172"/>
      <c r="RJP28" s="172"/>
      <c r="RJQ28" s="172"/>
      <c r="RJR28" s="172"/>
      <c r="RJS28" s="172"/>
      <c r="RJT28" s="172"/>
      <c r="RJU28" s="172"/>
      <c r="RJV28" s="172"/>
      <c r="RJW28" s="172"/>
      <c r="RJX28" s="172"/>
      <c r="RJY28" s="172"/>
      <c r="RJZ28" s="172"/>
      <c r="RKA28" s="172"/>
      <c r="RKB28" s="172"/>
      <c r="RKC28" s="172"/>
      <c r="RKD28" s="172"/>
      <c r="RKE28" s="172"/>
      <c r="RKF28" s="172"/>
      <c r="RKG28" s="172"/>
      <c r="RKH28" s="172"/>
      <c r="RKI28" s="172"/>
      <c r="RKJ28" s="172"/>
      <c r="RKK28" s="172"/>
      <c r="RKL28" s="172"/>
      <c r="RKM28" s="172"/>
      <c r="RKN28" s="172"/>
      <c r="RKO28" s="172"/>
      <c r="RKP28" s="172"/>
      <c r="RKQ28" s="172"/>
      <c r="RKR28" s="172"/>
      <c r="RKS28" s="172"/>
      <c r="RKT28" s="172"/>
      <c r="RKU28" s="172"/>
      <c r="RKV28" s="172"/>
      <c r="RKW28" s="172"/>
      <c r="RKX28" s="172"/>
      <c r="RKY28" s="172"/>
      <c r="RKZ28" s="172"/>
      <c r="RLA28" s="172"/>
      <c r="RLB28" s="172"/>
      <c r="RLC28" s="172"/>
      <c r="RLD28" s="172"/>
      <c r="RLE28" s="172"/>
      <c r="RLF28" s="172"/>
      <c r="RLG28" s="172"/>
      <c r="RLH28" s="172"/>
      <c r="RLI28" s="172"/>
      <c r="RLJ28" s="172"/>
      <c r="RLK28" s="172"/>
      <c r="RLL28" s="172"/>
      <c r="RLM28" s="172"/>
      <c r="RLN28" s="172"/>
      <c r="RLO28" s="172"/>
      <c r="RLP28" s="172"/>
      <c r="RLQ28" s="172"/>
      <c r="RLR28" s="172"/>
      <c r="RLS28" s="172"/>
      <c r="RLT28" s="172"/>
      <c r="RLU28" s="172"/>
      <c r="RLV28" s="172"/>
      <c r="RLW28" s="172"/>
      <c r="RLX28" s="172"/>
      <c r="RLY28" s="172"/>
      <c r="RLZ28" s="172"/>
      <c r="RMA28" s="172"/>
      <c r="RMB28" s="172"/>
      <c r="RMC28" s="172"/>
      <c r="RMD28" s="172"/>
      <c r="RME28" s="172"/>
      <c r="RMF28" s="172"/>
      <c r="RMG28" s="172"/>
      <c r="RMH28" s="172"/>
      <c r="RMI28" s="172"/>
      <c r="RMJ28" s="172"/>
      <c r="RMK28" s="172"/>
      <c r="RML28" s="172"/>
      <c r="RMM28" s="172"/>
      <c r="RMN28" s="172"/>
      <c r="RMO28" s="172"/>
      <c r="RMP28" s="172"/>
      <c r="RMQ28" s="172"/>
      <c r="RMR28" s="172"/>
      <c r="RMS28" s="172"/>
      <c r="RMT28" s="172"/>
      <c r="RMU28" s="172"/>
      <c r="RMV28" s="172"/>
      <c r="RMW28" s="172"/>
      <c r="RMX28" s="172"/>
      <c r="RMY28" s="172"/>
      <c r="RMZ28" s="172"/>
      <c r="RNA28" s="172"/>
      <c r="RNB28" s="172"/>
      <c r="RNC28" s="172"/>
      <c r="RND28" s="172"/>
      <c r="RNE28" s="172"/>
      <c r="RNF28" s="172"/>
      <c r="RNG28" s="172"/>
      <c r="RNH28" s="172"/>
      <c r="RNI28" s="172"/>
      <c r="RNJ28" s="172"/>
      <c r="RNK28" s="172"/>
      <c r="RNL28" s="172"/>
      <c r="RNM28" s="172"/>
      <c r="RNN28" s="172"/>
      <c r="RNO28" s="172"/>
      <c r="RNP28" s="172"/>
      <c r="RNQ28" s="172"/>
      <c r="RNR28" s="172"/>
      <c r="RNS28" s="172"/>
      <c r="RNT28" s="172"/>
      <c r="RNU28" s="172"/>
      <c r="RNV28" s="172"/>
      <c r="RNW28" s="172"/>
      <c r="RNX28" s="172"/>
      <c r="RNY28" s="172"/>
      <c r="RNZ28" s="172"/>
      <c r="ROA28" s="172"/>
      <c r="ROB28" s="172"/>
      <c r="ROC28" s="172"/>
      <c r="ROD28" s="172"/>
      <c r="ROE28" s="172"/>
      <c r="ROF28" s="172"/>
      <c r="ROG28" s="172"/>
      <c r="ROH28" s="172"/>
      <c r="ROI28" s="172"/>
      <c r="ROJ28" s="172"/>
      <c r="ROK28" s="172"/>
      <c r="ROL28" s="172"/>
      <c r="ROM28" s="172"/>
      <c r="RON28" s="172"/>
      <c r="ROO28" s="172"/>
      <c r="ROP28" s="172"/>
      <c r="ROQ28" s="172"/>
      <c r="ROR28" s="172"/>
      <c r="ROS28" s="172"/>
      <c r="ROT28" s="172"/>
      <c r="ROU28" s="172"/>
      <c r="ROV28" s="172"/>
      <c r="ROW28" s="172"/>
      <c r="ROX28" s="172"/>
      <c r="ROY28" s="172"/>
      <c r="ROZ28" s="172"/>
      <c r="RPA28" s="172"/>
      <c r="RPB28" s="172"/>
      <c r="RPC28" s="172"/>
      <c r="RPD28" s="172"/>
      <c r="RPE28" s="172"/>
      <c r="RPF28" s="172"/>
      <c r="RPG28" s="172"/>
      <c r="RPH28" s="172"/>
      <c r="RPI28" s="172"/>
      <c r="RPJ28" s="172"/>
      <c r="RPK28" s="172"/>
      <c r="RPL28" s="172"/>
      <c r="RPM28" s="172"/>
      <c r="RPN28" s="172"/>
      <c r="RPO28" s="172"/>
      <c r="RPP28" s="172"/>
      <c r="RPQ28" s="172"/>
      <c r="RPR28" s="172"/>
      <c r="RPS28" s="172"/>
      <c r="RPT28" s="172"/>
      <c r="RPU28" s="172"/>
      <c r="RPV28" s="172"/>
      <c r="RPW28" s="172"/>
      <c r="RPX28" s="172"/>
      <c r="RPY28" s="172"/>
      <c r="RPZ28" s="172"/>
      <c r="RQA28" s="172"/>
      <c r="RQB28" s="172"/>
      <c r="RQC28" s="172"/>
      <c r="RQD28" s="172"/>
      <c r="RQE28" s="172"/>
      <c r="RQF28" s="172"/>
      <c r="RQG28" s="172"/>
      <c r="RQH28" s="172"/>
      <c r="RQI28" s="172"/>
      <c r="RQJ28" s="172"/>
      <c r="RQK28" s="172"/>
      <c r="RQL28" s="172"/>
      <c r="RQM28" s="172"/>
      <c r="RQN28" s="172"/>
      <c r="RQO28" s="172"/>
      <c r="RQP28" s="172"/>
      <c r="RQQ28" s="172"/>
      <c r="RQR28" s="172"/>
      <c r="RQS28" s="172"/>
      <c r="RQT28" s="172"/>
      <c r="RQU28" s="172"/>
      <c r="RQV28" s="172"/>
      <c r="RQW28" s="172"/>
      <c r="RQX28" s="172"/>
      <c r="RQY28" s="172"/>
      <c r="RQZ28" s="172"/>
      <c r="RRA28" s="172"/>
      <c r="RRB28" s="172"/>
      <c r="RRC28" s="172"/>
      <c r="RRD28" s="172"/>
      <c r="RRE28" s="172"/>
      <c r="RRF28" s="172"/>
      <c r="RRG28" s="172"/>
      <c r="RRH28" s="172"/>
      <c r="RRI28" s="172"/>
      <c r="RRJ28" s="172"/>
      <c r="RRK28" s="172"/>
      <c r="RRL28" s="172"/>
      <c r="RRM28" s="172"/>
      <c r="RRN28" s="172"/>
      <c r="RRO28" s="172"/>
      <c r="RRP28" s="172"/>
      <c r="RRQ28" s="172"/>
      <c r="RRR28" s="172"/>
      <c r="RRS28" s="172"/>
      <c r="RRT28" s="172"/>
      <c r="RRU28" s="172"/>
      <c r="RRV28" s="172"/>
      <c r="RRW28" s="172"/>
      <c r="RRX28" s="172"/>
      <c r="RRY28" s="172"/>
      <c r="RRZ28" s="172"/>
      <c r="RSA28" s="172"/>
      <c r="RSB28" s="172"/>
      <c r="RSC28" s="172"/>
      <c r="RSD28" s="172"/>
      <c r="RSE28" s="172"/>
      <c r="RSF28" s="172"/>
      <c r="RSG28" s="172"/>
      <c r="RSH28" s="172"/>
      <c r="RSI28" s="172"/>
      <c r="RSJ28" s="172"/>
      <c r="RSK28" s="172"/>
      <c r="RSL28" s="172"/>
      <c r="RSM28" s="172"/>
      <c r="RSN28" s="172"/>
      <c r="RSO28" s="172"/>
      <c r="RSP28" s="172"/>
      <c r="RSQ28" s="172"/>
      <c r="RSR28" s="172"/>
      <c r="RSS28" s="172"/>
      <c r="RST28" s="172"/>
      <c r="RSU28" s="172"/>
      <c r="RSV28" s="172"/>
      <c r="RSW28" s="172"/>
      <c r="RSX28" s="172"/>
      <c r="RSY28" s="172"/>
      <c r="RSZ28" s="172"/>
      <c r="RTA28" s="172"/>
      <c r="RTB28" s="172"/>
      <c r="RTC28" s="172"/>
      <c r="RTD28" s="172"/>
      <c r="RTE28" s="172"/>
      <c r="RTF28" s="172"/>
      <c r="RTG28" s="172"/>
      <c r="RTH28" s="172"/>
      <c r="RTI28" s="172"/>
      <c r="RTJ28" s="172"/>
      <c r="RTK28" s="172"/>
      <c r="RTL28" s="172"/>
      <c r="RTM28" s="172"/>
      <c r="RTN28" s="172"/>
      <c r="RTO28" s="172"/>
      <c r="RTP28" s="172"/>
      <c r="RTQ28" s="172"/>
      <c r="RTR28" s="172"/>
      <c r="RTS28" s="172"/>
      <c r="RTT28" s="172"/>
      <c r="RTU28" s="172"/>
      <c r="RTV28" s="172"/>
      <c r="RTW28" s="172"/>
      <c r="RTX28" s="172"/>
      <c r="RTY28" s="172"/>
      <c r="RTZ28" s="172"/>
      <c r="RUA28" s="172"/>
      <c r="RUB28" s="172"/>
      <c r="RUC28" s="172"/>
      <c r="RUD28" s="172"/>
      <c r="RUE28" s="172"/>
      <c r="RUF28" s="172"/>
      <c r="RUG28" s="172"/>
      <c r="RUH28" s="172"/>
      <c r="RUI28" s="172"/>
      <c r="RUJ28" s="172"/>
      <c r="RUK28" s="172"/>
      <c r="RUL28" s="172"/>
      <c r="RUM28" s="172"/>
      <c r="RUN28" s="172"/>
      <c r="RUO28" s="172"/>
      <c r="RUP28" s="172"/>
      <c r="RUQ28" s="172"/>
      <c r="RUR28" s="172"/>
      <c r="RUS28" s="172"/>
      <c r="RUT28" s="172"/>
      <c r="RUU28" s="172"/>
      <c r="RUV28" s="172"/>
      <c r="RUW28" s="172"/>
      <c r="RUX28" s="172"/>
      <c r="RUY28" s="172"/>
      <c r="RUZ28" s="172"/>
      <c r="RVA28" s="172"/>
      <c r="RVB28" s="172"/>
      <c r="RVC28" s="172"/>
      <c r="RVD28" s="172"/>
      <c r="RVE28" s="172"/>
      <c r="RVF28" s="172"/>
      <c r="RVG28" s="172"/>
      <c r="RVH28" s="172"/>
      <c r="RVI28" s="172"/>
      <c r="RVJ28" s="172"/>
      <c r="RVK28" s="172"/>
      <c r="RVL28" s="172"/>
      <c r="RVM28" s="172"/>
      <c r="RVN28" s="172"/>
      <c r="RVO28" s="172"/>
      <c r="RVP28" s="172"/>
      <c r="RVQ28" s="172"/>
      <c r="RVR28" s="172"/>
      <c r="RVS28" s="172"/>
      <c r="RVT28" s="172"/>
      <c r="RVU28" s="172"/>
      <c r="RVV28" s="172"/>
      <c r="RVW28" s="172"/>
      <c r="RVX28" s="172"/>
      <c r="RVY28" s="172"/>
      <c r="RVZ28" s="172"/>
      <c r="RWA28" s="172"/>
      <c r="RWB28" s="172"/>
      <c r="RWC28" s="172"/>
      <c r="RWD28" s="172"/>
      <c r="RWE28" s="172"/>
      <c r="RWF28" s="172"/>
      <c r="RWG28" s="172"/>
      <c r="RWH28" s="172"/>
      <c r="RWI28" s="172"/>
      <c r="RWJ28" s="172"/>
      <c r="RWK28" s="172"/>
      <c r="RWL28" s="172"/>
      <c r="RWM28" s="172"/>
      <c r="RWN28" s="172"/>
      <c r="RWO28" s="172"/>
      <c r="RWP28" s="172"/>
      <c r="RWQ28" s="172"/>
      <c r="RWR28" s="172"/>
      <c r="RWS28" s="172"/>
      <c r="RWT28" s="172"/>
      <c r="RWU28" s="172"/>
      <c r="RWV28" s="172"/>
      <c r="RWW28" s="172"/>
      <c r="RWX28" s="172"/>
      <c r="RWY28" s="172"/>
      <c r="RWZ28" s="172"/>
      <c r="RXA28" s="172"/>
      <c r="RXB28" s="172"/>
      <c r="RXC28" s="172"/>
      <c r="RXD28" s="172"/>
      <c r="RXE28" s="172"/>
      <c r="RXF28" s="172"/>
      <c r="RXG28" s="172"/>
      <c r="RXH28" s="172"/>
      <c r="RXI28" s="172"/>
      <c r="RXJ28" s="172"/>
      <c r="RXK28" s="172"/>
      <c r="RXL28" s="172"/>
      <c r="RXM28" s="172"/>
      <c r="RXN28" s="172"/>
      <c r="RXO28" s="172"/>
      <c r="RXP28" s="172"/>
      <c r="RXQ28" s="172"/>
      <c r="RXR28" s="172"/>
      <c r="RXS28" s="172"/>
      <c r="RXT28" s="172"/>
      <c r="RXU28" s="172"/>
      <c r="RXV28" s="172"/>
      <c r="RXW28" s="172"/>
      <c r="RXX28" s="172"/>
      <c r="RXY28" s="172"/>
      <c r="RXZ28" s="172"/>
      <c r="RYA28" s="172"/>
      <c r="RYB28" s="172"/>
      <c r="RYC28" s="172"/>
      <c r="RYD28" s="172"/>
      <c r="RYE28" s="172"/>
      <c r="RYF28" s="172"/>
      <c r="RYG28" s="172"/>
      <c r="RYH28" s="172"/>
      <c r="RYI28" s="172"/>
      <c r="RYJ28" s="172"/>
      <c r="RYK28" s="172"/>
      <c r="RYL28" s="172"/>
      <c r="RYM28" s="172"/>
      <c r="RYN28" s="172"/>
      <c r="RYO28" s="172"/>
      <c r="RYP28" s="172"/>
      <c r="RYQ28" s="172"/>
      <c r="RYR28" s="172"/>
      <c r="RYS28" s="172"/>
      <c r="RYT28" s="172"/>
      <c r="RYU28" s="172"/>
      <c r="RYV28" s="172"/>
      <c r="RYW28" s="172"/>
      <c r="RYX28" s="172"/>
      <c r="RYY28" s="172"/>
      <c r="RYZ28" s="172"/>
      <c r="RZA28" s="172"/>
      <c r="RZB28" s="172"/>
      <c r="RZC28" s="172"/>
      <c r="RZD28" s="172"/>
      <c r="RZE28" s="172"/>
      <c r="RZF28" s="172"/>
      <c r="RZG28" s="172"/>
      <c r="RZH28" s="172"/>
      <c r="RZI28" s="172"/>
      <c r="RZJ28" s="172"/>
      <c r="RZK28" s="172"/>
      <c r="RZL28" s="172"/>
      <c r="RZM28" s="172"/>
      <c r="RZN28" s="172"/>
      <c r="RZO28" s="172"/>
      <c r="RZP28" s="172"/>
      <c r="RZQ28" s="172"/>
      <c r="RZR28" s="172"/>
      <c r="RZS28" s="172"/>
      <c r="RZT28" s="172"/>
      <c r="RZU28" s="172"/>
      <c r="RZV28" s="172"/>
      <c r="RZW28" s="172"/>
      <c r="RZX28" s="172"/>
      <c r="RZY28" s="172"/>
      <c r="RZZ28" s="172"/>
      <c r="SAA28" s="172"/>
      <c r="SAB28" s="172"/>
      <c r="SAC28" s="172"/>
      <c r="SAD28" s="172"/>
      <c r="SAE28" s="172"/>
      <c r="SAF28" s="172"/>
      <c r="SAG28" s="172"/>
      <c r="SAH28" s="172"/>
      <c r="SAI28" s="172"/>
      <c r="SAJ28" s="172"/>
      <c r="SAK28" s="172"/>
      <c r="SAL28" s="172"/>
      <c r="SAM28" s="172"/>
      <c r="SAN28" s="172"/>
      <c r="SAO28" s="172"/>
      <c r="SAP28" s="172"/>
      <c r="SAQ28" s="172"/>
      <c r="SAR28" s="172"/>
      <c r="SAS28" s="172"/>
      <c r="SAT28" s="172"/>
      <c r="SAU28" s="172"/>
      <c r="SAV28" s="172"/>
      <c r="SAW28" s="172"/>
      <c r="SAX28" s="172"/>
      <c r="SAY28" s="172"/>
      <c r="SAZ28" s="172"/>
      <c r="SBA28" s="172"/>
      <c r="SBB28" s="172"/>
      <c r="SBC28" s="172"/>
      <c r="SBD28" s="172"/>
      <c r="SBE28" s="172"/>
      <c r="SBF28" s="172"/>
      <c r="SBG28" s="172"/>
      <c r="SBH28" s="172"/>
      <c r="SBI28" s="172"/>
      <c r="SBJ28" s="172"/>
      <c r="SBK28" s="172"/>
      <c r="SBL28" s="172"/>
      <c r="SBM28" s="172"/>
      <c r="SBN28" s="172"/>
      <c r="SBO28" s="172"/>
      <c r="SBP28" s="172"/>
      <c r="SBQ28" s="172"/>
      <c r="SBR28" s="172"/>
      <c r="SBS28" s="172"/>
      <c r="SBT28" s="172"/>
      <c r="SBU28" s="172"/>
      <c r="SBV28" s="172"/>
      <c r="SBW28" s="172"/>
      <c r="SBX28" s="172"/>
      <c r="SBY28" s="172"/>
      <c r="SBZ28" s="172"/>
      <c r="SCA28" s="172"/>
      <c r="SCB28" s="172"/>
      <c r="SCC28" s="172"/>
      <c r="SCD28" s="172"/>
      <c r="SCE28" s="172"/>
      <c r="SCF28" s="172"/>
      <c r="SCG28" s="172"/>
      <c r="SCH28" s="172"/>
      <c r="SCI28" s="172"/>
      <c r="SCJ28" s="172"/>
      <c r="SCK28" s="172"/>
      <c r="SCL28" s="172"/>
      <c r="SCM28" s="172"/>
      <c r="SCN28" s="172"/>
      <c r="SCO28" s="172"/>
      <c r="SCP28" s="172"/>
      <c r="SCQ28" s="172"/>
      <c r="SCR28" s="172"/>
      <c r="SCS28" s="172"/>
      <c r="SCT28" s="172"/>
      <c r="SCU28" s="172"/>
      <c r="SCV28" s="172"/>
      <c r="SCW28" s="172"/>
      <c r="SCX28" s="172"/>
      <c r="SCY28" s="172"/>
      <c r="SCZ28" s="172"/>
      <c r="SDA28" s="172"/>
      <c r="SDB28" s="172"/>
      <c r="SDC28" s="172"/>
      <c r="SDD28" s="172"/>
      <c r="SDE28" s="172"/>
      <c r="SDF28" s="172"/>
      <c r="SDG28" s="172"/>
      <c r="SDH28" s="172"/>
      <c r="SDI28" s="172"/>
      <c r="SDJ28" s="172"/>
      <c r="SDK28" s="172"/>
      <c r="SDL28" s="172"/>
      <c r="SDM28" s="172"/>
      <c r="SDN28" s="172"/>
      <c r="SDO28" s="172"/>
      <c r="SDP28" s="172"/>
      <c r="SDQ28" s="172"/>
      <c r="SDR28" s="172"/>
      <c r="SDS28" s="172"/>
      <c r="SDT28" s="172"/>
      <c r="SDU28" s="172"/>
      <c r="SDV28" s="172"/>
      <c r="SDW28" s="172"/>
      <c r="SDX28" s="172"/>
      <c r="SDY28" s="172"/>
      <c r="SDZ28" s="172"/>
      <c r="SEA28" s="172"/>
      <c r="SEB28" s="172"/>
      <c r="SEC28" s="172"/>
      <c r="SED28" s="172"/>
      <c r="SEE28" s="172"/>
      <c r="SEF28" s="172"/>
      <c r="SEG28" s="172"/>
      <c r="SEH28" s="172"/>
      <c r="SEI28" s="172"/>
      <c r="SEJ28" s="172"/>
      <c r="SEK28" s="172"/>
      <c r="SEL28" s="172"/>
      <c r="SEM28" s="172"/>
      <c r="SEN28" s="172"/>
      <c r="SEO28" s="172"/>
      <c r="SEP28" s="172"/>
      <c r="SEQ28" s="172"/>
      <c r="SER28" s="172"/>
      <c r="SES28" s="172"/>
      <c r="SET28" s="172"/>
      <c r="SEU28" s="172"/>
      <c r="SEV28" s="172"/>
      <c r="SEW28" s="172"/>
      <c r="SEX28" s="172"/>
      <c r="SEY28" s="172"/>
      <c r="SEZ28" s="172"/>
      <c r="SFA28" s="172"/>
      <c r="SFB28" s="172"/>
      <c r="SFC28" s="172"/>
      <c r="SFD28" s="172"/>
      <c r="SFE28" s="172"/>
      <c r="SFF28" s="172"/>
      <c r="SFG28" s="172"/>
      <c r="SFH28" s="172"/>
      <c r="SFI28" s="172"/>
      <c r="SFJ28" s="172"/>
      <c r="SFK28" s="172"/>
      <c r="SFL28" s="172"/>
      <c r="SFM28" s="172"/>
      <c r="SFN28" s="172"/>
      <c r="SFO28" s="172"/>
      <c r="SFP28" s="172"/>
      <c r="SFQ28" s="172"/>
      <c r="SFR28" s="172"/>
      <c r="SFS28" s="172"/>
      <c r="SFT28" s="172"/>
      <c r="SFU28" s="172"/>
      <c r="SFV28" s="172"/>
      <c r="SFW28" s="172"/>
      <c r="SFX28" s="172"/>
      <c r="SFY28" s="172"/>
      <c r="SFZ28" s="172"/>
      <c r="SGA28" s="172"/>
      <c r="SGB28" s="172"/>
      <c r="SGC28" s="172"/>
      <c r="SGD28" s="172"/>
      <c r="SGE28" s="172"/>
      <c r="SGF28" s="172"/>
      <c r="SGG28" s="172"/>
      <c r="SGH28" s="172"/>
      <c r="SGI28" s="172"/>
      <c r="SGJ28" s="172"/>
      <c r="SGK28" s="172"/>
      <c r="SGL28" s="172"/>
      <c r="SGM28" s="172"/>
      <c r="SGN28" s="172"/>
      <c r="SGO28" s="172"/>
      <c r="SGP28" s="172"/>
      <c r="SGQ28" s="172"/>
      <c r="SGR28" s="172"/>
      <c r="SGS28" s="172"/>
      <c r="SGT28" s="172"/>
      <c r="SGU28" s="172"/>
      <c r="SGV28" s="172"/>
      <c r="SGW28" s="172"/>
      <c r="SGX28" s="172"/>
      <c r="SGY28" s="172"/>
      <c r="SGZ28" s="172"/>
      <c r="SHA28" s="172"/>
      <c r="SHB28" s="172"/>
      <c r="SHC28" s="172"/>
      <c r="SHD28" s="172"/>
      <c r="SHE28" s="172"/>
      <c r="SHF28" s="172"/>
      <c r="SHG28" s="172"/>
      <c r="SHH28" s="172"/>
      <c r="SHI28" s="172"/>
      <c r="SHJ28" s="172"/>
      <c r="SHK28" s="172"/>
      <c r="SHL28" s="172"/>
      <c r="SHM28" s="172"/>
      <c r="SHN28" s="172"/>
      <c r="SHO28" s="172"/>
      <c r="SHP28" s="172"/>
      <c r="SHQ28" s="172"/>
      <c r="SHR28" s="172"/>
      <c r="SHS28" s="172"/>
      <c r="SHT28" s="172"/>
      <c r="SHU28" s="172"/>
      <c r="SHV28" s="172"/>
      <c r="SHW28" s="172"/>
      <c r="SHX28" s="172"/>
      <c r="SHY28" s="172"/>
      <c r="SHZ28" s="172"/>
      <c r="SIA28" s="172"/>
      <c r="SIB28" s="172"/>
      <c r="SIC28" s="172"/>
      <c r="SID28" s="172"/>
      <c r="SIE28" s="172"/>
      <c r="SIF28" s="172"/>
      <c r="SIG28" s="172"/>
      <c r="SIH28" s="172"/>
      <c r="SII28" s="172"/>
      <c r="SIJ28" s="172"/>
      <c r="SIK28" s="172"/>
      <c r="SIL28" s="172"/>
      <c r="SIM28" s="172"/>
      <c r="SIN28" s="172"/>
      <c r="SIO28" s="172"/>
      <c r="SIP28" s="172"/>
      <c r="SIQ28" s="172"/>
      <c r="SIR28" s="172"/>
      <c r="SIS28" s="172"/>
      <c r="SIT28" s="172"/>
      <c r="SIU28" s="172"/>
      <c r="SIV28" s="172"/>
      <c r="SIW28" s="172"/>
      <c r="SIX28" s="172"/>
      <c r="SIY28" s="172"/>
      <c r="SIZ28" s="172"/>
      <c r="SJA28" s="172"/>
      <c r="SJB28" s="172"/>
      <c r="SJC28" s="172"/>
      <c r="SJD28" s="172"/>
      <c r="SJE28" s="172"/>
      <c r="SJF28" s="172"/>
      <c r="SJG28" s="172"/>
      <c r="SJH28" s="172"/>
      <c r="SJI28" s="172"/>
      <c r="SJJ28" s="172"/>
      <c r="SJK28" s="172"/>
      <c r="SJL28" s="172"/>
      <c r="SJM28" s="172"/>
      <c r="SJN28" s="172"/>
      <c r="SJO28" s="172"/>
      <c r="SJP28" s="172"/>
      <c r="SJQ28" s="172"/>
      <c r="SJR28" s="172"/>
      <c r="SJS28" s="172"/>
      <c r="SJT28" s="172"/>
      <c r="SJU28" s="172"/>
      <c r="SJV28" s="172"/>
      <c r="SJW28" s="172"/>
      <c r="SJX28" s="172"/>
      <c r="SJY28" s="172"/>
      <c r="SJZ28" s="172"/>
      <c r="SKA28" s="172"/>
      <c r="SKB28" s="172"/>
      <c r="SKC28" s="172"/>
      <c r="SKD28" s="172"/>
      <c r="SKE28" s="172"/>
      <c r="SKF28" s="172"/>
      <c r="SKG28" s="172"/>
      <c r="SKH28" s="172"/>
      <c r="SKI28" s="172"/>
      <c r="SKJ28" s="172"/>
      <c r="SKK28" s="172"/>
      <c r="SKL28" s="172"/>
      <c r="SKM28" s="172"/>
      <c r="SKN28" s="172"/>
      <c r="SKO28" s="172"/>
      <c r="SKP28" s="172"/>
      <c r="SKQ28" s="172"/>
      <c r="SKR28" s="172"/>
      <c r="SKS28" s="172"/>
      <c r="SKT28" s="172"/>
      <c r="SKU28" s="172"/>
      <c r="SKV28" s="172"/>
      <c r="SKW28" s="172"/>
      <c r="SKX28" s="172"/>
      <c r="SKY28" s="172"/>
      <c r="SKZ28" s="172"/>
      <c r="SLA28" s="172"/>
      <c r="SLB28" s="172"/>
      <c r="SLC28" s="172"/>
      <c r="SLD28" s="172"/>
      <c r="SLE28" s="172"/>
      <c r="SLF28" s="172"/>
      <c r="SLG28" s="172"/>
      <c r="SLH28" s="172"/>
      <c r="SLI28" s="172"/>
      <c r="SLJ28" s="172"/>
      <c r="SLK28" s="172"/>
      <c r="SLL28" s="172"/>
      <c r="SLM28" s="172"/>
      <c r="SLN28" s="172"/>
      <c r="SLO28" s="172"/>
      <c r="SLP28" s="172"/>
      <c r="SLQ28" s="172"/>
      <c r="SLR28" s="172"/>
      <c r="SLS28" s="172"/>
      <c r="SLT28" s="172"/>
      <c r="SLU28" s="172"/>
      <c r="SLV28" s="172"/>
      <c r="SLW28" s="172"/>
      <c r="SLX28" s="172"/>
      <c r="SLY28" s="172"/>
      <c r="SLZ28" s="172"/>
      <c r="SMA28" s="172"/>
      <c r="SMB28" s="172"/>
      <c r="SMC28" s="172"/>
      <c r="SMD28" s="172"/>
      <c r="SME28" s="172"/>
      <c r="SMF28" s="172"/>
      <c r="SMG28" s="172"/>
      <c r="SMH28" s="172"/>
      <c r="SMI28" s="172"/>
      <c r="SMJ28" s="172"/>
      <c r="SMK28" s="172"/>
      <c r="SML28" s="172"/>
      <c r="SMM28" s="172"/>
      <c r="SMN28" s="172"/>
      <c r="SMO28" s="172"/>
      <c r="SMP28" s="172"/>
      <c r="SMQ28" s="172"/>
      <c r="SMR28" s="172"/>
      <c r="SMS28" s="172"/>
      <c r="SMT28" s="172"/>
      <c r="SMU28" s="172"/>
      <c r="SMV28" s="172"/>
      <c r="SMW28" s="172"/>
      <c r="SMX28" s="172"/>
      <c r="SMY28" s="172"/>
      <c r="SMZ28" s="172"/>
      <c r="SNA28" s="172"/>
      <c r="SNB28" s="172"/>
      <c r="SNC28" s="172"/>
      <c r="SND28" s="172"/>
      <c r="SNE28" s="172"/>
      <c r="SNF28" s="172"/>
      <c r="SNG28" s="172"/>
      <c r="SNH28" s="172"/>
      <c r="SNI28" s="172"/>
      <c r="SNJ28" s="172"/>
      <c r="SNK28" s="172"/>
      <c r="SNL28" s="172"/>
      <c r="SNM28" s="172"/>
      <c r="SNN28" s="172"/>
      <c r="SNO28" s="172"/>
      <c r="SNP28" s="172"/>
      <c r="SNQ28" s="172"/>
      <c r="SNR28" s="172"/>
      <c r="SNS28" s="172"/>
      <c r="SNT28" s="172"/>
      <c r="SNU28" s="172"/>
      <c r="SNV28" s="172"/>
      <c r="SNW28" s="172"/>
      <c r="SNX28" s="172"/>
      <c r="SNY28" s="172"/>
      <c r="SNZ28" s="172"/>
      <c r="SOA28" s="172"/>
      <c r="SOB28" s="172"/>
      <c r="SOC28" s="172"/>
      <c r="SOD28" s="172"/>
      <c r="SOE28" s="172"/>
      <c r="SOF28" s="172"/>
      <c r="SOG28" s="172"/>
      <c r="SOH28" s="172"/>
      <c r="SOI28" s="172"/>
      <c r="SOJ28" s="172"/>
      <c r="SOK28" s="172"/>
      <c r="SOL28" s="172"/>
      <c r="SOM28" s="172"/>
      <c r="SON28" s="172"/>
      <c r="SOO28" s="172"/>
      <c r="SOP28" s="172"/>
      <c r="SOQ28" s="172"/>
      <c r="SOR28" s="172"/>
      <c r="SOS28" s="172"/>
      <c r="SOT28" s="172"/>
      <c r="SOU28" s="172"/>
      <c r="SOV28" s="172"/>
      <c r="SOW28" s="172"/>
      <c r="SOX28" s="172"/>
      <c r="SOY28" s="172"/>
      <c r="SOZ28" s="172"/>
      <c r="SPA28" s="172"/>
      <c r="SPB28" s="172"/>
      <c r="SPC28" s="172"/>
      <c r="SPD28" s="172"/>
      <c r="SPE28" s="172"/>
      <c r="SPF28" s="172"/>
      <c r="SPG28" s="172"/>
      <c r="SPH28" s="172"/>
      <c r="SPI28" s="172"/>
      <c r="SPJ28" s="172"/>
      <c r="SPK28" s="172"/>
      <c r="SPL28" s="172"/>
      <c r="SPM28" s="172"/>
      <c r="SPN28" s="172"/>
      <c r="SPO28" s="172"/>
      <c r="SPP28" s="172"/>
      <c r="SPQ28" s="172"/>
      <c r="SPR28" s="172"/>
      <c r="SPS28" s="172"/>
      <c r="SPT28" s="172"/>
      <c r="SPU28" s="172"/>
      <c r="SPV28" s="172"/>
      <c r="SPW28" s="172"/>
      <c r="SPX28" s="172"/>
      <c r="SPY28" s="172"/>
      <c r="SPZ28" s="172"/>
      <c r="SQA28" s="172"/>
      <c r="SQB28" s="172"/>
      <c r="SQC28" s="172"/>
      <c r="SQD28" s="172"/>
      <c r="SQE28" s="172"/>
      <c r="SQF28" s="172"/>
      <c r="SQG28" s="172"/>
      <c r="SQH28" s="172"/>
      <c r="SQI28" s="172"/>
      <c r="SQJ28" s="172"/>
      <c r="SQK28" s="172"/>
      <c r="SQL28" s="172"/>
      <c r="SQM28" s="172"/>
      <c r="SQN28" s="172"/>
      <c r="SQO28" s="172"/>
      <c r="SQP28" s="172"/>
      <c r="SQQ28" s="172"/>
      <c r="SQR28" s="172"/>
      <c r="SQS28" s="172"/>
      <c r="SQT28" s="172"/>
      <c r="SQU28" s="172"/>
      <c r="SQV28" s="172"/>
      <c r="SQW28" s="172"/>
      <c r="SQX28" s="172"/>
      <c r="SQY28" s="172"/>
      <c r="SQZ28" s="172"/>
      <c r="SRA28" s="172"/>
      <c r="SRB28" s="172"/>
      <c r="SRC28" s="172"/>
      <c r="SRD28" s="172"/>
      <c r="SRE28" s="172"/>
      <c r="SRF28" s="172"/>
      <c r="SRG28" s="172"/>
      <c r="SRH28" s="172"/>
      <c r="SRI28" s="172"/>
      <c r="SRJ28" s="172"/>
      <c r="SRK28" s="172"/>
      <c r="SRL28" s="172"/>
      <c r="SRM28" s="172"/>
      <c r="SRN28" s="172"/>
      <c r="SRO28" s="172"/>
      <c r="SRP28" s="172"/>
      <c r="SRQ28" s="172"/>
      <c r="SRR28" s="172"/>
      <c r="SRS28" s="172"/>
      <c r="SRT28" s="172"/>
      <c r="SRU28" s="172"/>
      <c r="SRV28" s="172"/>
      <c r="SRW28" s="172"/>
      <c r="SRX28" s="172"/>
      <c r="SRY28" s="172"/>
      <c r="SRZ28" s="172"/>
      <c r="SSA28" s="172"/>
      <c r="SSB28" s="172"/>
      <c r="SSC28" s="172"/>
      <c r="SSD28" s="172"/>
      <c r="SSE28" s="172"/>
      <c r="SSF28" s="172"/>
      <c r="SSG28" s="172"/>
      <c r="SSH28" s="172"/>
      <c r="SSI28" s="172"/>
      <c r="SSJ28" s="172"/>
      <c r="SSK28" s="172"/>
      <c r="SSL28" s="172"/>
      <c r="SSM28" s="172"/>
      <c r="SSN28" s="172"/>
      <c r="SSO28" s="172"/>
      <c r="SSP28" s="172"/>
      <c r="SSQ28" s="172"/>
      <c r="SSR28" s="172"/>
      <c r="SSS28" s="172"/>
      <c r="SST28" s="172"/>
      <c r="SSU28" s="172"/>
      <c r="SSV28" s="172"/>
      <c r="SSW28" s="172"/>
      <c r="SSX28" s="172"/>
      <c r="SSY28" s="172"/>
      <c r="SSZ28" s="172"/>
      <c r="STA28" s="172"/>
      <c r="STB28" s="172"/>
      <c r="STC28" s="172"/>
      <c r="STD28" s="172"/>
      <c r="STE28" s="172"/>
      <c r="STF28" s="172"/>
      <c r="STG28" s="172"/>
      <c r="STH28" s="172"/>
      <c r="STI28" s="172"/>
      <c r="STJ28" s="172"/>
      <c r="STK28" s="172"/>
      <c r="STL28" s="172"/>
      <c r="STM28" s="172"/>
      <c r="STN28" s="172"/>
      <c r="STO28" s="172"/>
      <c r="STP28" s="172"/>
      <c r="STQ28" s="172"/>
      <c r="STR28" s="172"/>
      <c r="STS28" s="172"/>
      <c r="STT28" s="172"/>
      <c r="STU28" s="172"/>
      <c r="STV28" s="172"/>
      <c r="STW28" s="172"/>
      <c r="STX28" s="172"/>
      <c r="STY28" s="172"/>
      <c r="STZ28" s="172"/>
      <c r="SUA28" s="172"/>
      <c r="SUB28" s="172"/>
      <c r="SUC28" s="172"/>
      <c r="SUD28" s="172"/>
      <c r="SUE28" s="172"/>
      <c r="SUF28" s="172"/>
      <c r="SUG28" s="172"/>
      <c r="SUH28" s="172"/>
      <c r="SUI28" s="172"/>
      <c r="SUJ28" s="172"/>
      <c r="SUK28" s="172"/>
      <c r="SUL28" s="172"/>
      <c r="SUM28" s="172"/>
      <c r="SUN28" s="172"/>
      <c r="SUO28" s="172"/>
      <c r="SUP28" s="172"/>
      <c r="SUQ28" s="172"/>
      <c r="SUR28" s="172"/>
      <c r="SUS28" s="172"/>
      <c r="SUT28" s="172"/>
      <c r="SUU28" s="172"/>
      <c r="SUV28" s="172"/>
      <c r="SUW28" s="172"/>
      <c r="SUX28" s="172"/>
      <c r="SUY28" s="172"/>
      <c r="SUZ28" s="172"/>
      <c r="SVA28" s="172"/>
      <c r="SVB28" s="172"/>
      <c r="SVC28" s="172"/>
      <c r="SVD28" s="172"/>
      <c r="SVE28" s="172"/>
      <c r="SVF28" s="172"/>
      <c r="SVG28" s="172"/>
      <c r="SVH28" s="172"/>
      <c r="SVI28" s="172"/>
      <c r="SVJ28" s="172"/>
      <c r="SVK28" s="172"/>
      <c r="SVL28" s="172"/>
      <c r="SVM28" s="172"/>
      <c r="SVN28" s="172"/>
      <c r="SVO28" s="172"/>
      <c r="SVP28" s="172"/>
      <c r="SVQ28" s="172"/>
      <c r="SVR28" s="172"/>
      <c r="SVS28" s="172"/>
      <c r="SVT28" s="172"/>
      <c r="SVU28" s="172"/>
      <c r="SVV28" s="172"/>
      <c r="SVW28" s="172"/>
      <c r="SVX28" s="172"/>
      <c r="SVY28" s="172"/>
      <c r="SVZ28" s="172"/>
      <c r="SWA28" s="172"/>
      <c r="SWB28" s="172"/>
      <c r="SWC28" s="172"/>
      <c r="SWD28" s="172"/>
      <c r="SWE28" s="172"/>
      <c r="SWF28" s="172"/>
      <c r="SWG28" s="172"/>
      <c r="SWH28" s="172"/>
      <c r="SWI28" s="172"/>
      <c r="SWJ28" s="172"/>
      <c r="SWK28" s="172"/>
      <c r="SWL28" s="172"/>
      <c r="SWM28" s="172"/>
      <c r="SWN28" s="172"/>
      <c r="SWO28" s="172"/>
      <c r="SWP28" s="172"/>
      <c r="SWQ28" s="172"/>
      <c r="SWR28" s="172"/>
      <c r="SWS28" s="172"/>
      <c r="SWT28" s="172"/>
      <c r="SWU28" s="172"/>
      <c r="SWV28" s="172"/>
      <c r="SWW28" s="172"/>
      <c r="SWX28" s="172"/>
      <c r="SWY28" s="172"/>
      <c r="SWZ28" s="172"/>
      <c r="SXA28" s="172"/>
      <c r="SXB28" s="172"/>
      <c r="SXC28" s="172"/>
      <c r="SXD28" s="172"/>
      <c r="SXE28" s="172"/>
      <c r="SXF28" s="172"/>
      <c r="SXG28" s="172"/>
      <c r="SXH28" s="172"/>
      <c r="SXI28" s="172"/>
      <c r="SXJ28" s="172"/>
      <c r="SXK28" s="172"/>
      <c r="SXL28" s="172"/>
      <c r="SXM28" s="172"/>
      <c r="SXN28" s="172"/>
      <c r="SXO28" s="172"/>
      <c r="SXP28" s="172"/>
      <c r="SXQ28" s="172"/>
      <c r="SXR28" s="172"/>
      <c r="SXS28" s="172"/>
      <c r="SXT28" s="172"/>
      <c r="SXU28" s="172"/>
      <c r="SXV28" s="172"/>
      <c r="SXW28" s="172"/>
      <c r="SXX28" s="172"/>
      <c r="SXY28" s="172"/>
      <c r="SXZ28" s="172"/>
      <c r="SYA28" s="172"/>
      <c r="SYB28" s="172"/>
      <c r="SYC28" s="172"/>
      <c r="SYD28" s="172"/>
      <c r="SYE28" s="172"/>
      <c r="SYF28" s="172"/>
      <c r="SYG28" s="172"/>
      <c r="SYH28" s="172"/>
      <c r="SYI28" s="172"/>
      <c r="SYJ28" s="172"/>
      <c r="SYK28" s="172"/>
      <c r="SYL28" s="172"/>
      <c r="SYM28" s="172"/>
      <c r="SYN28" s="172"/>
      <c r="SYO28" s="172"/>
      <c r="SYP28" s="172"/>
      <c r="SYQ28" s="172"/>
      <c r="SYR28" s="172"/>
      <c r="SYS28" s="172"/>
      <c r="SYT28" s="172"/>
      <c r="SYU28" s="172"/>
      <c r="SYV28" s="172"/>
      <c r="SYW28" s="172"/>
      <c r="SYX28" s="172"/>
      <c r="SYY28" s="172"/>
      <c r="SYZ28" s="172"/>
      <c r="SZA28" s="172"/>
      <c r="SZB28" s="172"/>
      <c r="SZC28" s="172"/>
      <c r="SZD28" s="172"/>
      <c r="SZE28" s="172"/>
      <c r="SZF28" s="172"/>
      <c r="SZG28" s="172"/>
      <c r="SZH28" s="172"/>
      <c r="SZI28" s="172"/>
      <c r="SZJ28" s="172"/>
      <c r="SZK28" s="172"/>
      <c r="SZL28" s="172"/>
      <c r="SZM28" s="172"/>
      <c r="SZN28" s="172"/>
      <c r="SZO28" s="172"/>
      <c r="SZP28" s="172"/>
      <c r="SZQ28" s="172"/>
      <c r="SZR28" s="172"/>
      <c r="SZS28" s="172"/>
      <c r="SZT28" s="172"/>
      <c r="SZU28" s="172"/>
      <c r="SZV28" s="172"/>
      <c r="SZW28" s="172"/>
      <c r="SZX28" s="172"/>
      <c r="SZY28" s="172"/>
      <c r="SZZ28" s="172"/>
      <c r="TAA28" s="172"/>
      <c r="TAB28" s="172"/>
      <c r="TAC28" s="172"/>
      <c r="TAD28" s="172"/>
      <c r="TAE28" s="172"/>
      <c r="TAF28" s="172"/>
      <c r="TAG28" s="172"/>
      <c r="TAH28" s="172"/>
      <c r="TAI28" s="172"/>
      <c r="TAJ28" s="172"/>
      <c r="TAK28" s="172"/>
      <c r="TAL28" s="172"/>
      <c r="TAM28" s="172"/>
      <c r="TAN28" s="172"/>
      <c r="TAO28" s="172"/>
      <c r="TAP28" s="172"/>
      <c r="TAQ28" s="172"/>
      <c r="TAR28" s="172"/>
      <c r="TAS28" s="172"/>
      <c r="TAT28" s="172"/>
      <c r="TAU28" s="172"/>
      <c r="TAV28" s="172"/>
      <c r="TAW28" s="172"/>
      <c r="TAX28" s="172"/>
      <c r="TAY28" s="172"/>
      <c r="TAZ28" s="172"/>
      <c r="TBA28" s="172"/>
      <c r="TBB28" s="172"/>
      <c r="TBC28" s="172"/>
      <c r="TBD28" s="172"/>
      <c r="TBE28" s="172"/>
      <c r="TBF28" s="172"/>
      <c r="TBG28" s="172"/>
      <c r="TBH28" s="172"/>
      <c r="TBI28" s="172"/>
      <c r="TBJ28" s="172"/>
      <c r="TBK28" s="172"/>
      <c r="TBL28" s="172"/>
      <c r="TBM28" s="172"/>
      <c r="TBN28" s="172"/>
      <c r="TBO28" s="172"/>
      <c r="TBP28" s="172"/>
      <c r="TBQ28" s="172"/>
      <c r="TBR28" s="172"/>
      <c r="TBS28" s="172"/>
      <c r="TBT28" s="172"/>
      <c r="TBU28" s="172"/>
      <c r="TBV28" s="172"/>
      <c r="TBW28" s="172"/>
      <c r="TBX28" s="172"/>
      <c r="TBY28" s="172"/>
      <c r="TBZ28" s="172"/>
      <c r="TCA28" s="172"/>
      <c r="TCB28" s="172"/>
      <c r="TCC28" s="172"/>
      <c r="TCD28" s="172"/>
      <c r="TCE28" s="172"/>
      <c r="TCF28" s="172"/>
      <c r="TCG28" s="172"/>
      <c r="TCH28" s="172"/>
      <c r="TCI28" s="172"/>
      <c r="TCJ28" s="172"/>
      <c r="TCK28" s="172"/>
      <c r="TCL28" s="172"/>
      <c r="TCM28" s="172"/>
      <c r="TCN28" s="172"/>
      <c r="TCO28" s="172"/>
      <c r="TCP28" s="172"/>
      <c r="TCQ28" s="172"/>
      <c r="TCR28" s="172"/>
      <c r="TCS28" s="172"/>
      <c r="TCT28" s="172"/>
      <c r="TCU28" s="172"/>
      <c r="TCV28" s="172"/>
      <c r="TCW28" s="172"/>
      <c r="TCX28" s="172"/>
      <c r="TCY28" s="172"/>
      <c r="TCZ28" s="172"/>
      <c r="TDA28" s="172"/>
      <c r="TDB28" s="172"/>
      <c r="TDC28" s="172"/>
      <c r="TDD28" s="172"/>
      <c r="TDE28" s="172"/>
      <c r="TDF28" s="172"/>
      <c r="TDG28" s="172"/>
      <c r="TDH28" s="172"/>
      <c r="TDI28" s="172"/>
      <c r="TDJ28" s="172"/>
      <c r="TDK28" s="172"/>
      <c r="TDL28" s="172"/>
      <c r="TDM28" s="172"/>
      <c r="TDN28" s="172"/>
      <c r="TDO28" s="172"/>
      <c r="TDP28" s="172"/>
      <c r="TDQ28" s="172"/>
      <c r="TDR28" s="172"/>
      <c r="TDS28" s="172"/>
      <c r="TDT28" s="172"/>
      <c r="TDU28" s="172"/>
      <c r="TDV28" s="172"/>
      <c r="TDW28" s="172"/>
      <c r="TDX28" s="172"/>
      <c r="TDY28" s="172"/>
      <c r="TDZ28" s="172"/>
      <c r="TEA28" s="172"/>
      <c r="TEB28" s="172"/>
      <c r="TEC28" s="172"/>
      <c r="TED28" s="172"/>
      <c r="TEE28" s="172"/>
      <c r="TEF28" s="172"/>
      <c r="TEG28" s="172"/>
      <c r="TEH28" s="172"/>
      <c r="TEI28" s="172"/>
      <c r="TEJ28" s="172"/>
      <c r="TEK28" s="172"/>
      <c r="TEL28" s="172"/>
      <c r="TEM28" s="172"/>
      <c r="TEN28" s="172"/>
      <c r="TEO28" s="172"/>
      <c r="TEP28" s="172"/>
      <c r="TEQ28" s="172"/>
      <c r="TER28" s="172"/>
      <c r="TES28" s="172"/>
      <c r="TET28" s="172"/>
      <c r="TEU28" s="172"/>
      <c r="TEV28" s="172"/>
      <c r="TEW28" s="172"/>
      <c r="TEX28" s="172"/>
      <c r="TEY28" s="172"/>
      <c r="TEZ28" s="172"/>
      <c r="TFA28" s="172"/>
      <c r="TFB28" s="172"/>
      <c r="TFC28" s="172"/>
      <c r="TFD28" s="172"/>
      <c r="TFE28" s="172"/>
      <c r="TFF28" s="172"/>
      <c r="TFG28" s="172"/>
      <c r="TFH28" s="172"/>
      <c r="TFI28" s="172"/>
      <c r="TFJ28" s="172"/>
      <c r="TFK28" s="172"/>
      <c r="TFL28" s="172"/>
      <c r="TFM28" s="172"/>
      <c r="TFN28" s="172"/>
      <c r="TFO28" s="172"/>
      <c r="TFP28" s="172"/>
      <c r="TFQ28" s="172"/>
      <c r="TFR28" s="172"/>
      <c r="TFS28" s="172"/>
      <c r="TFT28" s="172"/>
      <c r="TFU28" s="172"/>
      <c r="TFV28" s="172"/>
      <c r="TFW28" s="172"/>
      <c r="TFX28" s="172"/>
      <c r="TFY28" s="172"/>
      <c r="TFZ28" s="172"/>
      <c r="TGA28" s="172"/>
      <c r="TGB28" s="172"/>
      <c r="TGC28" s="172"/>
      <c r="TGD28" s="172"/>
      <c r="TGE28" s="172"/>
      <c r="TGF28" s="172"/>
      <c r="TGG28" s="172"/>
      <c r="TGH28" s="172"/>
      <c r="TGI28" s="172"/>
      <c r="TGJ28" s="172"/>
      <c r="TGK28" s="172"/>
      <c r="TGL28" s="172"/>
      <c r="TGM28" s="172"/>
      <c r="TGN28" s="172"/>
      <c r="TGO28" s="172"/>
      <c r="TGP28" s="172"/>
      <c r="TGQ28" s="172"/>
      <c r="TGR28" s="172"/>
      <c r="TGS28" s="172"/>
      <c r="TGT28" s="172"/>
      <c r="TGU28" s="172"/>
      <c r="TGV28" s="172"/>
      <c r="TGW28" s="172"/>
      <c r="TGX28" s="172"/>
      <c r="TGY28" s="172"/>
      <c r="TGZ28" s="172"/>
      <c r="THA28" s="172"/>
      <c r="THB28" s="172"/>
      <c r="THC28" s="172"/>
      <c r="THD28" s="172"/>
      <c r="THE28" s="172"/>
      <c r="THF28" s="172"/>
      <c r="THG28" s="172"/>
      <c r="THH28" s="172"/>
      <c r="THI28" s="172"/>
      <c r="THJ28" s="172"/>
      <c r="THK28" s="172"/>
      <c r="THL28" s="172"/>
      <c r="THM28" s="172"/>
      <c r="THN28" s="172"/>
      <c r="THO28" s="172"/>
      <c r="THP28" s="172"/>
      <c r="THQ28" s="172"/>
      <c r="THR28" s="172"/>
      <c r="THS28" s="172"/>
      <c r="THT28" s="172"/>
      <c r="THU28" s="172"/>
      <c r="THV28" s="172"/>
      <c r="THW28" s="172"/>
      <c r="THX28" s="172"/>
      <c r="THY28" s="172"/>
      <c r="THZ28" s="172"/>
      <c r="TIA28" s="172"/>
      <c r="TIB28" s="172"/>
      <c r="TIC28" s="172"/>
      <c r="TID28" s="172"/>
      <c r="TIE28" s="172"/>
      <c r="TIF28" s="172"/>
      <c r="TIG28" s="172"/>
      <c r="TIH28" s="172"/>
      <c r="TII28" s="172"/>
      <c r="TIJ28" s="172"/>
      <c r="TIK28" s="172"/>
      <c r="TIL28" s="172"/>
      <c r="TIM28" s="172"/>
      <c r="TIN28" s="172"/>
      <c r="TIO28" s="172"/>
      <c r="TIP28" s="172"/>
      <c r="TIQ28" s="172"/>
      <c r="TIR28" s="172"/>
      <c r="TIS28" s="172"/>
      <c r="TIT28" s="172"/>
      <c r="TIU28" s="172"/>
      <c r="TIV28" s="172"/>
      <c r="TIW28" s="172"/>
      <c r="TIX28" s="172"/>
      <c r="TIY28" s="172"/>
      <c r="TIZ28" s="172"/>
      <c r="TJA28" s="172"/>
      <c r="TJB28" s="172"/>
      <c r="TJC28" s="172"/>
      <c r="TJD28" s="172"/>
      <c r="TJE28" s="172"/>
      <c r="TJF28" s="172"/>
      <c r="TJG28" s="172"/>
      <c r="TJH28" s="172"/>
      <c r="TJI28" s="172"/>
      <c r="TJJ28" s="172"/>
      <c r="TJK28" s="172"/>
      <c r="TJL28" s="172"/>
      <c r="TJM28" s="172"/>
      <c r="TJN28" s="172"/>
      <c r="TJO28" s="172"/>
      <c r="TJP28" s="172"/>
      <c r="TJQ28" s="172"/>
      <c r="TJR28" s="172"/>
      <c r="TJS28" s="172"/>
      <c r="TJT28" s="172"/>
      <c r="TJU28" s="172"/>
      <c r="TJV28" s="172"/>
      <c r="TJW28" s="172"/>
      <c r="TJX28" s="172"/>
      <c r="TJY28" s="172"/>
      <c r="TJZ28" s="172"/>
      <c r="TKA28" s="172"/>
      <c r="TKB28" s="172"/>
      <c r="TKC28" s="172"/>
      <c r="TKD28" s="172"/>
      <c r="TKE28" s="172"/>
      <c r="TKF28" s="172"/>
      <c r="TKG28" s="172"/>
      <c r="TKH28" s="172"/>
      <c r="TKI28" s="172"/>
      <c r="TKJ28" s="172"/>
      <c r="TKK28" s="172"/>
      <c r="TKL28" s="172"/>
      <c r="TKM28" s="172"/>
      <c r="TKN28" s="172"/>
      <c r="TKO28" s="172"/>
      <c r="TKP28" s="172"/>
      <c r="TKQ28" s="172"/>
      <c r="TKR28" s="172"/>
      <c r="TKS28" s="172"/>
      <c r="TKT28" s="172"/>
      <c r="TKU28" s="172"/>
      <c r="TKV28" s="172"/>
      <c r="TKW28" s="172"/>
      <c r="TKX28" s="172"/>
      <c r="TKY28" s="172"/>
      <c r="TKZ28" s="172"/>
      <c r="TLA28" s="172"/>
      <c r="TLB28" s="172"/>
      <c r="TLC28" s="172"/>
      <c r="TLD28" s="172"/>
      <c r="TLE28" s="172"/>
      <c r="TLF28" s="172"/>
      <c r="TLG28" s="172"/>
      <c r="TLH28" s="172"/>
      <c r="TLI28" s="172"/>
      <c r="TLJ28" s="172"/>
      <c r="TLK28" s="172"/>
      <c r="TLL28" s="172"/>
      <c r="TLM28" s="172"/>
      <c r="TLN28" s="172"/>
      <c r="TLO28" s="172"/>
      <c r="TLP28" s="172"/>
      <c r="TLQ28" s="172"/>
      <c r="TLR28" s="172"/>
      <c r="TLS28" s="172"/>
      <c r="TLT28" s="172"/>
      <c r="TLU28" s="172"/>
      <c r="TLV28" s="172"/>
      <c r="TLW28" s="172"/>
      <c r="TLX28" s="172"/>
      <c r="TLY28" s="172"/>
      <c r="TLZ28" s="172"/>
      <c r="TMA28" s="172"/>
      <c r="TMB28" s="172"/>
      <c r="TMC28" s="172"/>
      <c r="TMD28" s="172"/>
      <c r="TME28" s="172"/>
      <c r="TMF28" s="172"/>
      <c r="TMG28" s="172"/>
      <c r="TMH28" s="172"/>
      <c r="TMI28" s="172"/>
      <c r="TMJ28" s="172"/>
      <c r="TMK28" s="172"/>
      <c r="TML28" s="172"/>
      <c r="TMM28" s="172"/>
      <c r="TMN28" s="172"/>
      <c r="TMO28" s="172"/>
      <c r="TMP28" s="172"/>
      <c r="TMQ28" s="172"/>
      <c r="TMR28" s="172"/>
      <c r="TMS28" s="172"/>
      <c r="TMT28" s="172"/>
      <c r="TMU28" s="172"/>
      <c r="TMV28" s="172"/>
      <c r="TMW28" s="172"/>
      <c r="TMX28" s="172"/>
      <c r="TMY28" s="172"/>
      <c r="TMZ28" s="172"/>
      <c r="TNA28" s="172"/>
      <c r="TNB28" s="172"/>
      <c r="TNC28" s="172"/>
      <c r="TND28" s="172"/>
      <c r="TNE28" s="172"/>
      <c r="TNF28" s="172"/>
      <c r="TNG28" s="172"/>
      <c r="TNH28" s="172"/>
      <c r="TNI28" s="172"/>
      <c r="TNJ28" s="172"/>
      <c r="TNK28" s="172"/>
      <c r="TNL28" s="172"/>
      <c r="TNM28" s="172"/>
      <c r="TNN28" s="172"/>
      <c r="TNO28" s="172"/>
      <c r="TNP28" s="172"/>
      <c r="TNQ28" s="172"/>
      <c r="TNR28" s="172"/>
      <c r="TNS28" s="172"/>
      <c r="TNT28" s="172"/>
      <c r="TNU28" s="172"/>
      <c r="TNV28" s="172"/>
      <c r="TNW28" s="172"/>
      <c r="TNX28" s="172"/>
      <c r="TNY28" s="172"/>
      <c r="TNZ28" s="172"/>
      <c r="TOA28" s="172"/>
      <c r="TOB28" s="172"/>
      <c r="TOC28" s="172"/>
      <c r="TOD28" s="172"/>
      <c r="TOE28" s="172"/>
      <c r="TOF28" s="172"/>
      <c r="TOG28" s="172"/>
      <c r="TOH28" s="172"/>
      <c r="TOI28" s="172"/>
      <c r="TOJ28" s="172"/>
      <c r="TOK28" s="172"/>
      <c r="TOL28" s="172"/>
      <c r="TOM28" s="172"/>
      <c r="TON28" s="172"/>
      <c r="TOO28" s="172"/>
      <c r="TOP28" s="172"/>
      <c r="TOQ28" s="172"/>
      <c r="TOR28" s="172"/>
      <c r="TOS28" s="172"/>
      <c r="TOT28" s="172"/>
      <c r="TOU28" s="172"/>
      <c r="TOV28" s="172"/>
      <c r="TOW28" s="172"/>
      <c r="TOX28" s="172"/>
      <c r="TOY28" s="172"/>
      <c r="TOZ28" s="172"/>
      <c r="TPA28" s="172"/>
      <c r="TPB28" s="172"/>
      <c r="TPC28" s="172"/>
      <c r="TPD28" s="172"/>
      <c r="TPE28" s="172"/>
      <c r="TPF28" s="172"/>
      <c r="TPG28" s="172"/>
      <c r="TPH28" s="172"/>
      <c r="TPI28" s="172"/>
      <c r="TPJ28" s="172"/>
      <c r="TPK28" s="172"/>
      <c r="TPL28" s="172"/>
      <c r="TPM28" s="172"/>
      <c r="TPN28" s="172"/>
      <c r="TPO28" s="172"/>
      <c r="TPP28" s="172"/>
      <c r="TPQ28" s="172"/>
      <c r="TPR28" s="172"/>
      <c r="TPS28" s="172"/>
      <c r="TPT28" s="172"/>
      <c r="TPU28" s="172"/>
      <c r="TPV28" s="172"/>
      <c r="TPW28" s="172"/>
      <c r="TPX28" s="172"/>
      <c r="TPY28" s="172"/>
      <c r="TPZ28" s="172"/>
      <c r="TQA28" s="172"/>
      <c r="TQB28" s="172"/>
      <c r="TQC28" s="172"/>
      <c r="TQD28" s="172"/>
      <c r="TQE28" s="172"/>
      <c r="TQF28" s="172"/>
      <c r="TQG28" s="172"/>
      <c r="TQH28" s="172"/>
      <c r="TQI28" s="172"/>
      <c r="TQJ28" s="172"/>
      <c r="TQK28" s="172"/>
      <c r="TQL28" s="172"/>
      <c r="TQM28" s="172"/>
      <c r="TQN28" s="172"/>
      <c r="TQO28" s="172"/>
      <c r="TQP28" s="172"/>
      <c r="TQQ28" s="172"/>
      <c r="TQR28" s="172"/>
      <c r="TQS28" s="172"/>
      <c r="TQT28" s="172"/>
      <c r="TQU28" s="172"/>
      <c r="TQV28" s="172"/>
      <c r="TQW28" s="172"/>
      <c r="TQX28" s="172"/>
      <c r="TQY28" s="172"/>
      <c r="TQZ28" s="172"/>
      <c r="TRA28" s="172"/>
      <c r="TRB28" s="172"/>
      <c r="TRC28" s="172"/>
      <c r="TRD28" s="172"/>
      <c r="TRE28" s="172"/>
      <c r="TRF28" s="172"/>
      <c r="TRG28" s="172"/>
      <c r="TRH28" s="172"/>
      <c r="TRI28" s="172"/>
      <c r="TRJ28" s="172"/>
      <c r="TRK28" s="172"/>
      <c r="TRL28" s="172"/>
      <c r="TRM28" s="172"/>
      <c r="TRN28" s="172"/>
      <c r="TRO28" s="172"/>
      <c r="TRP28" s="172"/>
      <c r="TRQ28" s="172"/>
      <c r="TRR28" s="172"/>
      <c r="TRS28" s="172"/>
      <c r="TRT28" s="172"/>
      <c r="TRU28" s="172"/>
      <c r="TRV28" s="172"/>
      <c r="TRW28" s="172"/>
      <c r="TRX28" s="172"/>
      <c r="TRY28" s="172"/>
      <c r="TRZ28" s="172"/>
      <c r="TSA28" s="172"/>
      <c r="TSB28" s="172"/>
      <c r="TSC28" s="172"/>
      <c r="TSD28" s="172"/>
      <c r="TSE28" s="172"/>
      <c r="TSF28" s="172"/>
      <c r="TSG28" s="172"/>
      <c r="TSH28" s="172"/>
      <c r="TSI28" s="172"/>
      <c r="TSJ28" s="172"/>
      <c r="TSK28" s="172"/>
      <c r="TSL28" s="172"/>
      <c r="TSM28" s="172"/>
      <c r="TSN28" s="172"/>
      <c r="TSO28" s="172"/>
      <c r="TSP28" s="172"/>
      <c r="TSQ28" s="172"/>
      <c r="TSR28" s="172"/>
      <c r="TSS28" s="172"/>
      <c r="TST28" s="172"/>
      <c r="TSU28" s="172"/>
      <c r="TSV28" s="172"/>
      <c r="TSW28" s="172"/>
      <c r="TSX28" s="172"/>
      <c r="TSY28" s="172"/>
      <c r="TSZ28" s="172"/>
      <c r="TTA28" s="172"/>
      <c r="TTB28" s="172"/>
      <c r="TTC28" s="172"/>
      <c r="TTD28" s="172"/>
      <c r="TTE28" s="172"/>
      <c r="TTF28" s="172"/>
      <c r="TTG28" s="172"/>
      <c r="TTH28" s="172"/>
      <c r="TTI28" s="172"/>
      <c r="TTJ28" s="172"/>
      <c r="TTK28" s="172"/>
      <c r="TTL28" s="172"/>
      <c r="TTM28" s="172"/>
      <c r="TTN28" s="172"/>
      <c r="TTO28" s="172"/>
      <c r="TTP28" s="172"/>
      <c r="TTQ28" s="172"/>
      <c r="TTR28" s="172"/>
      <c r="TTS28" s="172"/>
      <c r="TTT28" s="172"/>
      <c r="TTU28" s="172"/>
      <c r="TTV28" s="172"/>
      <c r="TTW28" s="172"/>
      <c r="TTX28" s="172"/>
      <c r="TTY28" s="172"/>
      <c r="TTZ28" s="172"/>
      <c r="TUA28" s="172"/>
      <c r="TUB28" s="172"/>
      <c r="TUC28" s="172"/>
      <c r="TUD28" s="172"/>
      <c r="TUE28" s="172"/>
      <c r="TUF28" s="172"/>
      <c r="TUG28" s="172"/>
      <c r="TUH28" s="172"/>
      <c r="TUI28" s="172"/>
      <c r="TUJ28" s="172"/>
      <c r="TUK28" s="172"/>
      <c r="TUL28" s="172"/>
      <c r="TUM28" s="172"/>
      <c r="TUN28" s="172"/>
      <c r="TUO28" s="172"/>
      <c r="TUP28" s="172"/>
      <c r="TUQ28" s="172"/>
      <c r="TUR28" s="172"/>
      <c r="TUS28" s="172"/>
      <c r="TUT28" s="172"/>
      <c r="TUU28" s="172"/>
      <c r="TUV28" s="172"/>
      <c r="TUW28" s="172"/>
      <c r="TUX28" s="172"/>
      <c r="TUY28" s="172"/>
      <c r="TUZ28" s="172"/>
      <c r="TVA28" s="172"/>
      <c r="TVB28" s="172"/>
      <c r="TVC28" s="172"/>
      <c r="TVD28" s="172"/>
      <c r="TVE28" s="172"/>
      <c r="TVF28" s="172"/>
      <c r="TVG28" s="172"/>
      <c r="TVH28" s="172"/>
      <c r="TVI28" s="172"/>
      <c r="TVJ28" s="172"/>
      <c r="TVK28" s="172"/>
      <c r="TVL28" s="172"/>
      <c r="TVM28" s="172"/>
      <c r="TVN28" s="172"/>
      <c r="TVO28" s="172"/>
      <c r="TVP28" s="172"/>
      <c r="TVQ28" s="172"/>
      <c r="TVR28" s="172"/>
      <c r="TVS28" s="172"/>
      <c r="TVT28" s="172"/>
      <c r="TVU28" s="172"/>
      <c r="TVV28" s="172"/>
      <c r="TVW28" s="172"/>
      <c r="TVX28" s="172"/>
      <c r="TVY28" s="172"/>
      <c r="TVZ28" s="172"/>
      <c r="TWA28" s="172"/>
      <c r="TWB28" s="172"/>
      <c r="TWC28" s="172"/>
      <c r="TWD28" s="172"/>
      <c r="TWE28" s="172"/>
      <c r="TWF28" s="172"/>
      <c r="TWG28" s="172"/>
      <c r="TWH28" s="172"/>
      <c r="TWI28" s="172"/>
      <c r="TWJ28" s="172"/>
      <c r="TWK28" s="172"/>
      <c r="TWL28" s="172"/>
      <c r="TWM28" s="172"/>
      <c r="TWN28" s="172"/>
      <c r="TWO28" s="172"/>
      <c r="TWP28" s="172"/>
      <c r="TWQ28" s="172"/>
      <c r="TWR28" s="172"/>
      <c r="TWS28" s="172"/>
      <c r="TWT28" s="172"/>
      <c r="TWU28" s="172"/>
      <c r="TWV28" s="172"/>
      <c r="TWW28" s="172"/>
      <c r="TWX28" s="172"/>
      <c r="TWY28" s="172"/>
      <c r="TWZ28" s="172"/>
      <c r="TXA28" s="172"/>
      <c r="TXB28" s="172"/>
      <c r="TXC28" s="172"/>
      <c r="TXD28" s="172"/>
      <c r="TXE28" s="172"/>
      <c r="TXF28" s="172"/>
      <c r="TXG28" s="172"/>
      <c r="TXH28" s="172"/>
      <c r="TXI28" s="172"/>
      <c r="TXJ28" s="172"/>
      <c r="TXK28" s="172"/>
      <c r="TXL28" s="172"/>
      <c r="TXM28" s="172"/>
      <c r="TXN28" s="172"/>
      <c r="TXO28" s="172"/>
      <c r="TXP28" s="172"/>
      <c r="TXQ28" s="172"/>
      <c r="TXR28" s="172"/>
      <c r="TXS28" s="172"/>
      <c r="TXT28" s="172"/>
      <c r="TXU28" s="172"/>
      <c r="TXV28" s="172"/>
      <c r="TXW28" s="172"/>
      <c r="TXX28" s="172"/>
      <c r="TXY28" s="172"/>
      <c r="TXZ28" s="172"/>
      <c r="TYA28" s="172"/>
      <c r="TYB28" s="172"/>
      <c r="TYC28" s="172"/>
      <c r="TYD28" s="172"/>
      <c r="TYE28" s="172"/>
      <c r="TYF28" s="172"/>
      <c r="TYG28" s="172"/>
      <c r="TYH28" s="172"/>
      <c r="TYI28" s="172"/>
      <c r="TYJ28" s="172"/>
      <c r="TYK28" s="172"/>
      <c r="TYL28" s="172"/>
      <c r="TYM28" s="172"/>
      <c r="TYN28" s="172"/>
      <c r="TYO28" s="172"/>
      <c r="TYP28" s="172"/>
      <c r="TYQ28" s="172"/>
      <c r="TYR28" s="172"/>
      <c r="TYS28" s="172"/>
      <c r="TYT28" s="172"/>
      <c r="TYU28" s="172"/>
      <c r="TYV28" s="172"/>
      <c r="TYW28" s="172"/>
      <c r="TYX28" s="172"/>
      <c r="TYY28" s="172"/>
      <c r="TYZ28" s="172"/>
      <c r="TZA28" s="172"/>
      <c r="TZB28" s="172"/>
      <c r="TZC28" s="172"/>
      <c r="TZD28" s="172"/>
      <c r="TZE28" s="172"/>
      <c r="TZF28" s="172"/>
      <c r="TZG28" s="172"/>
      <c r="TZH28" s="172"/>
      <c r="TZI28" s="172"/>
      <c r="TZJ28" s="172"/>
      <c r="TZK28" s="172"/>
      <c r="TZL28" s="172"/>
      <c r="TZM28" s="172"/>
      <c r="TZN28" s="172"/>
      <c r="TZO28" s="172"/>
      <c r="TZP28" s="172"/>
      <c r="TZQ28" s="172"/>
      <c r="TZR28" s="172"/>
      <c r="TZS28" s="172"/>
      <c r="TZT28" s="172"/>
      <c r="TZU28" s="172"/>
      <c r="TZV28" s="172"/>
      <c r="TZW28" s="172"/>
      <c r="TZX28" s="172"/>
      <c r="TZY28" s="172"/>
      <c r="TZZ28" s="172"/>
      <c r="UAA28" s="172"/>
      <c r="UAB28" s="172"/>
      <c r="UAC28" s="172"/>
      <c r="UAD28" s="172"/>
      <c r="UAE28" s="172"/>
      <c r="UAF28" s="172"/>
      <c r="UAG28" s="172"/>
      <c r="UAH28" s="172"/>
      <c r="UAI28" s="172"/>
      <c r="UAJ28" s="172"/>
      <c r="UAK28" s="172"/>
      <c r="UAL28" s="172"/>
      <c r="UAM28" s="172"/>
      <c r="UAN28" s="172"/>
      <c r="UAO28" s="172"/>
      <c r="UAP28" s="172"/>
      <c r="UAQ28" s="172"/>
      <c r="UAR28" s="172"/>
      <c r="UAS28" s="172"/>
      <c r="UAT28" s="172"/>
      <c r="UAU28" s="172"/>
      <c r="UAV28" s="172"/>
      <c r="UAW28" s="172"/>
      <c r="UAX28" s="172"/>
      <c r="UAY28" s="172"/>
      <c r="UAZ28" s="172"/>
      <c r="UBA28" s="172"/>
      <c r="UBB28" s="172"/>
      <c r="UBC28" s="172"/>
      <c r="UBD28" s="172"/>
      <c r="UBE28" s="172"/>
      <c r="UBF28" s="172"/>
      <c r="UBG28" s="172"/>
      <c r="UBH28" s="172"/>
      <c r="UBI28" s="172"/>
      <c r="UBJ28" s="172"/>
      <c r="UBK28" s="172"/>
      <c r="UBL28" s="172"/>
      <c r="UBM28" s="172"/>
      <c r="UBN28" s="172"/>
      <c r="UBO28" s="172"/>
      <c r="UBP28" s="172"/>
      <c r="UBQ28" s="172"/>
      <c r="UBR28" s="172"/>
      <c r="UBS28" s="172"/>
      <c r="UBT28" s="172"/>
      <c r="UBU28" s="172"/>
      <c r="UBV28" s="172"/>
      <c r="UBW28" s="172"/>
      <c r="UBX28" s="172"/>
      <c r="UBY28" s="172"/>
      <c r="UBZ28" s="172"/>
      <c r="UCA28" s="172"/>
      <c r="UCB28" s="172"/>
      <c r="UCC28" s="172"/>
      <c r="UCD28" s="172"/>
      <c r="UCE28" s="172"/>
      <c r="UCF28" s="172"/>
      <c r="UCG28" s="172"/>
      <c r="UCH28" s="172"/>
      <c r="UCI28" s="172"/>
      <c r="UCJ28" s="172"/>
      <c r="UCK28" s="172"/>
      <c r="UCL28" s="172"/>
      <c r="UCM28" s="172"/>
      <c r="UCN28" s="172"/>
      <c r="UCO28" s="172"/>
      <c r="UCP28" s="172"/>
      <c r="UCQ28" s="172"/>
      <c r="UCR28" s="172"/>
      <c r="UCS28" s="172"/>
      <c r="UCT28" s="172"/>
      <c r="UCU28" s="172"/>
      <c r="UCV28" s="172"/>
      <c r="UCW28" s="172"/>
      <c r="UCX28" s="172"/>
      <c r="UCY28" s="172"/>
      <c r="UCZ28" s="172"/>
      <c r="UDA28" s="172"/>
      <c r="UDB28" s="172"/>
      <c r="UDC28" s="172"/>
      <c r="UDD28" s="172"/>
      <c r="UDE28" s="172"/>
      <c r="UDF28" s="172"/>
      <c r="UDG28" s="172"/>
      <c r="UDH28" s="172"/>
      <c r="UDI28" s="172"/>
      <c r="UDJ28" s="172"/>
      <c r="UDK28" s="172"/>
      <c r="UDL28" s="172"/>
      <c r="UDM28" s="172"/>
      <c r="UDN28" s="172"/>
      <c r="UDO28" s="172"/>
      <c r="UDP28" s="172"/>
      <c r="UDQ28" s="172"/>
      <c r="UDR28" s="172"/>
      <c r="UDS28" s="172"/>
      <c r="UDT28" s="172"/>
      <c r="UDU28" s="172"/>
      <c r="UDV28" s="172"/>
      <c r="UDW28" s="172"/>
      <c r="UDX28" s="172"/>
      <c r="UDY28" s="172"/>
      <c r="UDZ28" s="172"/>
      <c r="UEA28" s="172"/>
      <c r="UEB28" s="172"/>
      <c r="UEC28" s="172"/>
      <c r="UED28" s="172"/>
      <c r="UEE28" s="172"/>
      <c r="UEF28" s="172"/>
      <c r="UEG28" s="172"/>
      <c r="UEH28" s="172"/>
      <c r="UEI28" s="172"/>
      <c r="UEJ28" s="172"/>
      <c r="UEK28" s="172"/>
      <c r="UEL28" s="172"/>
      <c r="UEM28" s="172"/>
      <c r="UEN28" s="172"/>
      <c r="UEO28" s="172"/>
      <c r="UEP28" s="172"/>
      <c r="UEQ28" s="172"/>
      <c r="UER28" s="172"/>
      <c r="UES28" s="172"/>
      <c r="UET28" s="172"/>
      <c r="UEU28" s="172"/>
      <c r="UEV28" s="172"/>
      <c r="UEW28" s="172"/>
      <c r="UEX28" s="172"/>
      <c r="UEY28" s="172"/>
      <c r="UEZ28" s="172"/>
      <c r="UFA28" s="172"/>
      <c r="UFB28" s="172"/>
      <c r="UFC28" s="172"/>
      <c r="UFD28" s="172"/>
      <c r="UFE28" s="172"/>
      <c r="UFF28" s="172"/>
      <c r="UFG28" s="172"/>
      <c r="UFH28" s="172"/>
      <c r="UFI28" s="172"/>
      <c r="UFJ28" s="172"/>
      <c r="UFK28" s="172"/>
      <c r="UFL28" s="172"/>
      <c r="UFM28" s="172"/>
      <c r="UFN28" s="172"/>
      <c r="UFO28" s="172"/>
      <c r="UFP28" s="172"/>
      <c r="UFQ28" s="172"/>
      <c r="UFR28" s="172"/>
      <c r="UFS28" s="172"/>
      <c r="UFT28" s="172"/>
      <c r="UFU28" s="172"/>
      <c r="UFV28" s="172"/>
      <c r="UFW28" s="172"/>
      <c r="UFX28" s="172"/>
      <c r="UFY28" s="172"/>
      <c r="UFZ28" s="172"/>
      <c r="UGA28" s="172"/>
      <c r="UGB28" s="172"/>
      <c r="UGC28" s="172"/>
      <c r="UGD28" s="172"/>
      <c r="UGE28" s="172"/>
      <c r="UGF28" s="172"/>
      <c r="UGG28" s="172"/>
      <c r="UGH28" s="172"/>
      <c r="UGI28" s="172"/>
      <c r="UGJ28" s="172"/>
      <c r="UGK28" s="172"/>
      <c r="UGL28" s="172"/>
      <c r="UGM28" s="172"/>
      <c r="UGN28" s="172"/>
      <c r="UGO28" s="172"/>
      <c r="UGP28" s="172"/>
      <c r="UGQ28" s="172"/>
      <c r="UGR28" s="172"/>
      <c r="UGS28" s="172"/>
      <c r="UGT28" s="172"/>
      <c r="UGU28" s="172"/>
      <c r="UGV28" s="172"/>
      <c r="UGW28" s="172"/>
      <c r="UGX28" s="172"/>
      <c r="UGY28" s="172"/>
      <c r="UGZ28" s="172"/>
      <c r="UHA28" s="172"/>
      <c r="UHB28" s="172"/>
      <c r="UHC28" s="172"/>
      <c r="UHD28" s="172"/>
      <c r="UHE28" s="172"/>
      <c r="UHF28" s="172"/>
      <c r="UHG28" s="172"/>
      <c r="UHH28" s="172"/>
      <c r="UHI28" s="172"/>
      <c r="UHJ28" s="172"/>
      <c r="UHK28" s="172"/>
      <c r="UHL28" s="172"/>
      <c r="UHM28" s="172"/>
      <c r="UHN28" s="172"/>
      <c r="UHO28" s="172"/>
      <c r="UHP28" s="172"/>
      <c r="UHQ28" s="172"/>
      <c r="UHR28" s="172"/>
      <c r="UHS28" s="172"/>
      <c r="UHT28" s="172"/>
      <c r="UHU28" s="172"/>
      <c r="UHV28" s="172"/>
      <c r="UHW28" s="172"/>
      <c r="UHX28" s="172"/>
      <c r="UHY28" s="172"/>
      <c r="UHZ28" s="172"/>
      <c r="UIA28" s="172"/>
      <c r="UIB28" s="172"/>
      <c r="UIC28" s="172"/>
      <c r="UID28" s="172"/>
      <c r="UIE28" s="172"/>
      <c r="UIF28" s="172"/>
      <c r="UIG28" s="172"/>
      <c r="UIH28" s="172"/>
      <c r="UII28" s="172"/>
      <c r="UIJ28" s="172"/>
      <c r="UIK28" s="172"/>
      <c r="UIL28" s="172"/>
      <c r="UIM28" s="172"/>
      <c r="UIN28" s="172"/>
      <c r="UIO28" s="172"/>
      <c r="UIP28" s="172"/>
      <c r="UIQ28" s="172"/>
      <c r="UIR28" s="172"/>
      <c r="UIS28" s="172"/>
      <c r="UIT28" s="172"/>
      <c r="UIU28" s="172"/>
      <c r="UIV28" s="172"/>
      <c r="UIW28" s="172"/>
      <c r="UIX28" s="172"/>
      <c r="UIY28" s="172"/>
      <c r="UIZ28" s="172"/>
      <c r="UJA28" s="172"/>
      <c r="UJB28" s="172"/>
      <c r="UJC28" s="172"/>
      <c r="UJD28" s="172"/>
      <c r="UJE28" s="172"/>
      <c r="UJF28" s="172"/>
      <c r="UJG28" s="172"/>
      <c r="UJH28" s="172"/>
      <c r="UJI28" s="172"/>
      <c r="UJJ28" s="172"/>
      <c r="UJK28" s="172"/>
      <c r="UJL28" s="172"/>
      <c r="UJM28" s="172"/>
      <c r="UJN28" s="172"/>
      <c r="UJO28" s="172"/>
      <c r="UJP28" s="172"/>
      <c r="UJQ28" s="172"/>
      <c r="UJR28" s="172"/>
      <c r="UJS28" s="172"/>
      <c r="UJT28" s="172"/>
      <c r="UJU28" s="172"/>
      <c r="UJV28" s="172"/>
      <c r="UJW28" s="172"/>
      <c r="UJX28" s="172"/>
      <c r="UJY28" s="172"/>
      <c r="UJZ28" s="172"/>
      <c r="UKA28" s="172"/>
      <c r="UKB28" s="172"/>
      <c r="UKC28" s="172"/>
      <c r="UKD28" s="172"/>
      <c r="UKE28" s="172"/>
      <c r="UKF28" s="172"/>
      <c r="UKG28" s="172"/>
      <c r="UKH28" s="172"/>
      <c r="UKI28" s="172"/>
      <c r="UKJ28" s="172"/>
      <c r="UKK28" s="172"/>
      <c r="UKL28" s="172"/>
      <c r="UKM28" s="172"/>
      <c r="UKN28" s="172"/>
      <c r="UKO28" s="172"/>
      <c r="UKP28" s="172"/>
      <c r="UKQ28" s="172"/>
      <c r="UKR28" s="172"/>
      <c r="UKS28" s="172"/>
      <c r="UKT28" s="172"/>
      <c r="UKU28" s="172"/>
      <c r="UKV28" s="172"/>
      <c r="UKW28" s="172"/>
      <c r="UKX28" s="172"/>
      <c r="UKY28" s="172"/>
      <c r="UKZ28" s="172"/>
      <c r="ULA28" s="172"/>
      <c r="ULB28" s="172"/>
      <c r="ULC28" s="172"/>
      <c r="ULD28" s="172"/>
      <c r="ULE28" s="172"/>
      <c r="ULF28" s="172"/>
      <c r="ULG28" s="172"/>
      <c r="ULH28" s="172"/>
      <c r="ULI28" s="172"/>
      <c r="ULJ28" s="172"/>
      <c r="ULK28" s="172"/>
      <c r="ULL28" s="172"/>
      <c r="ULM28" s="172"/>
      <c r="ULN28" s="172"/>
      <c r="ULO28" s="172"/>
      <c r="ULP28" s="172"/>
      <c r="ULQ28" s="172"/>
      <c r="ULR28" s="172"/>
      <c r="ULS28" s="172"/>
      <c r="ULT28" s="172"/>
      <c r="ULU28" s="172"/>
      <c r="ULV28" s="172"/>
      <c r="ULW28" s="172"/>
      <c r="ULX28" s="172"/>
      <c r="ULY28" s="172"/>
      <c r="ULZ28" s="172"/>
      <c r="UMA28" s="172"/>
      <c r="UMB28" s="172"/>
      <c r="UMC28" s="172"/>
      <c r="UMD28" s="172"/>
      <c r="UME28" s="172"/>
      <c r="UMF28" s="172"/>
      <c r="UMG28" s="172"/>
      <c r="UMH28" s="172"/>
      <c r="UMI28" s="172"/>
      <c r="UMJ28" s="172"/>
      <c r="UMK28" s="172"/>
      <c r="UML28" s="172"/>
      <c r="UMM28" s="172"/>
      <c r="UMN28" s="172"/>
      <c r="UMO28" s="172"/>
      <c r="UMP28" s="172"/>
      <c r="UMQ28" s="172"/>
      <c r="UMR28" s="172"/>
      <c r="UMS28" s="172"/>
      <c r="UMT28" s="172"/>
      <c r="UMU28" s="172"/>
      <c r="UMV28" s="172"/>
      <c r="UMW28" s="172"/>
      <c r="UMX28" s="172"/>
      <c r="UMY28" s="172"/>
      <c r="UMZ28" s="172"/>
      <c r="UNA28" s="172"/>
      <c r="UNB28" s="172"/>
      <c r="UNC28" s="172"/>
      <c r="UND28" s="172"/>
      <c r="UNE28" s="172"/>
      <c r="UNF28" s="172"/>
      <c r="UNG28" s="172"/>
      <c r="UNH28" s="172"/>
      <c r="UNI28" s="172"/>
      <c r="UNJ28" s="172"/>
      <c r="UNK28" s="172"/>
      <c r="UNL28" s="172"/>
      <c r="UNM28" s="172"/>
      <c r="UNN28" s="172"/>
      <c r="UNO28" s="172"/>
      <c r="UNP28" s="172"/>
      <c r="UNQ28" s="172"/>
      <c r="UNR28" s="172"/>
      <c r="UNS28" s="172"/>
      <c r="UNT28" s="172"/>
      <c r="UNU28" s="172"/>
      <c r="UNV28" s="172"/>
      <c r="UNW28" s="172"/>
      <c r="UNX28" s="172"/>
      <c r="UNY28" s="172"/>
      <c r="UNZ28" s="172"/>
      <c r="UOA28" s="172"/>
      <c r="UOB28" s="172"/>
      <c r="UOC28" s="172"/>
      <c r="UOD28" s="172"/>
      <c r="UOE28" s="172"/>
      <c r="UOF28" s="172"/>
      <c r="UOG28" s="172"/>
      <c r="UOH28" s="172"/>
      <c r="UOI28" s="172"/>
      <c r="UOJ28" s="172"/>
      <c r="UOK28" s="172"/>
      <c r="UOL28" s="172"/>
      <c r="UOM28" s="172"/>
      <c r="UON28" s="172"/>
      <c r="UOO28" s="172"/>
      <c r="UOP28" s="172"/>
      <c r="UOQ28" s="172"/>
      <c r="UOR28" s="172"/>
      <c r="UOS28" s="172"/>
      <c r="UOT28" s="172"/>
      <c r="UOU28" s="172"/>
      <c r="UOV28" s="172"/>
      <c r="UOW28" s="172"/>
      <c r="UOX28" s="172"/>
      <c r="UOY28" s="172"/>
      <c r="UOZ28" s="172"/>
      <c r="UPA28" s="172"/>
      <c r="UPB28" s="172"/>
      <c r="UPC28" s="172"/>
      <c r="UPD28" s="172"/>
      <c r="UPE28" s="172"/>
      <c r="UPF28" s="172"/>
      <c r="UPG28" s="172"/>
      <c r="UPH28" s="172"/>
      <c r="UPI28" s="172"/>
      <c r="UPJ28" s="172"/>
      <c r="UPK28" s="172"/>
      <c r="UPL28" s="172"/>
      <c r="UPM28" s="172"/>
      <c r="UPN28" s="172"/>
      <c r="UPO28" s="172"/>
      <c r="UPP28" s="172"/>
      <c r="UPQ28" s="172"/>
      <c r="UPR28" s="172"/>
      <c r="UPS28" s="172"/>
      <c r="UPT28" s="172"/>
      <c r="UPU28" s="172"/>
      <c r="UPV28" s="172"/>
      <c r="UPW28" s="172"/>
      <c r="UPX28" s="172"/>
      <c r="UPY28" s="172"/>
      <c r="UPZ28" s="172"/>
      <c r="UQA28" s="172"/>
      <c r="UQB28" s="172"/>
      <c r="UQC28" s="172"/>
      <c r="UQD28" s="172"/>
      <c r="UQE28" s="172"/>
      <c r="UQF28" s="172"/>
      <c r="UQG28" s="172"/>
      <c r="UQH28" s="172"/>
      <c r="UQI28" s="172"/>
      <c r="UQJ28" s="172"/>
      <c r="UQK28" s="172"/>
      <c r="UQL28" s="172"/>
      <c r="UQM28" s="172"/>
      <c r="UQN28" s="172"/>
      <c r="UQO28" s="172"/>
      <c r="UQP28" s="172"/>
      <c r="UQQ28" s="172"/>
      <c r="UQR28" s="172"/>
      <c r="UQS28" s="172"/>
      <c r="UQT28" s="172"/>
      <c r="UQU28" s="172"/>
      <c r="UQV28" s="172"/>
      <c r="UQW28" s="172"/>
      <c r="UQX28" s="172"/>
      <c r="UQY28" s="172"/>
      <c r="UQZ28" s="172"/>
      <c r="URA28" s="172"/>
      <c r="URB28" s="172"/>
      <c r="URC28" s="172"/>
      <c r="URD28" s="172"/>
      <c r="URE28" s="172"/>
      <c r="URF28" s="172"/>
      <c r="URG28" s="172"/>
      <c r="URH28" s="172"/>
      <c r="URI28" s="172"/>
      <c r="URJ28" s="172"/>
      <c r="URK28" s="172"/>
      <c r="URL28" s="172"/>
      <c r="URM28" s="172"/>
      <c r="URN28" s="172"/>
      <c r="URO28" s="172"/>
      <c r="URP28" s="172"/>
      <c r="URQ28" s="172"/>
      <c r="URR28" s="172"/>
      <c r="URS28" s="172"/>
      <c r="URT28" s="172"/>
      <c r="URU28" s="172"/>
      <c r="URV28" s="172"/>
      <c r="URW28" s="172"/>
      <c r="URX28" s="172"/>
      <c r="URY28" s="172"/>
      <c r="URZ28" s="172"/>
      <c r="USA28" s="172"/>
      <c r="USB28" s="172"/>
      <c r="USC28" s="172"/>
      <c r="USD28" s="172"/>
      <c r="USE28" s="172"/>
      <c r="USF28" s="172"/>
      <c r="USG28" s="172"/>
      <c r="USH28" s="172"/>
      <c r="USI28" s="172"/>
      <c r="USJ28" s="172"/>
      <c r="USK28" s="172"/>
      <c r="USL28" s="172"/>
      <c r="USM28" s="172"/>
      <c r="USN28" s="172"/>
      <c r="USO28" s="172"/>
      <c r="USP28" s="172"/>
      <c r="USQ28" s="172"/>
      <c r="USR28" s="172"/>
      <c r="USS28" s="172"/>
      <c r="UST28" s="172"/>
      <c r="USU28" s="172"/>
      <c r="USV28" s="172"/>
      <c r="USW28" s="172"/>
      <c r="USX28" s="172"/>
      <c r="USY28" s="172"/>
      <c r="USZ28" s="172"/>
      <c r="UTA28" s="172"/>
      <c r="UTB28" s="172"/>
      <c r="UTC28" s="172"/>
      <c r="UTD28" s="172"/>
      <c r="UTE28" s="172"/>
      <c r="UTF28" s="172"/>
      <c r="UTG28" s="172"/>
      <c r="UTH28" s="172"/>
      <c r="UTI28" s="172"/>
      <c r="UTJ28" s="172"/>
      <c r="UTK28" s="172"/>
      <c r="UTL28" s="172"/>
      <c r="UTM28" s="172"/>
      <c r="UTN28" s="172"/>
      <c r="UTO28" s="172"/>
      <c r="UTP28" s="172"/>
      <c r="UTQ28" s="172"/>
      <c r="UTR28" s="172"/>
      <c r="UTS28" s="172"/>
      <c r="UTT28" s="172"/>
      <c r="UTU28" s="172"/>
      <c r="UTV28" s="172"/>
      <c r="UTW28" s="172"/>
      <c r="UTX28" s="172"/>
      <c r="UTY28" s="172"/>
      <c r="UTZ28" s="172"/>
      <c r="UUA28" s="172"/>
      <c r="UUB28" s="172"/>
      <c r="UUC28" s="172"/>
      <c r="UUD28" s="172"/>
      <c r="UUE28" s="172"/>
      <c r="UUF28" s="172"/>
      <c r="UUG28" s="172"/>
      <c r="UUH28" s="172"/>
      <c r="UUI28" s="172"/>
      <c r="UUJ28" s="172"/>
      <c r="UUK28" s="172"/>
      <c r="UUL28" s="172"/>
      <c r="UUM28" s="172"/>
      <c r="UUN28" s="172"/>
      <c r="UUO28" s="172"/>
      <c r="UUP28" s="172"/>
      <c r="UUQ28" s="172"/>
      <c r="UUR28" s="172"/>
      <c r="UUS28" s="172"/>
      <c r="UUT28" s="172"/>
      <c r="UUU28" s="172"/>
      <c r="UUV28" s="172"/>
      <c r="UUW28" s="172"/>
      <c r="UUX28" s="172"/>
      <c r="UUY28" s="172"/>
      <c r="UUZ28" s="172"/>
      <c r="UVA28" s="172"/>
      <c r="UVB28" s="172"/>
      <c r="UVC28" s="172"/>
      <c r="UVD28" s="172"/>
      <c r="UVE28" s="172"/>
      <c r="UVF28" s="172"/>
      <c r="UVG28" s="172"/>
      <c r="UVH28" s="172"/>
      <c r="UVI28" s="172"/>
      <c r="UVJ28" s="172"/>
      <c r="UVK28" s="172"/>
      <c r="UVL28" s="172"/>
      <c r="UVM28" s="172"/>
      <c r="UVN28" s="172"/>
      <c r="UVO28" s="172"/>
      <c r="UVP28" s="172"/>
      <c r="UVQ28" s="172"/>
      <c r="UVR28" s="172"/>
      <c r="UVS28" s="172"/>
      <c r="UVT28" s="172"/>
      <c r="UVU28" s="172"/>
      <c r="UVV28" s="172"/>
      <c r="UVW28" s="172"/>
      <c r="UVX28" s="172"/>
      <c r="UVY28" s="172"/>
      <c r="UVZ28" s="172"/>
      <c r="UWA28" s="172"/>
      <c r="UWB28" s="172"/>
      <c r="UWC28" s="172"/>
      <c r="UWD28" s="172"/>
      <c r="UWE28" s="172"/>
      <c r="UWF28" s="172"/>
      <c r="UWG28" s="172"/>
      <c r="UWH28" s="172"/>
      <c r="UWI28" s="172"/>
      <c r="UWJ28" s="172"/>
      <c r="UWK28" s="172"/>
      <c r="UWL28" s="172"/>
      <c r="UWM28" s="172"/>
      <c r="UWN28" s="172"/>
      <c r="UWO28" s="172"/>
      <c r="UWP28" s="172"/>
      <c r="UWQ28" s="172"/>
      <c r="UWR28" s="172"/>
      <c r="UWS28" s="172"/>
      <c r="UWT28" s="172"/>
      <c r="UWU28" s="172"/>
      <c r="UWV28" s="172"/>
      <c r="UWW28" s="172"/>
      <c r="UWX28" s="172"/>
      <c r="UWY28" s="172"/>
      <c r="UWZ28" s="172"/>
      <c r="UXA28" s="172"/>
      <c r="UXB28" s="172"/>
      <c r="UXC28" s="172"/>
      <c r="UXD28" s="172"/>
      <c r="UXE28" s="172"/>
      <c r="UXF28" s="172"/>
      <c r="UXG28" s="172"/>
      <c r="UXH28" s="172"/>
      <c r="UXI28" s="172"/>
      <c r="UXJ28" s="172"/>
      <c r="UXK28" s="172"/>
      <c r="UXL28" s="172"/>
      <c r="UXM28" s="172"/>
      <c r="UXN28" s="172"/>
      <c r="UXO28" s="172"/>
      <c r="UXP28" s="172"/>
      <c r="UXQ28" s="172"/>
      <c r="UXR28" s="172"/>
      <c r="UXS28" s="172"/>
      <c r="UXT28" s="172"/>
      <c r="UXU28" s="172"/>
      <c r="UXV28" s="172"/>
      <c r="UXW28" s="172"/>
      <c r="UXX28" s="172"/>
      <c r="UXY28" s="172"/>
      <c r="UXZ28" s="172"/>
      <c r="UYA28" s="172"/>
      <c r="UYB28" s="172"/>
      <c r="UYC28" s="172"/>
      <c r="UYD28" s="172"/>
      <c r="UYE28" s="172"/>
      <c r="UYF28" s="172"/>
      <c r="UYG28" s="172"/>
      <c r="UYH28" s="172"/>
      <c r="UYI28" s="172"/>
      <c r="UYJ28" s="172"/>
      <c r="UYK28" s="172"/>
      <c r="UYL28" s="172"/>
      <c r="UYM28" s="172"/>
      <c r="UYN28" s="172"/>
      <c r="UYO28" s="172"/>
      <c r="UYP28" s="172"/>
      <c r="UYQ28" s="172"/>
      <c r="UYR28" s="172"/>
      <c r="UYS28" s="172"/>
      <c r="UYT28" s="172"/>
      <c r="UYU28" s="172"/>
      <c r="UYV28" s="172"/>
      <c r="UYW28" s="172"/>
      <c r="UYX28" s="172"/>
      <c r="UYY28" s="172"/>
      <c r="UYZ28" s="172"/>
      <c r="UZA28" s="172"/>
      <c r="UZB28" s="172"/>
      <c r="UZC28" s="172"/>
      <c r="UZD28" s="172"/>
      <c r="UZE28" s="172"/>
      <c r="UZF28" s="172"/>
      <c r="UZG28" s="172"/>
      <c r="UZH28" s="172"/>
      <c r="UZI28" s="172"/>
      <c r="UZJ28" s="172"/>
      <c r="UZK28" s="172"/>
      <c r="UZL28" s="172"/>
      <c r="UZM28" s="172"/>
      <c r="UZN28" s="172"/>
      <c r="UZO28" s="172"/>
      <c r="UZP28" s="172"/>
      <c r="UZQ28" s="172"/>
      <c r="UZR28" s="172"/>
      <c r="UZS28" s="172"/>
      <c r="UZT28" s="172"/>
      <c r="UZU28" s="172"/>
      <c r="UZV28" s="172"/>
      <c r="UZW28" s="172"/>
      <c r="UZX28" s="172"/>
      <c r="UZY28" s="172"/>
      <c r="UZZ28" s="172"/>
      <c r="VAA28" s="172"/>
      <c r="VAB28" s="172"/>
      <c r="VAC28" s="172"/>
      <c r="VAD28" s="172"/>
      <c r="VAE28" s="172"/>
      <c r="VAF28" s="172"/>
      <c r="VAG28" s="172"/>
      <c r="VAH28" s="172"/>
      <c r="VAI28" s="172"/>
      <c r="VAJ28" s="172"/>
      <c r="VAK28" s="172"/>
      <c r="VAL28" s="172"/>
      <c r="VAM28" s="172"/>
      <c r="VAN28" s="172"/>
      <c r="VAO28" s="172"/>
      <c r="VAP28" s="172"/>
      <c r="VAQ28" s="172"/>
      <c r="VAR28" s="172"/>
      <c r="VAS28" s="172"/>
      <c r="VAT28" s="172"/>
      <c r="VAU28" s="172"/>
      <c r="VAV28" s="172"/>
      <c r="VAW28" s="172"/>
      <c r="VAX28" s="172"/>
      <c r="VAY28" s="172"/>
      <c r="VAZ28" s="172"/>
      <c r="VBA28" s="172"/>
      <c r="VBB28" s="172"/>
      <c r="VBC28" s="172"/>
      <c r="VBD28" s="172"/>
      <c r="VBE28" s="172"/>
      <c r="VBF28" s="172"/>
      <c r="VBG28" s="172"/>
      <c r="VBH28" s="172"/>
      <c r="VBI28" s="172"/>
      <c r="VBJ28" s="172"/>
      <c r="VBK28" s="172"/>
      <c r="VBL28" s="172"/>
      <c r="VBM28" s="172"/>
      <c r="VBN28" s="172"/>
      <c r="VBO28" s="172"/>
      <c r="VBP28" s="172"/>
      <c r="VBQ28" s="172"/>
      <c r="VBR28" s="172"/>
      <c r="VBS28" s="172"/>
      <c r="VBT28" s="172"/>
      <c r="VBU28" s="172"/>
      <c r="VBV28" s="172"/>
      <c r="VBW28" s="172"/>
      <c r="VBX28" s="172"/>
      <c r="VBY28" s="172"/>
      <c r="VBZ28" s="172"/>
      <c r="VCA28" s="172"/>
      <c r="VCB28" s="172"/>
      <c r="VCC28" s="172"/>
      <c r="VCD28" s="172"/>
      <c r="VCE28" s="172"/>
      <c r="VCF28" s="172"/>
      <c r="VCG28" s="172"/>
      <c r="VCH28" s="172"/>
      <c r="VCI28" s="172"/>
      <c r="VCJ28" s="172"/>
      <c r="VCK28" s="172"/>
      <c r="VCL28" s="172"/>
      <c r="VCM28" s="172"/>
      <c r="VCN28" s="172"/>
      <c r="VCO28" s="172"/>
      <c r="VCP28" s="172"/>
      <c r="VCQ28" s="172"/>
      <c r="VCR28" s="172"/>
      <c r="VCS28" s="172"/>
      <c r="VCT28" s="172"/>
      <c r="VCU28" s="172"/>
      <c r="VCV28" s="172"/>
      <c r="VCW28" s="172"/>
      <c r="VCX28" s="172"/>
      <c r="VCY28" s="172"/>
      <c r="VCZ28" s="172"/>
      <c r="VDA28" s="172"/>
      <c r="VDB28" s="172"/>
      <c r="VDC28" s="172"/>
      <c r="VDD28" s="172"/>
      <c r="VDE28" s="172"/>
      <c r="VDF28" s="172"/>
      <c r="VDG28" s="172"/>
      <c r="VDH28" s="172"/>
      <c r="VDI28" s="172"/>
      <c r="VDJ28" s="172"/>
      <c r="VDK28" s="172"/>
      <c r="VDL28" s="172"/>
      <c r="VDM28" s="172"/>
      <c r="VDN28" s="172"/>
      <c r="VDO28" s="172"/>
      <c r="VDP28" s="172"/>
      <c r="VDQ28" s="172"/>
      <c r="VDR28" s="172"/>
      <c r="VDS28" s="172"/>
      <c r="VDT28" s="172"/>
      <c r="VDU28" s="172"/>
      <c r="VDV28" s="172"/>
      <c r="VDW28" s="172"/>
      <c r="VDX28" s="172"/>
      <c r="VDY28" s="172"/>
      <c r="VDZ28" s="172"/>
      <c r="VEA28" s="172"/>
      <c r="VEB28" s="172"/>
      <c r="VEC28" s="172"/>
      <c r="VED28" s="172"/>
      <c r="VEE28" s="172"/>
      <c r="VEF28" s="172"/>
      <c r="VEG28" s="172"/>
      <c r="VEH28" s="172"/>
      <c r="VEI28" s="172"/>
      <c r="VEJ28" s="172"/>
      <c r="VEK28" s="172"/>
      <c r="VEL28" s="172"/>
      <c r="VEM28" s="172"/>
      <c r="VEN28" s="172"/>
      <c r="VEO28" s="172"/>
      <c r="VEP28" s="172"/>
      <c r="VEQ28" s="172"/>
      <c r="VER28" s="172"/>
      <c r="VES28" s="172"/>
      <c r="VET28" s="172"/>
      <c r="VEU28" s="172"/>
      <c r="VEV28" s="172"/>
      <c r="VEW28" s="172"/>
      <c r="VEX28" s="172"/>
      <c r="VEY28" s="172"/>
      <c r="VEZ28" s="172"/>
      <c r="VFA28" s="172"/>
      <c r="VFB28" s="172"/>
      <c r="VFC28" s="172"/>
      <c r="VFD28" s="172"/>
      <c r="VFE28" s="172"/>
      <c r="VFF28" s="172"/>
      <c r="VFG28" s="172"/>
      <c r="VFH28" s="172"/>
      <c r="VFI28" s="172"/>
      <c r="VFJ28" s="172"/>
      <c r="VFK28" s="172"/>
      <c r="VFL28" s="172"/>
      <c r="VFM28" s="172"/>
      <c r="VFN28" s="172"/>
      <c r="VFO28" s="172"/>
      <c r="VFP28" s="172"/>
      <c r="VFQ28" s="172"/>
      <c r="VFR28" s="172"/>
      <c r="VFS28" s="172"/>
      <c r="VFT28" s="172"/>
      <c r="VFU28" s="172"/>
      <c r="VFV28" s="172"/>
      <c r="VFW28" s="172"/>
      <c r="VFX28" s="172"/>
      <c r="VFY28" s="172"/>
      <c r="VFZ28" s="172"/>
      <c r="VGA28" s="172"/>
      <c r="VGB28" s="172"/>
      <c r="VGC28" s="172"/>
      <c r="VGD28" s="172"/>
      <c r="VGE28" s="172"/>
      <c r="VGF28" s="172"/>
      <c r="VGG28" s="172"/>
      <c r="VGH28" s="172"/>
      <c r="VGI28" s="172"/>
      <c r="VGJ28" s="172"/>
      <c r="VGK28" s="172"/>
      <c r="VGL28" s="172"/>
      <c r="VGM28" s="172"/>
      <c r="VGN28" s="172"/>
      <c r="VGO28" s="172"/>
      <c r="VGP28" s="172"/>
      <c r="VGQ28" s="172"/>
      <c r="VGR28" s="172"/>
      <c r="VGS28" s="172"/>
      <c r="VGT28" s="172"/>
      <c r="VGU28" s="172"/>
      <c r="VGV28" s="172"/>
      <c r="VGW28" s="172"/>
      <c r="VGX28" s="172"/>
      <c r="VGY28" s="172"/>
      <c r="VGZ28" s="172"/>
      <c r="VHA28" s="172"/>
      <c r="VHB28" s="172"/>
      <c r="VHC28" s="172"/>
      <c r="VHD28" s="172"/>
      <c r="VHE28" s="172"/>
      <c r="VHF28" s="172"/>
      <c r="VHG28" s="172"/>
      <c r="VHH28" s="172"/>
      <c r="VHI28" s="172"/>
      <c r="VHJ28" s="172"/>
      <c r="VHK28" s="172"/>
      <c r="VHL28" s="172"/>
      <c r="VHM28" s="172"/>
      <c r="VHN28" s="172"/>
      <c r="VHO28" s="172"/>
      <c r="VHP28" s="172"/>
      <c r="VHQ28" s="172"/>
      <c r="VHR28" s="172"/>
      <c r="VHS28" s="172"/>
      <c r="VHT28" s="172"/>
      <c r="VHU28" s="172"/>
      <c r="VHV28" s="172"/>
      <c r="VHW28" s="172"/>
      <c r="VHX28" s="172"/>
      <c r="VHY28" s="172"/>
      <c r="VHZ28" s="172"/>
      <c r="VIA28" s="172"/>
      <c r="VIB28" s="172"/>
      <c r="VIC28" s="172"/>
      <c r="VID28" s="172"/>
      <c r="VIE28" s="172"/>
      <c r="VIF28" s="172"/>
      <c r="VIG28" s="172"/>
      <c r="VIH28" s="172"/>
      <c r="VII28" s="172"/>
      <c r="VIJ28" s="172"/>
      <c r="VIK28" s="172"/>
      <c r="VIL28" s="172"/>
      <c r="VIM28" s="172"/>
      <c r="VIN28" s="172"/>
      <c r="VIO28" s="172"/>
      <c r="VIP28" s="172"/>
      <c r="VIQ28" s="172"/>
      <c r="VIR28" s="172"/>
      <c r="VIS28" s="172"/>
      <c r="VIT28" s="172"/>
      <c r="VIU28" s="172"/>
      <c r="VIV28" s="172"/>
      <c r="VIW28" s="172"/>
      <c r="VIX28" s="172"/>
      <c r="VIY28" s="172"/>
      <c r="VIZ28" s="172"/>
      <c r="VJA28" s="172"/>
      <c r="VJB28" s="172"/>
      <c r="VJC28" s="172"/>
      <c r="VJD28" s="172"/>
      <c r="VJE28" s="172"/>
      <c r="VJF28" s="172"/>
      <c r="VJG28" s="172"/>
      <c r="VJH28" s="172"/>
      <c r="VJI28" s="172"/>
      <c r="VJJ28" s="172"/>
      <c r="VJK28" s="172"/>
      <c r="VJL28" s="172"/>
      <c r="VJM28" s="172"/>
      <c r="VJN28" s="172"/>
      <c r="VJO28" s="172"/>
      <c r="VJP28" s="172"/>
      <c r="VJQ28" s="172"/>
      <c r="VJR28" s="172"/>
      <c r="VJS28" s="172"/>
      <c r="VJT28" s="172"/>
      <c r="VJU28" s="172"/>
      <c r="VJV28" s="172"/>
      <c r="VJW28" s="172"/>
      <c r="VJX28" s="172"/>
      <c r="VJY28" s="172"/>
      <c r="VJZ28" s="172"/>
      <c r="VKA28" s="172"/>
      <c r="VKB28" s="172"/>
      <c r="VKC28" s="172"/>
      <c r="VKD28" s="172"/>
      <c r="VKE28" s="172"/>
      <c r="VKF28" s="172"/>
      <c r="VKG28" s="172"/>
      <c r="VKH28" s="172"/>
      <c r="VKI28" s="172"/>
      <c r="VKJ28" s="172"/>
      <c r="VKK28" s="172"/>
      <c r="VKL28" s="172"/>
      <c r="VKM28" s="172"/>
      <c r="VKN28" s="172"/>
      <c r="VKO28" s="172"/>
      <c r="VKP28" s="172"/>
      <c r="VKQ28" s="172"/>
      <c r="VKR28" s="172"/>
      <c r="VKS28" s="172"/>
      <c r="VKT28" s="172"/>
      <c r="VKU28" s="172"/>
      <c r="VKV28" s="172"/>
      <c r="VKW28" s="172"/>
      <c r="VKX28" s="172"/>
      <c r="VKY28" s="172"/>
      <c r="VKZ28" s="172"/>
      <c r="VLA28" s="172"/>
      <c r="VLB28" s="172"/>
      <c r="VLC28" s="172"/>
      <c r="VLD28" s="172"/>
      <c r="VLE28" s="172"/>
      <c r="VLF28" s="172"/>
      <c r="VLG28" s="172"/>
      <c r="VLH28" s="172"/>
      <c r="VLI28" s="172"/>
      <c r="VLJ28" s="172"/>
      <c r="VLK28" s="172"/>
      <c r="VLL28" s="172"/>
      <c r="VLM28" s="172"/>
      <c r="VLN28" s="172"/>
      <c r="VLO28" s="172"/>
      <c r="VLP28" s="172"/>
      <c r="VLQ28" s="172"/>
      <c r="VLR28" s="172"/>
      <c r="VLS28" s="172"/>
      <c r="VLT28" s="172"/>
      <c r="VLU28" s="172"/>
      <c r="VLV28" s="172"/>
      <c r="VLW28" s="172"/>
      <c r="VLX28" s="172"/>
      <c r="VLY28" s="172"/>
      <c r="VLZ28" s="172"/>
      <c r="VMA28" s="172"/>
      <c r="VMB28" s="172"/>
      <c r="VMC28" s="172"/>
      <c r="VMD28" s="172"/>
      <c r="VME28" s="172"/>
      <c r="VMF28" s="172"/>
      <c r="VMG28" s="172"/>
      <c r="VMH28" s="172"/>
      <c r="VMI28" s="172"/>
      <c r="VMJ28" s="172"/>
      <c r="VMK28" s="172"/>
      <c r="VML28" s="172"/>
      <c r="VMM28" s="172"/>
      <c r="VMN28" s="172"/>
      <c r="VMO28" s="172"/>
      <c r="VMP28" s="172"/>
      <c r="VMQ28" s="172"/>
      <c r="VMR28" s="172"/>
      <c r="VMS28" s="172"/>
      <c r="VMT28" s="172"/>
      <c r="VMU28" s="172"/>
      <c r="VMV28" s="172"/>
      <c r="VMW28" s="172"/>
      <c r="VMX28" s="172"/>
      <c r="VMY28" s="172"/>
      <c r="VMZ28" s="172"/>
      <c r="VNA28" s="172"/>
      <c r="VNB28" s="172"/>
      <c r="VNC28" s="172"/>
      <c r="VND28" s="172"/>
      <c r="VNE28" s="172"/>
      <c r="VNF28" s="172"/>
      <c r="VNG28" s="172"/>
      <c r="VNH28" s="172"/>
      <c r="VNI28" s="172"/>
      <c r="VNJ28" s="172"/>
      <c r="VNK28" s="172"/>
      <c r="VNL28" s="172"/>
      <c r="VNM28" s="172"/>
      <c r="VNN28" s="172"/>
      <c r="VNO28" s="172"/>
      <c r="VNP28" s="172"/>
      <c r="VNQ28" s="172"/>
      <c r="VNR28" s="172"/>
      <c r="VNS28" s="172"/>
      <c r="VNT28" s="172"/>
      <c r="VNU28" s="172"/>
      <c r="VNV28" s="172"/>
      <c r="VNW28" s="172"/>
      <c r="VNX28" s="172"/>
      <c r="VNY28" s="172"/>
      <c r="VNZ28" s="172"/>
      <c r="VOA28" s="172"/>
      <c r="VOB28" s="172"/>
      <c r="VOC28" s="172"/>
      <c r="VOD28" s="172"/>
      <c r="VOE28" s="172"/>
      <c r="VOF28" s="172"/>
      <c r="VOG28" s="172"/>
      <c r="VOH28" s="172"/>
      <c r="VOI28" s="172"/>
      <c r="VOJ28" s="172"/>
      <c r="VOK28" s="172"/>
      <c r="VOL28" s="172"/>
      <c r="VOM28" s="172"/>
      <c r="VON28" s="172"/>
      <c r="VOO28" s="172"/>
      <c r="VOP28" s="172"/>
      <c r="VOQ28" s="172"/>
      <c r="VOR28" s="172"/>
      <c r="VOS28" s="172"/>
      <c r="VOT28" s="172"/>
      <c r="VOU28" s="172"/>
      <c r="VOV28" s="172"/>
      <c r="VOW28" s="172"/>
      <c r="VOX28" s="172"/>
      <c r="VOY28" s="172"/>
      <c r="VOZ28" s="172"/>
      <c r="VPA28" s="172"/>
      <c r="VPB28" s="172"/>
      <c r="VPC28" s="172"/>
      <c r="VPD28" s="172"/>
      <c r="VPE28" s="172"/>
      <c r="VPF28" s="172"/>
      <c r="VPG28" s="172"/>
      <c r="VPH28" s="172"/>
      <c r="VPI28" s="172"/>
      <c r="VPJ28" s="172"/>
      <c r="VPK28" s="172"/>
      <c r="VPL28" s="172"/>
      <c r="VPM28" s="172"/>
      <c r="VPN28" s="172"/>
      <c r="VPO28" s="172"/>
      <c r="VPP28" s="172"/>
      <c r="VPQ28" s="172"/>
      <c r="VPR28" s="172"/>
      <c r="VPS28" s="172"/>
      <c r="VPT28" s="172"/>
      <c r="VPU28" s="172"/>
      <c r="VPV28" s="172"/>
      <c r="VPW28" s="172"/>
      <c r="VPX28" s="172"/>
      <c r="VPY28" s="172"/>
      <c r="VPZ28" s="172"/>
      <c r="VQA28" s="172"/>
      <c r="VQB28" s="172"/>
      <c r="VQC28" s="172"/>
      <c r="VQD28" s="172"/>
      <c r="VQE28" s="172"/>
      <c r="VQF28" s="172"/>
      <c r="VQG28" s="172"/>
      <c r="VQH28" s="172"/>
      <c r="VQI28" s="172"/>
      <c r="VQJ28" s="172"/>
      <c r="VQK28" s="172"/>
      <c r="VQL28" s="172"/>
      <c r="VQM28" s="172"/>
      <c r="VQN28" s="172"/>
      <c r="VQO28" s="172"/>
      <c r="VQP28" s="172"/>
      <c r="VQQ28" s="172"/>
      <c r="VQR28" s="172"/>
      <c r="VQS28" s="172"/>
      <c r="VQT28" s="172"/>
      <c r="VQU28" s="172"/>
      <c r="VQV28" s="172"/>
      <c r="VQW28" s="172"/>
      <c r="VQX28" s="172"/>
      <c r="VQY28" s="172"/>
      <c r="VQZ28" s="172"/>
      <c r="VRA28" s="172"/>
      <c r="VRB28" s="172"/>
      <c r="VRC28" s="172"/>
      <c r="VRD28" s="172"/>
      <c r="VRE28" s="172"/>
      <c r="VRF28" s="172"/>
      <c r="VRG28" s="172"/>
      <c r="VRH28" s="172"/>
      <c r="VRI28" s="172"/>
      <c r="VRJ28" s="172"/>
      <c r="VRK28" s="172"/>
      <c r="VRL28" s="172"/>
      <c r="VRM28" s="172"/>
      <c r="VRN28" s="172"/>
      <c r="VRO28" s="172"/>
      <c r="VRP28" s="172"/>
      <c r="VRQ28" s="172"/>
      <c r="VRR28" s="172"/>
      <c r="VRS28" s="172"/>
      <c r="VRT28" s="172"/>
      <c r="VRU28" s="172"/>
      <c r="VRV28" s="172"/>
      <c r="VRW28" s="172"/>
      <c r="VRX28" s="172"/>
      <c r="VRY28" s="172"/>
      <c r="VRZ28" s="172"/>
      <c r="VSA28" s="172"/>
      <c r="VSB28" s="172"/>
      <c r="VSC28" s="172"/>
      <c r="VSD28" s="172"/>
      <c r="VSE28" s="172"/>
      <c r="VSF28" s="172"/>
      <c r="VSG28" s="172"/>
      <c r="VSH28" s="172"/>
      <c r="VSI28" s="172"/>
      <c r="VSJ28" s="172"/>
      <c r="VSK28" s="172"/>
      <c r="VSL28" s="172"/>
      <c r="VSM28" s="172"/>
      <c r="VSN28" s="172"/>
      <c r="VSO28" s="172"/>
      <c r="VSP28" s="172"/>
      <c r="VSQ28" s="172"/>
      <c r="VSR28" s="172"/>
      <c r="VSS28" s="172"/>
      <c r="VST28" s="172"/>
      <c r="VSU28" s="172"/>
      <c r="VSV28" s="172"/>
      <c r="VSW28" s="172"/>
      <c r="VSX28" s="172"/>
      <c r="VSY28" s="172"/>
      <c r="VSZ28" s="172"/>
      <c r="VTA28" s="172"/>
      <c r="VTB28" s="172"/>
      <c r="VTC28" s="172"/>
      <c r="VTD28" s="172"/>
      <c r="VTE28" s="172"/>
      <c r="VTF28" s="172"/>
      <c r="VTG28" s="172"/>
      <c r="VTH28" s="172"/>
      <c r="VTI28" s="172"/>
      <c r="VTJ28" s="172"/>
      <c r="VTK28" s="172"/>
      <c r="VTL28" s="172"/>
      <c r="VTM28" s="172"/>
      <c r="VTN28" s="172"/>
      <c r="VTO28" s="172"/>
      <c r="VTP28" s="172"/>
      <c r="VTQ28" s="172"/>
      <c r="VTR28" s="172"/>
      <c r="VTS28" s="172"/>
      <c r="VTT28" s="172"/>
      <c r="VTU28" s="172"/>
      <c r="VTV28" s="172"/>
      <c r="VTW28" s="172"/>
      <c r="VTX28" s="172"/>
      <c r="VTY28" s="172"/>
      <c r="VTZ28" s="172"/>
      <c r="VUA28" s="172"/>
      <c r="VUB28" s="172"/>
      <c r="VUC28" s="172"/>
      <c r="VUD28" s="172"/>
      <c r="VUE28" s="172"/>
      <c r="VUF28" s="172"/>
      <c r="VUG28" s="172"/>
      <c r="VUH28" s="172"/>
      <c r="VUI28" s="172"/>
      <c r="VUJ28" s="172"/>
      <c r="VUK28" s="172"/>
      <c r="VUL28" s="172"/>
      <c r="VUM28" s="172"/>
      <c r="VUN28" s="172"/>
      <c r="VUO28" s="172"/>
      <c r="VUP28" s="172"/>
      <c r="VUQ28" s="172"/>
      <c r="VUR28" s="172"/>
      <c r="VUS28" s="172"/>
      <c r="VUT28" s="172"/>
      <c r="VUU28" s="172"/>
      <c r="VUV28" s="172"/>
      <c r="VUW28" s="172"/>
      <c r="VUX28" s="172"/>
      <c r="VUY28" s="172"/>
      <c r="VUZ28" s="172"/>
      <c r="VVA28" s="172"/>
      <c r="VVB28" s="172"/>
      <c r="VVC28" s="172"/>
      <c r="VVD28" s="172"/>
      <c r="VVE28" s="172"/>
      <c r="VVF28" s="172"/>
      <c r="VVG28" s="172"/>
      <c r="VVH28" s="172"/>
      <c r="VVI28" s="172"/>
      <c r="VVJ28" s="172"/>
      <c r="VVK28" s="172"/>
      <c r="VVL28" s="172"/>
      <c r="VVM28" s="172"/>
      <c r="VVN28" s="172"/>
      <c r="VVO28" s="172"/>
      <c r="VVP28" s="172"/>
      <c r="VVQ28" s="172"/>
      <c r="VVR28" s="172"/>
      <c r="VVS28" s="172"/>
      <c r="VVT28" s="172"/>
      <c r="VVU28" s="172"/>
      <c r="VVV28" s="172"/>
      <c r="VVW28" s="172"/>
      <c r="VVX28" s="172"/>
      <c r="VVY28" s="172"/>
      <c r="VVZ28" s="172"/>
      <c r="VWA28" s="172"/>
      <c r="VWB28" s="172"/>
      <c r="VWC28" s="172"/>
      <c r="VWD28" s="172"/>
      <c r="VWE28" s="172"/>
      <c r="VWF28" s="172"/>
      <c r="VWG28" s="172"/>
      <c r="VWH28" s="172"/>
      <c r="VWI28" s="172"/>
      <c r="VWJ28" s="172"/>
      <c r="VWK28" s="172"/>
      <c r="VWL28" s="172"/>
      <c r="VWM28" s="172"/>
      <c r="VWN28" s="172"/>
      <c r="VWO28" s="172"/>
      <c r="VWP28" s="172"/>
      <c r="VWQ28" s="172"/>
      <c r="VWR28" s="172"/>
      <c r="VWS28" s="172"/>
      <c r="VWT28" s="172"/>
      <c r="VWU28" s="172"/>
      <c r="VWV28" s="172"/>
      <c r="VWW28" s="172"/>
      <c r="VWX28" s="172"/>
      <c r="VWY28" s="172"/>
      <c r="VWZ28" s="172"/>
      <c r="VXA28" s="172"/>
      <c r="VXB28" s="172"/>
      <c r="VXC28" s="172"/>
      <c r="VXD28" s="172"/>
      <c r="VXE28" s="172"/>
      <c r="VXF28" s="172"/>
      <c r="VXG28" s="172"/>
      <c r="VXH28" s="172"/>
      <c r="VXI28" s="172"/>
      <c r="VXJ28" s="172"/>
      <c r="VXK28" s="172"/>
      <c r="VXL28" s="172"/>
      <c r="VXM28" s="172"/>
      <c r="VXN28" s="172"/>
      <c r="VXO28" s="172"/>
      <c r="VXP28" s="172"/>
      <c r="VXQ28" s="172"/>
      <c r="VXR28" s="172"/>
      <c r="VXS28" s="172"/>
      <c r="VXT28" s="172"/>
      <c r="VXU28" s="172"/>
      <c r="VXV28" s="172"/>
      <c r="VXW28" s="172"/>
      <c r="VXX28" s="172"/>
      <c r="VXY28" s="172"/>
      <c r="VXZ28" s="172"/>
      <c r="VYA28" s="172"/>
      <c r="VYB28" s="172"/>
      <c r="VYC28" s="172"/>
      <c r="VYD28" s="172"/>
      <c r="VYE28" s="172"/>
      <c r="VYF28" s="172"/>
      <c r="VYG28" s="172"/>
      <c r="VYH28" s="172"/>
      <c r="VYI28" s="172"/>
      <c r="VYJ28" s="172"/>
      <c r="VYK28" s="172"/>
      <c r="VYL28" s="172"/>
      <c r="VYM28" s="172"/>
      <c r="VYN28" s="172"/>
      <c r="VYO28" s="172"/>
      <c r="VYP28" s="172"/>
      <c r="VYQ28" s="172"/>
      <c r="VYR28" s="172"/>
      <c r="VYS28" s="172"/>
      <c r="VYT28" s="172"/>
      <c r="VYU28" s="172"/>
      <c r="VYV28" s="172"/>
      <c r="VYW28" s="172"/>
      <c r="VYX28" s="172"/>
      <c r="VYY28" s="172"/>
      <c r="VYZ28" s="172"/>
      <c r="VZA28" s="172"/>
      <c r="VZB28" s="172"/>
      <c r="VZC28" s="172"/>
      <c r="VZD28" s="172"/>
      <c r="VZE28" s="172"/>
      <c r="VZF28" s="172"/>
      <c r="VZG28" s="172"/>
      <c r="VZH28" s="172"/>
      <c r="VZI28" s="172"/>
      <c r="VZJ28" s="172"/>
      <c r="VZK28" s="172"/>
      <c r="VZL28" s="172"/>
      <c r="VZM28" s="172"/>
      <c r="VZN28" s="172"/>
      <c r="VZO28" s="172"/>
      <c r="VZP28" s="172"/>
      <c r="VZQ28" s="172"/>
      <c r="VZR28" s="172"/>
      <c r="VZS28" s="172"/>
      <c r="VZT28" s="172"/>
      <c r="VZU28" s="172"/>
      <c r="VZV28" s="172"/>
      <c r="VZW28" s="172"/>
      <c r="VZX28" s="172"/>
      <c r="VZY28" s="172"/>
      <c r="VZZ28" s="172"/>
      <c r="WAA28" s="172"/>
      <c r="WAB28" s="172"/>
      <c r="WAC28" s="172"/>
      <c r="WAD28" s="172"/>
      <c r="WAE28" s="172"/>
      <c r="WAF28" s="172"/>
      <c r="WAG28" s="172"/>
      <c r="WAH28" s="172"/>
      <c r="WAI28" s="172"/>
      <c r="WAJ28" s="172"/>
      <c r="WAK28" s="172"/>
      <c r="WAL28" s="172"/>
      <c r="WAM28" s="172"/>
      <c r="WAN28" s="172"/>
      <c r="WAO28" s="172"/>
      <c r="WAP28" s="172"/>
      <c r="WAQ28" s="172"/>
      <c r="WAR28" s="172"/>
      <c r="WAS28" s="172"/>
      <c r="WAT28" s="172"/>
      <c r="WAU28" s="172"/>
      <c r="WAV28" s="172"/>
      <c r="WAW28" s="172"/>
      <c r="WAX28" s="172"/>
      <c r="WAY28" s="172"/>
      <c r="WAZ28" s="172"/>
      <c r="WBA28" s="172"/>
      <c r="WBB28" s="172"/>
      <c r="WBC28" s="172"/>
      <c r="WBD28" s="172"/>
      <c r="WBE28" s="172"/>
      <c r="WBF28" s="172"/>
      <c r="WBG28" s="172"/>
      <c r="WBH28" s="172"/>
      <c r="WBI28" s="172"/>
      <c r="WBJ28" s="172"/>
      <c r="WBK28" s="172"/>
      <c r="WBL28" s="172"/>
      <c r="WBM28" s="172"/>
      <c r="WBN28" s="172"/>
      <c r="WBO28" s="172"/>
      <c r="WBP28" s="172"/>
      <c r="WBQ28" s="172"/>
      <c r="WBR28" s="172"/>
      <c r="WBS28" s="172"/>
      <c r="WBT28" s="172"/>
      <c r="WBU28" s="172"/>
      <c r="WBV28" s="172"/>
      <c r="WBW28" s="172"/>
      <c r="WBX28" s="172"/>
      <c r="WBY28" s="172"/>
      <c r="WBZ28" s="172"/>
      <c r="WCA28" s="172"/>
      <c r="WCB28" s="172"/>
      <c r="WCC28" s="172"/>
      <c r="WCD28" s="172"/>
      <c r="WCE28" s="172"/>
      <c r="WCF28" s="172"/>
      <c r="WCG28" s="172"/>
      <c r="WCH28" s="172"/>
      <c r="WCI28" s="172"/>
      <c r="WCJ28" s="172"/>
      <c r="WCK28" s="172"/>
      <c r="WCL28" s="172"/>
      <c r="WCM28" s="172"/>
      <c r="WCN28" s="172"/>
      <c r="WCO28" s="172"/>
      <c r="WCP28" s="172"/>
      <c r="WCQ28" s="172"/>
      <c r="WCR28" s="172"/>
      <c r="WCS28" s="172"/>
      <c r="WCT28" s="172"/>
      <c r="WCU28" s="172"/>
      <c r="WCV28" s="172"/>
      <c r="WCW28" s="172"/>
      <c r="WCX28" s="172"/>
      <c r="WCY28" s="172"/>
      <c r="WCZ28" s="172"/>
      <c r="WDA28" s="172"/>
      <c r="WDB28" s="172"/>
      <c r="WDC28" s="172"/>
      <c r="WDD28" s="172"/>
      <c r="WDE28" s="172"/>
      <c r="WDF28" s="172"/>
      <c r="WDG28" s="172"/>
      <c r="WDH28" s="172"/>
      <c r="WDI28" s="172"/>
      <c r="WDJ28" s="172"/>
      <c r="WDK28" s="172"/>
      <c r="WDL28" s="172"/>
      <c r="WDM28" s="172"/>
      <c r="WDN28" s="172"/>
      <c r="WDO28" s="172"/>
      <c r="WDP28" s="172"/>
      <c r="WDQ28" s="172"/>
      <c r="WDR28" s="172"/>
      <c r="WDS28" s="172"/>
      <c r="WDT28" s="172"/>
      <c r="WDU28" s="172"/>
      <c r="WDV28" s="172"/>
      <c r="WDW28" s="172"/>
      <c r="WDX28" s="172"/>
      <c r="WDY28" s="172"/>
      <c r="WDZ28" s="172"/>
      <c r="WEA28" s="172"/>
      <c r="WEB28" s="172"/>
      <c r="WEC28" s="172"/>
      <c r="WED28" s="172"/>
      <c r="WEE28" s="172"/>
      <c r="WEF28" s="172"/>
      <c r="WEG28" s="172"/>
      <c r="WEH28" s="172"/>
      <c r="WEI28" s="172"/>
      <c r="WEJ28" s="172"/>
      <c r="WEK28" s="172"/>
      <c r="WEL28" s="172"/>
      <c r="WEM28" s="172"/>
      <c r="WEN28" s="172"/>
      <c r="WEO28" s="172"/>
      <c r="WEP28" s="172"/>
      <c r="WEQ28" s="172"/>
      <c r="WER28" s="172"/>
      <c r="WES28" s="172"/>
      <c r="WET28" s="172"/>
      <c r="WEU28" s="172"/>
      <c r="WEV28" s="172"/>
      <c r="WEW28" s="172"/>
      <c r="WEX28" s="172"/>
      <c r="WEY28" s="172"/>
      <c r="WEZ28" s="172"/>
      <c r="WFA28" s="172"/>
      <c r="WFB28" s="172"/>
      <c r="WFC28" s="172"/>
      <c r="WFD28" s="172"/>
      <c r="WFE28" s="172"/>
      <c r="WFF28" s="172"/>
      <c r="WFG28" s="172"/>
      <c r="WFH28" s="172"/>
      <c r="WFI28" s="172"/>
      <c r="WFJ28" s="172"/>
      <c r="WFK28" s="172"/>
      <c r="WFL28" s="172"/>
      <c r="WFM28" s="172"/>
      <c r="WFN28" s="172"/>
      <c r="WFO28" s="172"/>
      <c r="WFP28" s="172"/>
      <c r="WFQ28" s="172"/>
      <c r="WFR28" s="172"/>
      <c r="WFS28" s="172"/>
      <c r="WFT28" s="172"/>
      <c r="WFU28" s="172"/>
      <c r="WFV28" s="172"/>
      <c r="WFW28" s="172"/>
      <c r="WFX28" s="172"/>
      <c r="WFY28" s="172"/>
      <c r="WFZ28" s="172"/>
      <c r="WGA28" s="172"/>
      <c r="WGB28" s="172"/>
      <c r="WGC28" s="172"/>
      <c r="WGD28" s="172"/>
      <c r="WGE28" s="172"/>
      <c r="WGF28" s="172"/>
      <c r="WGG28" s="172"/>
      <c r="WGH28" s="172"/>
      <c r="WGI28" s="172"/>
      <c r="WGJ28" s="172"/>
      <c r="WGK28" s="172"/>
      <c r="WGL28" s="172"/>
      <c r="WGM28" s="172"/>
      <c r="WGN28" s="172"/>
      <c r="WGO28" s="172"/>
      <c r="WGP28" s="172"/>
      <c r="WGQ28" s="172"/>
      <c r="WGR28" s="172"/>
      <c r="WGS28" s="172"/>
      <c r="WGT28" s="172"/>
      <c r="WGU28" s="172"/>
      <c r="WGV28" s="172"/>
      <c r="WGW28" s="172"/>
      <c r="WGX28" s="172"/>
      <c r="WGY28" s="172"/>
      <c r="WGZ28" s="172"/>
      <c r="WHA28" s="172"/>
      <c r="WHB28" s="172"/>
      <c r="WHC28" s="172"/>
      <c r="WHD28" s="172"/>
      <c r="WHE28" s="172"/>
      <c r="WHF28" s="172"/>
      <c r="WHG28" s="172"/>
      <c r="WHH28" s="172"/>
      <c r="WHI28" s="172"/>
      <c r="WHJ28" s="172"/>
      <c r="WHK28" s="172"/>
      <c r="WHL28" s="172"/>
      <c r="WHM28" s="172"/>
      <c r="WHN28" s="172"/>
      <c r="WHO28" s="172"/>
      <c r="WHP28" s="172"/>
      <c r="WHQ28" s="172"/>
      <c r="WHR28" s="172"/>
      <c r="WHS28" s="172"/>
      <c r="WHT28" s="172"/>
      <c r="WHU28" s="172"/>
      <c r="WHV28" s="172"/>
      <c r="WHW28" s="172"/>
      <c r="WHX28" s="172"/>
      <c r="WHY28" s="172"/>
      <c r="WHZ28" s="172"/>
      <c r="WIA28" s="172"/>
      <c r="WIB28" s="172"/>
      <c r="WIC28" s="172"/>
      <c r="WID28" s="172"/>
      <c r="WIE28" s="172"/>
      <c r="WIF28" s="172"/>
      <c r="WIG28" s="172"/>
      <c r="WIH28" s="172"/>
      <c r="WII28" s="172"/>
      <c r="WIJ28" s="172"/>
      <c r="WIK28" s="172"/>
      <c r="WIL28" s="172"/>
      <c r="WIM28" s="172"/>
      <c r="WIN28" s="172"/>
      <c r="WIO28" s="172"/>
      <c r="WIP28" s="172"/>
      <c r="WIQ28" s="172"/>
      <c r="WIR28" s="172"/>
      <c r="WIS28" s="172"/>
      <c r="WIT28" s="172"/>
      <c r="WIU28" s="172"/>
      <c r="WIV28" s="172"/>
      <c r="WIW28" s="172"/>
      <c r="WIX28" s="172"/>
      <c r="WIY28" s="172"/>
      <c r="WIZ28" s="172"/>
      <c r="WJA28" s="172"/>
      <c r="WJB28" s="172"/>
      <c r="WJC28" s="172"/>
      <c r="WJD28" s="172"/>
      <c r="WJE28" s="172"/>
      <c r="WJF28" s="172"/>
      <c r="WJG28" s="172"/>
      <c r="WJH28" s="172"/>
      <c r="WJI28" s="172"/>
      <c r="WJJ28" s="172"/>
      <c r="WJK28" s="172"/>
      <c r="WJL28" s="172"/>
      <c r="WJM28" s="172"/>
      <c r="WJN28" s="172"/>
      <c r="WJO28" s="172"/>
      <c r="WJP28" s="172"/>
      <c r="WJQ28" s="172"/>
      <c r="WJR28" s="172"/>
      <c r="WJS28" s="172"/>
      <c r="WJT28" s="172"/>
      <c r="WJU28" s="172"/>
      <c r="WJV28" s="172"/>
      <c r="WJW28" s="172"/>
      <c r="WJX28" s="172"/>
      <c r="WJY28" s="172"/>
      <c r="WJZ28" s="172"/>
      <c r="WKA28" s="172"/>
      <c r="WKB28" s="172"/>
      <c r="WKC28" s="172"/>
      <c r="WKD28" s="172"/>
      <c r="WKE28" s="172"/>
      <c r="WKF28" s="172"/>
      <c r="WKG28" s="172"/>
      <c r="WKH28" s="172"/>
      <c r="WKI28" s="172"/>
      <c r="WKJ28" s="172"/>
      <c r="WKK28" s="172"/>
      <c r="WKL28" s="172"/>
      <c r="WKM28" s="172"/>
      <c r="WKN28" s="172"/>
      <c r="WKO28" s="172"/>
      <c r="WKP28" s="172"/>
      <c r="WKQ28" s="172"/>
      <c r="WKR28" s="172"/>
      <c r="WKS28" s="172"/>
      <c r="WKT28" s="172"/>
      <c r="WKU28" s="172"/>
      <c r="WKV28" s="172"/>
      <c r="WKW28" s="172"/>
      <c r="WKX28" s="172"/>
      <c r="WKY28" s="172"/>
      <c r="WKZ28" s="172"/>
      <c r="WLA28" s="172"/>
      <c r="WLB28" s="172"/>
      <c r="WLC28" s="172"/>
      <c r="WLD28" s="172"/>
      <c r="WLE28" s="172"/>
      <c r="WLF28" s="172"/>
      <c r="WLG28" s="172"/>
      <c r="WLH28" s="172"/>
      <c r="WLI28" s="172"/>
      <c r="WLJ28" s="172"/>
      <c r="WLK28" s="172"/>
      <c r="WLL28" s="172"/>
      <c r="WLM28" s="172"/>
      <c r="WLN28" s="172"/>
      <c r="WLO28" s="172"/>
      <c r="WLP28" s="172"/>
      <c r="WLQ28" s="172"/>
      <c r="WLR28" s="172"/>
      <c r="WLS28" s="172"/>
      <c r="WLT28" s="172"/>
      <c r="WLU28" s="172"/>
      <c r="WLV28" s="172"/>
      <c r="WLW28" s="172"/>
      <c r="WLX28" s="172"/>
      <c r="WLY28" s="172"/>
      <c r="WLZ28" s="172"/>
      <c r="WMA28" s="172"/>
      <c r="WMB28" s="172"/>
      <c r="WMC28" s="172"/>
      <c r="WMD28" s="172"/>
      <c r="WME28" s="172"/>
      <c r="WMF28" s="172"/>
      <c r="WMG28" s="172"/>
      <c r="WMH28" s="172"/>
      <c r="WMI28" s="172"/>
      <c r="WMJ28" s="172"/>
      <c r="WMK28" s="172"/>
      <c r="WML28" s="172"/>
      <c r="WMM28" s="172"/>
      <c r="WMN28" s="172"/>
      <c r="WMO28" s="172"/>
      <c r="WMP28" s="172"/>
      <c r="WMQ28" s="172"/>
      <c r="WMR28" s="172"/>
      <c r="WMS28" s="172"/>
      <c r="WMT28" s="172"/>
      <c r="WMU28" s="172"/>
      <c r="WMV28" s="172"/>
      <c r="WMW28" s="172"/>
      <c r="WMX28" s="172"/>
      <c r="WMY28" s="172"/>
      <c r="WMZ28" s="172"/>
      <c r="WNA28" s="172"/>
      <c r="WNB28" s="172"/>
      <c r="WNC28" s="172"/>
      <c r="WND28" s="172"/>
      <c r="WNE28" s="172"/>
      <c r="WNF28" s="172"/>
      <c r="WNG28" s="172"/>
      <c r="WNH28" s="172"/>
      <c r="WNI28" s="172"/>
      <c r="WNJ28" s="172"/>
      <c r="WNK28" s="172"/>
      <c r="WNL28" s="172"/>
      <c r="WNM28" s="172"/>
      <c r="WNN28" s="172"/>
      <c r="WNO28" s="172"/>
      <c r="WNP28" s="172"/>
      <c r="WNQ28" s="172"/>
      <c r="WNR28" s="172"/>
      <c r="WNS28" s="172"/>
      <c r="WNT28" s="172"/>
      <c r="WNU28" s="172"/>
      <c r="WNV28" s="172"/>
      <c r="WNW28" s="172"/>
      <c r="WNX28" s="172"/>
      <c r="WNY28" s="172"/>
      <c r="WNZ28" s="172"/>
      <c r="WOA28" s="172"/>
      <c r="WOB28" s="172"/>
      <c r="WOC28" s="172"/>
      <c r="WOD28" s="172"/>
      <c r="WOE28" s="172"/>
      <c r="WOF28" s="172"/>
      <c r="WOG28" s="172"/>
      <c r="WOH28" s="172"/>
      <c r="WOI28" s="172"/>
      <c r="WOJ28" s="172"/>
      <c r="WOK28" s="172"/>
      <c r="WOL28" s="172"/>
      <c r="WOM28" s="172"/>
      <c r="WON28" s="172"/>
      <c r="WOO28" s="172"/>
      <c r="WOP28" s="172"/>
      <c r="WOQ28" s="172"/>
      <c r="WOR28" s="172"/>
      <c r="WOS28" s="172"/>
      <c r="WOT28" s="172"/>
      <c r="WOU28" s="172"/>
      <c r="WOV28" s="172"/>
      <c r="WOW28" s="172"/>
      <c r="WOX28" s="172"/>
      <c r="WOY28" s="172"/>
      <c r="WOZ28" s="172"/>
      <c r="WPA28" s="172"/>
      <c r="WPB28" s="172"/>
      <c r="WPC28" s="172"/>
      <c r="WPD28" s="172"/>
      <c r="WPE28" s="172"/>
      <c r="WPF28" s="172"/>
      <c r="WPG28" s="172"/>
      <c r="WPH28" s="172"/>
      <c r="WPI28" s="172"/>
      <c r="WPJ28" s="172"/>
      <c r="WPK28" s="172"/>
      <c r="WPL28" s="172"/>
      <c r="WPM28" s="172"/>
      <c r="WPN28" s="172"/>
      <c r="WPO28" s="172"/>
      <c r="WPP28" s="172"/>
      <c r="WPQ28" s="172"/>
      <c r="WPR28" s="172"/>
      <c r="WPS28" s="172"/>
      <c r="WPT28" s="172"/>
      <c r="WPU28" s="172"/>
      <c r="WPV28" s="172"/>
      <c r="WPW28" s="172"/>
      <c r="WPX28" s="172"/>
      <c r="WPY28" s="172"/>
      <c r="WPZ28" s="172"/>
      <c r="WQA28" s="172"/>
      <c r="WQB28" s="172"/>
      <c r="WQC28" s="172"/>
      <c r="WQD28" s="172"/>
      <c r="WQE28" s="172"/>
      <c r="WQF28" s="172"/>
      <c r="WQG28" s="172"/>
      <c r="WQH28" s="172"/>
      <c r="WQI28" s="172"/>
      <c r="WQJ28" s="172"/>
      <c r="WQK28" s="172"/>
      <c r="WQL28" s="172"/>
      <c r="WQM28" s="172"/>
      <c r="WQN28" s="172"/>
      <c r="WQO28" s="172"/>
      <c r="WQP28" s="172"/>
      <c r="WQQ28" s="172"/>
      <c r="WQR28" s="172"/>
      <c r="WQS28" s="172"/>
      <c r="WQT28" s="172"/>
      <c r="WQU28" s="172"/>
      <c r="WQV28" s="172"/>
      <c r="WQW28" s="172"/>
      <c r="WQX28" s="172"/>
      <c r="WQY28" s="172"/>
      <c r="WQZ28" s="172"/>
      <c r="WRA28" s="172"/>
      <c r="WRB28" s="172"/>
      <c r="WRC28" s="172"/>
      <c r="WRD28" s="172"/>
      <c r="WRE28" s="172"/>
      <c r="WRF28" s="172"/>
      <c r="WRG28" s="172"/>
      <c r="WRH28" s="172"/>
      <c r="WRI28" s="172"/>
      <c r="WRJ28" s="172"/>
      <c r="WRK28" s="172"/>
      <c r="WRL28" s="172"/>
      <c r="WRM28" s="172"/>
      <c r="WRN28" s="172"/>
      <c r="WRO28" s="172"/>
      <c r="WRP28" s="172"/>
      <c r="WRQ28" s="172"/>
      <c r="WRR28" s="172"/>
      <c r="WRS28" s="172"/>
      <c r="WRT28" s="172"/>
      <c r="WRU28" s="172"/>
      <c r="WRV28" s="172"/>
      <c r="WRW28" s="172"/>
      <c r="WRX28" s="172"/>
      <c r="WRY28" s="172"/>
      <c r="WRZ28" s="172"/>
      <c r="WSA28" s="172"/>
      <c r="WSB28" s="172"/>
      <c r="WSC28" s="172"/>
      <c r="WSD28" s="172"/>
      <c r="WSE28" s="172"/>
      <c r="WSF28" s="172"/>
      <c r="WSG28" s="172"/>
      <c r="WSH28" s="172"/>
      <c r="WSI28" s="172"/>
      <c r="WSJ28" s="172"/>
      <c r="WSK28" s="172"/>
      <c r="WSL28" s="172"/>
      <c r="WSM28" s="172"/>
      <c r="WSN28" s="172"/>
      <c r="WSO28" s="172"/>
      <c r="WSP28" s="172"/>
      <c r="WSQ28" s="172"/>
      <c r="WSR28" s="172"/>
      <c r="WSS28" s="172"/>
      <c r="WST28" s="172"/>
      <c r="WSU28" s="172"/>
      <c r="WSV28" s="172"/>
      <c r="WSW28" s="172"/>
      <c r="WSX28" s="172"/>
      <c r="WSY28" s="172"/>
      <c r="WSZ28" s="172"/>
      <c r="WTA28" s="172"/>
      <c r="WTB28" s="172"/>
      <c r="WTC28" s="172"/>
      <c r="WTD28" s="172"/>
      <c r="WTE28" s="172"/>
      <c r="WTF28" s="172"/>
      <c r="WTG28" s="172"/>
      <c r="WTH28" s="172"/>
      <c r="WTI28" s="172"/>
      <c r="WTJ28" s="172"/>
      <c r="WTK28" s="172"/>
      <c r="WTL28" s="172"/>
      <c r="WTM28" s="172"/>
      <c r="WTN28" s="172"/>
      <c r="WTO28" s="172"/>
      <c r="WTP28" s="172"/>
      <c r="WTQ28" s="172"/>
      <c r="WTR28" s="172"/>
      <c r="WTS28" s="172"/>
      <c r="WTT28" s="172"/>
      <c r="WTU28" s="172"/>
      <c r="WTV28" s="172"/>
      <c r="WTW28" s="172"/>
      <c r="WTX28" s="172"/>
      <c r="WTY28" s="172"/>
      <c r="WTZ28" s="172"/>
      <c r="WUA28" s="172"/>
      <c r="WUB28" s="172"/>
      <c r="WUC28" s="172"/>
      <c r="WUD28" s="172"/>
      <c r="WUE28" s="172"/>
      <c r="WUF28" s="172"/>
      <c r="WUG28" s="172"/>
      <c r="WUH28" s="172"/>
      <c r="WUI28" s="172"/>
      <c r="WUJ28" s="172"/>
      <c r="WUK28" s="172"/>
      <c r="WUL28" s="172"/>
      <c r="WUM28" s="172"/>
      <c r="WUN28" s="172"/>
      <c r="WUO28" s="172"/>
      <c r="WUP28" s="172"/>
      <c r="WUQ28" s="172"/>
      <c r="WUR28" s="172"/>
      <c r="WUS28" s="172"/>
      <c r="WUT28" s="172"/>
      <c r="WUU28" s="172"/>
      <c r="WUV28" s="172"/>
      <c r="WUW28" s="172"/>
      <c r="WUX28" s="172"/>
      <c r="WUY28" s="172"/>
      <c r="WUZ28" s="172"/>
      <c r="WVA28" s="172"/>
      <c r="WVB28" s="172"/>
      <c r="WVC28" s="172"/>
      <c r="WVD28" s="172"/>
      <c r="WVE28" s="172"/>
      <c r="WVF28" s="172"/>
      <c r="WVG28" s="172"/>
      <c r="WVH28" s="172"/>
      <c r="WVI28" s="172"/>
      <c r="WVJ28" s="172"/>
      <c r="WVK28" s="172"/>
      <c r="WVL28" s="172"/>
      <c r="WVM28" s="172"/>
      <c r="WVN28" s="172"/>
      <c r="WVO28" s="172"/>
      <c r="WVP28" s="172"/>
      <c r="WVQ28" s="172"/>
      <c r="WVR28" s="172"/>
      <c r="WVS28" s="172"/>
      <c r="WVT28" s="172"/>
      <c r="WVU28" s="172"/>
      <c r="WVV28" s="172"/>
      <c r="WVW28" s="172"/>
      <c r="WVX28" s="172"/>
      <c r="WVY28" s="172"/>
      <c r="WVZ28" s="172"/>
      <c r="WWA28" s="172"/>
      <c r="WWB28" s="172"/>
      <c r="WWC28" s="172"/>
      <c r="WWD28" s="172"/>
      <c r="WWE28" s="172"/>
      <c r="WWF28" s="172"/>
      <c r="WWG28" s="172"/>
      <c r="WWH28" s="172"/>
      <c r="WWI28" s="172"/>
      <c r="WWJ28" s="172"/>
      <c r="WWK28" s="172"/>
      <c r="WWL28" s="172"/>
      <c r="WWM28" s="172"/>
      <c r="WWN28" s="172"/>
      <c r="WWO28" s="172"/>
      <c r="WWP28" s="172"/>
      <c r="WWQ28" s="172"/>
      <c r="WWR28" s="172"/>
      <c r="WWS28" s="172"/>
      <c r="WWT28" s="172"/>
      <c r="WWU28" s="172"/>
      <c r="WWV28" s="172"/>
      <c r="WWW28" s="172"/>
      <c r="WWX28" s="172"/>
      <c r="WWY28" s="172"/>
      <c r="WWZ28" s="172"/>
      <c r="WXA28" s="172"/>
      <c r="WXB28" s="172"/>
      <c r="WXC28" s="172"/>
      <c r="WXD28" s="172"/>
      <c r="WXE28" s="172"/>
      <c r="WXF28" s="172"/>
      <c r="WXG28" s="172"/>
      <c r="WXH28" s="172"/>
      <c r="WXI28" s="172"/>
      <c r="WXJ28" s="172"/>
      <c r="WXK28" s="172"/>
      <c r="WXL28" s="172"/>
      <c r="WXM28" s="172"/>
      <c r="WXN28" s="172"/>
      <c r="WXO28" s="172"/>
      <c r="WXP28" s="172"/>
      <c r="WXQ28" s="172"/>
      <c r="WXR28" s="172"/>
      <c r="WXS28" s="172"/>
      <c r="WXT28" s="172"/>
      <c r="WXU28" s="172"/>
      <c r="WXV28" s="172"/>
      <c r="WXW28" s="172"/>
      <c r="WXX28" s="172"/>
      <c r="WXY28" s="172"/>
      <c r="WXZ28" s="172"/>
      <c r="WYA28" s="172"/>
      <c r="WYB28" s="172"/>
      <c r="WYC28" s="172"/>
      <c r="WYD28" s="172"/>
      <c r="WYE28" s="172"/>
      <c r="WYF28" s="172"/>
      <c r="WYG28" s="172"/>
      <c r="WYH28" s="172"/>
      <c r="WYI28" s="172"/>
      <c r="WYJ28" s="172"/>
      <c r="WYK28" s="172"/>
      <c r="WYL28" s="172"/>
      <c r="WYM28" s="172"/>
      <c r="WYN28" s="172"/>
      <c r="WYO28" s="172"/>
      <c r="WYP28" s="172"/>
      <c r="WYQ28" s="172"/>
      <c r="WYR28" s="172"/>
      <c r="WYS28" s="172"/>
      <c r="WYT28" s="172"/>
      <c r="WYU28" s="172"/>
      <c r="WYV28" s="172"/>
      <c r="WYW28" s="172"/>
      <c r="WYX28" s="172"/>
      <c r="WYY28" s="172"/>
      <c r="WYZ28" s="172"/>
      <c r="WZA28" s="172"/>
      <c r="WZB28" s="172"/>
      <c r="WZC28" s="172"/>
      <c r="WZD28" s="172"/>
      <c r="WZE28" s="172"/>
      <c r="WZF28" s="172"/>
      <c r="WZG28" s="172"/>
      <c r="WZH28" s="172"/>
      <c r="WZI28" s="172"/>
      <c r="WZJ28" s="172"/>
      <c r="WZK28" s="172"/>
      <c r="WZL28" s="172"/>
      <c r="WZM28" s="172"/>
      <c r="WZN28" s="172"/>
      <c r="WZO28" s="172"/>
      <c r="WZP28" s="172"/>
      <c r="WZQ28" s="172"/>
      <c r="WZR28" s="172"/>
      <c r="WZS28" s="172"/>
      <c r="WZT28" s="172"/>
      <c r="WZU28" s="172"/>
      <c r="WZV28" s="172"/>
      <c r="WZW28" s="172"/>
      <c r="WZX28" s="172"/>
      <c r="WZY28" s="172"/>
      <c r="WZZ28" s="172"/>
      <c r="XAA28" s="172"/>
      <c r="XAB28" s="172"/>
      <c r="XAC28" s="172"/>
      <c r="XAD28" s="172"/>
      <c r="XAE28" s="172"/>
      <c r="XAF28" s="172"/>
      <c r="XAG28" s="172"/>
      <c r="XAH28" s="172"/>
      <c r="XAI28" s="172"/>
      <c r="XAJ28" s="172"/>
      <c r="XAK28" s="172"/>
      <c r="XAL28" s="172"/>
      <c r="XAM28" s="172"/>
      <c r="XAN28" s="172"/>
      <c r="XAO28" s="172"/>
      <c r="XAP28" s="172"/>
      <c r="XAQ28" s="172"/>
      <c r="XAR28" s="172"/>
      <c r="XAS28" s="172"/>
      <c r="XAT28" s="172"/>
      <c r="XAU28" s="172"/>
      <c r="XAV28" s="172"/>
      <c r="XAW28" s="172"/>
      <c r="XAX28" s="172"/>
      <c r="XAY28" s="172"/>
      <c r="XAZ28" s="172"/>
      <c r="XBA28" s="172"/>
      <c r="XBB28" s="172"/>
      <c r="XBC28" s="172"/>
      <c r="XBD28" s="172"/>
      <c r="XBE28" s="172"/>
      <c r="XBF28" s="172"/>
      <c r="XBG28" s="172"/>
      <c r="XBH28" s="172"/>
      <c r="XBI28" s="172"/>
      <c r="XBJ28" s="172"/>
      <c r="XBK28" s="172"/>
      <c r="XBL28" s="172"/>
      <c r="XBM28" s="172"/>
      <c r="XBN28" s="172"/>
      <c r="XBO28" s="172"/>
      <c r="XBP28" s="172"/>
      <c r="XBQ28" s="172"/>
      <c r="XBR28" s="172"/>
      <c r="XBS28" s="172"/>
      <c r="XBT28" s="172"/>
      <c r="XBU28" s="172"/>
      <c r="XBV28" s="172"/>
      <c r="XBW28" s="172"/>
      <c r="XBX28" s="172"/>
      <c r="XBY28" s="172"/>
      <c r="XBZ28" s="172"/>
      <c r="XCA28" s="172"/>
      <c r="XCB28" s="172"/>
      <c r="XCC28" s="172"/>
      <c r="XCD28" s="172"/>
      <c r="XCE28" s="172"/>
      <c r="XCF28" s="172"/>
      <c r="XCG28" s="172"/>
      <c r="XCH28" s="172"/>
      <c r="XCI28" s="172"/>
      <c r="XCJ28" s="172"/>
      <c r="XCK28" s="172"/>
      <c r="XCL28" s="172"/>
      <c r="XCM28" s="172"/>
      <c r="XCN28" s="172"/>
      <c r="XCO28" s="172"/>
      <c r="XCP28" s="172"/>
      <c r="XCQ28" s="172"/>
      <c r="XCR28" s="172"/>
      <c r="XCS28" s="172"/>
      <c r="XCT28" s="172"/>
      <c r="XCU28" s="172"/>
      <c r="XCV28" s="172"/>
      <c r="XCW28" s="172"/>
      <c r="XCX28" s="172"/>
      <c r="XCY28" s="172"/>
      <c r="XCZ28" s="172"/>
      <c r="XDA28" s="172"/>
      <c r="XDB28" s="172"/>
      <c r="XDC28" s="172"/>
      <c r="XDD28" s="172"/>
      <c r="XDE28" s="172"/>
      <c r="XDF28" s="172"/>
      <c r="XDG28" s="172"/>
      <c r="XDH28" s="172"/>
      <c r="XDI28" s="172"/>
      <c r="XDJ28" s="172"/>
      <c r="XDK28" s="172"/>
      <c r="XDL28" s="172"/>
      <c r="XDM28" s="172"/>
      <c r="XDN28" s="172"/>
      <c r="XDO28" s="172"/>
      <c r="XDP28" s="172"/>
      <c r="XDQ28" s="172"/>
      <c r="XDR28" s="172"/>
      <c r="XDS28" s="172"/>
      <c r="XDT28" s="172"/>
      <c r="XDU28" s="172"/>
      <c r="XDV28" s="172"/>
      <c r="XDW28" s="172"/>
      <c r="XDX28" s="172"/>
      <c r="XDY28" s="172"/>
      <c r="XDZ28" s="172"/>
      <c r="XEA28" s="172"/>
      <c r="XEB28" s="172"/>
      <c r="XEC28" s="172"/>
      <c r="XED28" s="172"/>
      <c r="XEE28" s="172"/>
      <c r="XEF28" s="172"/>
      <c r="XEG28" s="172"/>
      <c r="XEH28" s="172"/>
      <c r="XEI28" s="172"/>
      <c r="XEJ28" s="172"/>
      <c r="XEK28" s="172"/>
      <c r="XEL28" s="172"/>
      <c r="XEM28" s="172"/>
      <c r="XEN28" s="172"/>
      <c r="XEO28" s="172"/>
      <c r="XEP28" s="172"/>
      <c r="XEQ28" s="172"/>
      <c r="XER28" s="172"/>
      <c r="XES28" s="172"/>
      <c r="XET28" s="172"/>
      <c r="XEU28" s="172"/>
      <c r="XEV28" s="172"/>
      <c r="XEW28" s="172"/>
      <c r="XEX28" s="172"/>
      <c r="XEY28" s="172"/>
      <c r="XEZ28" s="172"/>
      <c r="XFA28" s="172"/>
      <c r="XFB28" s="172"/>
      <c r="XFC28" s="172"/>
      <c r="XFD28" s="172"/>
    </row>
    <row r="29" spans="1:16384" s="528" customFormat="1" ht="18.600000000000001" customHeight="1" x14ac:dyDescent="0.3">
      <c r="A29" s="172" t="s">
        <v>3149</v>
      </c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  <c r="CY29" s="172"/>
      <c r="CZ29" s="172"/>
      <c r="DA29" s="172"/>
      <c r="DB29" s="172"/>
      <c r="DC29" s="172"/>
      <c r="DD29" s="172"/>
      <c r="DE29" s="172"/>
      <c r="DF29" s="172"/>
      <c r="DG29" s="172"/>
      <c r="DH29" s="172"/>
      <c r="DI29" s="172"/>
      <c r="DJ29" s="172"/>
      <c r="DK29" s="172"/>
      <c r="DL29" s="172"/>
      <c r="DM29" s="172"/>
      <c r="DN29" s="172"/>
      <c r="DO29" s="172"/>
      <c r="DP29" s="172"/>
      <c r="DQ29" s="172"/>
      <c r="DR29" s="172"/>
      <c r="DS29" s="172"/>
      <c r="DT29" s="172"/>
      <c r="DU29" s="172"/>
      <c r="DV29" s="172"/>
      <c r="DW29" s="172"/>
      <c r="DX29" s="172"/>
      <c r="DY29" s="172"/>
      <c r="DZ29" s="172"/>
      <c r="EA29" s="172"/>
      <c r="EB29" s="172"/>
      <c r="EC29" s="172"/>
      <c r="ED29" s="172"/>
      <c r="EE29" s="172"/>
      <c r="EF29" s="172"/>
      <c r="EG29" s="172"/>
      <c r="EH29" s="172"/>
      <c r="EI29" s="172"/>
      <c r="EJ29" s="172"/>
      <c r="EK29" s="172"/>
      <c r="EL29" s="172"/>
      <c r="EM29" s="172"/>
      <c r="EN29" s="172"/>
      <c r="EO29" s="172"/>
      <c r="EP29" s="172"/>
      <c r="EQ29" s="172"/>
      <c r="ER29" s="172"/>
      <c r="ES29" s="172"/>
      <c r="ET29" s="172"/>
      <c r="EU29" s="172"/>
      <c r="EV29" s="172"/>
      <c r="EW29" s="172"/>
      <c r="EX29" s="172"/>
      <c r="EY29" s="172"/>
      <c r="EZ29" s="172"/>
      <c r="FA29" s="172"/>
      <c r="FB29" s="172"/>
      <c r="FC29" s="172"/>
      <c r="FD29" s="172"/>
      <c r="FE29" s="172"/>
      <c r="FF29" s="172"/>
      <c r="FG29" s="172"/>
      <c r="FH29" s="172"/>
      <c r="FI29" s="172"/>
      <c r="FJ29" s="172"/>
      <c r="FK29" s="172"/>
      <c r="FL29" s="172"/>
      <c r="FM29" s="172"/>
      <c r="FN29" s="172"/>
      <c r="FO29" s="172"/>
      <c r="FP29" s="172"/>
      <c r="FQ29" s="172"/>
      <c r="FR29" s="172"/>
      <c r="FS29" s="172"/>
      <c r="FT29" s="172"/>
      <c r="FU29" s="172"/>
      <c r="FV29" s="172"/>
      <c r="FW29" s="172"/>
      <c r="FX29" s="172"/>
      <c r="FY29" s="172"/>
      <c r="FZ29" s="172"/>
      <c r="GA29" s="172"/>
      <c r="GB29" s="172"/>
      <c r="GC29" s="172"/>
      <c r="GD29" s="172"/>
      <c r="GE29" s="172"/>
      <c r="GF29" s="172"/>
      <c r="GG29" s="172"/>
      <c r="GH29" s="172"/>
      <c r="GI29" s="172"/>
      <c r="GJ29" s="172"/>
      <c r="GK29" s="172"/>
      <c r="GL29" s="172"/>
      <c r="GM29" s="172"/>
      <c r="GN29" s="172"/>
      <c r="GO29" s="172"/>
      <c r="GP29" s="172"/>
      <c r="GQ29" s="172"/>
      <c r="GR29" s="172"/>
      <c r="GS29" s="172"/>
      <c r="GT29" s="172"/>
      <c r="GU29" s="172"/>
      <c r="GV29" s="172"/>
      <c r="GW29" s="172"/>
      <c r="GX29" s="172"/>
      <c r="GY29" s="172"/>
      <c r="GZ29" s="172"/>
      <c r="HA29" s="172"/>
      <c r="HB29" s="172"/>
      <c r="HC29" s="172"/>
      <c r="HD29" s="172"/>
      <c r="HE29" s="172"/>
      <c r="HF29" s="172"/>
      <c r="HG29" s="172"/>
      <c r="HH29" s="172"/>
      <c r="HI29" s="172"/>
      <c r="HJ29" s="172"/>
      <c r="HK29" s="172"/>
      <c r="HL29" s="172"/>
      <c r="HM29" s="172"/>
      <c r="HN29" s="172"/>
      <c r="HO29" s="172"/>
      <c r="HP29" s="172"/>
      <c r="HQ29" s="172"/>
      <c r="HR29" s="172"/>
      <c r="HS29" s="172"/>
      <c r="HT29" s="172"/>
      <c r="HU29" s="172"/>
      <c r="HV29" s="172"/>
      <c r="HW29" s="172"/>
      <c r="HX29" s="172"/>
      <c r="HY29" s="172"/>
      <c r="HZ29" s="172"/>
      <c r="IA29" s="172"/>
      <c r="IB29" s="172"/>
      <c r="IC29" s="172"/>
      <c r="ID29" s="172"/>
      <c r="IE29" s="172"/>
      <c r="IF29" s="172"/>
      <c r="IG29" s="172"/>
      <c r="IH29" s="172"/>
      <c r="II29" s="172"/>
      <c r="IJ29" s="172"/>
      <c r="IK29" s="172"/>
      <c r="IL29" s="172"/>
      <c r="IM29" s="172"/>
      <c r="IN29" s="172"/>
      <c r="IO29" s="172"/>
      <c r="IP29" s="172"/>
      <c r="IQ29" s="172"/>
      <c r="IR29" s="172"/>
      <c r="IS29" s="172"/>
      <c r="IT29" s="172"/>
      <c r="IU29" s="172"/>
      <c r="IV29" s="172"/>
      <c r="IW29" s="172"/>
      <c r="IX29" s="172"/>
      <c r="IY29" s="172"/>
      <c r="IZ29" s="172"/>
      <c r="JA29" s="172"/>
      <c r="JB29" s="172"/>
      <c r="JC29" s="172"/>
      <c r="JD29" s="172"/>
      <c r="JE29" s="172"/>
      <c r="JF29" s="172"/>
      <c r="JG29" s="172"/>
      <c r="JH29" s="172"/>
      <c r="JI29" s="172"/>
      <c r="JJ29" s="172"/>
      <c r="JK29" s="172"/>
      <c r="JL29" s="172"/>
      <c r="JM29" s="172"/>
      <c r="JN29" s="172"/>
      <c r="JO29" s="172"/>
      <c r="JP29" s="172"/>
      <c r="JQ29" s="172"/>
      <c r="JR29" s="172"/>
      <c r="JS29" s="172"/>
      <c r="JT29" s="172"/>
      <c r="JU29" s="172"/>
      <c r="JV29" s="172"/>
      <c r="JW29" s="172"/>
      <c r="JX29" s="172"/>
      <c r="JY29" s="172"/>
      <c r="JZ29" s="172"/>
      <c r="KA29" s="172"/>
      <c r="KB29" s="172"/>
      <c r="KC29" s="172"/>
      <c r="KD29" s="172"/>
      <c r="KE29" s="172"/>
      <c r="KF29" s="172"/>
      <c r="KG29" s="172"/>
      <c r="KH29" s="172"/>
      <c r="KI29" s="172"/>
      <c r="KJ29" s="172"/>
      <c r="KK29" s="172"/>
      <c r="KL29" s="172"/>
      <c r="KM29" s="172"/>
      <c r="KN29" s="172"/>
      <c r="KO29" s="172"/>
      <c r="KP29" s="172"/>
      <c r="KQ29" s="172"/>
      <c r="KR29" s="172"/>
      <c r="KS29" s="172"/>
      <c r="KT29" s="172"/>
      <c r="KU29" s="172"/>
      <c r="KV29" s="172"/>
      <c r="KW29" s="172"/>
      <c r="KX29" s="172"/>
      <c r="KY29" s="172"/>
      <c r="KZ29" s="172"/>
      <c r="LA29" s="172"/>
      <c r="LB29" s="172"/>
      <c r="LC29" s="172"/>
      <c r="LD29" s="172"/>
      <c r="LE29" s="172"/>
      <c r="LF29" s="172"/>
      <c r="LG29" s="172"/>
      <c r="LH29" s="172"/>
      <c r="LI29" s="172"/>
      <c r="LJ29" s="172"/>
      <c r="LK29" s="172"/>
      <c r="LL29" s="172"/>
      <c r="LM29" s="172"/>
      <c r="LN29" s="172"/>
      <c r="LO29" s="172"/>
      <c r="LP29" s="172"/>
      <c r="LQ29" s="172"/>
      <c r="LR29" s="172"/>
      <c r="LS29" s="172"/>
      <c r="LT29" s="172"/>
      <c r="LU29" s="172"/>
      <c r="LV29" s="172"/>
      <c r="LW29" s="172"/>
      <c r="LX29" s="172"/>
      <c r="LY29" s="172"/>
      <c r="LZ29" s="172"/>
      <c r="MA29" s="172"/>
      <c r="MB29" s="172"/>
      <c r="MC29" s="172"/>
      <c r="MD29" s="172"/>
      <c r="ME29" s="172"/>
      <c r="MF29" s="172"/>
      <c r="MG29" s="172"/>
      <c r="MH29" s="172"/>
      <c r="MI29" s="172"/>
      <c r="MJ29" s="172"/>
      <c r="MK29" s="172"/>
      <c r="ML29" s="172"/>
      <c r="MM29" s="172"/>
      <c r="MN29" s="172"/>
      <c r="MO29" s="172"/>
      <c r="MP29" s="172"/>
      <c r="MQ29" s="172"/>
      <c r="MR29" s="172"/>
      <c r="MS29" s="172"/>
      <c r="MT29" s="172"/>
      <c r="MU29" s="172"/>
      <c r="MV29" s="172"/>
      <c r="MW29" s="172"/>
      <c r="MX29" s="172"/>
      <c r="MY29" s="172"/>
      <c r="MZ29" s="172"/>
      <c r="NA29" s="172"/>
      <c r="NB29" s="172"/>
      <c r="NC29" s="172"/>
      <c r="ND29" s="172"/>
      <c r="NE29" s="172"/>
      <c r="NF29" s="172"/>
      <c r="NG29" s="172"/>
      <c r="NH29" s="172"/>
      <c r="NI29" s="172"/>
      <c r="NJ29" s="172"/>
      <c r="NK29" s="172"/>
      <c r="NL29" s="172"/>
      <c r="NM29" s="172"/>
      <c r="NN29" s="172"/>
      <c r="NO29" s="172"/>
      <c r="NP29" s="172"/>
      <c r="NQ29" s="172"/>
      <c r="NR29" s="172"/>
      <c r="NS29" s="172"/>
      <c r="NT29" s="172"/>
      <c r="NU29" s="172"/>
      <c r="NV29" s="172"/>
      <c r="NW29" s="172"/>
      <c r="NX29" s="172"/>
      <c r="NY29" s="172"/>
      <c r="NZ29" s="172"/>
      <c r="OA29" s="172"/>
      <c r="OB29" s="172"/>
      <c r="OC29" s="172"/>
      <c r="OD29" s="172"/>
      <c r="OE29" s="172"/>
      <c r="OF29" s="172"/>
      <c r="OG29" s="172"/>
      <c r="OH29" s="172"/>
      <c r="OI29" s="172"/>
      <c r="OJ29" s="172"/>
      <c r="OK29" s="172"/>
      <c r="OL29" s="172"/>
      <c r="OM29" s="172"/>
      <c r="ON29" s="172"/>
      <c r="OO29" s="172"/>
      <c r="OP29" s="172"/>
      <c r="OQ29" s="172"/>
      <c r="OR29" s="172"/>
      <c r="OS29" s="172"/>
      <c r="OT29" s="172"/>
      <c r="OU29" s="172"/>
      <c r="OV29" s="172"/>
      <c r="OW29" s="172"/>
      <c r="OX29" s="172"/>
      <c r="OY29" s="172"/>
      <c r="OZ29" s="172"/>
      <c r="PA29" s="172"/>
      <c r="PB29" s="172"/>
      <c r="PC29" s="172"/>
      <c r="PD29" s="172"/>
      <c r="PE29" s="172"/>
      <c r="PF29" s="172"/>
      <c r="PG29" s="172"/>
      <c r="PH29" s="172"/>
      <c r="PI29" s="172"/>
      <c r="PJ29" s="172"/>
      <c r="PK29" s="172"/>
      <c r="PL29" s="172"/>
      <c r="PM29" s="172"/>
      <c r="PN29" s="172"/>
      <c r="PO29" s="172"/>
      <c r="PP29" s="172"/>
      <c r="PQ29" s="172"/>
      <c r="PR29" s="172"/>
      <c r="PS29" s="172"/>
      <c r="PT29" s="172"/>
      <c r="PU29" s="172"/>
      <c r="PV29" s="172"/>
      <c r="PW29" s="172"/>
      <c r="PX29" s="172"/>
      <c r="PY29" s="172"/>
      <c r="PZ29" s="172"/>
      <c r="QA29" s="172"/>
      <c r="QB29" s="172"/>
      <c r="QC29" s="172"/>
      <c r="QD29" s="172"/>
      <c r="QE29" s="172"/>
      <c r="QF29" s="172"/>
      <c r="QG29" s="172"/>
      <c r="QH29" s="172"/>
      <c r="QI29" s="172"/>
      <c r="QJ29" s="172"/>
      <c r="QK29" s="172"/>
      <c r="QL29" s="172"/>
      <c r="QM29" s="172"/>
      <c r="QN29" s="172"/>
      <c r="QO29" s="172"/>
      <c r="QP29" s="172"/>
      <c r="QQ29" s="172"/>
      <c r="QR29" s="172"/>
      <c r="QS29" s="172"/>
      <c r="QT29" s="172"/>
      <c r="QU29" s="172"/>
      <c r="QV29" s="172"/>
      <c r="QW29" s="172"/>
      <c r="QX29" s="172"/>
      <c r="QY29" s="172"/>
      <c r="QZ29" s="172"/>
      <c r="RA29" s="172"/>
      <c r="RB29" s="172"/>
      <c r="RC29" s="172"/>
      <c r="RD29" s="172"/>
      <c r="RE29" s="172"/>
      <c r="RF29" s="172"/>
      <c r="RG29" s="172"/>
      <c r="RH29" s="172"/>
      <c r="RI29" s="172"/>
      <c r="RJ29" s="172"/>
      <c r="RK29" s="172"/>
      <c r="RL29" s="172"/>
      <c r="RM29" s="172"/>
      <c r="RN29" s="172"/>
      <c r="RO29" s="172"/>
      <c r="RP29" s="172"/>
      <c r="RQ29" s="172"/>
      <c r="RR29" s="172"/>
      <c r="RS29" s="172"/>
      <c r="RT29" s="172"/>
      <c r="RU29" s="172"/>
      <c r="RV29" s="172"/>
      <c r="RW29" s="172"/>
      <c r="RX29" s="172"/>
      <c r="RY29" s="172"/>
      <c r="RZ29" s="172"/>
      <c r="SA29" s="172"/>
      <c r="SB29" s="172"/>
      <c r="SC29" s="172"/>
      <c r="SD29" s="172"/>
      <c r="SE29" s="172"/>
      <c r="SF29" s="172"/>
      <c r="SG29" s="172"/>
      <c r="SH29" s="172"/>
      <c r="SI29" s="172"/>
      <c r="SJ29" s="172"/>
      <c r="SK29" s="172"/>
      <c r="SL29" s="172"/>
      <c r="SM29" s="172"/>
      <c r="SN29" s="172"/>
      <c r="SO29" s="172"/>
      <c r="SP29" s="172"/>
      <c r="SQ29" s="172"/>
      <c r="SR29" s="172"/>
      <c r="SS29" s="172"/>
      <c r="ST29" s="172"/>
      <c r="SU29" s="172"/>
      <c r="SV29" s="172"/>
      <c r="SW29" s="172"/>
      <c r="SX29" s="172"/>
      <c r="SY29" s="172"/>
      <c r="SZ29" s="172"/>
      <c r="TA29" s="172"/>
      <c r="TB29" s="172"/>
      <c r="TC29" s="172"/>
      <c r="TD29" s="172"/>
      <c r="TE29" s="172"/>
      <c r="TF29" s="172"/>
      <c r="TG29" s="172"/>
      <c r="TH29" s="172"/>
      <c r="TI29" s="172"/>
      <c r="TJ29" s="172"/>
      <c r="TK29" s="172"/>
      <c r="TL29" s="172"/>
      <c r="TM29" s="172"/>
      <c r="TN29" s="172"/>
      <c r="TO29" s="172"/>
      <c r="TP29" s="172"/>
      <c r="TQ29" s="172"/>
      <c r="TR29" s="172"/>
      <c r="TS29" s="172"/>
      <c r="TT29" s="172"/>
      <c r="TU29" s="172"/>
      <c r="TV29" s="172"/>
      <c r="TW29" s="172"/>
      <c r="TX29" s="172"/>
      <c r="TY29" s="172"/>
      <c r="TZ29" s="172"/>
      <c r="UA29" s="172"/>
      <c r="UB29" s="172"/>
      <c r="UC29" s="172"/>
      <c r="UD29" s="172"/>
      <c r="UE29" s="172"/>
      <c r="UF29" s="172"/>
      <c r="UG29" s="172"/>
      <c r="UH29" s="172"/>
      <c r="UI29" s="172"/>
      <c r="UJ29" s="172"/>
      <c r="UK29" s="172"/>
      <c r="UL29" s="172"/>
      <c r="UM29" s="172"/>
      <c r="UN29" s="172"/>
      <c r="UO29" s="172"/>
      <c r="UP29" s="172"/>
      <c r="UQ29" s="172"/>
      <c r="UR29" s="172"/>
      <c r="US29" s="172"/>
      <c r="UT29" s="172"/>
      <c r="UU29" s="172"/>
      <c r="UV29" s="172"/>
      <c r="UW29" s="172"/>
      <c r="UX29" s="172"/>
      <c r="UY29" s="172"/>
      <c r="UZ29" s="172"/>
      <c r="VA29" s="172"/>
      <c r="VB29" s="172"/>
      <c r="VC29" s="172"/>
      <c r="VD29" s="172"/>
      <c r="VE29" s="172"/>
      <c r="VF29" s="172"/>
      <c r="VG29" s="172"/>
      <c r="VH29" s="172"/>
      <c r="VI29" s="172"/>
      <c r="VJ29" s="172"/>
      <c r="VK29" s="172"/>
      <c r="VL29" s="172"/>
      <c r="VM29" s="172"/>
      <c r="VN29" s="172"/>
      <c r="VO29" s="172"/>
      <c r="VP29" s="172"/>
      <c r="VQ29" s="172"/>
      <c r="VR29" s="172"/>
      <c r="VS29" s="172"/>
      <c r="VT29" s="172"/>
      <c r="VU29" s="172"/>
      <c r="VV29" s="172"/>
      <c r="VW29" s="172"/>
      <c r="VX29" s="172"/>
      <c r="VY29" s="172"/>
      <c r="VZ29" s="172"/>
      <c r="WA29" s="172"/>
      <c r="WB29" s="172"/>
      <c r="WC29" s="172"/>
      <c r="WD29" s="172"/>
      <c r="WE29" s="172"/>
      <c r="WF29" s="172"/>
      <c r="WG29" s="172"/>
      <c r="WH29" s="172"/>
      <c r="WI29" s="172"/>
      <c r="WJ29" s="172"/>
      <c r="WK29" s="172"/>
      <c r="WL29" s="172"/>
      <c r="WM29" s="172"/>
      <c r="WN29" s="172"/>
      <c r="WO29" s="172"/>
      <c r="WP29" s="172"/>
      <c r="WQ29" s="172"/>
      <c r="WR29" s="172"/>
      <c r="WS29" s="172"/>
      <c r="WT29" s="172"/>
      <c r="WU29" s="172"/>
      <c r="WV29" s="172"/>
      <c r="WW29" s="172"/>
      <c r="WX29" s="172"/>
      <c r="WY29" s="172"/>
      <c r="WZ29" s="172"/>
      <c r="XA29" s="172"/>
      <c r="XB29" s="172"/>
      <c r="XC29" s="172"/>
      <c r="XD29" s="172"/>
      <c r="XE29" s="172"/>
      <c r="XF29" s="172"/>
      <c r="XG29" s="172"/>
      <c r="XH29" s="172"/>
      <c r="XI29" s="172"/>
      <c r="XJ29" s="172"/>
      <c r="XK29" s="172"/>
      <c r="XL29" s="172"/>
      <c r="XM29" s="172"/>
      <c r="XN29" s="172"/>
      <c r="XO29" s="172"/>
      <c r="XP29" s="172"/>
      <c r="XQ29" s="172"/>
      <c r="XR29" s="172"/>
      <c r="XS29" s="172"/>
      <c r="XT29" s="172"/>
      <c r="XU29" s="172"/>
      <c r="XV29" s="172"/>
      <c r="XW29" s="172"/>
      <c r="XX29" s="172"/>
      <c r="XY29" s="172"/>
      <c r="XZ29" s="172"/>
      <c r="YA29" s="172"/>
      <c r="YB29" s="172"/>
      <c r="YC29" s="172"/>
      <c r="YD29" s="172"/>
      <c r="YE29" s="172"/>
      <c r="YF29" s="172"/>
      <c r="YG29" s="172"/>
      <c r="YH29" s="172"/>
      <c r="YI29" s="172"/>
      <c r="YJ29" s="172"/>
      <c r="YK29" s="172"/>
      <c r="YL29" s="172"/>
      <c r="YM29" s="172"/>
      <c r="YN29" s="172"/>
      <c r="YO29" s="172"/>
      <c r="YP29" s="172"/>
      <c r="YQ29" s="172"/>
      <c r="YR29" s="172"/>
      <c r="YS29" s="172"/>
      <c r="YT29" s="172"/>
      <c r="YU29" s="172"/>
      <c r="YV29" s="172"/>
      <c r="YW29" s="172"/>
      <c r="YX29" s="172"/>
      <c r="YY29" s="172"/>
      <c r="YZ29" s="172"/>
      <c r="ZA29" s="172"/>
      <c r="ZB29" s="172"/>
      <c r="ZC29" s="172"/>
      <c r="ZD29" s="172"/>
      <c r="ZE29" s="172"/>
      <c r="ZF29" s="172"/>
      <c r="ZG29" s="172"/>
      <c r="ZH29" s="172"/>
      <c r="ZI29" s="172"/>
      <c r="ZJ29" s="172"/>
      <c r="ZK29" s="172"/>
      <c r="ZL29" s="172"/>
      <c r="ZM29" s="172"/>
      <c r="ZN29" s="172"/>
      <c r="ZO29" s="172"/>
      <c r="ZP29" s="172"/>
      <c r="ZQ29" s="172"/>
      <c r="ZR29" s="172"/>
      <c r="ZS29" s="172"/>
      <c r="ZT29" s="172"/>
      <c r="ZU29" s="172"/>
      <c r="ZV29" s="172"/>
      <c r="ZW29" s="172"/>
      <c r="ZX29" s="172"/>
      <c r="ZY29" s="172"/>
      <c r="ZZ29" s="172"/>
      <c r="AAA29" s="172"/>
      <c r="AAB29" s="172"/>
      <c r="AAC29" s="172"/>
      <c r="AAD29" s="172"/>
      <c r="AAE29" s="172"/>
      <c r="AAF29" s="172"/>
      <c r="AAG29" s="172"/>
      <c r="AAH29" s="172"/>
      <c r="AAI29" s="172"/>
      <c r="AAJ29" s="172"/>
      <c r="AAK29" s="172"/>
      <c r="AAL29" s="172"/>
      <c r="AAM29" s="172"/>
      <c r="AAN29" s="172"/>
      <c r="AAO29" s="172"/>
      <c r="AAP29" s="172"/>
      <c r="AAQ29" s="172"/>
      <c r="AAR29" s="172"/>
      <c r="AAS29" s="172"/>
      <c r="AAT29" s="172"/>
      <c r="AAU29" s="172"/>
      <c r="AAV29" s="172"/>
      <c r="AAW29" s="172"/>
      <c r="AAX29" s="172"/>
      <c r="AAY29" s="172"/>
      <c r="AAZ29" s="172"/>
      <c r="ABA29" s="172"/>
      <c r="ABB29" s="172"/>
      <c r="ABC29" s="172"/>
      <c r="ABD29" s="172"/>
      <c r="ABE29" s="172"/>
      <c r="ABF29" s="172"/>
      <c r="ABG29" s="172"/>
      <c r="ABH29" s="172"/>
      <c r="ABI29" s="172"/>
      <c r="ABJ29" s="172"/>
      <c r="ABK29" s="172"/>
      <c r="ABL29" s="172"/>
      <c r="ABM29" s="172"/>
      <c r="ABN29" s="172"/>
      <c r="ABO29" s="172"/>
      <c r="ABP29" s="172"/>
      <c r="ABQ29" s="172"/>
      <c r="ABR29" s="172"/>
      <c r="ABS29" s="172"/>
      <c r="ABT29" s="172"/>
      <c r="ABU29" s="172"/>
      <c r="ABV29" s="172"/>
      <c r="ABW29" s="172"/>
      <c r="ABX29" s="172"/>
      <c r="ABY29" s="172"/>
      <c r="ABZ29" s="172"/>
      <c r="ACA29" s="172"/>
      <c r="ACB29" s="172"/>
      <c r="ACC29" s="172"/>
      <c r="ACD29" s="172"/>
      <c r="ACE29" s="172"/>
      <c r="ACF29" s="172"/>
      <c r="ACG29" s="172"/>
      <c r="ACH29" s="172"/>
      <c r="ACI29" s="172"/>
      <c r="ACJ29" s="172"/>
      <c r="ACK29" s="172"/>
      <c r="ACL29" s="172"/>
      <c r="ACM29" s="172"/>
      <c r="ACN29" s="172"/>
      <c r="ACO29" s="172"/>
      <c r="ACP29" s="172"/>
      <c r="ACQ29" s="172"/>
      <c r="ACR29" s="172"/>
      <c r="ACS29" s="172"/>
      <c r="ACT29" s="172"/>
      <c r="ACU29" s="172"/>
      <c r="ACV29" s="172"/>
      <c r="ACW29" s="172"/>
      <c r="ACX29" s="172"/>
      <c r="ACY29" s="172"/>
      <c r="ACZ29" s="172"/>
      <c r="ADA29" s="172"/>
      <c r="ADB29" s="172"/>
      <c r="ADC29" s="172"/>
      <c r="ADD29" s="172"/>
      <c r="ADE29" s="172"/>
      <c r="ADF29" s="172"/>
      <c r="ADG29" s="172"/>
      <c r="ADH29" s="172"/>
      <c r="ADI29" s="172"/>
      <c r="ADJ29" s="172"/>
      <c r="ADK29" s="172"/>
      <c r="ADL29" s="172"/>
      <c r="ADM29" s="172"/>
      <c r="ADN29" s="172"/>
      <c r="ADO29" s="172"/>
      <c r="ADP29" s="172"/>
      <c r="ADQ29" s="172"/>
      <c r="ADR29" s="172"/>
      <c r="ADS29" s="172"/>
      <c r="ADT29" s="172"/>
      <c r="ADU29" s="172"/>
      <c r="ADV29" s="172"/>
      <c r="ADW29" s="172"/>
      <c r="ADX29" s="172"/>
      <c r="ADY29" s="172"/>
      <c r="ADZ29" s="172"/>
      <c r="AEA29" s="172"/>
      <c r="AEB29" s="172"/>
      <c r="AEC29" s="172"/>
      <c r="AED29" s="172"/>
      <c r="AEE29" s="172"/>
      <c r="AEF29" s="172"/>
      <c r="AEG29" s="172"/>
      <c r="AEH29" s="172"/>
      <c r="AEI29" s="172"/>
      <c r="AEJ29" s="172"/>
      <c r="AEK29" s="172"/>
      <c r="AEL29" s="172"/>
      <c r="AEM29" s="172"/>
      <c r="AEN29" s="172"/>
      <c r="AEO29" s="172"/>
      <c r="AEP29" s="172"/>
      <c r="AEQ29" s="172"/>
      <c r="AER29" s="172"/>
      <c r="AES29" s="172"/>
      <c r="AET29" s="172"/>
      <c r="AEU29" s="172"/>
      <c r="AEV29" s="172"/>
      <c r="AEW29" s="172"/>
      <c r="AEX29" s="172"/>
      <c r="AEY29" s="172"/>
      <c r="AEZ29" s="172"/>
      <c r="AFA29" s="172"/>
      <c r="AFB29" s="172"/>
      <c r="AFC29" s="172"/>
      <c r="AFD29" s="172"/>
      <c r="AFE29" s="172"/>
      <c r="AFF29" s="172"/>
      <c r="AFG29" s="172"/>
      <c r="AFH29" s="172"/>
      <c r="AFI29" s="172"/>
      <c r="AFJ29" s="172"/>
      <c r="AFK29" s="172"/>
      <c r="AFL29" s="172"/>
      <c r="AFM29" s="172"/>
      <c r="AFN29" s="172"/>
      <c r="AFO29" s="172"/>
      <c r="AFP29" s="172"/>
      <c r="AFQ29" s="172"/>
      <c r="AFR29" s="172"/>
      <c r="AFS29" s="172"/>
      <c r="AFT29" s="172"/>
      <c r="AFU29" s="172"/>
      <c r="AFV29" s="172"/>
      <c r="AFW29" s="172"/>
      <c r="AFX29" s="172"/>
      <c r="AFY29" s="172"/>
      <c r="AFZ29" s="172"/>
      <c r="AGA29" s="172"/>
      <c r="AGB29" s="172"/>
      <c r="AGC29" s="172"/>
      <c r="AGD29" s="172"/>
      <c r="AGE29" s="172"/>
      <c r="AGF29" s="172"/>
      <c r="AGG29" s="172"/>
      <c r="AGH29" s="172"/>
      <c r="AGI29" s="172"/>
      <c r="AGJ29" s="172"/>
      <c r="AGK29" s="172"/>
      <c r="AGL29" s="172"/>
      <c r="AGM29" s="172"/>
      <c r="AGN29" s="172"/>
      <c r="AGO29" s="172"/>
      <c r="AGP29" s="172"/>
      <c r="AGQ29" s="172"/>
      <c r="AGR29" s="172"/>
      <c r="AGS29" s="172"/>
      <c r="AGT29" s="172"/>
      <c r="AGU29" s="172"/>
      <c r="AGV29" s="172"/>
      <c r="AGW29" s="172"/>
      <c r="AGX29" s="172"/>
      <c r="AGY29" s="172"/>
      <c r="AGZ29" s="172"/>
      <c r="AHA29" s="172"/>
      <c r="AHB29" s="172"/>
      <c r="AHC29" s="172"/>
      <c r="AHD29" s="172"/>
      <c r="AHE29" s="172"/>
      <c r="AHF29" s="172"/>
      <c r="AHG29" s="172"/>
      <c r="AHH29" s="172"/>
      <c r="AHI29" s="172"/>
      <c r="AHJ29" s="172"/>
      <c r="AHK29" s="172"/>
      <c r="AHL29" s="172"/>
      <c r="AHM29" s="172"/>
      <c r="AHN29" s="172"/>
      <c r="AHO29" s="172"/>
      <c r="AHP29" s="172"/>
      <c r="AHQ29" s="172"/>
      <c r="AHR29" s="172"/>
      <c r="AHS29" s="172"/>
      <c r="AHT29" s="172"/>
      <c r="AHU29" s="172"/>
      <c r="AHV29" s="172"/>
      <c r="AHW29" s="172"/>
      <c r="AHX29" s="172"/>
      <c r="AHY29" s="172"/>
      <c r="AHZ29" s="172"/>
      <c r="AIA29" s="172"/>
      <c r="AIB29" s="172"/>
      <c r="AIC29" s="172"/>
      <c r="AID29" s="172"/>
      <c r="AIE29" s="172"/>
      <c r="AIF29" s="172"/>
      <c r="AIG29" s="172"/>
      <c r="AIH29" s="172"/>
      <c r="AII29" s="172"/>
      <c r="AIJ29" s="172"/>
      <c r="AIK29" s="172"/>
      <c r="AIL29" s="172"/>
      <c r="AIM29" s="172"/>
      <c r="AIN29" s="172"/>
      <c r="AIO29" s="172"/>
      <c r="AIP29" s="172"/>
      <c r="AIQ29" s="172"/>
      <c r="AIR29" s="172"/>
      <c r="AIS29" s="172"/>
      <c r="AIT29" s="172"/>
      <c r="AIU29" s="172"/>
      <c r="AIV29" s="172"/>
      <c r="AIW29" s="172"/>
      <c r="AIX29" s="172"/>
      <c r="AIY29" s="172"/>
      <c r="AIZ29" s="172"/>
      <c r="AJA29" s="172"/>
      <c r="AJB29" s="172"/>
      <c r="AJC29" s="172"/>
      <c r="AJD29" s="172"/>
      <c r="AJE29" s="172"/>
      <c r="AJF29" s="172"/>
      <c r="AJG29" s="172"/>
      <c r="AJH29" s="172"/>
      <c r="AJI29" s="172"/>
      <c r="AJJ29" s="172"/>
      <c r="AJK29" s="172"/>
      <c r="AJL29" s="172"/>
      <c r="AJM29" s="172"/>
      <c r="AJN29" s="172"/>
      <c r="AJO29" s="172"/>
      <c r="AJP29" s="172"/>
      <c r="AJQ29" s="172"/>
      <c r="AJR29" s="172"/>
      <c r="AJS29" s="172"/>
      <c r="AJT29" s="172"/>
      <c r="AJU29" s="172"/>
      <c r="AJV29" s="172"/>
      <c r="AJW29" s="172"/>
      <c r="AJX29" s="172"/>
      <c r="AJY29" s="172"/>
      <c r="AJZ29" s="172"/>
      <c r="AKA29" s="172"/>
      <c r="AKB29" s="172"/>
      <c r="AKC29" s="172"/>
      <c r="AKD29" s="172"/>
      <c r="AKE29" s="172"/>
      <c r="AKF29" s="172"/>
      <c r="AKG29" s="172"/>
      <c r="AKH29" s="172"/>
      <c r="AKI29" s="172"/>
      <c r="AKJ29" s="172"/>
      <c r="AKK29" s="172"/>
      <c r="AKL29" s="172"/>
      <c r="AKM29" s="172"/>
      <c r="AKN29" s="172"/>
      <c r="AKO29" s="172"/>
      <c r="AKP29" s="172"/>
      <c r="AKQ29" s="172"/>
      <c r="AKR29" s="172"/>
      <c r="AKS29" s="172"/>
      <c r="AKT29" s="172"/>
      <c r="AKU29" s="172"/>
      <c r="AKV29" s="172"/>
      <c r="AKW29" s="172"/>
      <c r="AKX29" s="172"/>
      <c r="AKY29" s="172"/>
      <c r="AKZ29" s="172"/>
      <c r="ALA29" s="172"/>
      <c r="ALB29" s="172"/>
      <c r="ALC29" s="172"/>
      <c r="ALD29" s="172"/>
      <c r="ALE29" s="172"/>
      <c r="ALF29" s="172"/>
      <c r="ALG29" s="172"/>
      <c r="ALH29" s="172"/>
      <c r="ALI29" s="172"/>
      <c r="ALJ29" s="172"/>
      <c r="ALK29" s="172"/>
      <c r="ALL29" s="172"/>
      <c r="ALM29" s="172"/>
      <c r="ALN29" s="172"/>
      <c r="ALO29" s="172"/>
      <c r="ALP29" s="172"/>
      <c r="ALQ29" s="172"/>
      <c r="ALR29" s="172"/>
      <c r="ALS29" s="172"/>
      <c r="ALT29" s="172"/>
      <c r="ALU29" s="172"/>
      <c r="ALV29" s="172"/>
      <c r="ALW29" s="172"/>
      <c r="ALX29" s="172"/>
      <c r="ALY29" s="172"/>
      <c r="ALZ29" s="172"/>
      <c r="AMA29" s="172"/>
      <c r="AMB29" s="172"/>
      <c r="AMC29" s="172"/>
      <c r="AMD29" s="172"/>
      <c r="AME29" s="172"/>
      <c r="AMF29" s="172"/>
      <c r="AMG29" s="172"/>
      <c r="AMH29" s="172"/>
      <c r="AMI29" s="172"/>
      <c r="AMJ29" s="172"/>
      <c r="AMK29" s="172"/>
      <c r="AML29" s="172"/>
      <c r="AMM29" s="172"/>
      <c r="AMN29" s="172"/>
      <c r="AMO29" s="172"/>
      <c r="AMP29" s="172"/>
      <c r="AMQ29" s="172"/>
      <c r="AMR29" s="172"/>
      <c r="AMS29" s="172"/>
      <c r="AMT29" s="172"/>
      <c r="AMU29" s="172"/>
      <c r="AMV29" s="172"/>
      <c r="AMW29" s="172"/>
      <c r="AMX29" s="172"/>
      <c r="AMY29" s="172"/>
      <c r="AMZ29" s="172"/>
      <c r="ANA29" s="172"/>
      <c r="ANB29" s="172"/>
      <c r="ANC29" s="172"/>
      <c r="AND29" s="172"/>
      <c r="ANE29" s="172"/>
      <c r="ANF29" s="172"/>
      <c r="ANG29" s="172"/>
      <c r="ANH29" s="172"/>
      <c r="ANI29" s="172"/>
      <c r="ANJ29" s="172"/>
      <c r="ANK29" s="172"/>
      <c r="ANL29" s="172"/>
      <c r="ANM29" s="172"/>
      <c r="ANN29" s="172"/>
      <c r="ANO29" s="172"/>
      <c r="ANP29" s="172"/>
      <c r="ANQ29" s="172"/>
      <c r="ANR29" s="172"/>
      <c r="ANS29" s="172"/>
      <c r="ANT29" s="172"/>
      <c r="ANU29" s="172"/>
      <c r="ANV29" s="172"/>
      <c r="ANW29" s="172"/>
      <c r="ANX29" s="172"/>
      <c r="ANY29" s="172"/>
      <c r="ANZ29" s="172"/>
      <c r="AOA29" s="172"/>
      <c r="AOB29" s="172"/>
      <c r="AOC29" s="172"/>
      <c r="AOD29" s="172"/>
      <c r="AOE29" s="172"/>
      <c r="AOF29" s="172"/>
      <c r="AOG29" s="172"/>
      <c r="AOH29" s="172"/>
      <c r="AOI29" s="172"/>
      <c r="AOJ29" s="172"/>
      <c r="AOK29" s="172"/>
      <c r="AOL29" s="172"/>
      <c r="AOM29" s="172"/>
      <c r="AON29" s="172"/>
      <c r="AOO29" s="172"/>
      <c r="AOP29" s="172"/>
      <c r="AOQ29" s="172"/>
      <c r="AOR29" s="172"/>
      <c r="AOS29" s="172"/>
      <c r="AOT29" s="172"/>
      <c r="AOU29" s="172"/>
      <c r="AOV29" s="172"/>
      <c r="AOW29" s="172"/>
      <c r="AOX29" s="172"/>
      <c r="AOY29" s="172"/>
      <c r="AOZ29" s="172"/>
      <c r="APA29" s="172"/>
      <c r="APB29" s="172"/>
      <c r="APC29" s="172"/>
      <c r="APD29" s="172"/>
      <c r="APE29" s="172"/>
      <c r="APF29" s="172"/>
      <c r="APG29" s="172"/>
      <c r="APH29" s="172"/>
      <c r="API29" s="172"/>
      <c r="APJ29" s="172"/>
      <c r="APK29" s="172"/>
      <c r="APL29" s="172"/>
      <c r="APM29" s="172"/>
      <c r="APN29" s="172"/>
      <c r="APO29" s="172"/>
      <c r="APP29" s="172"/>
      <c r="APQ29" s="172"/>
      <c r="APR29" s="172"/>
      <c r="APS29" s="172"/>
      <c r="APT29" s="172"/>
      <c r="APU29" s="172"/>
      <c r="APV29" s="172"/>
      <c r="APW29" s="172"/>
      <c r="APX29" s="172"/>
      <c r="APY29" s="172"/>
      <c r="APZ29" s="172"/>
      <c r="AQA29" s="172"/>
      <c r="AQB29" s="172"/>
      <c r="AQC29" s="172"/>
      <c r="AQD29" s="172"/>
      <c r="AQE29" s="172"/>
      <c r="AQF29" s="172"/>
      <c r="AQG29" s="172"/>
      <c r="AQH29" s="172"/>
      <c r="AQI29" s="172"/>
      <c r="AQJ29" s="172"/>
      <c r="AQK29" s="172"/>
      <c r="AQL29" s="172"/>
      <c r="AQM29" s="172"/>
      <c r="AQN29" s="172"/>
      <c r="AQO29" s="172"/>
      <c r="AQP29" s="172"/>
      <c r="AQQ29" s="172"/>
      <c r="AQR29" s="172"/>
      <c r="AQS29" s="172"/>
      <c r="AQT29" s="172"/>
      <c r="AQU29" s="172"/>
      <c r="AQV29" s="172"/>
      <c r="AQW29" s="172"/>
      <c r="AQX29" s="172"/>
      <c r="AQY29" s="172"/>
      <c r="AQZ29" s="172"/>
      <c r="ARA29" s="172"/>
      <c r="ARB29" s="172"/>
      <c r="ARC29" s="172"/>
      <c r="ARD29" s="172"/>
      <c r="ARE29" s="172"/>
      <c r="ARF29" s="172"/>
      <c r="ARG29" s="172"/>
      <c r="ARH29" s="172"/>
      <c r="ARI29" s="172"/>
      <c r="ARJ29" s="172"/>
      <c r="ARK29" s="172"/>
      <c r="ARL29" s="172"/>
      <c r="ARM29" s="172"/>
      <c r="ARN29" s="172"/>
      <c r="ARO29" s="172"/>
      <c r="ARP29" s="172"/>
      <c r="ARQ29" s="172"/>
      <c r="ARR29" s="172"/>
      <c r="ARS29" s="172"/>
      <c r="ART29" s="172"/>
      <c r="ARU29" s="172"/>
      <c r="ARV29" s="172"/>
      <c r="ARW29" s="172"/>
      <c r="ARX29" s="172"/>
      <c r="ARY29" s="172"/>
      <c r="ARZ29" s="172"/>
      <c r="ASA29" s="172"/>
      <c r="ASB29" s="172"/>
      <c r="ASC29" s="172"/>
      <c r="ASD29" s="172"/>
      <c r="ASE29" s="172"/>
      <c r="ASF29" s="172"/>
      <c r="ASG29" s="172"/>
      <c r="ASH29" s="172"/>
      <c r="ASI29" s="172"/>
      <c r="ASJ29" s="172"/>
      <c r="ASK29" s="172"/>
      <c r="ASL29" s="172"/>
      <c r="ASM29" s="172"/>
      <c r="ASN29" s="172"/>
      <c r="ASO29" s="172"/>
      <c r="ASP29" s="172"/>
      <c r="ASQ29" s="172"/>
      <c r="ASR29" s="172"/>
      <c r="ASS29" s="172"/>
      <c r="AST29" s="172"/>
      <c r="ASU29" s="172"/>
      <c r="ASV29" s="172"/>
      <c r="ASW29" s="172"/>
      <c r="ASX29" s="172"/>
      <c r="ASY29" s="172"/>
      <c r="ASZ29" s="172"/>
      <c r="ATA29" s="172"/>
      <c r="ATB29" s="172"/>
      <c r="ATC29" s="172"/>
      <c r="ATD29" s="172"/>
      <c r="ATE29" s="172"/>
      <c r="ATF29" s="172"/>
      <c r="ATG29" s="172"/>
      <c r="ATH29" s="172"/>
      <c r="ATI29" s="172"/>
      <c r="ATJ29" s="172"/>
      <c r="ATK29" s="172"/>
      <c r="ATL29" s="172"/>
      <c r="ATM29" s="172"/>
      <c r="ATN29" s="172"/>
      <c r="ATO29" s="172"/>
      <c r="ATP29" s="172"/>
      <c r="ATQ29" s="172"/>
      <c r="ATR29" s="172"/>
      <c r="ATS29" s="172"/>
      <c r="ATT29" s="172"/>
      <c r="ATU29" s="172"/>
      <c r="ATV29" s="172"/>
      <c r="ATW29" s="172"/>
      <c r="ATX29" s="172"/>
      <c r="ATY29" s="172"/>
      <c r="ATZ29" s="172"/>
      <c r="AUA29" s="172"/>
      <c r="AUB29" s="172"/>
      <c r="AUC29" s="172"/>
      <c r="AUD29" s="172"/>
      <c r="AUE29" s="172"/>
      <c r="AUF29" s="172"/>
      <c r="AUG29" s="172"/>
      <c r="AUH29" s="172"/>
      <c r="AUI29" s="172"/>
      <c r="AUJ29" s="172"/>
      <c r="AUK29" s="172"/>
      <c r="AUL29" s="172"/>
      <c r="AUM29" s="172"/>
      <c r="AUN29" s="172"/>
      <c r="AUO29" s="172"/>
      <c r="AUP29" s="172"/>
      <c r="AUQ29" s="172"/>
      <c r="AUR29" s="172"/>
      <c r="AUS29" s="172"/>
      <c r="AUT29" s="172"/>
      <c r="AUU29" s="172"/>
      <c r="AUV29" s="172"/>
      <c r="AUW29" s="172"/>
      <c r="AUX29" s="172"/>
      <c r="AUY29" s="172"/>
      <c r="AUZ29" s="172"/>
      <c r="AVA29" s="172"/>
      <c r="AVB29" s="172"/>
      <c r="AVC29" s="172"/>
      <c r="AVD29" s="172"/>
      <c r="AVE29" s="172"/>
      <c r="AVF29" s="172"/>
      <c r="AVG29" s="172"/>
      <c r="AVH29" s="172"/>
      <c r="AVI29" s="172"/>
      <c r="AVJ29" s="172"/>
      <c r="AVK29" s="172"/>
      <c r="AVL29" s="172"/>
      <c r="AVM29" s="172"/>
      <c r="AVN29" s="172"/>
      <c r="AVO29" s="172"/>
      <c r="AVP29" s="172"/>
      <c r="AVQ29" s="172"/>
      <c r="AVR29" s="172"/>
      <c r="AVS29" s="172"/>
      <c r="AVT29" s="172"/>
      <c r="AVU29" s="172"/>
      <c r="AVV29" s="172"/>
      <c r="AVW29" s="172"/>
      <c r="AVX29" s="172"/>
      <c r="AVY29" s="172"/>
      <c r="AVZ29" s="172"/>
      <c r="AWA29" s="172"/>
      <c r="AWB29" s="172"/>
      <c r="AWC29" s="172"/>
      <c r="AWD29" s="172"/>
      <c r="AWE29" s="172"/>
      <c r="AWF29" s="172"/>
      <c r="AWG29" s="172"/>
      <c r="AWH29" s="172"/>
      <c r="AWI29" s="172"/>
      <c r="AWJ29" s="172"/>
      <c r="AWK29" s="172"/>
      <c r="AWL29" s="172"/>
      <c r="AWM29" s="172"/>
      <c r="AWN29" s="172"/>
      <c r="AWO29" s="172"/>
      <c r="AWP29" s="172"/>
      <c r="AWQ29" s="172"/>
      <c r="AWR29" s="172"/>
      <c r="AWS29" s="172"/>
      <c r="AWT29" s="172"/>
      <c r="AWU29" s="172"/>
      <c r="AWV29" s="172"/>
      <c r="AWW29" s="172"/>
      <c r="AWX29" s="172"/>
      <c r="AWY29" s="172"/>
      <c r="AWZ29" s="172"/>
      <c r="AXA29" s="172"/>
      <c r="AXB29" s="172"/>
      <c r="AXC29" s="172"/>
      <c r="AXD29" s="172"/>
      <c r="AXE29" s="172"/>
      <c r="AXF29" s="172"/>
      <c r="AXG29" s="172"/>
      <c r="AXH29" s="172"/>
      <c r="AXI29" s="172"/>
      <c r="AXJ29" s="172"/>
      <c r="AXK29" s="172"/>
      <c r="AXL29" s="172"/>
      <c r="AXM29" s="172"/>
      <c r="AXN29" s="172"/>
      <c r="AXO29" s="172"/>
      <c r="AXP29" s="172"/>
      <c r="AXQ29" s="172"/>
      <c r="AXR29" s="172"/>
      <c r="AXS29" s="172"/>
      <c r="AXT29" s="172"/>
      <c r="AXU29" s="172"/>
      <c r="AXV29" s="172"/>
      <c r="AXW29" s="172"/>
      <c r="AXX29" s="172"/>
      <c r="AXY29" s="172"/>
      <c r="AXZ29" s="172"/>
      <c r="AYA29" s="172"/>
      <c r="AYB29" s="172"/>
      <c r="AYC29" s="172"/>
      <c r="AYD29" s="172"/>
      <c r="AYE29" s="172"/>
      <c r="AYF29" s="172"/>
      <c r="AYG29" s="172"/>
      <c r="AYH29" s="172"/>
      <c r="AYI29" s="172"/>
      <c r="AYJ29" s="172"/>
      <c r="AYK29" s="172"/>
      <c r="AYL29" s="172"/>
      <c r="AYM29" s="172"/>
      <c r="AYN29" s="172"/>
      <c r="AYO29" s="172"/>
      <c r="AYP29" s="172"/>
      <c r="AYQ29" s="172"/>
      <c r="AYR29" s="172"/>
      <c r="AYS29" s="172"/>
      <c r="AYT29" s="172"/>
      <c r="AYU29" s="172"/>
      <c r="AYV29" s="172"/>
      <c r="AYW29" s="172"/>
      <c r="AYX29" s="172"/>
      <c r="AYY29" s="172"/>
      <c r="AYZ29" s="172"/>
      <c r="AZA29" s="172"/>
      <c r="AZB29" s="172"/>
      <c r="AZC29" s="172"/>
      <c r="AZD29" s="172"/>
      <c r="AZE29" s="172"/>
      <c r="AZF29" s="172"/>
      <c r="AZG29" s="172"/>
      <c r="AZH29" s="172"/>
      <c r="AZI29" s="172"/>
      <c r="AZJ29" s="172"/>
      <c r="AZK29" s="172"/>
      <c r="AZL29" s="172"/>
      <c r="AZM29" s="172"/>
      <c r="AZN29" s="172"/>
      <c r="AZO29" s="172"/>
      <c r="AZP29" s="172"/>
      <c r="AZQ29" s="172"/>
      <c r="AZR29" s="172"/>
      <c r="AZS29" s="172"/>
      <c r="AZT29" s="172"/>
      <c r="AZU29" s="172"/>
      <c r="AZV29" s="172"/>
      <c r="AZW29" s="172"/>
      <c r="AZX29" s="172"/>
      <c r="AZY29" s="172"/>
      <c r="AZZ29" s="172"/>
      <c r="BAA29" s="172"/>
      <c r="BAB29" s="172"/>
      <c r="BAC29" s="172"/>
      <c r="BAD29" s="172"/>
      <c r="BAE29" s="172"/>
      <c r="BAF29" s="172"/>
      <c r="BAG29" s="172"/>
      <c r="BAH29" s="172"/>
      <c r="BAI29" s="172"/>
      <c r="BAJ29" s="172"/>
      <c r="BAK29" s="172"/>
      <c r="BAL29" s="172"/>
      <c r="BAM29" s="172"/>
      <c r="BAN29" s="172"/>
      <c r="BAO29" s="172"/>
      <c r="BAP29" s="172"/>
      <c r="BAQ29" s="172"/>
      <c r="BAR29" s="172"/>
      <c r="BAS29" s="172"/>
      <c r="BAT29" s="172"/>
      <c r="BAU29" s="172"/>
      <c r="BAV29" s="172"/>
      <c r="BAW29" s="172"/>
      <c r="BAX29" s="172"/>
      <c r="BAY29" s="172"/>
      <c r="BAZ29" s="172"/>
      <c r="BBA29" s="172"/>
      <c r="BBB29" s="172"/>
      <c r="BBC29" s="172"/>
      <c r="BBD29" s="172"/>
      <c r="BBE29" s="172"/>
      <c r="BBF29" s="172"/>
      <c r="BBG29" s="172"/>
      <c r="BBH29" s="172"/>
      <c r="BBI29" s="172"/>
      <c r="BBJ29" s="172"/>
      <c r="BBK29" s="172"/>
      <c r="BBL29" s="172"/>
      <c r="BBM29" s="172"/>
      <c r="BBN29" s="172"/>
      <c r="BBO29" s="172"/>
      <c r="BBP29" s="172"/>
      <c r="BBQ29" s="172"/>
      <c r="BBR29" s="172"/>
      <c r="BBS29" s="172"/>
      <c r="BBT29" s="172"/>
      <c r="BBU29" s="172"/>
      <c r="BBV29" s="172"/>
      <c r="BBW29" s="172"/>
      <c r="BBX29" s="172"/>
      <c r="BBY29" s="172"/>
      <c r="BBZ29" s="172"/>
      <c r="BCA29" s="172"/>
      <c r="BCB29" s="172"/>
      <c r="BCC29" s="172"/>
      <c r="BCD29" s="172"/>
      <c r="BCE29" s="172"/>
      <c r="BCF29" s="172"/>
      <c r="BCG29" s="172"/>
      <c r="BCH29" s="172"/>
      <c r="BCI29" s="172"/>
      <c r="BCJ29" s="172"/>
      <c r="BCK29" s="172"/>
      <c r="BCL29" s="172"/>
      <c r="BCM29" s="172"/>
      <c r="BCN29" s="172"/>
      <c r="BCO29" s="172"/>
      <c r="BCP29" s="172"/>
      <c r="BCQ29" s="172"/>
      <c r="BCR29" s="172"/>
      <c r="BCS29" s="172"/>
      <c r="BCT29" s="172"/>
      <c r="BCU29" s="172"/>
      <c r="BCV29" s="172"/>
      <c r="BCW29" s="172"/>
      <c r="BCX29" s="172"/>
      <c r="BCY29" s="172"/>
      <c r="BCZ29" s="172"/>
      <c r="BDA29" s="172"/>
      <c r="BDB29" s="172"/>
      <c r="BDC29" s="172"/>
      <c r="BDD29" s="172"/>
      <c r="BDE29" s="172"/>
      <c r="BDF29" s="172"/>
      <c r="BDG29" s="172"/>
      <c r="BDH29" s="172"/>
      <c r="BDI29" s="172"/>
      <c r="BDJ29" s="172"/>
      <c r="BDK29" s="172"/>
      <c r="BDL29" s="172"/>
      <c r="BDM29" s="172"/>
      <c r="BDN29" s="172"/>
      <c r="BDO29" s="172"/>
      <c r="BDP29" s="172"/>
      <c r="BDQ29" s="172"/>
      <c r="BDR29" s="172"/>
      <c r="BDS29" s="172"/>
      <c r="BDT29" s="172"/>
      <c r="BDU29" s="172"/>
      <c r="BDV29" s="172"/>
      <c r="BDW29" s="172"/>
      <c r="BDX29" s="172"/>
      <c r="BDY29" s="172"/>
      <c r="BDZ29" s="172"/>
      <c r="BEA29" s="172"/>
      <c r="BEB29" s="172"/>
      <c r="BEC29" s="172"/>
      <c r="BED29" s="172"/>
      <c r="BEE29" s="172"/>
      <c r="BEF29" s="172"/>
      <c r="BEG29" s="172"/>
      <c r="BEH29" s="172"/>
      <c r="BEI29" s="172"/>
      <c r="BEJ29" s="172"/>
      <c r="BEK29" s="172"/>
      <c r="BEL29" s="172"/>
      <c r="BEM29" s="172"/>
      <c r="BEN29" s="172"/>
      <c r="BEO29" s="172"/>
      <c r="BEP29" s="172"/>
      <c r="BEQ29" s="172"/>
      <c r="BER29" s="172"/>
      <c r="BES29" s="172"/>
      <c r="BET29" s="172"/>
      <c r="BEU29" s="172"/>
      <c r="BEV29" s="172"/>
      <c r="BEW29" s="172"/>
      <c r="BEX29" s="172"/>
      <c r="BEY29" s="172"/>
      <c r="BEZ29" s="172"/>
      <c r="BFA29" s="172"/>
      <c r="BFB29" s="172"/>
      <c r="BFC29" s="172"/>
      <c r="BFD29" s="172"/>
      <c r="BFE29" s="172"/>
      <c r="BFF29" s="172"/>
      <c r="BFG29" s="172"/>
      <c r="BFH29" s="172"/>
      <c r="BFI29" s="172"/>
      <c r="BFJ29" s="172"/>
      <c r="BFK29" s="172"/>
      <c r="BFL29" s="172"/>
      <c r="BFM29" s="172"/>
      <c r="BFN29" s="172"/>
      <c r="BFO29" s="172"/>
      <c r="BFP29" s="172"/>
      <c r="BFQ29" s="172"/>
      <c r="BFR29" s="172"/>
      <c r="BFS29" s="172"/>
      <c r="BFT29" s="172"/>
      <c r="BFU29" s="172"/>
      <c r="BFV29" s="172"/>
      <c r="BFW29" s="172"/>
      <c r="BFX29" s="172"/>
      <c r="BFY29" s="172"/>
      <c r="BFZ29" s="172"/>
      <c r="BGA29" s="172"/>
      <c r="BGB29" s="172"/>
      <c r="BGC29" s="172"/>
      <c r="BGD29" s="172"/>
      <c r="BGE29" s="172"/>
      <c r="BGF29" s="172"/>
      <c r="BGG29" s="172"/>
      <c r="BGH29" s="172"/>
      <c r="BGI29" s="172"/>
      <c r="BGJ29" s="172"/>
      <c r="BGK29" s="172"/>
      <c r="BGL29" s="172"/>
      <c r="BGM29" s="172"/>
      <c r="BGN29" s="172"/>
      <c r="BGO29" s="172"/>
      <c r="BGP29" s="172"/>
      <c r="BGQ29" s="172"/>
      <c r="BGR29" s="172"/>
      <c r="BGS29" s="172"/>
      <c r="BGT29" s="172"/>
      <c r="BGU29" s="172"/>
      <c r="BGV29" s="172"/>
      <c r="BGW29" s="172"/>
      <c r="BGX29" s="172"/>
      <c r="BGY29" s="172"/>
      <c r="BGZ29" s="172"/>
      <c r="BHA29" s="172"/>
      <c r="BHB29" s="172"/>
      <c r="BHC29" s="172"/>
      <c r="BHD29" s="172"/>
      <c r="BHE29" s="172"/>
      <c r="BHF29" s="172"/>
      <c r="BHG29" s="172"/>
      <c r="BHH29" s="172"/>
      <c r="BHI29" s="172"/>
      <c r="BHJ29" s="172"/>
      <c r="BHK29" s="172"/>
      <c r="BHL29" s="172"/>
      <c r="BHM29" s="172"/>
      <c r="BHN29" s="172"/>
      <c r="BHO29" s="172"/>
      <c r="BHP29" s="172"/>
      <c r="BHQ29" s="172"/>
      <c r="BHR29" s="172"/>
      <c r="BHS29" s="172"/>
      <c r="BHT29" s="172"/>
      <c r="BHU29" s="172"/>
      <c r="BHV29" s="172"/>
      <c r="BHW29" s="172"/>
      <c r="BHX29" s="172"/>
      <c r="BHY29" s="172"/>
      <c r="BHZ29" s="172"/>
      <c r="BIA29" s="172"/>
      <c r="BIB29" s="172"/>
      <c r="BIC29" s="172"/>
      <c r="BID29" s="172"/>
      <c r="BIE29" s="172"/>
      <c r="BIF29" s="172"/>
      <c r="BIG29" s="172"/>
      <c r="BIH29" s="172"/>
      <c r="BII29" s="172"/>
      <c r="BIJ29" s="172"/>
      <c r="BIK29" s="172"/>
      <c r="BIL29" s="172"/>
      <c r="BIM29" s="172"/>
      <c r="BIN29" s="172"/>
      <c r="BIO29" s="172"/>
      <c r="BIP29" s="172"/>
      <c r="BIQ29" s="172"/>
      <c r="BIR29" s="172"/>
      <c r="BIS29" s="172"/>
      <c r="BIT29" s="172"/>
      <c r="BIU29" s="172"/>
      <c r="BIV29" s="172"/>
      <c r="BIW29" s="172"/>
      <c r="BIX29" s="172"/>
      <c r="BIY29" s="172"/>
      <c r="BIZ29" s="172"/>
      <c r="BJA29" s="172"/>
      <c r="BJB29" s="172"/>
      <c r="BJC29" s="172"/>
      <c r="BJD29" s="172"/>
      <c r="BJE29" s="172"/>
      <c r="BJF29" s="172"/>
      <c r="BJG29" s="172"/>
      <c r="BJH29" s="172"/>
      <c r="BJI29" s="172"/>
      <c r="BJJ29" s="172"/>
      <c r="BJK29" s="172"/>
      <c r="BJL29" s="172"/>
      <c r="BJM29" s="172"/>
      <c r="BJN29" s="172"/>
      <c r="BJO29" s="172"/>
      <c r="BJP29" s="172"/>
      <c r="BJQ29" s="172"/>
      <c r="BJR29" s="172"/>
      <c r="BJS29" s="172"/>
      <c r="BJT29" s="172"/>
      <c r="BJU29" s="172"/>
      <c r="BJV29" s="172"/>
      <c r="BJW29" s="172"/>
      <c r="BJX29" s="172"/>
      <c r="BJY29" s="172"/>
      <c r="BJZ29" s="172"/>
      <c r="BKA29" s="172"/>
      <c r="BKB29" s="172"/>
      <c r="BKC29" s="172"/>
      <c r="BKD29" s="172"/>
      <c r="BKE29" s="172"/>
      <c r="BKF29" s="172"/>
      <c r="BKG29" s="172"/>
      <c r="BKH29" s="172"/>
      <c r="BKI29" s="172"/>
      <c r="BKJ29" s="172"/>
      <c r="BKK29" s="172"/>
      <c r="BKL29" s="172"/>
      <c r="BKM29" s="172"/>
      <c r="BKN29" s="172"/>
      <c r="BKO29" s="172"/>
      <c r="BKP29" s="172"/>
      <c r="BKQ29" s="172"/>
      <c r="BKR29" s="172"/>
      <c r="BKS29" s="172"/>
      <c r="BKT29" s="172"/>
      <c r="BKU29" s="172"/>
      <c r="BKV29" s="172"/>
      <c r="BKW29" s="172"/>
      <c r="BKX29" s="172"/>
      <c r="BKY29" s="172"/>
      <c r="BKZ29" s="172"/>
      <c r="BLA29" s="172"/>
      <c r="BLB29" s="172"/>
      <c r="BLC29" s="172"/>
      <c r="BLD29" s="172"/>
      <c r="BLE29" s="172"/>
      <c r="BLF29" s="172"/>
      <c r="BLG29" s="172"/>
      <c r="BLH29" s="172"/>
      <c r="BLI29" s="172"/>
      <c r="BLJ29" s="172"/>
      <c r="BLK29" s="172"/>
      <c r="BLL29" s="172"/>
      <c r="BLM29" s="172"/>
      <c r="BLN29" s="172"/>
      <c r="BLO29" s="172"/>
      <c r="BLP29" s="172"/>
      <c r="BLQ29" s="172"/>
      <c r="BLR29" s="172"/>
      <c r="BLS29" s="172"/>
      <c r="BLT29" s="172"/>
      <c r="BLU29" s="172"/>
      <c r="BLV29" s="172"/>
      <c r="BLW29" s="172"/>
      <c r="BLX29" s="172"/>
      <c r="BLY29" s="172"/>
      <c r="BLZ29" s="172"/>
      <c r="BMA29" s="172"/>
      <c r="BMB29" s="172"/>
      <c r="BMC29" s="172"/>
      <c r="BMD29" s="172"/>
      <c r="BME29" s="172"/>
      <c r="BMF29" s="172"/>
      <c r="BMG29" s="172"/>
      <c r="BMH29" s="172"/>
      <c r="BMI29" s="172"/>
      <c r="BMJ29" s="172"/>
      <c r="BMK29" s="172"/>
      <c r="BML29" s="172"/>
      <c r="BMM29" s="172"/>
      <c r="BMN29" s="172"/>
      <c r="BMO29" s="172"/>
      <c r="BMP29" s="172"/>
      <c r="BMQ29" s="172"/>
      <c r="BMR29" s="172"/>
      <c r="BMS29" s="172"/>
      <c r="BMT29" s="172"/>
      <c r="BMU29" s="172"/>
      <c r="BMV29" s="172"/>
      <c r="BMW29" s="172"/>
      <c r="BMX29" s="172"/>
      <c r="BMY29" s="172"/>
      <c r="BMZ29" s="172"/>
      <c r="BNA29" s="172"/>
      <c r="BNB29" s="172"/>
      <c r="BNC29" s="172"/>
      <c r="BND29" s="172"/>
      <c r="BNE29" s="172"/>
      <c r="BNF29" s="172"/>
      <c r="BNG29" s="172"/>
      <c r="BNH29" s="172"/>
      <c r="BNI29" s="172"/>
      <c r="BNJ29" s="172"/>
      <c r="BNK29" s="172"/>
      <c r="BNL29" s="172"/>
      <c r="BNM29" s="172"/>
      <c r="BNN29" s="172"/>
      <c r="BNO29" s="172"/>
      <c r="BNP29" s="172"/>
      <c r="BNQ29" s="172"/>
      <c r="BNR29" s="172"/>
      <c r="BNS29" s="172"/>
      <c r="BNT29" s="172"/>
      <c r="BNU29" s="172"/>
      <c r="BNV29" s="172"/>
      <c r="BNW29" s="172"/>
      <c r="BNX29" s="172"/>
      <c r="BNY29" s="172"/>
      <c r="BNZ29" s="172"/>
      <c r="BOA29" s="172"/>
      <c r="BOB29" s="172"/>
      <c r="BOC29" s="172"/>
      <c r="BOD29" s="172"/>
      <c r="BOE29" s="172"/>
      <c r="BOF29" s="172"/>
      <c r="BOG29" s="172"/>
      <c r="BOH29" s="172"/>
      <c r="BOI29" s="172"/>
      <c r="BOJ29" s="172"/>
      <c r="BOK29" s="172"/>
      <c r="BOL29" s="172"/>
      <c r="BOM29" s="172"/>
      <c r="BON29" s="172"/>
      <c r="BOO29" s="172"/>
      <c r="BOP29" s="172"/>
      <c r="BOQ29" s="172"/>
      <c r="BOR29" s="172"/>
      <c r="BOS29" s="172"/>
      <c r="BOT29" s="172"/>
      <c r="BOU29" s="172"/>
      <c r="BOV29" s="172"/>
      <c r="BOW29" s="172"/>
      <c r="BOX29" s="172"/>
      <c r="BOY29" s="172"/>
      <c r="BOZ29" s="172"/>
      <c r="BPA29" s="172"/>
      <c r="BPB29" s="172"/>
      <c r="BPC29" s="172"/>
      <c r="BPD29" s="172"/>
      <c r="BPE29" s="172"/>
      <c r="BPF29" s="172"/>
      <c r="BPG29" s="172"/>
      <c r="BPH29" s="172"/>
      <c r="BPI29" s="172"/>
      <c r="BPJ29" s="172"/>
      <c r="BPK29" s="172"/>
      <c r="BPL29" s="172"/>
      <c r="BPM29" s="172"/>
      <c r="BPN29" s="172"/>
      <c r="BPO29" s="172"/>
      <c r="BPP29" s="172"/>
      <c r="BPQ29" s="172"/>
      <c r="BPR29" s="172"/>
      <c r="BPS29" s="172"/>
      <c r="BPT29" s="172"/>
      <c r="BPU29" s="172"/>
      <c r="BPV29" s="172"/>
      <c r="BPW29" s="172"/>
      <c r="BPX29" s="172"/>
      <c r="BPY29" s="172"/>
      <c r="BPZ29" s="172"/>
      <c r="BQA29" s="172"/>
      <c r="BQB29" s="172"/>
      <c r="BQC29" s="172"/>
      <c r="BQD29" s="172"/>
      <c r="BQE29" s="172"/>
      <c r="BQF29" s="172"/>
      <c r="BQG29" s="172"/>
      <c r="BQH29" s="172"/>
      <c r="BQI29" s="172"/>
      <c r="BQJ29" s="172"/>
      <c r="BQK29" s="172"/>
      <c r="BQL29" s="172"/>
      <c r="BQM29" s="172"/>
      <c r="BQN29" s="172"/>
      <c r="BQO29" s="172"/>
      <c r="BQP29" s="172"/>
      <c r="BQQ29" s="172"/>
      <c r="BQR29" s="172"/>
      <c r="BQS29" s="172"/>
      <c r="BQT29" s="172"/>
      <c r="BQU29" s="172"/>
      <c r="BQV29" s="172"/>
      <c r="BQW29" s="172"/>
      <c r="BQX29" s="172"/>
      <c r="BQY29" s="172"/>
      <c r="BQZ29" s="172"/>
      <c r="BRA29" s="172"/>
      <c r="BRB29" s="172"/>
      <c r="BRC29" s="172"/>
      <c r="BRD29" s="172"/>
      <c r="BRE29" s="172"/>
      <c r="BRF29" s="172"/>
      <c r="BRG29" s="172"/>
      <c r="BRH29" s="172"/>
      <c r="BRI29" s="172"/>
      <c r="BRJ29" s="172"/>
      <c r="BRK29" s="172"/>
      <c r="BRL29" s="172"/>
      <c r="BRM29" s="172"/>
      <c r="BRN29" s="172"/>
      <c r="BRO29" s="172"/>
      <c r="BRP29" s="172"/>
      <c r="BRQ29" s="172"/>
      <c r="BRR29" s="172"/>
      <c r="BRS29" s="172"/>
      <c r="BRT29" s="172"/>
      <c r="BRU29" s="172"/>
      <c r="BRV29" s="172"/>
      <c r="BRW29" s="172"/>
      <c r="BRX29" s="172"/>
      <c r="BRY29" s="172"/>
      <c r="BRZ29" s="172"/>
      <c r="BSA29" s="172"/>
      <c r="BSB29" s="172"/>
      <c r="BSC29" s="172"/>
      <c r="BSD29" s="172"/>
      <c r="BSE29" s="172"/>
      <c r="BSF29" s="172"/>
      <c r="BSG29" s="172"/>
      <c r="BSH29" s="172"/>
      <c r="BSI29" s="172"/>
      <c r="BSJ29" s="172"/>
      <c r="BSK29" s="172"/>
      <c r="BSL29" s="172"/>
      <c r="BSM29" s="172"/>
      <c r="BSN29" s="172"/>
      <c r="BSO29" s="172"/>
      <c r="BSP29" s="172"/>
      <c r="BSQ29" s="172"/>
      <c r="BSR29" s="172"/>
      <c r="BSS29" s="172"/>
      <c r="BST29" s="172"/>
      <c r="BSU29" s="172"/>
      <c r="BSV29" s="172"/>
      <c r="BSW29" s="172"/>
      <c r="BSX29" s="172"/>
      <c r="BSY29" s="172"/>
      <c r="BSZ29" s="172"/>
      <c r="BTA29" s="172"/>
      <c r="BTB29" s="172"/>
      <c r="BTC29" s="172"/>
      <c r="BTD29" s="172"/>
      <c r="BTE29" s="172"/>
      <c r="BTF29" s="172"/>
      <c r="BTG29" s="172"/>
      <c r="BTH29" s="172"/>
      <c r="BTI29" s="172"/>
      <c r="BTJ29" s="172"/>
      <c r="BTK29" s="172"/>
      <c r="BTL29" s="172"/>
      <c r="BTM29" s="172"/>
      <c r="BTN29" s="172"/>
      <c r="BTO29" s="172"/>
      <c r="BTP29" s="172"/>
      <c r="BTQ29" s="172"/>
      <c r="BTR29" s="172"/>
      <c r="BTS29" s="172"/>
      <c r="BTT29" s="172"/>
      <c r="BTU29" s="172"/>
      <c r="BTV29" s="172"/>
      <c r="BTW29" s="172"/>
      <c r="BTX29" s="172"/>
      <c r="BTY29" s="172"/>
      <c r="BTZ29" s="172"/>
      <c r="BUA29" s="172"/>
      <c r="BUB29" s="172"/>
      <c r="BUC29" s="172"/>
      <c r="BUD29" s="172"/>
      <c r="BUE29" s="172"/>
      <c r="BUF29" s="172"/>
      <c r="BUG29" s="172"/>
      <c r="BUH29" s="172"/>
      <c r="BUI29" s="172"/>
      <c r="BUJ29" s="172"/>
      <c r="BUK29" s="172"/>
      <c r="BUL29" s="172"/>
      <c r="BUM29" s="172"/>
      <c r="BUN29" s="172"/>
      <c r="BUO29" s="172"/>
      <c r="BUP29" s="172"/>
      <c r="BUQ29" s="172"/>
      <c r="BUR29" s="172"/>
      <c r="BUS29" s="172"/>
      <c r="BUT29" s="172"/>
      <c r="BUU29" s="172"/>
      <c r="BUV29" s="172"/>
      <c r="BUW29" s="172"/>
      <c r="BUX29" s="172"/>
      <c r="BUY29" s="172"/>
      <c r="BUZ29" s="172"/>
      <c r="BVA29" s="172"/>
      <c r="BVB29" s="172"/>
      <c r="BVC29" s="172"/>
      <c r="BVD29" s="172"/>
      <c r="BVE29" s="172"/>
      <c r="BVF29" s="172"/>
      <c r="BVG29" s="172"/>
      <c r="BVH29" s="172"/>
      <c r="BVI29" s="172"/>
      <c r="BVJ29" s="172"/>
      <c r="BVK29" s="172"/>
      <c r="BVL29" s="172"/>
      <c r="BVM29" s="172"/>
      <c r="BVN29" s="172"/>
      <c r="BVO29" s="172"/>
      <c r="BVP29" s="172"/>
      <c r="BVQ29" s="172"/>
      <c r="BVR29" s="172"/>
      <c r="BVS29" s="172"/>
      <c r="BVT29" s="172"/>
      <c r="BVU29" s="172"/>
      <c r="BVV29" s="172"/>
      <c r="BVW29" s="172"/>
      <c r="BVX29" s="172"/>
      <c r="BVY29" s="172"/>
      <c r="BVZ29" s="172"/>
      <c r="BWA29" s="172"/>
      <c r="BWB29" s="172"/>
      <c r="BWC29" s="172"/>
      <c r="BWD29" s="172"/>
      <c r="BWE29" s="172"/>
      <c r="BWF29" s="172"/>
      <c r="BWG29" s="172"/>
      <c r="BWH29" s="172"/>
      <c r="BWI29" s="172"/>
      <c r="BWJ29" s="172"/>
      <c r="BWK29" s="172"/>
      <c r="BWL29" s="172"/>
      <c r="BWM29" s="172"/>
      <c r="BWN29" s="172"/>
      <c r="BWO29" s="172"/>
      <c r="BWP29" s="172"/>
      <c r="BWQ29" s="172"/>
      <c r="BWR29" s="172"/>
      <c r="BWS29" s="172"/>
      <c r="BWT29" s="172"/>
      <c r="BWU29" s="172"/>
      <c r="BWV29" s="172"/>
      <c r="BWW29" s="172"/>
      <c r="BWX29" s="172"/>
      <c r="BWY29" s="172"/>
      <c r="BWZ29" s="172"/>
      <c r="BXA29" s="172"/>
      <c r="BXB29" s="172"/>
      <c r="BXC29" s="172"/>
      <c r="BXD29" s="172"/>
      <c r="BXE29" s="172"/>
      <c r="BXF29" s="172"/>
      <c r="BXG29" s="172"/>
      <c r="BXH29" s="172"/>
      <c r="BXI29" s="172"/>
      <c r="BXJ29" s="172"/>
      <c r="BXK29" s="172"/>
      <c r="BXL29" s="172"/>
      <c r="BXM29" s="172"/>
      <c r="BXN29" s="172"/>
      <c r="BXO29" s="172"/>
      <c r="BXP29" s="172"/>
      <c r="BXQ29" s="172"/>
      <c r="BXR29" s="172"/>
      <c r="BXS29" s="172"/>
      <c r="BXT29" s="172"/>
      <c r="BXU29" s="172"/>
      <c r="BXV29" s="172"/>
      <c r="BXW29" s="172"/>
      <c r="BXX29" s="172"/>
      <c r="BXY29" s="172"/>
      <c r="BXZ29" s="172"/>
      <c r="BYA29" s="172"/>
      <c r="BYB29" s="172"/>
      <c r="BYC29" s="172"/>
      <c r="BYD29" s="172"/>
      <c r="BYE29" s="172"/>
      <c r="BYF29" s="172"/>
      <c r="BYG29" s="172"/>
      <c r="BYH29" s="172"/>
      <c r="BYI29" s="172"/>
      <c r="BYJ29" s="172"/>
      <c r="BYK29" s="172"/>
      <c r="BYL29" s="172"/>
      <c r="BYM29" s="172"/>
      <c r="BYN29" s="172"/>
      <c r="BYO29" s="172"/>
      <c r="BYP29" s="172"/>
      <c r="BYQ29" s="172"/>
      <c r="BYR29" s="172"/>
      <c r="BYS29" s="172"/>
      <c r="BYT29" s="172"/>
      <c r="BYU29" s="172"/>
      <c r="BYV29" s="172"/>
      <c r="BYW29" s="172"/>
      <c r="BYX29" s="172"/>
      <c r="BYY29" s="172"/>
      <c r="BYZ29" s="172"/>
      <c r="BZA29" s="172"/>
      <c r="BZB29" s="172"/>
      <c r="BZC29" s="172"/>
      <c r="BZD29" s="172"/>
      <c r="BZE29" s="172"/>
      <c r="BZF29" s="172"/>
      <c r="BZG29" s="172"/>
      <c r="BZH29" s="172"/>
      <c r="BZI29" s="172"/>
      <c r="BZJ29" s="172"/>
      <c r="BZK29" s="172"/>
      <c r="BZL29" s="172"/>
      <c r="BZM29" s="172"/>
      <c r="BZN29" s="172"/>
      <c r="BZO29" s="172"/>
      <c r="BZP29" s="172"/>
      <c r="BZQ29" s="172"/>
      <c r="BZR29" s="172"/>
      <c r="BZS29" s="172"/>
      <c r="BZT29" s="172"/>
      <c r="BZU29" s="172"/>
      <c r="BZV29" s="172"/>
      <c r="BZW29" s="172"/>
      <c r="BZX29" s="172"/>
      <c r="BZY29" s="172"/>
      <c r="BZZ29" s="172"/>
      <c r="CAA29" s="172"/>
      <c r="CAB29" s="172"/>
      <c r="CAC29" s="172"/>
      <c r="CAD29" s="172"/>
      <c r="CAE29" s="172"/>
      <c r="CAF29" s="172"/>
      <c r="CAG29" s="172"/>
      <c r="CAH29" s="172"/>
      <c r="CAI29" s="172"/>
      <c r="CAJ29" s="172"/>
      <c r="CAK29" s="172"/>
      <c r="CAL29" s="172"/>
      <c r="CAM29" s="172"/>
      <c r="CAN29" s="172"/>
      <c r="CAO29" s="172"/>
      <c r="CAP29" s="172"/>
      <c r="CAQ29" s="172"/>
      <c r="CAR29" s="172"/>
      <c r="CAS29" s="172"/>
      <c r="CAT29" s="172"/>
      <c r="CAU29" s="172"/>
      <c r="CAV29" s="172"/>
      <c r="CAW29" s="172"/>
      <c r="CAX29" s="172"/>
      <c r="CAY29" s="172"/>
      <c r="CAZ29" s="172"/>
      <c r="CBA29" s="172"/>
      <c r="CBB29" s="172"/>
      <c r="CBC29" s="172"/>
      <c r="CBD29" s="172"/>
      <c r="CBE29" s="172"/>
      <c r="CBF29" s="172"/>
      <c r="CBG29" s="172"/>
      <c r="CBH29" s="172"/>
      <c r="CBI29" s="172"/>
      <c r="CBJ29" s="172"/>
      <c r="CBK29" s="172"/>
      <c r="CBL29" s="172"/>
      <c r="CBM29" s="172"/>
      <c r="CBN29" s="172"/>
      <c r="CBO29" s="172"/>
      <c r="CBP29" s="172"/>
      <c r="CBQ29" s="172"/>
      <c r="CBR29" s="172"/>
      <c r="CBS29" s="172"/>
      <c r="CBT29" s="172"/>
      <c r="CBU29" s="172"/>
      <c r="CBV29" s="172"/>
      <c r="CBW29" s="172"/>
      <c r="CBX29" s="172"/>
      <c r="CBY29" s="172"/>
      <c r="CBZ29" s="172"/>
      <c r="CCA29" s="172"/>
      <c r="CCB29" s="172"/>
      <c r="CCC29" s="172"/>
      <c r="CCD29" s="172"/>
      <c r="CCE29" s="172"/>
      <c r="CCF29" s="172"/>
      <c r="CCG29" s="172"/>
      <c r="CCH29" s="172"/>
      <c r="CCI29" s="172"/>
      <c r="CCJ29" s="172"/>
      <c r="CCK29" s="172"/>
      <c r="CCL29" s="172"/>
      <c r="CCM29" s="172"/>
      <c r="CCN29" s="172"/>
      <c r="CCO29" s="172"/>
      <c r="CCP29" s="172"/>
      <c r="CCQ29" s="172"/>
      <c r="CCR29" s="172"/>
      <c r="CCS29" s="172"/>
      <c r="CCT29" s="172"/>
      <c r="CCU29" s="172"/>
      <c r="CCV29" s="172"/>
      <c r="CCW29" s="172"/>
      <c r="CCX29" s="172"/>
      <c r="CCY29" s="172"/>
      <c r="CCZ29" s="172"/>
      <c r="CDA29" s="172"/>
      <c r="CDB29" s="172"/>
      <c r="CDC29" s="172"/>
      <c r="CDD29" s="172"/>
      <c r="CDE29" s="172"/>
      <c r="CDF29" s="172"/>
      <c r="CDG29" s="172"/>
      <c r="CDH29" s="172"/>
      <c r="CDI29" s="172"/>
      <c r="CDJ29" s="172"/>
      <c r="CDK29" s="172"/>
      <c r="CDL29" s="172"/>
      <c r="CDM29" s="172"/>
      <c r="CDN29" s="172"/>
      <c r="CDO29" s="172"/>
      <c r="CDP29" s="172"/>
      <c r="CDQ29" s="172"/>
      <c r="CDR29" s="172"/>
      <c r="CDS29" s="172"/>
      <c r="CDT29" s="172"/>
      <c r="CDU29" s="172"/>
      <c r="CDV29" s="172"/>
      <c r="CDW29" s="172"/>
      <c r="CDX29" s="172"/>
      <c r="CDY29" s="172"/>
      <c r="CDZ29" s="172"/>
      <c r="CEA29" s="172"/>
      <c r="CEB29" s="172"/>
      <c r="CEC29" s="172"/>
      <c r="CED29" s="172"/>
      <c r="CEE29" s="172"/>
      <c r="CEF29" s="172"/>
      <c r="CEG29" s="172"/>
      <c r="CEH29" s="172"/>
      <c r="CEI29" s="172"/>
      <c r="CEJ29" s="172"/>
      <c r="CEK29" s="172"/>
      <c r="CEL29" s="172"/>
      <c r="CEM29" s="172"/>
      <c r="CEN29" s="172"/>
      <c r="CEO29" s="172"/>
      <c r="CEP29" s="172"/>
      <c r="CEQ29" s="172"/>
      <c r="CER29" s="172"/>
      <c r="CES29" s="172"/>
      <c r="CET29" s="172"/>
      <c r="CEU29" s="172"/>
      <c r="CEV29" s="172"/>
      <c r="CEW29" s="172"/>
      <c r="CEX29" s="172"/>
      <c r="CEY29" s="172"/>
      <c r="CEZ29" s="172"/>
      <c r="CFA29" s="172"/>
      <c r="CFB29" s="172"/>
      <c r="CFC29" s="172"/>
      <c r="CFD29" s="172"/>
      <c r="CFE29" s="172"/>
      <c r="CFF29" s="172"/>
      <c r="CFG29" s="172"/>
      <c r="CFH29" s="172"/>
      <c r="CFI29" s="172"/>
      <c r="CFJ29" s="172"/>
      <c r="CFK29" s="172"/>
      <c r="CFL29" s="172"/>
      <c r="CFM29" s="172"/>
      <c r="CFN29" s="172"/>
      <c r="CFO29" s="172"/>
      <c r="CFP29" s="172"/>
      <c r="CFQ29" s="172"/>
      <c r="CFR29" s="172"/>
      <c r="CFS29" s="172"/>
      <c r="CFT29" s="172"/>
      <c r="CFU29" s="172"/>
      <c r="CFV29" s="172"/>
      <c r="CFW29" s="172"/>
      <c r="CFX29" s="172"/>
      <c r="CFY29" s="172"/>
      <c r="CFZ29" s="172"/>
      <c r="CGA29" s="172"/>
      <c r="CGB29" s="172"/>
      <c r="CGC29" s="172"/>
      <c r="CGD29" s="172"/>
      <c r="CGE29" s="172"/>
      <c r="CGF29" s="172"/>
      <c r="CGG29" s="172"/>
      <c r="CGH29" s="172"/>
      <c r="CGI29" s="172"/>
      <c r="CGJ29" s="172"/>
      <c r="CGK29" s="172"/>
      <c r="CGL29" s="172"/>
      <c r="CGM29" s="172"/>
      <c r="CGN29" s="172"/>
      <c r="CGO29" s="172"/>
      <c r="CGP29" s="172"/>
      <c r="CGQ29" s="172"/>
      <c r="CGR29" s="172"/>
      <c r="CGS29" s="172"/>
      <c r="CGT29" s="172"/>
      <c r="CGU29" s="172"/>
      <c r="CGV29" s="172"/>
      <c r="CGW29" s="172"/>
      <c r="CGX29" s="172"/>
      <c r="CGY29" s="172"/>
      <c r="CGZ29" s="172"/>
      <c r="CHA29" s="172"/>
      <c r="CHB29" s="172"/>
      <c r="CHC29" s="172"/>
      <c r="CHD29" s="172"/>
      <c r="CHE29" s="172"/>
      <c r="CHF29" s="172"/>
      <c r="CHG29" s="172"/>
      <c r="CHH29" s="172"/>
      <c r="CHI29" s="172"/>
      <c r="CHJ29" s="172"/>
      <c r="CHK29" s="172"/>
      <c r="CHL29" s="172"/>
      <c r="CHM29" s="172"/>
      <c r="CHN29" s="172"/>
      <c r="CHO29" s="172"/>
      <c r="CHP29" s="172"/>
      <c r="CHQ29" s="172"/>
      <c r="CHR29" s="172"/>
      <c r="CHS29" s="172"/>
      <c r="CHT29" s="172"/>
      <c r="CHU29" s="172"/>
      <c r="CHV29" s="172"/>
      <c r="CHW29" s="172"/>
      <c r="CHX29" s="172"/>
      <c r="CHY29" s="172"/>
      <c r="CHZ29" s="172"/>
      <c r="CIA29" s="172"/>
      <c r="CIB29" s="172"/>
      <c r="CIC29" s="172"/>
      <c r="CID29" s="172"/>
      <c r="CIE29" s="172"/>
      <c r="CIF29" s="172"/>
      <c r="CIG29" s="172"/>
      <c r="CIH29" s="172"/>
      <c r="CII29" s="172"/>
      <c r="CIJ29" s="172"/>
      <c r="CIK29" s="172"/>
      <c r="CIL29" s="172"/>
      <c r="CIM29" s="172"/>
      <c r="CIN29" s="172"/>
      <c r="CIO29" s="172"/>
      <c r="CIP29" s="172"/>
      <c r="CIQ29" s="172"/>
      <c r="CIR29" s="172"/>
      <c r="CIS29" s="172"/>
      <c r="CIT29" s="172"/>
      <c r="CIU29" s="172"/>
      <c r="CIV29" s="172"/>
      <c r="CIW29" s="172"/>
      <c r="CIX29" s="172"/>
      <c r="CIY29" s="172"/>
      <c r="CIZ29" s="172"/>
      <c r="CJA29" s="172"/>
      <c r="CJB29" s="172"/>
      <c r="CJC29" s="172"/>
      <c r="CJD29" s="172"/>
      <c r="CJE29" s="172"/>
      <c r="CJF29" s="172"/>
      <c r="CJG29" s="172"/>
      <c r="CJH29" s="172"/>
      <c r="CJI29" s="172"/>
      <c r="CJJ29" s="172"/>
      <c r="CJK29" s="172"/>
      <c r="CJL29" s="172"/>
      <c r="CJM29" s="172"/>
      <c r="CJN29" s="172"/>
      <c r="CJO29" s="172"/>
      <c r="CJP29" s="172"/>
      <c r="CJQ29" s="172"/>
      <c r="CJR29" s="172"/>
      <c r="CJS29" s="172"/>
      <c r="CJT29" s="172"/>
      <c r="CJU29" s="172"/>
      <c r="CJV29" s="172"/>
      <c r="CJW29" s="172"/>
      <c r="CJX29" s="172"/>
      <c r="CJY29" s="172"/>
      <c r="CJZ29" s="172"/>
      <c r="CKA29" s="172"/>
      <c r="CKB29" s="172"/>
      <c r="CKC29" s="172"/>
      <c r="CKD29" s="172"/>
      <c r="CKE29" s="172"/>
      <c r="CKF29" s="172"/>
      <c r="CKG29" s="172"/>
      <c r="CKH29" s="172"/>
      <c r="CKI29" s="172"/>
      <c r="CKJ29" s="172"/>
      <c r="CKK29" s="172"/>
      <c r="CKL29" s="172"/>
      <c r="CKM29" s="172"/>
      <c r="CKN29" s="172"/>
      <c r="CKO29" s="172"/>
      <c r="CKP29" s="172"/>
      <c r="CKQ29" s="172"/>
      <c r="CKR29" s="172"/>
      <c r="CKS29" s="172"/>
      <c r="CKT29" s="172"/>
      <c r="CKU29" s="172"/>
      <c r="CKV29" s="172"/>
      <c r="CKW29" s="172"/>
      <c r="CKX29" s="172"/>
      <c r="CKY29" s="172"/>
      <c r="CKZ29" s="172"/>
      <c r="CLA29" s="172"/>
      <c r="CLB29" s="172"/>
      <c r="CLC29" s="172"/>
      <c r="CLD29" s="172"/>
      <c r="CLE29" s="172"/>
      <c r="CLF29" s="172"/>
      <c r="CLG29" s="172"/>
      <c r="CLH29" s="172"/>
      <c r="CLI29" s="172"/>
      <c r="CLJ29" s="172"/>
      <c r="CLK29" s="172"/>
      <c r="CLL29" s="172"/>
      <c r="CLM29" s="172"/>
      <c r="CLN29" s="172"/>
      <c r="CLO29" s="172"/>
      <c r="CLP29" s="172"/>
      <c r="CLQ29" s="172"/>
      <c r="CLR29" s="172"/>
      <c r="CLS29" s="172"/>
      <c r="CLT29" s="172"/>
      <c r="CLU29" s="172"/>
      <c r="CLV29" s="172"/>
      <c r="CLW29" s="172"/>
      <c r="CLX29" s="172"/>
      <c r="CLY29" s="172"/>
      <c r="CLZ29" s="172"/>
      <c r="CMA29" s="172"/>
      <c r="CMB29" s="172"/>
      <c r="CMC29" s="172"/>
      <c r="CMD29" s="172"/>
      <c r="CME29" s="172"/>
      <c r="CMF29" s="172"/>
      <c r="CMG29" s="172"/>
      <c r="CMH29" s="172"/>
      <c r="CMI29" s="172"/>
      <c r="CMJ29" s="172"/>
      <c r="CMK29" s="172"/>
      <c r="CML29" s="172"/>
      <c r="CMM29" s="172"/>
      <c r="CMN29" s="172"/>
      <c r="CMO29" s="172"/>
      <c r="CMP29" s="172"/>
      <c r="CMQ29" s="172"/>
      <c r="CMR29" s="172"/>
      <c r="CMS29" s="172"/>
      <c r="CMT29" s="172"/>
      <c r="CMU29" s="172"/>
      <c r="CMV29" s="172"/>
      <c r="CMW29" s="172"/>
      <c r="CMX29" s="172"/>
      <c r="CMY29" s="172"/>
      <c r="CMZ29" s="172"/>
      <c r="CNA29" s="172"/>
      <c r="CNB29" s="172"/>
      <c r="CNC29" s="172"/>
      <c r="CND29" s="172"/>
      <c r="CNE29" s="172"/>
      <c r="CNF29" s="172"/>
      <c r="CNG29" s="172"/>
      <c r="CNH29" s="172"/>
      <c r="CNI29" s="172"/>
      <c r="CNJ29" s="172"/>
      <c r="CNK29" s="172"/>
      <c r="CNL29" s="172"/>
      <c r="CNM29" s="172"/>
      <c r="CNN29" s="172"/>
      <c r="CNO29" s="172"/>
      <c r="CNP29" s="172"/>
      <c r="CNQ29" s="172"/>
      <c r="CNR29" s="172"/>
      <c r="CNS29" s="172"/>
      <c r="CNT29" s="172"/>
      <c r="CNU29" s="172"/>
      <c r="CNV29" s="172"/>
      <c r="CNW29" s="172"/>
      <c r="CNX29" s="172"/>
      <c r="CNY29" s="172"/>
      <c r="CNZ29" s="172"/>
      <c r="COA29" s="172"/>
      <c r="COB29" s="172"/>
      <c r="COC29" s="172"/>
      <c r="COD29" s="172"/>
      <c r="COE29" s="172"/>
      <c r="COF29" s="172"/>
      <c r="COG29" s="172"/>
      <c r="COH29" s="172"/>
      <c r="COI29" s="172"/>
      <c r="COJ29" s="172"/>
      <c r="COK29" s="172"/>
      <c r="COL29" s="172"/>
      <c r="COM29" s="172"/>
      <c r="CON29" s="172"/>
      <c r="COO29" s="172"/>
      <c r="COP29" s="172"/>
      <c r="COQ29" s="172"/>
      <c r="COR29" s="172"/>
      <c r="COS29" s="172"/>
      <c r="COT29" s="172"/>
      <c r="COU29" s="172"/>
      <c r="COV29" s="172"/>
      <c r="COW29" s="172"/>
      <c r="COX29" s="172"/>
      <c r="COY29" s="172"/>
      <c r="COZ29" s="172"/>
      <c r="CPA29" s="172"/>
      <c r="CPB29" s="172"/>
      <c r="CPC29" s="172"/>
      <c r="CPD29" s="172"/>
      <c r="CPE29" s="172"/>
      <c r="CPF29" s="172"/>
      <c r="CPG29" s="172"/>
      <c r="CPH29" s="172"/>
      <c r="CPI29" s="172"/>
      <c r="CPJ29" s="172"/>
      <c r="CPK29" s="172"/>
      <c r="CPL29" s="172"/>
      <c r="CPM29" s="172"/>
      <c r="CPN29" s="172"/>
      <c r="CPO29" s="172"/>
      <c r="CPP29" s="172"/>
      <c r="CPQ29" s="172"/>
      <c r="CPR29" s="172"/>
      <c r="CPS29" s="172"/>
      <c r="CPT29" s="172"/>
      <c r="CPU29" s="172"/>
      <c r="CPV29" s="172"/>
      <c r="CPW29" s="172"/>
      <c r="CPX29" s="172"/>
      <c r="CPY29" s="172"/>
      <c r="CPZ29" s="172"/>
      <c r="CQA29" s="172"/>
      <c r="CQB29" s="172"/>
      <c r="CQC29" s="172"/>
      <c r="CQD29" s="172"/>
      <c r="CQE29" s="172"/>
      <c r="CQF29" s="172"/>
      <c r="CQG29" s="172"/>
      <c r="CQH29" s="172"/>
      <c r="CQI29" s="172"/>
      <c r="CQJ29" s="172"/>
      <c r="CQK29" s="172"/>
      <c r="CQL29" s="172"/>
      <c r="CQM29" s="172"/>
      <c r="CQN29" s="172"/>
      <c r="CQO29" s="172"/>
      <c r="CQP29" s="172"/>
      <c r="CQQ29" s="172"/>
      <c r="CQR29" s="172"/>
      <c r="CQS29" s="172"/>
      <c r="CQT29" s="172"/>
      <c r="CQU29" s="172"/>
      <c r="CQV29" s="172"/>
      <c r="CQW29" s="172"/>
      <c r="CQX29" s="172"/>
      <c r="CQY29" s="172"/>
      <c r="CQZ29" s="172"/>
      <c r="CRA29" s="172"/>
      <c r="CRB29" s="172"/>
      <c r="CRC29" s="172"/>
      <c r="CRD29" s="172"/>
      <c r="CRE29" s="172"/>
      <c r="CRF29" s="172"/>
      <c r="CRG29" s="172"/>
      <c r="CRH29" s="172"/>
      <c r="CRI29" s="172"/>
      <c r="CRJ29" s="172"/>
      <c r="CRK29" s="172"/>
      <c r="CRL29" s="172"/>
      <c r="CRM29" s="172"/>
      <c r="CRN29" s="172"/>
      <c r="CRO29" s="172"/>
      <c r="CRP29" s="172"/>
      <c r="CRQ29" s="172"/>
      <c r="CRR29" s="172"/>
      <c r="CRS29" s="172"/>
      <c r="CRT29" s="172"/>
      <c r="CRU29" s="172"/>
      <c r="CRV29" s="172"/>
      <c r="CRW29" s="172"/>
      <c r="CRX29" s="172"/>
      <c r="CRY29" s="172"/>
      <c r="CRZ29" s="172"/>
      <c r="CSA29" s="172"/>
      <c r="CSB29" s="172"/>
      <c r="CSC29" s="172"/>
      <c r="CSD29" s="172"/>
      <c r="CSE29" s="172"/>
      <c r="CSF29" s="172"/>
      <c r="CSG29" s="172"/>
      <c r="CSH29" s="172"/>
      <c r="CSI29" s="172"/>
      <c r="CSJ29" s="172"/>
      <c r="CSK29" s="172"/>
      <c r="CSL29" s="172"/>
      <c r="CSM29" s="172"/>
      <c r="CSN29" s="172"/>
      <c r="CSO29" s="172"/>
      <c r="CSP29" s="172"/>
      <c r="CSQ29" s="172"/>
      <c r="CSR29" s="172"/>
      <c r="CSS29" s="172"/>
      <c r="CST29" s="172"/>
      <c r="CSU29" s="172"/>
      <c r="CSV29" s="172"/>
      <c r="CSW29" s="172"/>
      <c r="CSX29" s="172"/>
      <c r="CSY29" s="172"/>
      <c r="CSZ29" s="172"/>
      <c r="CTA29" s="172"/>
      <c r="CTB29" s="172"/>
      <c r="CTC29" s="172"/>
      <c r="CTD29" s="172"/>
      <c r="CTE29" s="172"/>
      <c r="CTF29" s="172"/>
      <c r="CTG29" s="172"/>
      <c r="CTH29" s="172"/>
      <c r="CTI29" s="172"/>
      <c r="CTJ29" s="172"/>
      <c r="CTK29" s="172"/>
      <c r="CTL29" s="172"/>
      <c r="CTM29" s="172"/>
      <c r="CTN29" s="172"/>
      <c r="CTO29" s="172"/>
      <c r="CTP29" s="172"/>
      <c r="CTQ29" s="172"/>
      <c r="CTR29" s="172"/>
      <c r="CTS29" s="172"/>
      <c r="CTT29" s="172"/>
      <c r="CTU29" s="172"/>
      <c r="CTV29" s="172"/>
      <c r="CTW29" s="172"/>
      <c r="CTX29" s="172"/>
      <c r="CTY29" s="172"/>
      <c r="CTZ29" s="172"/>
      <c r="CUA29" s="172"/>
      <c r="CUB29" s="172"/>
      <c r="CUC29" s="172"/>
      <c r="CUD29" s="172"/>
      <c r="CUE29" s="172"/>
      <c r="CUF29" s="172"/>
      <c r="CUG29" s="172"/>
      <c r="CUH29" s="172"/>
      <c r="CUI29" s="172"/>
      <c r="CUJ29" s="172"/>
      <c r="CUK29" s="172"/>
      <c r="CUL29" s="172"/>
      <c r="CUM29" s="172"/>
      <c r="CUN29" s="172"/>
      <c r="CUO29" s="172"/>
      <c r="CUP29" s="172"/>
      <c r="CUQ29" s="172"/>
      <c r="CUR29" s="172"/>
      <c r="CUS29" s="172"/>
      <c r="CUT29" s="172"/>
      <c r="CUU29" s="172"/>
      <c r="CUV29" s="172"/>
      <c r="CUW29" s="172"/>
      <c r="CUX29" s="172"/>
      <c r="CUY29" s="172"/>
      <c r="CUZ29" s="172"/>
      <c r="CVA29" s="172"/>
      <c r="CVB29" s="172"/>
      <c r="CVC29" s="172"/>
      <c r="CVD29" s="172"/>
      <c r="CVE29" s="172"/>
      <c r="CVF29" s="172"/>
      <c r="CVG29" s="172"/>
      <c r="CVH29" s="172"/>
      <c r="CVI29" s="172"/>
      <c r="CVJ29" s="172"/>
      <c r="CVK29" s="172"/>
      <c r="CVL29" s="172"/>
      <c r="CVM29" s="172"/>
      <c r="CVN29" s="172"/>
      <c r="CVO29" s="172"/>
      <c r="CVP29" s="172"/>
      <c r="CVQ29" s="172"/>
      <c r="CVR29" s="172"/>
      <c r="CVS29" s="172"/>
      <c r="CVT29" s="172"/>
      <c r="CVU29" s="172"/>
      <c r="CVV29" s="172"/>
      <c r="CVW29" s="172"/>
      <c r="CVX29" s="172"/>
      <c r="CVY29" s="172"/>
      <c r="CVZ29" s="172"/>
      <c r="CWA29" s="172"/>
      <c r="CWB29" s="172"/>
      <c r="CWC29" s="172"/>
      <c r="CWD29" s="172"/>
      <c r="CWE29" s="172"/>
      <c r="CWF29" s="172"/>
      <c r="CWG29" s="172"/>
      <c r="CWH29" s="172"/>
      <c r="CWI29" s="172"/>
      <c r="CWJ29" s="172"/>
      <c r="CWK29" s="172"/>
      <c r="CWL29" s="172"/>
      <c r="CWM29" s="172"/>
      <c r="CWN29" s="172"/>
      <c r="CWO29" s="172"/>
      <c r="CWP29" s="172"/>
      <c r="CWQ29" s="172"/>
      <c r="CWR29" s="172"/>
      <c r="CWS29" s="172"/>
      <c r="CWT29" s="172"/>
      <c r="CWU29" s="172"/>
      <c r="CWV29" s="172"/>
      <c r="CWW29" s="172"/>
      <c r="CWX29" s="172"/>
      <c r="CWY29" s="172"/>
      <c r="CWZ29" s="172"/>
      <c r="CXA29" s="172"/>
      <c r="CXB29" s="172"/>
      <c r="CXC29" s="172"/>
      <c r="CXD29" s="172"/>
      <c r="CXE29" s="172"/>
      <c r="CXF29" s="172"/>
      <c r="CXG29" s="172"/>
      <c r="CXH29" s="172"/>
      <c r="CXI29" s="172"/>
      <c r="CXJ29" s="172"/>
      <c r="CXK29" s="172"/>
      <c r="CXL29" s="172"/>
      <c r="CXM29" s="172"/>
      <c r="CXN29" s="172"/>
      <c r="CXO29" s="172"/>
      <c r="CXP29" s="172"/>
      <c r="CXQ29" s="172"/>
      <c r="CXR29" s="172"/>
      <c r="CXS29" s="172"/>
      <c r="CXT29" s="172"/>
      <c r="CXU29" s="172"/>
      <c r="CXV29" s="172"/>
      <c r="CXW29" s="172"/>
      <c r="CXX29" s="172"/>
      <c r="CXY29" s="172"/>
      <c r="CXZ29" s="172"/>
      <c r="CYA29" s="172"/>
      <c r="CYB29" s="172"/>
      <c r="CYC29" s="172"/>
      <c r="CYD29" s="172"/>
      <c r="CYE29" s="172"/>
      <c r="CYF29" s="172"/>
      <c r="CYG29" s="172"/>
      <c r="CYH29" s="172"/>
      <c r="CYI29" s="172"/>
      <c r="CYJ29" s="172"/>
      <c r="CYK29" s="172"/>
      <c r="CYL29" s="172"/>
      <c r="CYM29" s="172"/>
      <c r="CYN29" s="172"/>
      <c r="CYO29" s="172"/>
      <c r="CYP29" s="172"/>
      <c r="CYQ29" s="172"/>
      <c r="CYR29" s="172"/>
      <c r="CYS29" s="172"/>
      <c r="CYT29" s="172"/>
      <c r="CYU29" s="172"/>
      <c r="CYV29" s="172"/>
      <c r="CYW29" s="172"/>
      <c r="CYX29" s="172"/>
      <c r="CYY29" s="172"/>
      <c r="CYZ29" s="172"/>
      <c r="CZA29" s="172"/>
      <c r="CZB29" s="172"/>
      <c r="CZC29" s="172"/>
      <c r="CZD29" s="172"/>
      <c r="CZE29" s="172"/>
      <c r="CZF29" s="172"/>
      <c r="CZG29" s="172"/>
      <c r="CZH29" s="172"/>
      <c r="CZI29" s="172"/>
      <c r="CZJ29" s="172"/>
      <c r="CZK29" s="172"/>
      <c r="CZL29" s="172"/>
      <c r="CZM29" s="172"/>
      <c r="CZN29" s="172"/>
      <c r="CZO29" s="172"/>
      <c r="CZP29" s="172"/>
      <c r="CZQ29" s="172"/>
      <c r="CZR29" s="172"/>
      <c r="CZS29" s="172"/>
      <c r="CZT29" s="172"/>
      <c r="CZU29" s="172"/>
      <c r="CZV29" s="172"/>
      <c r="CZW29" s="172"/>
      <c r="CZX29" s="172"/>
      <c r="CZY29" s="172"/>
      <c r="CZZ29" s="172"/>
      <c r="DAA29" s="172"/>
      <c r="DAB29" s="172"/>
      <c r="DAC29" s="172"/>
      <c r="DAD29" s="172"/>
      <c r="DAE29" s="172"/>
      <c r="DAF29" s="172"/>
      <c r="DAG29" s="172"/>
      <c r="DAH29" s="172"/>
      <c r="DAI29" s="172"/>
      <c r="DAJ29" s="172"/>
      <c r="DAK29" s="172"/>
      <c r="DAL29" s="172"/>
      <c r="DAM29" s="172"/>
      <c r="DAN29" s="172"/>
      <c r="DAO29" s="172"/>
      <c r="DAP29" s="172"/>
      <c r="DAQ29" s="172"/>
      <c r="DAR29" s="172"/>
      <c r="DAS29" s="172"/>
      <c r="DAT29" s="172"/>
      <c r="DAU29" s="172"/>
      <c r="DAV29" s="172"/>
      <c r="DAW29" s="172"/>
      <c r="DAX29" s="172"/>
      <c r="DAY29" s="172"/>
      <c r="DAZ29" s="172"/>
      <c r="DBA29" s="172"/>
      <c r="DBB29" s="172"/>
      <c r="DBC29" s="172"/>
      <c r="DBD29" s="172"/>
      <c r="DBE29" s="172"/>
      <c r="DBF29" s="172"/>
      <c r="DBG29" s="172"/>
      <c r="DBH29" s="172"/>
      <c r="DBI29" s="172"/>
      <c r="DBJ29" s="172"/>
      <c r="DBK29" s="172"/>
      <c r="DBL29" s="172"/>
      <c r="DBM29" s="172"/>
      <c r="DBN29" s="172"/>
      <c r="DBO29" s="172"/>
      <c r="DBP29" s="172"/>
      <c r="DBQ29" s="172"/>
      <c r="DBR29" s="172"/>
      <c r="DBS29" s="172"/>
      <c r="DBT29" s="172"/>
      <c r="DBU29" s="172"/>
      <c r="DBV29" s="172"/>
      <c r="DBW29" s="172"/>
      <c r="DBX29" s="172"/>
      <c r="DBY29" s="172"/>
      <c r="DBZ29" s="172"/>
      <c r="DCA29" s="172"/>
      <c r="DCB29" s="172"/>
      <c r="DCC29" s="172"/>
      <c r="DCD29" s="172"/>
      <c r="DCE29" s="172"/>
      <c r="DCF29" s="172"/>
      <c r="DCG29" s="172"/>
      <c r="DCH29" s="172"/>
      <c r="DCI29" s="172"/>
      <c r="DCJ29" s="172"/>
      <c r="DCK29" s="172"/>
      <c r="DCL29" s="172"/>
      <c r="DCM29" s="172"/>
      <c r="DCN29" s="172"/>
      <c r="DCO29" s="172"/>
      <c r="DCP29" s="172"/>
      <c r="DCQ29" s="172"/>
      <c r="DCR29" s="172"/>
      <c r="DCS29" s="172"/>
      <c r="DCT29" s="172"/>
      <c r="DCU29" s="172"/>
      <c r="DCV29" s="172"/>
      <c r="DCW29" s="172"/>
      <c r="DCX29" s="172"/>
      <c r="DCY29" s="172"/>
      <c r="DCZ29" s="172"/>
      <c r="DDA29" s="172"/>
      <c r="DDB29" s="172"/>
      <c r="DDC29" s="172"/>
      <c r="DDD29" s="172"/>
      <c r="DDE29" s="172"/>
      <c r="DDF29" s="172"/>
      <c r="DDG29" s="172"/>
      <c r="DDH29" s="172"/>
      <c r="DDI29" s="172"/>
      <c r="DDJ29" s="172"/>
      <c r="DDK29" s="172"/>
      <c r="DDL29" s="172"/>
      <c r="DDM29" s="172"/>
      <c r="DDN29" s="172"/>
      <c r="DDO29" s="172"/>
      <c r="DDP29" s="172"/>
      <c r="DDQ29" s="172"/>
      <c r="DDR29" s="172"/>
      <c r="DDS29" s="172"/>
      <c r="DDT29" s="172"/>
      <c r="DDU29" s="172"/>
      <c r="DDV29" s="172"/>
      <c r="DDW29" s="172"/>
      <c r="DDX29" s="172"/>
      <c r="DDY29" s="172"/>
      <c r="DDZ29" s="172"/>
      <c r="DEA29" s="172"/>
      <c r="DEB29" s="172"/>
      <c r="DEC29" s="172"/>
      <c r="DED29" s="172"/>
      <c r="DEE29" s="172"/>
      <c r="DEF29" s="172"/>
      <c r="DEG29" s="172"/>
      <c r="DEH29" s="172"/>
      <c r="DEI29" s="172"/>
      <c r="DEJ29" s="172"/>
      <c r="DEK29" s="172"/>
      <c r="DEL29" s="172"/>
      <c r="DEM29" s="172"/>
      <c r="DEN29" s="172"/>
      <c r="DEO29" s="172"/>
      <c r="DEP29" s="172"/>
      <c r="DEQ29" s="172"/>
      <c r="DER29" s="172"/>
      <c r="DES29" s="172"/>
      <c r="DET29" s="172"/>
      <c r="DEU29" s="172"/>
      <c r="DEV29" s="172"/>
      <c r="DEW29" s="172"/>
      <c r="DEX29" s="172"/>
      <c r="DEY29" s="172"/>
      <c r="DEZ29" s="172"/>
      <c r="DFA29" s="172"/>
      <c r="DFB29" s="172"/>
      <c r="DFC29" s="172"/>
      <c r="DFD29" s="172"/>
      <c r="DFE29" s="172"/>
      <c r="DFF29" s="172"/>
      <c r="DFG29" s="172"/>
      <c r="DFH29" s="172"/>
      <c r="DFI29" s="172"/>
      <c r="DFJ29" s="172"/>
      <c r="DFK29" s="172"/>
      <c r="DFL29" s="172"/>
      <c r="DFM29" s="172"/>
      <c r="DFN29" s="172"/>
      <c r="DFO29" s="172"/>
      <c r="DFP29" s="172"/>
      <c r="DFQ29" s="172"/>
      <c r="DFR29" s="172"/>
      <c r="DFS29" s="172"/>
      <c r="DFT29" s="172"/>
      <c r="DFU29" s="172"/>
      <c r="DFV29" s="172"/>
      <c r="DFW29" s="172"/>
      <c r="DFX29" s="172"/>
      <c r="DFY29" s="172"/>
      <c r="DFZ29" s="172"/>
      <c r="DGA29" s="172"/>
      <c r="DGB29" s="172"/>
      <c r="DGC29" s="172"/>
      <c r="DGD29" s="172"/>
      <c r="DGE29" s="172"/>
      <c r="DGF29" s="172"/>
      <c r="DGG29" s="172"/>
      <c r="DGH29" s="172"/>
      <c r="DGI29" s="172"/>
      <c r="DGJ29" s="172"/>
      <c r="DGK29" s="172"/>
      <c r="DGL29" s="172"/>
      <c r="DGM29" s="172"/>
      <c r="DGN29" s="172"/>
      <c r="DGO29" s="172"/>
      <c r="DGP29" s="172"/>
      <c r="DGQ29" s="172"/>
      <c r="DGR29" s="172"/>
      <c r="DGS29" s="172"/>
      <c r="DGT29" s="172"/>
      <c r="DGU29" s="172"/>
      <c r="DGV29" s="172"/>
      <c r="DGW29" s="172"/>
      <c r="DGX29" s="172"/>
      <c r="DGY29" s="172"/>
      <c r="DGZ29" s="172"/>
      <c r="DHA29" s="172"/>
      <c r="DHB29" s="172"/>
      <c r="DHC29" s="172"/>
      <c r="DHD29" s="172"/>
      <c r="DHE29" s="172"/>
      <c r="DHF29" s="172"/>
      <c r="DHG29" s="172"/>
      <c r="DHH29" s="172"/>
      <c r="DHI29" s="172"/>
      <c r="DHJ29" s="172"/>
      <c r="DHK29" s="172"/>
      <c r="DHL29" s="172"/>
      <c r="DHM29" s="172"/>
      <c r="DHN29" s="172"/>
      <c r="DHO29" s="172"/>
      <c r="DHP29" s="172"/>
      <c r="DHQ29" s="172"/>
      <c r="DHR29" s="172"/>
      <c r="DHS29" s="172"/>
      <c r="DHT29" s="172"/>
      <c r="DHU29" s="172"/>
      <c r="DHV29" s="172"/>
      <c r="DHW29" s="172"/>
      <c r="DHX29" s="172"/>
      <c r="DHY29" s="172"/>
      <c r="DHZ29" s="172"/>
      <c r="DIA29" s="172"/>
      <c r="DIB29" s="172"/>
      <c r="DIC29" s="172"/>
      <c r="DID29" s="172"/>
      <c r="DIE29" s="172"/>
      <c r="DIF29" s="172"/>
      <c r="DIG29" s="172"/>
      <c r="DIH29" s="172"/>
      <c r="DII29" s="172"/>
      <c r="DIJ29" s="172"/>
      <c r="DIK29" s="172"/>
      <c r="DIL29" s="172"/>
      <c r="DIM29" s="172"/>
      <c r="DIN29" s="172"/>
      <c r="DIO29" s="172"/>
      <c r="DIP29" s="172"/>
      <c r="DIQ29" s="172"/>
      <c r="DIR29" s="172"/>
      <c r="DIS29" s="172"/>
      <c r="DIT29" s="172"/>
      <c r="DIU29" s="172"/>
      <c r="DIV29" s="172"/>
      <c r="DIW29" s="172"/>
      <c r="DIX29" s="172"/>
      <c r="DIY29" s="172"/>
      <c r="DIZ29" s="172"/>
      <c r="DJA29" s="172"/>
      <c r="DJB29" s="172"/>
      <c r="DJC29" s="172"/>
      <c r="DJD29" s="172"/>
      <c r="DJE29" s="172"/>
      <c r="DJF29" s="172"/>
      <c r="DJG29" s="172"/>
      <c r="DJH29" s="172"/>
      <c r="DJI29" s="172"/>
      <c r="DJJ29" s="172"/>
      <c r="DJK29" s="172"/>
      <c r="DJL29" s="172"/>
      <c r="DJM29" s="172"/>
      <c r="DJN29" s="172"/>
      <c r="DJO29" s="172"/>
      <c r="DJP29" s="172"/>
      <c r="DJQ29" s="172"/>
      <c r="DJR29" s="172"/>
      <c r="DJS29" s="172"/>
      <c r="DJT29" s="172"/>
      <c r="DJU29" s="172"/>
      <c r="DJV29" s="172"/>
      <c r="DJW29" s="172"/>
      <c r="DJX29" s="172"/>
      <c r="DJY29" s="172"/>
      <c r="DJZ29" s="172"/>
      <c r="DKA29" s="172"/>
      <c r="DKB29" s="172"/>
      <c r="DKC29" s="172"/>
      <c r="DKD29" s="172"/>
      <c r="DKE29" s="172"/>
      <c r="DKF29" s="172"/>
      <c r="DKG29" s="172"/>
      <c r="DKH29" s="172"/>
      <c r="DKI29" s="172"/>
      <c r="DKJ29" s="172"/>
      <c r="DKK29" s="172"/>
      <c r="DKL29" s="172"/>
      <c r="DKM29" s="172"/>
      <c r="DKN29" s="172"/>
      <c r="DKO29" s="172"/>
      <c r="DKP29" s="172"/>
      <c r="DKQ29" s="172"/>
      <c r="DKR29" s="172"/>
      <c r="DKS29" s="172"/>
      <c r="DKT29" s="172"/>
      <c r="DKU29" s="172"/>
      <c r="DKV29" s="172"/>
      <c r="DKW29" s="172"/>
      <c r="DKX29" s="172"/>
      <c r="DKY29" s="172"/>
      <c r="DKZ29" s="172"/>
      <c r="DLA29" s="172"/>
      <c r="DLB29" s="172"/>
      <c r="DLC29" s="172"/>
      <c r="DLD29" s="172"/>
      <c r="DLE29" s="172"/>
      <c r="DLF29" s="172"/>
      <c r="DLG29" s="172"/>
      <c r="DLH29" s="172"/>
      <c r="DLI29" s="172"/>
      <c r="DLJ29" s="172"/>
      <c r="DLK29" s="172"/>
      <c r="DLL29" s="172"/>
      <c r="DLM29" s="172"/>
      <c r="DLN29" s="172"/>
      <c r="DLO29" s="172"/>
      <c r="DLP29" s="172"/>
      <c r="DLQ29" s="172"/>
      <c r="DLR29" s="172"/>
      <c r="DLS29" s="172"/>
      <c r="DLT29" s="172"/>
      <c r="DLU29" s="172"/>
      <c r="DLV29" s="172"/>
      <c r="DLW29" s="172"/>
      <c r="DLX29" s="172"/>
      <c r="DLY29" s="172"/>
      <c r="DLZ29" s="172"/>
      <c r="DMA29" s="172"/>
      <c r="DMB29" s="172"/>
      <c r="DMC29" s="172"/>
      <c r="DMD29" s="172"/>
      <c r="DME29" s="172"/>
      <c r="DMF29" s="172"/>
      <c r="DMG29" s="172"/>
      <c r="DMH29" s="172"/>
      <c r="DMI29" s="172"/>
      <c r="DMJ29" s="172"/>
      <c r="DMK29" s="172"/>
      <c r="DML29" s="172"/>
      <c r="DMM29" s="172"/>
      <c r="DMN29" s="172"/>
      <c r="DMO29" s="172"/>
      <c r="DMP29" s="172"/>
      <c r="DMQ29" s="172"/>
      <c r="DMR29" s="172"/>
      <c r="DMS29" s="172"/>
      <c r="DMT29" s="172"/>
      <c r="DMU29" s="172"/>
      <c r="DMV29" s="172"/>
      <c r="DMW29" s="172"/>
      <c r="DMX29" s="172"/>
      <c r="DMY29" s="172"/>
      <c r="DMZ29" s="172"/>
      <c r="DNA29" s="172"/>
      <c r="DNB29" s="172"/>
      <c r="DNC29" s="172"/>
      <c r="DND29" s="172"/>
      <c r="DNE29" s="172"/>
      <c r="DNF29" s="172"/>
      <c r="DNG29" s="172"/>
      <c r="DNH29" s="172"/>
      <c r="DNI29" s="172"/>
      <c r="DNJ29" s="172"/>
      <c r="DNK29" s="172"/>
      <c r="DNL29" s="172"/>
      <c r="DNM29" s="172"/>
      <c r="DNN29" s="172"/>
      <c r="DNO29" s="172"/>
      <c r="DNP29" s="172"/>
      <c r="DNQ29" s="172"/>
      <c r="DNR29" s="172"/>
      <c r="DNS29" s="172"/>
      <c r="DNT29" s="172"/>
      <c r="DNU29" s="172"/>
      <c r="DNV29" s="172"/>
      <c r="DNW29" s="172"/>
      <c r="DNX29" s="172"/>
      <c r="DNY29" s="172"/>
      <c r="DNZ29" s="172"/>
      <c r="DOA29" s="172"/>
      <c r="DOB29" s="172"/>
      <c r="DOC29" s="172"/>
      <c r="DOD29" s="172"/>
      <c r="DOE29" s="172"/>
      <c r="DOF29" s="172"/>
      <c r="DOG29" s="172"/>
      <c r="DOH29" s="172"/>
      <c r="DOI29" s="172"/>
      <c r="DOJ29" s="172"/>
      <c r="DOK29" s="172"/>
      <c r="DOL29" s="172"/>
      <c r="DOM29" s="172"/>
      <c r="DON29" s="172"/>
      <c r="DOO29" s="172"/>
      <c r="DOP29" s="172"/>
      <c r="DOQ29" s="172"/>
      <c r="DOR29" s="172"/>
      <c r="DOS29" s="172"/>
      <c r="DOT29" s="172"/>
      <c r="DOU29" s="172"/>
      <c r="DOV29" s="172"/>
      <c r="DOW29" s="172"/>
      <c r="DOX29" s="172"/>
      <c r="DOY29" s="172"/>
      <c r="DOZ29" s="172"/>
      <c r="DPA29" s="172"/>
      <c r="DPB29" s="172"/>
      <c r="DPC29" s="172"/>
      <c r="DPD29" s="172"/>
      <c r="DPE29" s="172"/>
      <c r="DPF29" s="172"/>
      <c r="DPG29" s="172"/>
      <c r="DPH29" s="172"/>
      <c r="DPI29" s="172"/>
      <c r="DPJ29" s="172"/>
      <c r="DPK29" s="172"/>
      <c r="DPL29" s="172"/>
      <c r="DPM29" s="172"/>
      <c r="DPN29" s="172"/>
      <c r="DPO29" s="172"/>
      <c r="DPP29" s="172"/>
      <c r="DPQ29" s="172"/>
      <c r="DPR29" s="172"/>
      <c r="DPS29" s="172"/>
      <c r="DPT29" s="172"/>
      <c r="DPU29" s="172"/>
      <c r="DPV29" s="172"/>
      <c r="DPW29" s="172"/>
      <c r="DPX29" s="172"/>
      <c r="DPY29" s="172"/>
      <c r="DPZ29" s="172"/>
      <c r="DQA29" s="172"/>
      <c r="DQB29" s="172"/>
      <c r="DQC29" s="172"/>
      <c r="DQD29" s="172"/>
      <c r="DQE29" s="172"/>
      <c r="DQF29" s="172"/>
      <c r="DQG29" s="172"/>
      <c r="DQH29" s="172"/>
      <c r="DQI29" s="172"/>
      <c r="DQJ29" s="172"/>
      <c r="DQK29" s="172"/>
      <c r="DQL29" s="172"/>
      <c r="DQM29" s="172"/>
      <c r="DQN29" s="172"/>
      <c r="DQO29" s="172"/>
      <c r="DQP29" s="172"/>
      <c r="DQQ29" s="172"/>
      <c r="DQR29" s="172"/>
      <c r="DQS29" s="172"/>
      <c r="DQT29" s="172"/>
      <c r="DQU29" s="172"/>
      <c r="DQV29" s="172"/>
      <c r="DQW29" s="172"/>
      <c r="DQX29" s="172"/>
      <c r="DQY29" s="172"/>
      <c r="DQZ29" s="172"/>
      <c r="DRA29" s="172"/>
      <c r="DRB29" s="172"/>
      <c r="DRC29" s="172"/>
      <c r="DRD29" s="172"/>
      <c r="DRE29" s="172"/>
      <c r="DRF29" s="172"/>
      <c r="DRG29" s="172"/>
      <c r="DRH29" s="172"/>
      <c r="DRI29" s="172"/>
      <c r="DRJ29" s="172"/>
      <c r="DRK29" s="172"/>
      <c r="DRL29" s="172"/>
      <c r="DRM29" s="172"/>
      <c r="DRN29" s="172"/>
      <c r="DRO29" s="172"/>
      <c r="DRP29" s="172"/>
      <c r="DRQ29" s="172"/>
      <c r="DRR29" s="172"/>
      <c r="DRS29" s="172"/>
      <c r="DRT29" s="172"/>
      <c r="DRU29" s="172"/>
      <c r="DRV29" s="172"/>
      <c r="DRW29" s="172"/>
      <c r="DRX29" s="172"/>
      <c r="DRY29" s="172"/>
      <c r="DRZ29" s="172"/>
      <c r="DSA29" s="172"/>
      <c r="DSB29" s="172"/>
      <c r="DSC29" s="172"/>
      <c r="DSD29" s="172"/>
      <c r="DSE29" s="172"/>
      <c r="DSF29" s="172"/>
      <c r="DSG29" s="172"/>
      <c r="DSH29" s="172"/>
      <c r="DSI29" s="172"/>
      <c r="DSJ29" s="172"/>
      <c r="DSK29" s="172"/>
      <c r="DSL29" s="172"/>
      <c r="DSM29" s="172"/>
      <c r="DSN29" s="172"/>
      <c r="DSO29" s="172"/>
      <c r="DSP29" s="172"/>
      <c r="DSQ29" s="172"/>
      <c r="DSR29" s="172"/>
      <c r="DSS29" s="172"/>
      <c r="DST29" s="172"/>
      <c r="DSU29" s="172"/>
      <c r="DSV29" s="172"/>
      <c r="DSW29" s="172"/>
      <c r="DSX29" s="172"/>
      <c r="DSY29" s="172"/>
      <c r="DSZ29" s="172"/>
      <c r="DTA29" s="172"/>
      <c r="DTB29" s="172"/>
      <c r="DTC29" s="172"/>
      <c r="DTD29" s="172"/>
      <c r="DTE29" s="172"/>
      <c r="DTF29" s="172"/>
      <c r="DTG29" s="172"/>
      <c r="DTH29" s="172"/>
      <c r="DTI29" s="172"/>
      <c r="DTJ29" s="172"/>
      <c r="DTK29" s="172"/>
      <c r="DTL29" s="172"/>
      <c r="DTM29" s="172"/>
      <c r="DTN29" s="172"/>
      <c r="DTO29" s="172"/>
      <c r="DTP29" s="172"/>
      <c r="DTQ29" s="172"/>
      <c r="DTR29" s="172"/>
      <c r="DTS29" s="172"/>
      <c r="DTT29" s="172"/>
      <c r="DTU29" s="172"/>
      <c r="DTV29" s="172"/>
      <c r="DTW29" s="172"/>
      <c r="DTX29" s="172"/>
      <c r="DTY29" s="172"/>
      <c r="DTZ29" s="172"/>
      <c r="DUA29" s="172"/>
      <c r="DUB29" s="172"/>
      <c r="DUC29" s="172"/>
      <c r="DUD29" s="172"/>
      <c r="DUE29" s="172"/>
      <c r="DUF29" s="172"/>
      <c r="DUG29" s="172"/>
      <c r="DUH29" s="172"/>
      <c r="DUI29" s="172"/>
      <c r="DUJ29" s="172"/>
      <c r="DUK29" s="172"/>
      <c r="DUL29" s="172"/>
      <c r="DUM29" s="172"/>
      <c r="DUN29" s="172"/>
      <c r="DUO29" s="172"/>
      <c r="DUP29" s="172"/>
      <c r="DUQ29" s="172"/>
      <c r="DUR29" s="172"/>
      <c r="DUS29" s="172"/>
      <c r="DUT29" s="172"/>
      <c r="DUU29" s="172"/>
      <c r="DUV29" s="172"/>
      <c r="DUW29" s="172"/>
      <c r="DUX29" s="172"/>
      <c r="DUY29" s="172"/>
      <c r="DUZ29" s="172"/>
      <c r="DVA29" s="172"/>
      <c r="DVB29" s="172"/>
      <c r="DVC29" s="172"/>
      <c r="DVD29" s="172"/>
      <c r="DVE29" s="172"/>
      <c r="DVF29" s="172"/>
      <c r="DVG29" s="172"/>
      <c r="DVH29" s="172"/>
      <c r="DVI29" s="172"/>
      <c r="DVJ29" s="172"/>
      <c r="DVK29" s="172"/>
      <c r="DVL29" s="172"/>
      <c r="DVM29" s="172"/>
      <c r="DVN29" s="172"/>
      <c r="DVO29" s="172"/>
      <c r="DVP29" s="172"/>
      <c r="DVQ29" s="172"/>
      <c r="DVR29" s="172"/>
      <c r="DVS29" s="172"/>
      <c r="DVT29" s="172"/>
      <c r="DVU29" s="172"/>
      <c r="DVV29" s="172"/>
      <c r="DVW29" s="172"/>
      <c r="DVX29" s="172"/>
      <c r="DVY29" s="172"/>
      <c r="DVZ29" s="172"/>
      <c r="DWA29" s="172"/>
      <c r="DWB29" s="172"/>
      <c r="DWC29" s="172"/>
      <c r="DWD29" s="172"/>
      <c r="DWE29" s="172"/>
      <c r="DWF29" s="172"/>
      <c r="DWG29" s="172"/>
      <c r="DWH29" s="172"/>
      <c r="DWI29" s="172"/>
      <c r="DWJ29" s="172"/>
      <c r="DWK29" s="172"/>
      <c r="DWL29" s="172"/>
      <c r="DWM29" s="172"/>
      <c r="DWN29" s="172"/>
      <c r="DWO29" s="172"/>
      <c r="DWP29" s="172"/>
      <c r="DWQ29" s="172"/>
      <c r="DWR29" s="172"/>
      <c r="DWS29" s="172"/>
      <c r="DWT29" s="172"/>
      <c r="DWU29" s="172"/>
      <c r="DWV29" s="172"/>
      <c r="DWW29" s="172"/>
      <c r="DWX29" s="172"/>
      <c r="DWY29" s="172"/>
      <c r="DWZ29" s="172"/>
      <c r="DXA29" s="172"/>
      <c r="DXB29" s="172"/>
      <c r="DXC29" s="172"/>
      <c r="DXD29" s="172"/>
      <c r="DXE29" s="172"/>
      <c r="DXF29" s="172"/>
      <c r="DXG29" s="172"/>
      <c r="DXH29" s="172"/>
      <c r="DXI29" s="172"/>
      <c r="DXJ29" s="172"/>
      <c r="DXK29" s="172"/>
      <c r="DXL29" s="172"/>
      <c r="DXM29" s="172"/>
      <c r="DXN29" s="172"/>
      <c r="DXO29" s="172"/>
      <c r="DXP29" s="172"/>
      <c r="DXQ29" s="172"/>
      <c r="DXR29" s="172"/>
      <c r="DXS29" s="172"/>
      <c r="DXT29" s="172"/>
      <c r="DXU29" s="172"/>
      <c r="DXV29" s="172"/>
      <c r="DXW29" s="172"/>
      <c r="DXX29" s="172"/>
      <c r="DXY29" s="172"/>
      <c r="DXZ29" s="172"/>
      <c r="DYA29" s="172"/>
      <c r="DYB29" s="172"/>
      <c r="DYC29" s="172"/>
      <c r="DYD29" s="172"/>
      <c r="DYE29" s="172"/>
      <c r="DYF29" s="172"/>
      <c r="DYG29" s="172"/>
      <c r="DYH29" s="172"/>
      <c r="DYI29" s="172"/>
      <c r="DYJ29" s="172"/>
      <c r="DYK29" s="172"/>
      <c r="DYL29" s="172"/>
      <c r="DYM29" s="172"/>
      <c r="DYN29" s="172"/>
      <c r="DYO29" s="172"/>
      <c r="DYP29" s="172"/>
      <c r="DYQ29" s="172"/>
      <c r="DYR29" s="172"/>
      <c r="DYS29" s="172"/>
      <c r="DYT29" s="172"/>
      <c r="DYU29" s="172"/>
      <c r="DYV29" s="172"/>
      <c r="DYW29" s="172"/>
      <c r="DYX29" s="172"/>
      <c r="DYY29" s="172"/>
      <c r="DYZ29" s="172"/>
      <c r="DZA29" s="172"/>
      <c r="DZB29" s="172"/>
      <c r="DZC29" s="172"/>
      <c r="DZD29" s="172"/>
      <c r="DZE29" s="172"/>
      <c r="DZF29" s="172"/>
      <c r="DZG29" s="172"/>
      <c r="DZH29" s="172"/>
      <c r="DZI29" s="172"/>
      <c r="DZJ29" s="172"/>
      <c r="DZK29" s="172"/>
      <c r="DZL29" s="172"/>
      <c r="DZM29" s="172"/>
      <c r="DZN29" s="172"/>
      <c r="DZO29" s="172"/>
      <c r="DZP29" s="172"/>
      <c r="DZQ29" s="172"/>
      <c r="DZR29" s="172"/>
      <c r="DZS29" s="172"/>
      <c r="DZT29" s="172"/>
      <c r="DZU29" s="172"/>
      <c r="DZV29" s="172"/>
      <c r="DZW29" s="172"/>
      <c r="DZX29" s="172"/>
      <c r="DZY29" s="172"/>
      <c r="DZZ29" s="172"/>
      <c r="EAA29" s="172"/>
      <c r="EAB29" s="172"/>
      <c r="EAC29" s="172"/>
      <c r="EAD29" s="172"/>
      <c r="EAE29" s="172"/>
      <c r="EAF29" s="172"/>
      <c r="EAG29" s="172"/>
      <c r="EAH29" s="172"/>
      <c r="EAI29" s="172"/>
      <c r="EAJ29" s="172"/>
      <c r="EAK29" s="172"/>
      <c r="EAL29" s="172"/>
      <c r="EAM29" s="172"/>
      <c r="EAN29" s="172"/>
      <c r="EAO29" s="172"/>
      <c r="EAP29" s="172"/>
      <c r="EAQ29" s="172"/>
      <c r="EAR29" s="172"/>
      <c r="EAS29" s="172"/>
      <c r="EAT29" s="172"/>
      <c r="EAU29" s="172"/>
      <c r="EAV29" s="172"/>
      <c r="EAW29" s="172"/>
      <c r="EAX29" s="172"/>
      <c r="EAY29" s="172"/>
      <c r="EAZ29" s="172"/>
      <c r="EBA29" s="172"/>
      <c r="EBB29" s="172"/>
      <c r="EBC29" s="172"/>
      <c r="EBD29" s="172"/>
      <c r="EBE29" s="172"/>
      <c r="EBF29" s="172"/>
      <c r="EBG29" s="172"/>
      <c r="EBH29" s="172"/>
      <c r="EBI29" s="172"/>
      <c r="EBJ29" s="172"/>
      <c r="EBK29" s="172"/>
      <c r="EBL29" s="172"/>
      <c r="EBM29" s="172"/>
      <c r="EBN29" s="172"/>
      <c r="EBO29" s="172"/>
      <c r="EBP29" s="172"/>
      <c r="EBQ29" s="172"/>
      <c r="EBR29" s="172"/>
      <c r="EBS29" s="172"/>
      <c r="EBT29" s="172"/>
      <c r="EBU29" s="172"/>
      <c r="EBV29" s="172"/>
      <c r="EBW29" s="172"/>
      <c r="EBX29" s="172"/>
      <c r="EBY29" s="172"/>
      <c r="EBZ29" s="172"/>
      <c r="ECA29" s="172"/>
      <c r="ECB29" s="172"/>
      <c r="ECC29" s="172"/>
      <c r="ECD29" s="172"/>
      <c r="ECE29" s="172"/>
      <c r="ECF29" s="172"/>
      <c r="ECG29" s="172"/>
      <c r="ECH29" s="172"/>
      <c r="ECI29" s="172"/>
      <c r="ECJ29" s="172"/>
      <c r="ECK29" s="172"/>
      <c r="ECL29" s="172"/>
      <c r="ECM29" s="172"/>
      <c r="ECN29" s="172"/>
      <c r="ECO29" s="172"/>
      <c r="ECP29" s="172"/>
      <c r="ECQ29" s="172"/>
      <c r="ECR29" s="172"/>
      <c r="ECS29" s="172"/>
      <c r="ECT29" s="172"/>
      <c r="ECU29" s="172"/>
      <c r="ECV29" s="172"/>
      <c r="ECW29" s="172"/>
      <c r="ECX29" s="172"/>
      <c r="ECY29" s="172"/>
      <c r="ECZ29" s="172"/>
      <c r="EDA29" s="172"/>
      <c r="EDB29" s="172"/>
      <c r="EDC29" s="172"/>
      <c r="EDD29" s="172"/>
      <c r="EDE29" s="172"/>
      <c r="EDF29" s="172"/>
      <c r="EDG29" s="172"/>
      <c r="EDH29" s="172"/>
      <c r="EDI29" s="172"/>
      <c r="EDJ29" s="172"/>
      <c r="EDK29" s="172"/>
      <c r="EDL29" s="172"/>
      <c r="EDM29" s="172"/>
      <c r="EDN29" s="172"/>
      <c r="EDO29" s="172"/>
      <c r="EDP29" s="172"/>
      <c r="EDQ29" s="172"/>
      <c r="EDR29" s="172"/>
      <c r="EDS29" s="172"/>
      <c r="EDT29" s="172"/>
      <c r="EDU29" s="172"/>
      <c r="EDV29" s="172"/>
      <c r="EDW29" s="172"/>
      <c r="EDX29" s="172"/>
      <c r="EDY29" s="172"/>
      <c r="EDZ29" s="172"/>
      <c r="EEA29" s="172"/>
      <c r="EEB29" s="172"/>
      <c r="EEC29" s="172"/>
      <c r="EED29" s="172"/>
      <c r="EEE29" s="172"/>
      <c r="EEF29" s="172"/>
      <c r="EEG29" s="172"/>
      <c r="EEH29" s="172"/>
      <c r="EEI29" s="172"/>
      <c r="EEJ29" s="172"/>
      <c r="EEK29" s="172"/>
      <c r="EEL29" s="172"/>
      <c r="EEM29" s="172"/>
      <c r="EEN29" s="172"/>
      <c r="EEO29" s="172"/>
      <c r="EEP29" s="172"/>
      <c r="EEQ29" s="172"/>
      <c r="EER29" s="172"/>
      <c r="EES29" s="172"/>
      <c r="EET29" s="172"/>
      <c r="EEU29" s="172"/>
      <c r="EEV29" s="172"/>
      <c r="EEW29" s="172"/>
      <c r="EEX29" s="172"/>
      <c r="EEY29" s="172"/>
      <c r="EEZ29" s="172"/>
      <c r="EFA29" s="172"/>
      <c r="EFB29" s="172"/>
      <c r="EFC29" s="172"/>
      <c r="EFD29" s="172"/>
      <c r="EFE29" s="172"/>
      <c r="EFF29" s="172"/>
      <c r="EFG29" s="172"/>
      <c r="EFH29" s="172"/>
      <c r="EFI29" s="172"/>
      <c r="EFJ29" s="172"/>
      <c r="EFK29" s="172"/>
      <c r="EFL29" s="172"/>
      <c r="EFM29" s="172"/>
      <c r="EFN29" s="172"/>
      <c r="EFO29" s="172"/>
      <c r="EFP29" s="172"/>
      <c r="EFQ29" s="172"/>
      <c r="EFR29" s="172"/>
      <c r="EFS29" s="172"/>
      <c r="EFT29" s="172"/>
      <c r="EFU29" s="172"/>
      <c r="EFV29" s="172"/>
      <c r="EFW29" s="172"/>
      <c r="EFX29" s="172"/>
      <c r="EFY29" s="172"/>
      <c r="EFZ29" s="172"/>
      <c r="EGA29" s="172"/>
      <c r="EGB29" s="172"/>
      <c r="EGC29" s="172"/>
      <c r="EGD29" s="172"/>
      <c r="EGE29" s="172"/>
      <c r="EGF29" s="172"/>
      <c r="EGG29" s="172"/>
      <c r="EGH29" s="172"/>
      <c r="EGI29" s="172"/>
      <c r="EGJ29" s="172"/>
      <c r="EGK29" s="172"/>
      <c r="EGL29" s="172"/>
      <c r="EGM29" s="172"/>
      <c r="EGN29" s="172"/>
      <c r="EGO29" s="172"/>
      <c r="EGP29" s="172"/>
      <c r="EGQ29" s="172"/>
      <c r="EGR29" s="172"/>
      <c r="EGS29" s="172"/>
      <c r="EGT29" s="172"/>
      <c r="EGU29" s="172"/>
      <c r="EGV29" s="172"/>
      <c r="EGW29" s="172"/>
      <c r="EGX29" s="172"/>
      <c r="EGY29" s="172"/>
      <c r="EGZ29" s="172"/>
      <c r="EHA29" s="172"/>
      <c r="EHB29" s="172"/>
      <c r="EHC29" s="172"/>
      <c r="EHD29" s="172"/>
      <c r="EHE29" s="172"/>
      <c r="EHF29" s="172"/>
      <c r="EHG29" s="172"/>
      <c r="EHH29" s="172"/>
      <c r="EHI29" s="172"/>
      <c r="EHJ29" s="172"/>
      <c r="EHK29" s="172"/>
      <c r="EHL29" s="172"/>
      <c r="EHM29" s="172"/>
      <c r="EHN29" s="172"/>
      <c r="EHO29" s="172"/>
      <c r="EHP29" s="172"/>
      <c r="EHQ29" s="172"/>
      <c r="EHR29" s="172"/>
      <c r="EHS29" s="172"/>
      <c r="EHT29" s="172"/>
      <c r="EHU29" s="172"/>
      <c r="EHV29" s="172"/>
      <c r="EHW29" s="172"/>
      <c r="EHX29" s="172"/>
      <c r="EHY29" s="172"/>
      <c r="EHZ29" s="172"/>
      <c r="EIA29" s="172"/>
      <c r="EIB29" s="172"/>
      <c r="EIC29" s="172"/>
      <c r="EID29" s="172"/>
      <c r="EIE29" s="172"/>
      <c r="EIF29" s="172"/>
      <c r="EIG29" s="172"/>
      <c r="EIH29" s="172"/>
      <c r="EII29" s="172"/>
      <c r="EIJ29" s="172"/>
      <c r="EIK29" s="172"/>
      <c r="EIL29" s="172"/>
      <c r="EIM29" s="172"/>
      <c r="EIN29" s="172"/>
      <c r="EIO29" s="172"/>
      <c r="EIP29" s="172"/>
      <c r="EIQ29" s="172"/>
      <c r="EIR29" s="172"/>
      <c r="EIS29" s="172"/>
      <c r="EIT29" s="172"/>
      <c r="EIU29" s="172"/>
      <c r="EIV29" s="172"/>
      <c r="EIW29" s="172"/>
      <c r="EIX29" s="172"/>
      <c r="EIY29" s="172"/>
      <c r="EIZ29" s="172"/>
      <c r="EJA29" s="172"/>
      <c r="EJB29" s="172"/>
      <c r="EJC29" s="172"/>
      <c r="EJD29" s="172"/>
      <c r="EJE29" s="172"/>
      <c r="EJF29" s="172"/>
      <c r="EJG29" s="172"/>
      <c r="EJH29" s="172"/>
      <c r="EJI29" s="172"/>
      <c r="EJJ29" s="172"/>
      <c r="EJK29" s="172"/>
      <c r="EJL29" s="172"/>
      <c r="EJM29" s="172"/>
      <c r="EJN29" s="172"/>
      <c r="EJO29" s="172"/>
      <c r="EJP29" s="172"/>
      <c r="EJQ29" s="172"/>
      <c r="EJR29" s="172"/>
      <c r="EJS29" s="172"/>
      <c r="EJT29" s="172"/>
      <c r="EJU29" s="172"/>
      <c r="EJV29" s="172"/>
      <c r="EJW29" s="172"/>
      <c r="EJX29" s="172"/>
      <c r="EJY29" s="172"/>
      <c r="EJZ29" s="172"/>
      <c r="EKA29" s="172"/>
      <c r="EKB29" s="172"/>
      <c r="EKC29" s="172"/>
      <c r="EKD29" s="172"/>
      <c r="EKE29" s="172"/>
      <c r="EKF29" s="172"/>
      <c r="EKG29" s="172"/>
      <c r="EKH29" s="172"/>
      <c r="EKI29" s="172"/>
      <c r="EKJ29" s="172"/>
      <c r="EKK29" s="172"/>
      <c r="EKL29" s="172"/>
      <c r="EKM29" s="172"/>
      <c r="EKN29" s="172"/>
      <c r="EKO29" s="172"/>
      <c r="EKP29" s="172"/>
      <c r="EKQ29" s="172"/>
      <c r="EKR29" s="172"/>
      <c r="EKS29" s="172"/>
      <c r="EKT29" s="172"/>
      <c r="EKU29" s="172"/>
      <c r="EKV29" s="172"/>
      <c r="EKW29" s="172"/>
      <c r="EKX29" s="172"/>
      <c r="EKY29" s="172"/>
      <c r="EKZ29" s="172"/>
      <c r="ELA29" s="172"/>
      <c r="ELB29" s="172"/>
      <c r="ELC29" s="172"/>
      <c r="ELD29" s="172"/>
      <c r="ELE29" s="172"/>
      <c r="ELF29" s="172"/>
      <c r="ELG29" s="172"/>
      <c r="ELH29" s="172"/>
      <c r="ELI29" s="172"/>
      <c r="ELJ29" s="172"/>
      <c r="ELK29" s="172"/>
      <c r="ELL29" s="172"/>
      <c r="ELM29" s="172"/>
      <c r="ELN29" s="172"/>
      <c r="ELO29" s="172"/>
      <c r="ELP29" s="172"/>
      <c r="ELQ29" s="172"/>
      <c r="ELR29" s="172"/>
      <c r="ELS29" s="172"/>
      <c r="ELT29" s="172"/>
      <c r="ELU29" s="172"/>
      <c r="ELV29" s="172"/>
      <c r="ELW29" s="172"/>
      <c r="ELX29" s="172"/>
      <c r="ELY29" s="172"/>
      <c r="ELZ29" s="172"/>
      <c r="EMA29" s="172"/>
      <c r="EMB29" s="172"/>
      <c r="EMC29" s="172"/>
      <c r="EMD29" s="172"/>
      <c r="EME29" s="172"/>
      <c r="EMF29" s="172"/>
      <c r="EMG29" s="172"/>
      <c r="EMH29" s="172"/>
      <c r="EMI29" s="172"/>
      <c r="EMJ29" s="172"/>
      <c r="EMK29" s="172"/>
      <c r="EML29" s="172"/>
      <c r="EMM29" s="172"/>
      <c r="EMN29" s="172"/>
      <c r="EMO29" s="172"/>
      <c r="EMP29" s="172"/>
      <c r="EMQ29" s="172"/>
      <c r="EMR29" s="172"/>
      <c r="EMS29" s="172"/>
      <c r="EMT29" s="172"/>
      <c r="EMU29" s="172"/>
      <c r="EMV29" s="172"/>
      <c r="EMW29" s="172"/>
      <c r="EMX29" s="172"/>
      <c r="EMY29" s="172"/>
      <c r="EMZ29" s="172"/>
      <c r="ENA29" s="172"/>
      <c r="ENB29" s="172"/>
      <c r="ENC29" s="172"/>
      <c r="END29" s="172"/>
      <c r="ENE29" s="172"/>
      <c r="ENF29" s="172"/>
      <c r="ENG29" s="172"/>
      <c r="ENH29" s="172"/>
      <c r="ENI29" s="172"/>
      <c r="ENJ29" s="172"/>
      <c r="ENK29" s="172"/>
      <c r="ENL29" s="172"/>
      <c r="ENM29" s="172"/>
      <c r="ENN29" s="172"/>
      <c r="ENO29" s="172"/>
      <c r="ENP29" s="172"/>
      <c r="ENQ29" s="172"/>
      <c r="ENR29" s="172"/>
      <c r="ENS29" s="172"/>
      <c r="ENT29" s="172"/>
      <c r="ENU29" s="172"/>
      <c r="ENV29" s="172"/>
      <c r="ENW29" s="172"/>
      <c r="ENX29" s="172"/>
      <c r="ENY29" s="172"/>
      <c r="ENZ29" s="172"/>
      <c r="EOA29" s="172"/>
      <c r="EOB29" s="172"/>
      <c r="EOC29" s="172"/>
      <c r="EOD29" s="172"/>
      <c r="EOE29" s="172"/>
      <c r="EOF29" s="172"/>
      <c r="EOG29" s="172"/>
      <c r="EOH29" s="172"/>
      <c r="EOI29" s="172"/>
      <c r="EOJ29" s="172"/>
      <c r="EOK29" s="172"/>
      <c r="EOL29" s="172"/>
      <c r="EOM29" s="172"/>
      <c r="EON29" s="172"/>
      <c r="EOO29" s="172"/>
      <c r="EOP29" s="172"/>
      <c r="EOQ29" s="172"/>
      <c r="EOR29" s="172"/>
      <c r="EOS29" s="172"/>
      <c r="EOT29" s="172"/>
      <c r="EOU29" s="172"/>
      <c r="EOV29" s="172"/>
      <c r="EOW29" s="172"/>
      <c r="EOX29" s="172"/>
      <c r="EOY29" s="172"/>
      <c r="EOZ29" s="172"/>
      <c r="EPA29" s="172"/>
      <c r="EPB29" s="172"/>
      <c r="EPC29" s="172"/>
      <c r="EPD29" s="172"/>
      <c r="EPE29" s="172"/>
      <c r="EPF29" s="172"/>
      <c r="EPG29" s="172"/>
      <c r="EPH29" s="172"/>
      <c r="EPI29" s="172"/>
      <c r="EPJ29" s="172"/>
      <c r="EPK29" s="172"/>
      <c r="EPL29" s="172"/>
      <c r="EPM29" s="172"/>
      <c r="EPN29" s="172"/>
      <c r="EPO29" s="172"/>
      <c r="EPP29" s="172"/>
      <c r="EPQ29" s="172"/>
      <c r="EPR29" s="172"/>
      <c r="EPS29" s="172"/>
      <c r="EPT29" s="172"/>
      <c r="EPU29" s="172"/>
      <c r="EPV29" s="172"/>
      <c r="EPW29" s="172"/>
      <c r="EPX29" s="172"/>
      <c r="EPY29" s="172"/>
      <c r="EPZ29" s="172"/>
      <c r="EQA29" s="172"/>
      <c r="EQB29" s="172"/>
      <c r="EQC29" s="172"/>
      <c r="EQD29" s="172"/>
      <c r="EQE29" s="172"/>
      <c r="EQF29" s="172"/>
      <c r="EQG29" s="172"/>
      <c r="EQH29" s="172"/>
      <c r="EQI29" s="172"/>
      <c r="EQJ29" s="172"/>
      <c r="EQK29" s="172"/>
      <c r="EQL29" s="172"/>
      <c r="EQM29" s="172"/>
      <c r="EQN29" s="172"/>
      <c r="EQO29" s="172"/>
      <c r="EQP29" s="172"/>
      <c r="EQQ29" s="172"/>
      <c r="EQR29" s="172"/>
      <c r="EQS29" s="172"/>
      <c r="EQT29" s="172"/>
      <c r="EQU29" s="172"/>
      <c r="EQV29" s="172"/>
      <c r="EQW29" s="172"/>
      <c r="EQX29" s="172"/>
      <c r="EQY29" s="172"/>
      <c r="EQZ29" s="172"/>
      <c r="ERA29" s="172"/>
      <c r="ERB29" s="172"/>
      <c r="ERC29" s="172"/>
      <c r="ERD29" s="172"/>
      <c r="ERE29" s="172"/>
      <c r="ERF29" s="172"/>
      <c r="ERG29" s="172"/>
      <c r="ERH29" s="172"/>
      <c r="ERI29" s="172"/>
      <c r="ERJ29" s="172"/>
      <c r="ERK29" s="172"/>
      <c r="ERL29" s="172"/>
      <c r="ERM29" s="172"/>
      <c r="ERN29" s="172"/>
      <c r="ERO29" s="172"/>
      <c r="ERP29" s="172"/>
      <c r="ERQ29" s="172"/>
      <c r="ERR29" s="172"/>
      <c r="ERS29" s="172"/>
      <c r="ERT29" s="172"/>
      <c r="ERU29" s="172"/>
      <c r="ERV29" s="172"/>
      <c r="ERW29" s="172"/>
      <c r="ERX29" s="172"/>
      <c r="ERY29" s="172"/>
      <c r="ERZ29" s="172"/>
      <c r="ESA29" s="172"/>
      <c r="ESB29" s="172"/>
      <c r="ESC29" s="172"/>
      <c r="ESD29" s="172"/>
      <c r="ESE29" s="172"/>
      <c r="ESF29" s="172"/>
      <c r="ESG29" s="172"/>
      <c r="ESH29" s="172"/>
      <c r="ESI29" s="172"/>
      <c r="ESJ29" s="172"/>
      <c r="ESK29" s="172"/>
      <c r="ESL29" s="172"/>
      <c r="ESM29" s="172"/>
      <c r="ESN29" s="172"/>
      <c r="ESO29" s="172"/>
      <c r="ESP29" s="172"/>
      <c r="ESQ29" s="172"/>
      <c r="ESR29" s="172"/>
      <c r="ESS29" s="172"/>
      <c r="EST29" s="172"/>
      <c r="ESU29" s="172"/>
      <c r="ESV29" s="172"/>
      <c r="ESW29" s="172"/>
      <c r="ESX29" s="172"/>
      <c r="ESY29" s="172"/>
      <c r="ESZ29" s="172"/>
      <c r="ETA29" s="172"/>
      <c r="ETB29" s="172"/>
      <c r="ETC29" s="172"/>
      <c r="ETD29" s="172"/>
      <c r="ETE29" s="172"/>
      <c r="ETF29" s="172"/>
      <c r="ETG29" s="172"/>
      <c r="ETH29" s="172"/>
      <c r="ETI29" s="172"/>
      <c r="ETJ29" s="172"/>
      <c r="ETK29" s="172"/>
      <c r="ETL29" s="172"/>
      <c r="ETM29" s="172"/>
      <c r="ETN29" s="172"/>
      <c r="ETO29" s="172"/>
      <c r="ETP29" s="172"/>
      <c r="ETQ29" s="172"/>
      <c r="ETR29" s="172"/>
      <c r="ETS29" s="172"/>
      <c r="ETT29" s="172"/>
      <c r="ETU29" s="172"/>
      <c r="ETV29" s="172"/>
      <c r="ETW29" s="172"/>
      <c r="ETX29" s="172"/>
      <c r="ETY29" s="172"/>
      <c r="ETZ29" s="172"/>
      <c r="EUA29" s="172"/>
      <c r="EUB29" s="172"/>
      <c r="EUC29" s="172"/>
      <c r="EUD29" s="172"/>
      <c r="EUE29" s="172"/>
      <c r="EUF29" s="172"/>
      <c r="EUG29" s="172"/>
      <c r="EUH29" s="172"/>
      <c r="EUI29" s="172"/>
      <c r="EUJ29" s="172"/>
      <c r="EUK29" s="172"/>
      <c r="EUL29" s="172"/>
      <c r="EUM29" s="172"/>
      <c r="EUN29" s="172"/>
      <c r="EUO29" s="172"/>
      <c r="EUP29" s="172"/>
      <c r="EUQ29" s="172"/>
      <c r="EUR29" s="172"/>
      <c r="EUS29" s="172"/>
      <c r="EUT29" s="172"/>
      <c r="EUU29" s="172"/>
      <c r="EUV29" s="172"/>
      <c r="EUW29" s="172"/>
      <c r="EUX29" s="172"/>
      <c r="EUY29" s="172"/>
      <c r="EUZ29" s="172"/>
      <c r="EVA29" s="172"/>
      <c r="EVB29" s="172"/>
      <c r="EVC29" s="172"/>
      <c r="EVD29" s="172"/>
      <c r="EVE29" s="172"/>
      <c r="EVF29" s="172"/>
      <c r="EVG29" s="172"/>
      <c r="EVH29" s="172"/>
      <c r="EVI29" s="172"/>
      <c r="EVJ29" s="172"/>
      <c r="EVK29" s="172"/>
      <c r="EVL29" s="172"/>
      <c r="EVM29" s="172"/>
      <c r="EVN29" s="172"/>
      <c r="EVO29" s="172"/>
      <c r="EVP29" s="172"/>
      <c r="EVQ29" s="172"/>
      <c r="EVR29" s="172"/>
      <c r="EVS29" s="172"/>
      <c r="EVT29" s="172"/>
      <c r="EVU29" s="172"/>
      <c r="EVV29" s="172"/>
      <c r="EVW29" s="172"/>
      <c r="EVX29" s="172"/>
      <c r="EVY29" s="172"/>
      <c r="EVZ29" s="172"/>
      <c r="EWA29" s="172"/>
      <c r="EWB29" s="172"/>
      <c r="EWC29" s="172"/>
      <c r="EWD29" s="172"/>
      <c r="EWE29" s="172"/>
      <c r="EWF29" s="172"/>
      <c r="EWG29" s="172"/>
      <c r="EWH29" s="172"/>
      <c r="EWI29" s="172"/>
      <c r="EWJ29" s="172"/>
      <c r="EWK29" s="172"/>
      <c r="EWL29" s="172"/>
      <c r="EWM29" s="172"/>
      <c r="EWN29" s="172"/>
      <c r="EWO29" s="172"/>
      <c r="EWP29" s="172"/>
      <c r="EWQ29" s="172"/>
      <c r="EWR29" s="172"/>
      <c r="EWS29" s="172"/>
      <c r="EWT29" s="172"/>
      <c r="EWU29" s="172"/>
      <c r="EWV29" s="172"/>
      <c r="EWW29" s="172"/>
      <c r="EWX29" s="172"/>
      <c r="EWY29" s="172"/>
      <c r="EWZ29" s="172"/>
      <c r="EXA29" s="172"/>
      <c r="EXB29" s="172"/>
      <c r="EXC29" s="172"/>
      <c r="EXD29" s="172"/>
      <c r="EXE29" s="172"/>
      <c r="EXF29" s="172"/>
      <c r="EXG29" s="172"/>
      <c r="EXH29" s="172"/>
      <c r="EXI29" s="172"/>
      <c r="EXJ29" s="172"/>
      <c r="EXK29" s="172"/>
      <c r="EXL29" s="172"/>
      <c r="EXM29" s="172"/>
      <c r="EXN29" s="172"/>
      <c r="EXO29" s="172"/>
      <c r="EXP29" s="172"/>
      <c r="EXQ29" s="172"/>
      <c r="EXR29" s="172"/>
      <c r="EXS29" s="172"/>
      <c r="EXT29" s="172"/>
      <c r="EXU29" s="172"/>
      <c r="EXV29" s="172"/>
      <c r="EXW29" s="172"/>
      <c r="EXX29" s="172"/>
      <c r="EXY29" s="172"/>
      <c r="EXZ29" s="172"/>
      <c r="EYA29" s="172"/>
      <c r="EYB29" s="172"/>
      <c r="EYC29" s="172"/>
      <c r="EYD29" s="172"/>
      <c r="EYE29" s="172"/>
      <c r="EYF29" s="172"/>
      <c r="EYG29" s="172"/>
      <c r="EYH29" s="172"/>
      <c r="EYI29" s="172"/>
      <c r="EYJ29" s="172"/>
      <c r="EYK29" s="172"/>
      <c r="EYL29" s="172"/>
      <c r="EYM29" s="172"/>
      <c r="EYN29" s="172"/>
      <c r="EYO29" s="172"/>
      <c r="EYP29" s="172"/>
      <c r="EYQ29" s="172"/>
      <c r="EYR29" s="172"/>
      <c r="EYS29" s="172"/>
      <c r="EYT29" s="172"/>
      <c r="EYU29" s="172"/>
      <c r="EYV29" s="172"/>
      <c r="EYW29" s="172"/>
      <c r="EYX29" s="172"/>
      <c r="EYY29" s="172"/>
      <c r="EYZ29" s="172"/>
      <c r="EZA29" s="172"/>
      <c r="EZB29" s="172"/>
      <c r="EZC29" s="172"/>
      <c r="EZD29" s="172"/>
      <c r="EZE29" s="172"/>
      <c r="EZF29" s="172"/>
      <c r="EZG29" s="172"/>
      <c r="EZH29" s="172"/>
      <c r="EZI29" s="172"/>
      <c r="EZJ29" s="172"/>
      <c r="EZK29" s="172"/>
      <c r="EZL29" s="172"/>
      <c r="EZM29" s="172"/>
      <c r="EZN29" s="172"/>
      <c r="EZO29" s="172"/>
      <c r="EZP29" s="172"/>
      <c r="EZQ29" s="172"/>
      <c r="EZR29" s="172"/>
      <c r="EZS29" s="172"/>
      <c r="EZT29" s="172"/>
      <c r="EZU29" s="172"/>
      <c r="EZV29" s="172"/>
      <c r="EZW29" s="172"/>
      <c r="EZX29" s="172"/>
      <c r="EZY29" s="172"/>
      <c r="EZZ29" s="172"/>
      <c r="FAA29" s="172"/>
      <c r="FAB29" s="172"/>
      <c r="FAC29" s="172"/>
      <c r="FAD29" s="172"/>
      <c r="FAE29" s="172"/>
      <c r="FAF29" s="172"/>
      <c r="FAG29" s="172"/>
      <c r="FAH29" s="172"/>
      <c r="FAI29" s="172"/>
      <c r="FAJ29" s="172"/>
      <c r="FAK29" s="172"/>
      <c r="FAL29" s="172"/>
      <c r="FAM29" s="172"/>
      <c r="FAN29" s="172"/>
      <c r="FAO29" s="172"/>
      <c r="FAP29" s="172"/>
      <c r="FAQ29" s="172"/>
      <c r="FAR29" s="172"/>
      <c r="FAS29" s="172"/>
      <c r="FAT29" s="172"/>
      <c r="FAU29" s="172"/>
      <c r="FAV29" s="172"/>
      <c r="FAW29" s="172"/>
      <c r="FAX29" s="172"/>
      <c r="FAY29" s="172"/>
      <c r="FAZ29" s="172"/>
      <c r="FBA29" s="172"/>
      <c r="FBB29" s="172"/>
      <c r="FBC29" s="172"/>
      <c r="FBD29" s="172"/>
      <c r="FBE29" s="172"/>
      <c r="FBF29" s="172"/>
      <c r="FBG29" s="172"/>
      <c r="FBH29" s="172"/>
      <c r="FBI29" s="172"/>
      <c r="FBJ29" s="172"/>
      <c r="FBK29" s="172"/>
      <c r="FBL29" s="172"/>
      <c r="FBM29" s="172"/>
      <c r="FBN29" s="172"/>
      <c r="FBO29" s="172"/>
      <c r="FBP29" s="172"/>
      <c r="FBQ29" s="172"/>
      <c r="FBR29" s="172"/>
      <c r="FBS29" s="172"/>
      <c r="FBT29" s="172"/>
      <c r="FBU29" s="172"/>
      <c r="FBV29" s="172"/>
      <c r="FBW29" s="172"/>
      <c r="FBX29" s="172"/>
      <c r="FBY29" s="172"/>
      <c r="FBZ29" s="172"/>
      <c r="FCA29" s="172"/>
      <c r="FCB29" s="172"/>
      <c r="FCC29" s="172"/>
      <c r="FCD29" s="172"/>
      <c r="FCE29" s="172"/>
      <c r="FCF29" s="172"/>
      <c r="FCG29" s="172"/>
      <c r="FCH29" s="172"/>
      <c r="FCI29" s="172"/>
      <c r="FCJ29" s="172"/>
      <c r="FCK29" s="172"/>
      <c r="FCL29" s="172"/>
      <c r="FCM29" s="172"/>
      <c r="FCN29" s="172"/>
      <c r="FCO29" s="172"/>
      <c r="FCP29" s="172"/>
      <c r="FCQ29" s="172"/>
      <c r="FCR29" s="172"/>
      <c r="FCS29" s="172"/>
      <c r="FCT29" s="172"/>
      <c r="FCU29" s="172"/>
      <c r="FCV29" s="172"/>
      <c r="FCW29" s="172"/>
      <c r="FCX29" s="172"/>
      <c r="FCY29" s="172"/>
      <c r="FCZ29" s="172"/>
      <c r="FDA29" s="172"/>
      <c r="FDB29" s="172"/>
      <c r="FDC29" s="172"/>
      <c r="FDD29" s="172"/>
      <c r="FDE29" s="172"/>
      <c r="FDF29" s="172"/>
      <c r="FDG29" s="172"/>
      <c r="FDH29" s="172"/>
      <c r="FDI29" s="172"/>
      <c r="FDJ29" s="172"/>
      <c r="FDK29" s="172"/>
      <c r="FDL29" s="172"/>
      <c r="FDM29" s="172"/>
      <c r="FDN29" s="172"/>
      <c r="FDO29" s="172"/>
      <c r="FDP29" s="172"/>
      <c r="FDQ29" s="172"/>
      <c r="FDR29" s="172"/>
      <c r="FDS29" s="172"/>
      <c r="FDT29" s="172"/>
      <c r="FDU29" s="172"/>
      <c r="FDV29" s="172"/>
      <c r="FDW29" s="172"/>
      <c r="FDX29" s="172"/>
      <c r="FDY29" s="172"/>
      <c r="FDZ29" s="172"/>
      <c r="FEA29" s="172"/>
      <c r="FEB29" s="172"/>
      <c r="FEC29" s="172"/>
      <c r="FED29" s="172"/>
      <c r="FEE29" s="172"/>
      <c r="FEF29" s="172"/>
      <c r="FEG29" s="172"/>
      <c r="FEH29" s="172"/>
      <c r="FEI29" s="172"/>
      <c r="FEJ29" s="172"/>
      <c r="FEK29" s="172"/>
      <c r="FEL29" s="172"/>
      <c r="FEM29" s="172"/>
      <c r="FEN29" s="172"/>
      <c r="FEO29" s="172"/>
      <c r="FEP29" s="172"/>
      <c r="FEQ29" s="172"/>
      <c r="FER29" s="172"/>
      <c r="FES29" s="172"/>
      <c r="FET29" s="172"/>
      <c r="FEU29" s="172"/>
      <c r="FEV29" s="172"/>
      <c r="FEW29" s="172"/>
      <c r="FEX29" s="172"/>
      <c r="FEY29" s="172"/>
      <c r="FEZ29" s="172"/>
      <c r="FFA29" s="172"/>
      <c r="FFB29" s="172"/>
      <c r="FFC29" s="172"/>
      <c r="FFD29" s="172"/>
      <c r="FFE29" s="172"/>
      <c r="FFF29" s="172"/>
      <c r="FFG29" s="172"/>
      <c r="FFH29" s="172"/>
      <c r="FFI29" s="172"/>
      <c r="FFJ29" s="172"/>
      <c r="FFK29" s="172"/>
      <c r="FFL29" s="172"/>
      <c r="FFM29" s="172"/>
      <c r="FFN29" s="172"/>
      <c r="FFO29" s="172"/>
      <c r="FFP29" s="172"/>
      <c r="FFQ29" s="172"/>
      <c r="FFR29" s="172"/>
      <c r="FFS29" s="172"/>
      <c r="FFT29" s="172"/>
      <c r="FFU29" s="172"/>
      <c r="FFV29" s="172"/>
      <c r="FFW29" s="172"/>
      <c r="FFX29" s="172"/>
      <c r="FFY29" s="172"/>
      <c r="FFZ29" s="172"/>
      <c r="FGA29" s="172"/>
      <c r="FGB29" s="172"/>
      <c r="FGC29" s="172"/>
      <c r="FGD29" s="172"/>
      <c r="FGE29" s="172"/>
      <c r="FGF29" s="172"/>
      <c r="FGG29" s="172"/>
      <c r="FGH29" s="172"/>
      <c r="FGI29" s="172"/>
      <c r="FGJ29" s="172"/>
      <c r="FGK29" s="172"/>
      <c r="FGL29" s="172"/>
      <c r="FGM29" s="172"/>
      <c r="FGN29" s="172"/>
      <c r="FGO29" s="172"/>
      <c r="FGP29" s="172"/>
      <c r="FGQ29" s="172"/>
      <c r="FGR29" s="172"/>
      <c r="FGS29" s="172"/>
      <c r="FGT29" s="172"/>
      <c r="FGU29" s="172"/>
      <c r="FGV29" s="172"/>
      <c r="FGW29" s="172"/>
      <c r="FGX29" s="172"/>
      <c r="FGY29" s="172"/>
      <c r="FGZ29" s="172"/>
      <c r="FHA29" s="172"/>
      <c r="FHB29" s="172"/>
      <c r="FHC29" s="172"/>
      <c r="FHD29" s="172"/>
      <c r="FHE29" s="172"/>
      <c r="FHF29" s="172"/>
      <c r="FHG29" s="172"/>
      <c r="FHH29" s="172"/>
      <c r="FHI29" s="172"/>
      <c r="FHJ29" s="172"/>
      <c r="FHK29" s="172"/>
      <c r="FHL29" s="172"/>
      <c r="FHM29" s="172"/>
      <c r="FHN29" s="172"/>
      <c r="FHO29" s="172"/>
      <c r="FHP29" s="172"/>
      <c r="FHQ29" s="172"/>
      <c r="FHR29" s="172"/>
      <c r="FHS29" s="172"/>
      <c r="FHT29" s="172"/>
      <c r="FHU29" s="172"/>
      <c r="FHV29" s="172"/>
      <c r="FHW29" s="172"/>
      <c r="FHX29" s="172"/>
      <c r="FHY29" s="172"/>
      <c r="FHZ29" s="172"/>
      <c r="FIA29" s="172"/>
      <c r="FIB29" s="172"/>
      <c r="FIC29" s="172"/>
      <c r="FID29" s="172"/>
      <c r="FIE29" s="172"/>
      <c r="FIF29" s="172"/>
      <c r="FIG29" s="172"/>
      <c r="FIH29" s="172"/>
      <c r="FII29" s="172"/>
      <c r="FIJ29" s="172"/>
      <c r="FIK29" s="172"/>
      <c r="FIL29" s="172"/>
      <c r="FIM29" s="172"/>
      <c r="FIN29" s="172"/>
      <c r="FIO29" s="172"/>
      <c r="FIP29" s="172"/>
      <c r="FIQ29" s="172"/>
      <c r="FIR29" s="172"/>
      <c r="FIS29" s="172"/>
      <c r="FIT29" s="172"/>
      <c r="FIU29" s="172"/>
      <c r="FIV29" s="172"/>
      <c r="FIW29" s="172"/>
      <c r="FIX29" s="172"/>
      <c r="FIY29" s="172"/>
      <c r="FIZ29" s="172"/>
      <c r="FJA29" s="172"/>
      <c r="FJB29" s="172"/>
      <c r="FJC29" s="172"/>
      <c r="FJD29" s="172"/>
      <c r="FJE29" s="172"/>
      <c r="FJF29" s="172"/>
      <c r="FJG29" s="172"/>
      <c r="FJH29" s="172"/>
      <c r="FJI29" s="172"/>
      <c r="FJJ29" s="172"/>
      <c r="FJK29" s="172"/>
      <c r="FJL29" s="172"/>
      <c r="FJM29" s="172"/>
      <c r="FJN29" s="172"/>
      <c r="FJO29" s="172"/>
      <c r="FJP29" s="172"/>
      <c r="FJQ29" s="172"/>
      <c r="FJR29" s="172"/>
      <c r="FJS29" s="172"/>
      <c r="FJT29" s="172"/>
      <c r="FJU29" s="172"/>
      <c r="FJV29" s="172"/>
      <c r="FJW29" s="172"/>
      <c r="FJX29" s="172"/>
      <c r="FJY29" s="172"/>
      <c r="FJZ29" s="172"/>
      <c r="FKA29" s="172"/>
      <c r="FKB29" s="172"/>
      <c r="FKC29" s="172"/>
      <c r="FKD29" s="172"/>
      <c r="FKE29" s="172"/>
      <c r="FKF29" s="172"/>
      <c r="FKG29" s="172"/>
      <c r="FKH29" s="172"/>
      <c r="FKI29" s="172"/>
      <c r="FKJ29" s="172"/>
      <c r="FKK29" s="172"/>
      <c r="FKL29" s="172"/>
      <c r="FKM29" s="172"/>
      <c r="FKN29" s="172"/>
      <c r="FKO29" s="172"/>
      <c r="FKP29" s="172"/>
      <c r="FKQ29" s="172"/>
      <c r="FKR29" s="172"/>
      <c r="FKS29" s="172"/>
      <c r="FKT29" s="172"/>
      <c r="FKU29" s="172"/>
      <c r="FKV29" s="172"/>
      <c r="FKW29" s="172"/>
      <c r="FKX29" s="172"/>
      <c r="FKY29" s="172"/>
      <c r="FKZ29" s="172"/>
      <c r="FLA29" s="172"/>
      <c r="FLB29" s="172"/>
      <c r="FLC29" s="172"/>
      <c r="FLD29" s="172"/>
      <c r="FLE29" s="172"/>
      <c r="FLF29" s="172"/>
      <c r="FLG29" s="172"/>
      <c r="FLH29" s="172"/>
      <c r="FLI29" s="172"/>
      <c r="FLJ29" s="172"/>
      <c r="FLK29" s="172"/>
      <c r="FLL29" s="172"/>
      <c r="FLM29" s="172"/>
      <c r="FLN29" s="172"/>
      <c r="FLO29" s="172"/>
      <c r="FLP29" s="172"/>
      <c r="FLQ29" s="172"/>
      <c r="FLR29" s="172"/>
      <c r="FLS29" s="172"/>
      <c r="FLT29" s="172"/>
      <c r="FLU29" s="172"/>
      <c r="FLV29" s="172"/>
      <c r="FLW29" s="172"/>
      <c r="FLX29" s="172"/>
      <c r="FLY29" s="172"/>
      <c r="FLZ29" s="172"/>
      <c r="FMA29" s="172"/>
      <c r="FMB29" s="172"/>
      <c r="FMC29" s="172"/>
      <c r="FMD29" s="172"/>
      <c r="FME29" s="172"/>
      <c r="FMF29" s="172"/>
      <c r="FMG29" s="172"/>
      <c r="FMH29" s="172"/>
      <c r="FMI29" s="172"/>
      <c r="FMJ29" s="172"/>
      <c r="FMK29" s="172"/>
      <c r="FML29" s="172"/>
      <c r="FMM29" s="172"/>
      <c r="FMN29" s="172"/>
      <c r="FMO29" s="172"/>
      <c r="FMP29" s="172"/>
      <c r="FMQ29" s="172"/>
      <c r="FMR29" s="172"/>
      <c r="FMS29" s="172"/>
      <c r="FMT29" s="172"/>
      <c r="FMU29" s="172"/>
      <c r="FMV29" s="172"/>
      <c r="FMW29" s="172"/>
      <c r="FMX29" s="172"/>
      <c r="FMY29" s="172"/>
      <c r="FMZ29" s="172"/>
      <c r="FNA29" s="172"/>
      <c r="FNB29" s="172"/>
      <c r="FNC29" s="172"/>
      <c r="FND29" s="172"/>
      <c r="FNE29" s="172"/>
      <c r="FNF29" s="172"/>
      <c r="FNG29" s="172"/>
      <c r="FNH29" s="172"/>
      <c r="FNI29" s="172"/>
      <c r="FNJ29" s="172"/>
      <c r="FNK29" s="172"/>
      <c r="FNL29" s="172"/>
      <c r="FNM29" s="172"/>
      <c r="FNN29" s="172"/>
      <c r="FNO29" s="172"/>
      <c r="FNP29" s="172"/>
      <c r="FNQ29" s="172"/>
      <c r="FNR29" s="172"/>
      <c r="FNS29" s="172"/>
      <c r="FNT29" s="172"/>
      <c r="FNU29" s="172"/>
      <c r="FNV29" s="172"/>
      <c r="FNW29" s="172"/>
      <c r="FNX29" s="172"/>
      <c r="FNY29" s="172"/>
      <c r="FNZ29" s="172"/>
      <c r="FOA29" s="172"/>
      <c r="FOB29" s="172"/>
      <c r="FOC29" s="172"/>
      <c r="FOD29" s="172"/>
      <c r="FOE29" s="172"/>
      <c r="FOF29" s="172"/>
      <c r="FOG29" s="172"/>
      <c r="FOH29" s="172"/>
      <c r="FOI29" s="172"/>
      <c r="FOJ29" s="172"/>
      <c r="FOK29" s="172"/>
      <c r="FOL29" s="172"/>
      <c r="FOM29" s="172"/>
      <c r="FON29" s="172"/>
      <c r="FOO29" s="172"/>
      <c r="FOP29" s="172"/>
      <c r="FOQ29" s="172"/>
      <c r="FOR29" s="172"/>
      <c r="FOS29" s="172"/>
      <c r="FOT29" s="172"/>
      <c r="FOU29" s="172"/>
      <c r="FOV29" s="172"/>
      <c r="FOW29" s="172"/>
      <c r="FOX29" s="172"/>
      <c r="FOY29" s="172"/>
      <c r="FOZ29" s="172"/>
      <c r="FPA29" s="172"/>
      <c r="FPB29" s="172"/>
      <c r="FPC29" s="172"/>
      <c r="FPD29" s="172"/>
      <c r="FPE29" s="172"/>
      <c r="FPF29" s="172"/>
      <c r="FPG29" s="172"/>
      <c r="FPH29" s="172"/>
      <c r="FPI29" s="172"/>
      <c r="FPJ29" s="172"/>
      <c r="FPK29" s="172"/>
      <c r="FPL29" s="172"/>
      <c r="FPM29" s="172"/>
      <c r="FPN29" s="172"/>
      <c r="FPO29" s="172"/>
      <c r="FPP29" s="172"/>
      <c r="FPQ29" s="172"/>
      <c r="FPR29" s="172"/>
      <c r="FPS29" s="172"/>
      <c r="FPT29" s="172"/>
      <c r="FPU29" s="172"/>
      <c r="FPV29" s="172"/>
      <c r="FPW29" s="172"/>
      <c r="FPX29" s="172"/>
      <c r="FPY29" s="172"/>
      <c r="FPZ29" s="172"/>
      <c r="FQA29" s="172"/>
      <c r="FQB29" s="172"/>
      <c r="FQC29" s="172"/>
      <c r="FQD29" s="172"/>
      <c r="FQE29" s="172"/>
      <c r="FQF29" s="172"/>
      <c r="FQG29" s="172"/>
      <c r="FQH29" s="172"/>
      <c r="FQI29" s="172"/>
      <c r="FQJ29" s="172"/>
      <c r="FQK29" s="172"/>
      <c r="FQL29" s="172"/>
      <c r="FQM29" s="172"/>
      <c r="FQN29" s="172"/>
      <c r="FQO29" s="172"/>
      <c r="FQP29" s="172"/>
      <c r="FQQ29" s="172"/>
      <c r="FQR29" s="172"/>
      <c r="FQS29" s="172"/>
      <c r="FQT29" s="172"/>
      <c r="FQU29" s="172"/>
      <c r="FQV29" s="172"/>
      <c r="FQW29" s="172"/>
      <c r="FQX29" s="172"/>
      <c r="FQY29" s="172"/>
      <c r="FQZ29" s="172"/>
      <c r="FRA29" s="172"/>
      <c r="FRB29" s="172"/>
      <c r="FRC29" s="172"/>
      <c r="FRD29" s="172"/>
      <c r="FRE29" s="172"/>
      <c r="FRF29" s="172"/>
      <c r="FRG29" s="172"/>
      <c r="FRH29" s="172"/>
      <c r="FRI29" s="172"/>
      <c r="FRJ29" s="172"/>
      <c r="FRK29" s="172"/>
      <c r="FRL29" s="172"/>
      <c r="FRM29" s="172"/>
      <c r="FRN29" s="172"/>
      <c r="FRO29" s="172"/>
      <c r="FRP29" s="172"/>
      <c r="FRQ29" s="172"/>
      <c r="FRR29" s="172"/>
      <c r="FRS29" s="172"/>
      <c r="FRT29" s="172"/>
      <c r="FRU29" s="172"/>
      <c r="FRV29" s="172"/>
      <c r="FRW29" s="172"/>
      <c r="FRX29" s="172"/>
      <c r="FRY29" s="172"/>
      <c r="FRZ29" s="172"/>
      <c r="FSA29" s="172"/>
      <c r="FSB29" s="172"/>
      <c r="FSC29" s="172"/>
      <c r="FSD29" s="172"/>
      <c r="FSE29" s="172"/>
      <c r="FSF29" s="172"/>
      <c r="FSG29" s="172"/>
      <c r="FSH29" s="172"/>
      <c r="FSI29" s="172"/>
      <c r="FSJ29" s="172"/>
      <c r="FSK29" s="172"/>
      <c r="FSL29" s="172"/>
      <c r="FSM29" s="172"/>
      <c r="FSN29" s="172"/>
      <c r="FSO29" s="172"/>
      <c r="FSP29" s="172"/>
      <c r="FSQ29" s="172"/>
      <c r="FSR29" s="172"/>
      <c r="FSS29" s="172"/>
      <c r="FST29" s="172"/>
      <c r="FSU29" s="172"/>
      <c r="FSV29" s="172"/>
      <c r="FSW29" s="172"/>
      <c r="FSX29" s="172"/>
      <c r="FSY29" s="172"/>
      <c r="FSZ29" s="172"/>
      <c r="FTA29" s="172"/>
      <c r="FTB29" s="172"/>
      <c r="FTC29" s="172"/>
      <c r="FTD29" s="172"/>
      <c r="FTE29" s="172"/>
      <c r="FTF29" s="172"/>
      <c r="FTG29" s="172"/>
      <c r="FTH29" s="172"/>
      <c r="FTI29" s="172"/>
      <c r="FTJ29" s="172"/>
      <c r="FTK29" s="172"/>
      <c r="FTL29" s="172"/>
      <c r="FTM29" s="172"/>
      <c r="FTN29" s="172"/>
      <c r="FTO29" s="172"/>
      <c r="FTP29" s="172"/>
      <c r="FTQ29" s="172"/>
      <c r="FTR29" s="172"/>
      <c r="FTS29" s="172"/>
      <c r="FTT29" s="172"/>
      <c r="FTU29" s="172"/>
      <c r="FTV29" s="172"/>
      <c r="FTW29" s="172"/>
      <c r="FTX29" s="172"/>
      <c r="FTY29" s="172"/>
      <c r="FTZ29" s="172"/>
      <c r="FUA29" s="172"/>
      <c r="FUB29" s="172"/>
      <c r="FUC29" s="172"/>
      <c r="FUD29" s="172"/>
      <c r="FUE29" s="172"/>
      <c r="FUF29" s="172"/>
      <c r="FUG29" s="172"/>
      <c r="FUH29" s="172"/>
      <c r="FUI29" s="172"/>
      <c r="FUJ29" s="172"/>
      <c r="FUK29" s="172"/>
      <c r="FUL29" s="172"/>
      <c r="FUM29" s="172"/>
      <c r="FUN29" s="172"/>
      <c r="FUO29" s="172"/>
      <c r="FUP29" s="172"/>
      <c r="FUQ29" s="172"/>
      <c r="FUR29" s="172"/>
      <c r="FUS29" s="172"/>
      <c r="FUT29" s="172"/>
      <c r="FUU29" s="172"/>
      <c r="FUV29" s="172"/>
      <c r="FUW29" s="172"/>
      <c r="FUX29" s="172"/>
      <c r="FUY29" s="172"/>
      <c r="FUZ29" s="172"/>
      <c r="FVA29" s="172"/>
      <c r="FVB29" s="172"/>
      <c r="FVC29" s="172"/>
      <c r="FVD29" s="172"/>
      <c r="FVE29" s="172"/>
      <c r="FVF29" s="172"/>
      <c r="FVG29" s="172"/>
      <c r="FVH29" s="172"/>
      <c r="FVI29" s="172"/>
      <c r="FVJ29" s="172"/>
      <c r="FVK29" s="172"/>
      <c r="FVL29" s="172"/>
      <c r="FVM29" s="172"/>
      <c r="FVN29" s="172"/>
      <c r="FVO29" s="172"/>
      <c r="FVP29" s="172"/>
      <c r="FVQ29" s="172"/>
      <c r="FVR29" s="172"/>
      <c r="FVS29" s="172"/>
      <c r="FVT29" s="172"/>
      <c r="FVU29" s="172"/>
      <c r="FVV29" s="172"/>
      <c r="FVW29" s="172"/>
      <c r="FVX29" s="172"/>
      <c r="FVY29" s="172"/>
      <c r="FVZ29" s="172"/>
      <c r="FWA29" s="172"/>
      <c r="FWB29" s="172"/>
      <c r="FWC29" s="172"/>
      <c r="FWD29" s="172"/>
      <c r="FWE29" s="172"/>
      <c r="FWF29" s="172"/>
      <c r="FWG29" s="172"/>
      <c r="FWH29" s="172"/>
      <c r="FWI29" s="172"/>
      <c r="FWJ29" s="172"/>
      <c r="FWK29" s="172"/>
      <c r="FWL29" s="172"/>
      <c r="FWM29" s="172"/>
      <c r="FWN29" s="172"/>
      <c r="FWO29" s="172"/>
      <c r="FWP29" s="172"/>
      <c r="FWQ29" s="172"/>
      <c r="FWR29" s="172"/>
      <c r="FWS29" s="172"/>
      <c r="FWT29" s="172"/>
      <c r="FWU29" s="172"/>
      <c r="FWV29" s="172"/>
      <c r="FWW29" s="172"/>
      <c r="FWX29" s="172"/>
      <c r="FWY29" s="172"/>
      <c r="FWZ29" s="172"/>
      <c r="FXA29" s="172"/>
      <c r="FXB29" s="172"/>
      <c r="FXC29" s="172"/>
      <c r="FXD29" s="172"/>
      <c r="FXE29" s="172"/>
      <c r="FXF29" s="172"/>
      <c r="FXG29" s="172"/>
      <c r="FXH29" s="172"/>
      <c r="FXI29" s="172"/>
      <c r="FXJ29" s="172"/>
      <c r="FXK29" s="172"/>
      <c r="FXL29" s="172"/>
      <c r="FXM29" s="172"/>
      <c r="FXN29" s="172"/>
      <c r="FXO29" s="172"/>
      <c r="FXP29" s="172"/>
      <c r="FXQ29" s="172"/>
      <c r="FXR29" s="172"/>
      <c r="FXS29" s="172"/>
      <c r="FXT29" s="172"/>
      <c r="FXU29" s="172"/>
      <c r="FXV29" s="172"/>
      <c r="FXW29" s="172"/>
      <c r="FXX29" s="172"/>
      <c r="FXY29" s="172"/>
      <c r="FXZ29" s="172"/>
      <c r="FYA29" s="172"/>
      <c r="FYB29" s="172"/>
      <c r="FYC29" s="172"/>
      <c r="FYD29" s="172"/>
      <c r="FYE29" s="172"/>
      <c r="FYF29" s="172"/>
      <c r="FYG29" s="172"/>
      <c r="FYH29" s="172"/>
      <c r="FYI29" s="172"/>
      <c r="FYJ29" s="172"/>
      <c r="FYK29" s="172"/>
      <c r="FYL29" s="172"/>
      <c r="FYM29" s="172"/>
      <c r="FYN29" s="172"/>
      <c r="FYO29" s="172"/>
      <c r="FYP29" s="172"/>
      <c r="FYQ29" s="172"/>
      <c r="FYR29" s="172"/>
      <c r="FYS29" s="172"/>
      <c r="FYT29" s="172"/>
      <c r="FYU29" s="172"/>
      <c r="FYV29" s="172"/>
      <c r="FYW29" s="172"/>
      <c r="FYX29" s="172"/>
      <c r="FYY29" s="172"/>
      <c r="FYZ29" s="172"/>
      <c r="FZA29" s="172"/>
      <c r="FZB29" s="172"/>
      <c r="FZC29" s="172"/>
      <c r="FZD29" s="172"/>
      <c r="FZE29" s="172"/>
      <c r="FZF29" s="172"/>
      <c r="FZG29" s="172"/>
      <c r="FZH29" s="172"/>
      <c r="FZI29" s="172"/>
      <c r="FZJ29" s="172"/>
      <c r="FZK29" s="172"/>
      <c r="FZL29" s="172"/>
      <c r="FZM29" s="172"/>
      <c r="FZN29" s="172"/>
      <c r="FZO29" s="172"/>
      <c r="FZP29" s="172"/>
      <c r="FZQ29" s="172"/>
      <c r="FZR29" s="172"/>
      <c r="FZS29" s="172"/>
      <c r="FZT29" s="172"/>
      <c r="FZU29" s="172"/>
      <c r="FZV29" s="172"/>
      <c r="FZW29" s="172"/>
      <c r="FZX29" s="172"/>
      <c r="FZY29" s="172"/>
      <c r="FZZ29" s="172"/>
      <c r="GAA29" s="172"/>
      <c r="GAB29" s="172"/>
      <c r="GAC29" s="172"/>
      <c r="GAD29" s="172"/>
      <c r="GAE29" s="172"/>
      <c r="GAF29" s="172"/>
      <c r="GAG29" s="172"/>
      <c r="GAH29" s="172"/>
      <c r="GAI29" s="172"/>
      <c r="GAJ29" s="172"/>
      <c r="GAK29" s="172"/>
      <c r="GAL29" s="172"/>
      <c r="GAM29" s="172"/>
      <c r="GAN29" s="172"/>
      <c r="GAO29" s="172"/>
      <c r="GAP29" s="172"/>
      <c r="GAQ29" s="172"/>
      <c r="GAR29" s="172"/>
      <c r="GAS29" s="172"/>
      <c r="GAT29" s="172"/>
      <c r="GAU29" s="172"/>
      <c r="GAV29" s="172"/>
      <c r="GAW29" s="172"/>
      <c r="GAX29" s="172"/>
      <c r="GAY29" s="172"/>
      <c r="GAZ29" s="172"/>
      <c r="GBA29" s="172"/>
      <c r="GBB29" s="172"/>
      <c r="GBC29" s="172"/>
      <c r="GBD29" s="172"/>
      <c r="GBE29" s="172"/>
      <c r="GBF29" s="172"/>
      <c r="GBG29" s="172"/>
      <c r="GBH29" s="172"/>
      <c r="GBI29" s="172"/>
      <c r="GBJ29" s="172"/>
      <c r="GBK29" s="172"/>
      <c r="GBL29" s="172"/>
      <c r="GBM29" s="172"/>
      <c r="GBN29" s="172"/>
      <c r="GBO29" s="172"/>
      <c r="GBP29" s="172"/>
      <c r="GBQ29" s="172"/>
      <c r="GBR29" s="172"/>
      <c r="GBS29" s="172"/>
      <c r="GBT29" s="172"/>
      <c r="GBU29" s="172"/>
      <c r="GBV29" s="172"/>
      <c r="GBW29" s="172"/>
      <c r="GBX29" s="172"/>
      <c r="GBY29" s="172"/>
      <c r="GBZ29" s="172"/>
      <c r="GCA29" s="172"/>
      <c r="GCB29" s="172"/>
      <c r="GCC29" s="172"/>
      <c r="GCD29" s="172"/>
      <c r="GCE29" s="172"/>
      <c r="GCF29" s="172"/>
      <c r="GCG29" s="172"/>
      <c r="GCH29" s="172"/>
      <c r="GCI29" s="172"/>
      <c r="GCJ29" s="172"/>
      <c r="GCK29" s="172"/>
      <c r="GCL29" s="172"/>
      <c r="GCM29" s="172"/>
      <c r="GCN29" s="172"/>
      <c r="GCO29" s="172"/>
      <c r="GCP29" s="172"/>
      <c r="GCQ29" s="172"/>
      <c r="GCR29" s="172"/>
      <c r="GCS29" s="172"/>
      <c r="GCT29" s="172"/>
      <c r="GCU29" s="172"/>
      <c r="GCV29" s="172"/>
      <c r="GCW29" s="172"/>
      <c r="GCX29" s="172"/>
      <c r="GCY29" s="172"/>
      <c r="GCZ29" s="172"/>
      <c r="GDA29" s="172"/>
      <c r="GDB29" s="172"/>
      <c r="GDC29" s="172"/>
      <c r="GDD29" s="172"/>
      <c r="GDE29" s="172"/>
      <c r="GDF29" s="172"/>
      <c r="GDG29" s="172"/>
      <c r="GDH29" s="172"/>
      <c r="GDI29" s="172"/>
      <c r="GDJ29" s="172"/>
      <c r="GDK29" s="172"/>
      <c r="GDL29" s="172"/>
      <c r="GDM29" s="172"/>
      <c r="GDN29" s="172"/>
      <c r="GDO29" s="172"/>
      <c r="GDP29" s="172"/>
      <c r="GDQ29" s="172"/>
      <c r="GDR29" s="172"/>
      <c r="GDS29" s="172"/>
      <c r="GDT29" s="172"/>
      <c r="GDU29" s="172"/>
      <c r="GDV29" s="172"/>
      <c r="GDW29" s="172"/>
      <c r="GDX29" s="172"/>
      <c r="GDY29" s="172"/>
      <c r="GDZ29" s="172"/>
      <c r="GEA29" s="172"/>
      <c r="GEB29" s="172"/>
      <c r="GEC29" s="172"/>
      <c r="GED29" s="172"/>
      <c r="GEE29" s="172"/>
      <c r="GEF29" s="172"/>
      <c r="GEG29" s="172"/>
      <c r="GEH29" s="172"/>
      <c r="GEI29" s="172"/>
      <c r="GEJ29" s="172"/>
      <c r="GEK29" s="172"/>
      <c r="GEL29" s="172"/>
      <c r="GEM29" s="172"/>
      <c r="GEN29" s="172"/>
      <c r="GEO29" s="172"/>
      <c r="GEP29" s="172"/>
      <c r="GEQ29" s="172"/>
      <c r="GER29" s="172"/>
      <c r="GES29" s="172"/>
      <c r="GET29" s="172"/>
      <c r="GEU29" s="172"/>
      <c r="GEV29" s="172"/>
      <c r="GEW29" s="172"/>
      <c r="GEX29" s="172"/>
      <c r="GEY29" s="172"/>
      <c r="GEZ29" s="172"/>
      <c r="GFA29" s="172"/>
      <c r="GFB29" s="172"/>
      <c r="GFC29" s="172"/>
      <c r="GFD29" s="172"/>
      <c r="GFE29" s="172"/>
      <c r="GFF29" s="172"/>
      <c r="GFG29" s="172"/>
      <c r="GFH29" s="172"/>
      <c r="GFI29" s="172"/>
      <c r="GFJ29" s="172"/>
      <c r="GFK29" s="172"/>
      <c r="GFL29" s="172"/>
      <c r="GFM29" s="172"/>
      <c r="GFN29" s="172"/>
      <c r="GFO29" s="172"/>
      <c r="GFP29" s="172"/>
      <c r="GFQ29" s="172"/>
      <c r="GFR29" s="172"/>
      <c r="GFS29" s="172"/>
      <c r="GFT29" s="172"/>
      <c r="GFU29" s="172"/>
      <c r="GFV29" s="172"/>
      <c r="GFW29" s="172"/>
      <c r="GFX29" s="172"/>
      <c r="GFY29" s="172"/>
      <c r="GFZ29" s="172"/>
      <c r="GGA29" s="172"/>
      <c r="GGB29" s="172"/>
      <c r="GGC29" s="172"/>
      <c r="GGD29" s="172"/>
      <c r="GGE29" s="172"/>
      <c r="GGF29" s="172"/>
      <c r="GGG29" s="172"/>
      <c r="GGH29" s="172"/>
      <c r="GGI29" s="172"/>
      <c r="GGJ29" s="172"/>
      <c r="GGK29" s="172"/>
      <c r="GGL29" s="172"/>
      <c r="GGM29" s="172"/>
      <c r="GGN29" s="172"/>
      <c r="GGO29" s="172"/>
      <c r="GGP29" s="172"/>
      <c r="GGQ29" s="172"/>
      <c r="GGR29" s="172"/>
      <c r="GGS29" s="172"/>
      <c r="GGT29" s="172"/>
      <c r="GGU29" s="172"/>
      <c r="GGV29" s="172"/>
      <c r="GGW29" s="172"/>
      <c r="GGX29" s="172"/>
      <c r="GGY29" s="172"/>
      <c r="GGZ29" s="172"/>
      <c r="GHA29" s="172"/>
      <c r="GHB29" s="172"/>
      <c r="GHC29" s="172"/>
      <c r="GHD29" s="172"/>
      <c r="GHE29" s="172"/>
      <c r="GHF29" s="172"/>
      <c r="GHG29" s="172"/>
      <c r="GHH29" s="172"/>
      <c r="GHI29" s="172"/>
      <c r="GHJ29" s="172"/>
      <c r="GHK29" s="172"/>
      <c r="GHL29" s="172"/>
      <c r="GHM29" s="172"/>
      <c r="GHN29" s="172"/>
      <c r="GHO29" s="172"/>
      <c r="GHP29" s="172"/>
      <c r="GHQ29" s="172"/>
      <c r="GHR29" s="172"/>
      <c r="GHS29" s="172"/>
      <c r="GHT29" s="172"/>
      <c r="GHU29" s="172"/>
      <c r="GHV29" s="172"/>
      <c r="GHW29" s="172"/>
      <c r="GHX29" s="172"/>
      <c r="GHY29" s="172"/>
      <c r="GHZ29" s="172"/>
      <c r="GIA29" s="172"/>
      <c r="GIB29" s="172"/>
      <c r="GIC29" s="172"/>
      <c r="GID29" s="172"/>
      <c r="GIE29" s="172"/>
      <c r="GIF29" s="172"/>
      <c r="GIG29" s="172"/>
      <c r="GIH29" s="172"/>
      <c r="GII29" s="172"/>
      <c r="GIJ29" s="172"/>
      <c r="GIK29" s="172"/>
      <c r="GIL29" s="172"/>
      <c r="GIM29" s="172"/>
      <c r="GIN29" s="172"/>
      <c r="GIO29" s="172"/>
      <c r="GIP29" s="172"/>
      <c r="GIQ29" s="172"/>
      <c r="GIR29" s="172"/>
      <c r="GIS29" s="172"/>
      <c r="GIT29" s="172"/>
      <c r="GIU29" s="172"/>
      <c r="GIV29" s="172"/>
      <c r="GIW29" s="172"/>
      <c r="GIX29" s="172"/>
      <c r="GIY29" s="172"/>
      <c r="GIZ29" s="172"/>
      <c r="GJA29" s="172"/>
      <c r="GJB29" s="172"/>
      <c r="GJC29" s="172"/>
      <c r="GJD29" s="172"/>
      <c r="GJE29" s="172"/>
      <c r="GJF29" s="172"/>
      <c r="GJG29" s="172"/>
      <c r="GJH29" s="172"/>
      <c r="GJI29" s="172"/>
      <c r="GJJ29" s="172"/>
      <c r="GJK29" s="172"/>
      <c r="GJL29" s="172"/>
      <c r="GJM29" s="172"/>
      <c r="GJN29" s="172"/>
      <c r="GJO29" s="172"/>
      <c r="GJP29" s="172"/>
      <c r="GJQ29" s="172"/>
      <c r="GJR29" s="172"/>
      <c r="GJS29" s="172"/>
      <c r="GJT29" s="172"/>
      <c r="GJU29" s="172"/>
      <c r="GJV29" s="172"/>
      <c r="GJW29" s="172"/>
      <c r="GJX29" s="172"/>
      <c r="GJY29" s="172"/>
      <c r="GJZ29" s="172"/>
      <c r="GKA29" s="172"/>
      <c r="GKB29" s="172"/>
      <c r="GKC29" s="172"/>
      <c r="GKD29" s="172"/>
      <c r="GKE29" s="172"/>
      <c r="GKF29" s="172"/>
      <c r="GKG29" s="172"/>
      <c r="GKH29" s="172"/>
      <c r="GKI29" s="172"/>
      <c r="GKJ29" s="172"/>
      <c r="GKK29" s="172"/>
      <c r="GKL29" s="172"/>
      <c r="GKM29" s="172"/>
      <c r="GKN29" s="172"/>
      <c r="GKO29" s="172"/>
      <c r="GKP29" s="172"/>
      <c r="GKQ29" s="172"/>
      <c r="GKR29" s="172"/>
      <c r="GKS29" s="172"/>
      <c r="GKT29" s="172"/>
      <c r="GKU29" s="172"/>
      <c r="GKV29" s="172"/>
      <c r="GKW29" s="172"/>
      <c r="GKX29" s="172"/>
      <c r="GKY29" s="172"/>
      <c r="GKZ29" s="172"/>
      <c r="GLA29" s="172"/>
      <c r="GLB29" s="172"/>
      <c r="GLC29" s="172"/>
      <c r="GLD29" s="172"/>
      <c r="GLE29" s="172"/>
      <c r="GLF29" s="172"/>
      <c r="GLG29" s="172"/>
      <c r="GLH29" s="172"/>
      <c r="GLI29" s="172"/>
      <c r="GLJ29" s="172"/>
      <c r="GLK29" s="172"/>
      <c r="GLL29" s="172"/>
      <c r="GLM29" s="172"/>
      <c r="GLN29" s="172"/>
      <c r="GLO29" s="172"/>
      <c r="GLP29" s="172"/>
      <c r="GLQ29" s="172"/>
      <c r="GLR29" s="172"/>
      <c r="GLS29" s="172"/>
      <c r="GLT29" s="172"/>
      <c r="GLU29" s="172"/>
      <c r="GLV29" s="172"/>
      <c r="GLW29" s="172"/>
      <c r="GLX29" s="172"/>
      <c r="GLY29" s="172"/>
      <c r="GLZ29" s="172"/>
      <c r="GMA29" s="172"/>
      <c r="GMB29" s="172"/>
      <c r="GMC29" s="172"/>
      <c r="GMD29" s="172"/>
      <c r="GME29" s="172"/>
      <c r="GMF29" s="172"/>
      <c r="GMG29" s="172"/>
      <c r="GMH29" s="172"/>
      <c r="GMI29" s="172"/>
      <c r="GMJ29" s="172"/>
      <c r="GMK29" s="172"/>
      <c r="GML29" s="172"/>
      <c r="GMM29" s="172"/>
      <c r="GMN29" s="172"/>
      <c r="GMO29" s="172"/>
      <c r="GMP29" s="172"/>
      <c r="GMQ29" s="172"/>
      <c r="GMR29" s="172"/>
      <c r="GMS29" s="172"/>
      <c r="GMT29" s="172"/>
      <c r="GMU29" s="172"/>
      <c r="GMV29" s="172"/>
      <c r="GMW29" s="172"/>
      <c r="GMX29" s="172"/>
      <c r="GMY29" s="172"/>
      <c r="GMZ29" s="172"/>
      <c r="GNA29" s="172"/>
      <c r="GNB29" s="172"/>
      <c r="GNC29" s="172"/>
      <c r="GND29" s="172"/>
      <c r="GNE29" s="172"/>
      <c r="GNF29" s="172"/>
      <c r="GNG29" s="172"/>
      <c r="GNH29" s="172"/>
      <c r="GNI29" s="172"/>
      <c r="GNJ29" s="172"/>
      <c r="GNK29" s="172"/>
      <c r="GNL29" s="172"/>
      <c r="GNM29" s="172"/>
      <c r="GNN29" s="172"/>
      <c r="GNO29" s="172"/>
      <c r="GNP29" s="172"/>
      <c r="GNQ29" s="172"/>
      <c r="GNR29" s="172"/>
      <c r="GNS29" s="172"/>
      <c r="GNT29" s="172"/>
      <c r="GNU29" s="172"/>
      <c r="GNV29" s="172"/>
      <c r="GNW29" s="172"/>
      <c r="GNX29" s="172"/>
      <c r="GNY29" s="172"/>
      <c r="GNZ29" s="172"/>
      <c r="GOA29" s="172"/>
      <c r="GOB29" s="172"/>
      <c r="GOC29" s="172"/>
      <c r="GOD29" s="172"/>
      <c r="GOE29" s="172"/>
      <c r="GOF29" s="172"/>
      <c r="GOG29" s="172"/>
      <c r="GOH29" s="172"/>
      <c r="GOI29" s="172"/>
      <c r="GOJ29" s="172"/>
      <c r="GOK29" s="172"/>
      <c r="GOL29" s="172"/>
      <c r="GOM29" s="172"/>
      <c r="GON29" s="172"/>
      <c r="GOO29" s="172"/>
      <c r="GOP29" s="172"/>
      <c r="GOQ29" s="172"/>
      <c r="GOR29" s="172"/>
      <c r="GOS29" s="172"/>
      <c r="GOT29" s="172"/>
      <c r="GOU29" s="172"/>
      <c r="GOV29" s="172"/>
      <c r="GOW29" s="172"/>
      <c r="GOX29" s="172"/>
      <c r="GOY29" s="172"/>
      <c r="GOZ29" s="172"/>
      <c r="GPA29" s="172"/>
      <c r="GPB29" s="172"/>
      <c r="GPC29" s="172"/>
      <c r="GPD29" s="172"/>
      <c r="GPE29" s="172"/>
      <c r="GPF29" s="172"/>
      <c r="GPG29" s="172"/>
      <c r="GPH29" s="172"/>
      <c r="GPI29" s="172"/>
      <c r="GPJ29" s="172"/>
      <c r="GPK29" s="172"/>
      <c r="GPL29" s="172"/>
      <c r="GPM29" s="172"/>
      <c r="GPN29" s="172"/>
      <c r="GPO29" s="172"/>
      <c r="GPP29" s="172"/>
      <c r="GPQ29" s="172"/>
      <c r="GPR29" s="172"/>
      <c r="GPS29" s="172"/>
      <c r="GPT29" s="172"/>
      <c r="GPU29" s="172"/>
      <c r="GPV29" s="172"/>
      <c r="GPW29" s="172"/>
      <c r="GPX29" s="172"/>
      <c r="GPY29" s="172"/>
      <c r="GPZ29" s="172"/>
      <c r="GQA29" s="172"/>
      <c r="GQB29" s="172"/>
      <c r="GQC29" s="172"/>
      <c r="GQD29" s="172"/>
      <c r="GQE29" s="172"/>
      <c r="GQF29" s="172"/>
      <c r="GQG29" s="172"/>
      <c r="GQH29" s="172"/>
      <c r="GQI29" s="172"/>
      <c r="GQJ29" s="172"/>
      <c r="GQK29" s="172"/>
      <c r="GQL29" s="172"/>
      <c r="GQM29" s="172"/>
      <c r="GQN29" s="172"/>
      <c r="GQO29" s="172"/>
      <c r="GQP29" s="172"/>
      <c r="GQQ29" s="172"/>
      <c r="GQR29" s="172"/>
      <c r="GQS29" s="172"/>
      <c r="GQT29" s="172"/>
      <c r="GQU29" s="172"/>
      <c r="GQV29" s="172"/>
      <c r="GQW29" s="172"/>
      <c r="GQX29" s="172"/>
      <c r="GQY29" s="172"/>
      <c r="GQZ29" s="172"/>
      <c r="GRA29" s="172"/>
      <c r="GRB29" s="172"/>
      <c r="GRC29" s="172"/>
      <c r="GRD29" s="172"/>
      <c r="GRE29" s="172"/>
      <c r="GRF29" s="172"/>
      <c r="GRG29" s="172"/>
      <c r="GRH29" s="172"/>
      <c r="GRI29" s="172"/>
      <c r="GRJ29" s="172"/>
      <c r="GRK29" s="172"/>
      <c r="GRL29" s="172"/>
      <c r="GRM29" s="172"/>
      <c r="GRN29" s="172"/>
      <c r="GRO29" s="172"/>
      <c r="GRP29" s="172"/>
      <c r="GRQ29" s="172"/>
      <c r="GRR29" s="172"/>
      <c r="GRS29" s="172"/>
      <c r="GRT29" s="172"/>
      <c r="GRU29" s="172"/>
      <c r="GRV29" s="172"/>
      <c r="GRW29" s="172"/>
      <c r="GRX29" s="172"/>
      <c r="GRY29" s="172"/>
      <c r="GRZ29" s="172"/>
      <c r="GSA29" s="172"/>
      <c r="GSB29" s="172"/>
      <c r="GSC29" s="172"/>
      <c r="GSD29" s="172"/>
      <c r="GSE29" s="172"/>
      <c r="GSF29" s="172"/>
      <c r="GSG29" s="172"/>
      <c r="GSH29" s="172"/>
      <c r="GSI29" s="172"/>
      <c r="GSJ29" s="172"/>
      <c r="GSK29" s="172"/>
      <c r="GSL29" s="172"/>
      <c r="GSM29" s="172"/>
      <c r="GSN29" s="172"/>
      <c r="GSO29" s="172"/>
      <c r="GSP29" s="172"/>
      <c r="GSQ29" s="172"/>
      <c r="GSR29" s="172"/>
      <c r="GSS29" s="172"/>
      <c r="GST29" s="172"/>
      <c r="GSU29" s="172"/>
      <c r="GSV29" s="172"/>
      <c r="GSW29" s="172"/>
      <c r="GSX29" s="172"/>
      <c r="GSY29" s="172"/>
      <c r="GSZ29" s="172"/>
      <c r="GTA29" s="172"/>
      <c r="GTB29" s="172"/>
      <c r="GTC29" s="172"/>
      <c r="GTD29" s="172"/>
      <c r="GTE29" s="172"/>
      <c r="GTF29" s="172"/>
      <c r="GTG29" s="172"/>
      <c r="GTH29" s="172"/>
      <c r="GTI29" s="172"/>
      <c r="GTJ29" s="172"/>
      <c r="GTK29" s="172"/>
      <c r="GTL29" s="172"/>
      <c r="GTM29" s="172"/>
      <c r="GTN29" s="172"/>
      <c r="GTO29" s="172"/>
      <c r="GTP29" s="172"/>
      <c r="GTQ29" s="172"/>
      <c r="GTR29" s="172"/>
      <c r="GTS29" s="172"/>
      <c r="GTT29" s="172"/>
      <c r="GTU29" s="172"/>
      <c r="GTV29" s="172"/>
      <c r="GTW29" s="172"/>
      <c r="GTX29" s="172"/>
      <c r="GTY29" s="172"/>
      <c r="GTZ29" s="172"/>
      <c r="GUA29" s="172"/>
      <c r="GUB29" s="172"/>
      <c r="GUC29" s="172"/>
      <c r="GUD29" s="172"/>
      <c r="GUE29" s="172"/>
      <c r="GUF29" s="172"/>
      <c r="GUG29" s="172"/>
      <c r="GUH29" s="172"/>
      <c r="GUI29" s="172"/>
      <c r="GUJ29" s="172"/>
      <c r="GUK29" s="172"/>
      <c r="GUL29" s="172"/>
      <c r="GUM29" s="172"/>
      <c r="GUN29" s="172"/>
      <c r="GUO29" s="172"/>
      <c r="GUP29" s="172"/>
      <c r="GUQ29" s="172"/>
      <c r="GUR29" s="172"/>
      <c r="GUS29" s="172"/>
      <c r="GUT29" s="172"/>
      <c r="GUU29" s="172"/>
      <c r="GUV29" s="172"/>
      <c r="GUW29" s="172"/>
      <c r="GUX29" s="172"/>
      <c r="GUY29" s="172"/>
      <c r="GUZ29" s="172"/>
      <c r="GVA29" s="172"/>
      <c r="GVB29" s="172"/>
      <c r="GVC29" s="172"/>
      <c r="GVD29" s="172"/>
      <c r="GVE29" s="172"/>
      <c r="GVF29" s="172"/>
      <c r="GVG29" s="172"/>
      <c r="GVH29" s="172"/>
      <c r="GVI29" s="172"/>
      <c r="GVJ29" s="172"/>
      <c r="GVK29" s="172"/>
      <c r="GVL29" s="172"/>
      <c r="GVM29" s="172"/>
      <c r="GVN29" s="172"/>
      <c r="GVO29" s="172"/>
      <c r="GVP29" s="172"/>
      <c r="GVQ29" s="172"/>
      <c r="GVR29" s="172"/>
      <c r="GVS29" s="172"/>
      <c r="GVT29" s="172"/>
      <c r="GVU29" s="172"/>
      <c r="GVV29" s="172"/>
      <c r="GVW29" s="172"/>
      <c r="GVX29" s="172"/>
      <c r="GVY29" s="172"/>
      <c r="GVZ29" s="172"/>
      <c r="GWA29" s="172"/>
      <c r="GWB29" s="172"/>
      <c r="GWC29" s="172"/>
      <c r="GWD29" s="172"/>
      <c r="GWE29" s="172"/>
      <c r="GWF29" s="172"/>
      <c r="GWG29" s="172"/>
      <c r="GWH29" s="172"/>
      <c r="GWI29" s="172"/>
      <c r="GWJ29" s="172"/>
      <c r="GWK29" s="172"/>
      <c r="GWL29" s="172"/>
      <c r="GWM29" s="172"/>
      <c r="GWN29" s="172"/>
      <c r="GWO29" s="172"/>
      <c r="GWP29" s="172"/>
      <c r="GWQ29" s="172"/>
      <c r="GWR29" s="172"/>
      <c r="GWS29" s="172"/>
      <c r="GWT29" s="172"/>
      <c r="GWU29" s="172"/>
      <c r="GWV29" s="172"/>
      <c r="GWW29" s="172"/>
      <c r="GWX29" s="172"/>
      <c r="GWY29" s="172"/>
      <c r="GWZ29" s="172"/>
      <c r="GXA29" s="172"/>
      <c r="GXB29" s="172"/>
      <c r="GXC29" s="172"/>
      <c r="GXD29" s="172"/>
      <c r="GXE29" s="172"/>
      <c r="GXF29" s="172"/>
      <c r="GXG29" s="172"/>
      <c r="GXH29" s="172"/>
      <c r="GXI29" s="172"/>
      <c r="GXJ29" s="172"/>
      <c r="GXK29" s="172"/>
      <c r="GXL29" s="172"/>
      <c r="GXM29" s="172"/>
      <c r="GXN29" s="172"/>
      <c r="GXO29" s="172"/>
      <c r="GXP29" s="172"/>
      <c r="GXQ29" s="172"/>
      <c r="GXR29" s="172"/>
      <c r="GXS29" s="172"/>
      <c r="GXT29" s="172"/>
      <c r="GXU29" s="172"/>
      <c r="GXV29" s="172"/>
      <c r="GXW29" s="172"/>
      <c r="GXX29" s="172"/>
      <c r="GXY29" s="172"/>
      <c r="GXZ29" s="172"/>
      <c r="GYA29" s="172"/>
      <c r="GYB29" s="172"/>
      <c r="GYC29" s="172"/>
      <c r="GYD29" s="172"/>
      <c r="GYE29" s="172"/>
      <c r="GYF29" s="172"/>
      <c r="GYG29" s="172"/>
      <c r="GYH29" s="172"/>
      <c r="GYI29" s="172"/>
      <c r="GYJ29" s="172"/>
      <c r="GYK29" s="172"/>
      <c r="GYL29" s="172"/>
      <c r="GYM29" s="172"/>
      <c r="GYN29" s="172"/>
      <c r="GYO29" s="172"/>
      <c r="GYP29" s="172"/>
      <c r="GYQ29" s="172"/>
      <c r="GYR29" s="172"/>
      <c r="GYS29" s="172"/>
      <c r="GYT29" s="172"/>
      <c r="GYU29" s="172"/>
      <c r="GYV29" s="172"/>
      <c r="GYW29" s="172"/>
      <c r="GYX29" s="172"/>
      <c r="GYY29" s="172"/>
      <c r="GYZ29" s="172"/>
      <c r="GZA29" s="172"/>
      <c r="GZB29" s="172"/>
      <c r="GZC29" s="172"/>
      <c r="GZD29" s="172"/>
      <c r="GZE29" s="172"/>
      <c r="GZF29" s="172"/>
      <c r="GZG29" s="172"/>
      <c r="GZH29" s="172"/>
      <c r="GZI29" s="172"/>
      <c r="GZJ29" s="172"/>
      <c r="GZK29" s="172"/>
      <c r="GZL29" s="172"/>
      <c r="GZM29" s="172"/>
      <c r="GZN29" s="172"/>
      <c r="GZO29" s="172"/>
      <c r="GZP29" s="172"/>
      <c r="GZQ29" s="172"/>
      <c r="GZR29" s="172"/>
      <c r="GZS29" s="172"/>
      <c r="GZT29" s="172"/>
      <c r="GZU29" s="172"/>
      <c r="GZV29" s="172"/>
      <c r="GZW29" s="172"/>
      <c r="GZX29" s="172"/>
      <c r="GZY29" s="172"/>
      <c r="GZZ29" s="172"/>
      <c r="HAA29" s="172"/>
      <c r="HAB29" s="172"/>
      <c r="HAC29" s="172"/>
      <c r="HAD29" s="172"/>
      <c r="HAE29" s="172"/>
      <c r="HAF29" s="172"/>
      <c r="HAG29" s="172"/>
      <c r="HAH29" s="172"/>
      <c r="HAI29" s="172"/>
      <c r="HAJ29" s="172"/>
      <c r="HAK29" s="172"/>
      <c r="HAL29" s="172"/>
      <c r="HAM29" s="172"/>
      <c r="HAN29" s="172"/>
      <c r="HAO29" s="172"/>
      <c r="HAP29" s="172"/>
      <c r="HAQ29" s="172"/>
      <c r="HAR29" s="172"/>
      <c r="HAS29" s="172"/>
      <c r="HAT29" s="172"/>
      <c r="HAU29" s="172"/>
      <c r="HAV29" s="172"/>
      <c r="HAW29" s="172"/>
      <c r="HAX29" s="172"/>
      <c r="HAY29" s="172"/>
      <c r="HAZ29" s="172"/>
      <c r="HBA29" s="172"/>
      <c r="HBB29" s="172"/>
      <c r="HBC29" s="172"/>
      <c r="HBD29" s="172"/>
      <c r="HBE29" s="172"/>
      <c r="HBF29" s="172"/>
      <c r="HBG29" s="172"/>
      <c r="HBH29" s="172"/>
      <c r="HBI29" s="172"/>
      <c r="HBJ29" s="172"/>
      <c r="HBK29" s="172"/>
      <c r="HBL29" s="172"/>
      <c r="HBM29" s="172"/>
      <c r="HBN29" s="172"/>
      <c r="HBO29" s="172"/>
      <c r="HBP29" s="172"/>
      <c r="HBQ29" s="172"/>
      <c r="HBR29" s="172"/>
      <c r="HBS29" s="172"/>
      <c r="HBT29" s="172"/>
      <c r="HBU29" s="172"/>
      <c r="HBV29" s="172"/>
      <c r="HBW29" s="172"/>
      <c r="HBX29" s="172"/>
      <c r="HBY29" s="172"/>
      <c r="HBZ29" s="172"/>
      <c r="HCA29" s="172"/>
      <c r="HCB29" s="172"/>
      <c r="HCC29" s="172"/>
      <c r="HCD29" s="172"/>
      <c r="HCE29" s="172"/>
      <c r="HCF29" s="172"/>
      <c r="HCG29" s="172"/>
      <c r="HCH29" s="172"/>
      <c r="HCI29" s="172"/>
      <c r="HCJ29" s="172"/>
      <c r="HCK29" s="172"/>
      <c r="HCL29" s="172"/>
      <c r="HCM29" s="172"/>
      <c r="HCN29" s="172"/>
      <c r="HCO29" s="172"/>
      <c r="HCP29" s="172"/>
      <c r="HCQ29" s="172"/>
      <c r="HCR29" s="172"/>
      <c r="HCS29" s="172"/>
      <c r="HCT29" s="172"/>
      <c r="HCU29" s="172"/>
      <c r="HCV29" s="172"/>
      <c r="HCW29" s="172"/>
      <c r="HCX29" s="172"/>
      <c r="HCY29" s="172"/>
      <c r="HCZ29" s="172"/>
      <c r="HDA29" s="172"/>
      <c r="HDB29" s="172"/>
      <c r="HDC29" s="172"/>
      <c r="HDD29" s="172"/>
      <c r="HDE29" s="172"/>
      <c r="HDF29" s="172"/>
      <c r="HDG29" s="172"/>
      <c r="HDH29" s="172"/>
      <c r="HDI29" s="172"/>
      <c r="HDJ29" s="172"/>
      <c r="HDK29" s="172"/>
      <c r="HDL29" s="172"/>
      <c r="HDM29" s="172"/>
      <c r="HDN29" s="172"/>
      <c r="HDO29" s="172"/>
      <c r="HDP29" s="172"/>
      <c r="HDQ29" s="172"/>
      <c r="HDR29" s="172"/>
      <c r="HDS29" s="172"/>
      <c r="HDT29" s="172"/>
      <c r="HDU29" s="172"/>
      <c r="HDV29" s="172"/>
      <c r="HDW29" s="172"/>
      <c r="HDX29" s="172"/>
      <c r="HDY29" s="172"/>
      <c r="HDZ29" s="172"/>
      <c r="HEA29" s="172"/>
      <c r="HEB29" s="172"/>
      <c r="HEC29" s="172"/>
      <c r="HED29" s="172"/>
      <c r="HEE29" s="172"/>
      <c r="HEF29" s="172"/>
      <c r="HEG29" s="172"/>
      <c r="HEH29" s="172"/>
      <c r="HEI29" s="172"/>
      <c r="HEJ29" s="172"/>
      <c r="HEK29" s="172"/>
      <c r="HEL29" s="172"/>
      <c r="HEM29" s="172"/>
      <c r="HEN29" s="172"/>
      <c r="HEO29" s="172"/>
      <c r="HEP29" s="172"/>
      <c r="HEQ29" s="172"/>
      <c r="HER29" s="172"/>
      <c r="HES29" s="172"/>
      <c r="HET29" s="172"/>
      <c r="HEU29" s="172"/>
      <c r="HEV29" s="172"/>
      <c r="HEW29" s="172"/>
      <c r="HEX29" s="172"/>
      <c r="HEY29" s="172"/>
      <c r="HEZ29" s="172"/>
      <c r="HFA29" s="172"/>
      <c r="HFB29" s="172"/>
      <c r="HFC29" s="172"/>
      <c r="HFD29" s="172"/>
      <c r="HFE29" s="172"/>
      <c r="HFF29" s="172"/>
      <c r="HFG29" s="172"/>
      <c r="HFH29" s="172"/>
      <c r="HFI29" s="172"/>
      <c r="HFJ29" s="172"/>
      <c r="HFK29" s="172"/>
      <c r="HFL29" s="172"/>
      <c r="HFM29" s="172"/>
      <c r="HFN29" s="172"/>
      <c r="HFO29" s="172"/>
      <c r="HFP29" s="172"/>
      <c r="HFQ29" s="172"/>
      <c r="HFR29" s="172"/>
      <c r="HFS29" s="172"/>
      <c r="HFT29" s="172"/>
      <c r="HFU29" s="172"/>
      <c r="HFV29" s="172"/>
      <c r="HFW29" s="172"/>
      <c r="HFX29" s="172"/>
      <c r="HFY29" s="172"/>
      <c r="HFZ29" s="172"/>
      <c r="HGA29" s="172"/>
      <c r="HGB29" s="172"/>
      <c r="HGC29" s="172"/>
      <c r="HGD29" s="172"/>
      <c r="HGE29" s="172"/>
      <c r="HGF29" s="172"/>
      <c r="HGG29" s="172"/>
      <c r="HGH29" s="172"/>
      <c r="HGI29" s="172"/>
      <c r="HGJ29" s="172"/>
      <c r="HGK29" s="172"/>
      <c r="HGL29" s="172"/>
      <c r="HGM29" s="172"/>
      <c r="HGN29" s="172"/>
      <c r="HGO29" s="172"/>
      <c r="HGP29" s="172"/>
      <c r="HGQ29" s="172"/>
      <c r="HGR29" s="172"/>
      <c r="HGS29" s="172"/>
      <c r="HGT29" s="172"/>
      <c r="HGU29" s="172"/>
      <c r="HGV29" s="172"/>
      <c r="HGW29" s="172"/>
      <c r="HGX29" s="172"/>
      <c r="HGY29" s="172"/>
      <c r="HGZ29" s="172"/>
      <c r="HHA29" s="172"/>
      <c r="HHB29" s="172"/>
      <c r="HHC29" s="172"/>
      <c r="HHD29" s="172"/>
      <c r="HHE29" s="172"/>
      <c r="HHF29" s="172"/>
      <c r="HHG29" s="172"/>
      <c r="HHH29" s="172"/>
      <c r="HHI29" s="172"/>
      <c r="HHJ29" s="172"/>
      <c r="HHK29" s="172"/>
      <c r="HHL29" s="172"/>
      <c r="HHM29" s="172"/>
      <c r="HHN29" s="172"/>
      <c r="HHO29" s="172"/>
      <c r="HHP29" s="172"/>
      <c r="HHQ29" s="172"/>
      <c r="HHR29" s="172"/>
      <c r="HHS29" s="172"/>
      <c r="HHT29" s="172"/>
      <c r="HHU29" s="172"/>
      <c r="HHV29" s="172"/>
      <c r="HHW29" s="172"/>
      <c r="HHX29" s="172"/>
      <c r="HHY29" s="172"/>
      <c r="HHZ29" s="172"/>
      <c r="HIA29" s="172"/>
      <c r="HIB29" s="172"/>
      <c r="HIC29" s="172"/>
      <c r="HID29" s="172"/>
      <c r="HIE29" s="172"/>
      <c r="HIF29" s="172"/>
      <c r="HIG29" s="172"/>
      <c r="HIH29" s="172"/>
      <c r="HII29" s="172"/>
      <c r="HIJ29" s="172"/>
      <c r="HIK29" s="172"/>
      <c r="HIL29" s="172"/>
      <c r="HIM29" s="172"/>
      <c r="HIN29" s="172"/>
      <c r="HIO29" s="172"/>
      <c r="HIP29" s="172"/>
      <c r="HIQ29" s="172"/>
      <c r="HIR29" s="172"/>
      <c r="HIS29" s="172"/>
      <c r="HIT29" s="172"/>
      <c r="HIU29" s="172"/>
      <c r="HIV29" s="172"/>
      <c r="HIW29" s="172"/>
      <c r="HIX29" s="172"/>
      <c r="HIY29" s="172"/>
      <c r="HIZ29" s="172"/>
      <c r="HJA29" s="172"/>
      <c r="HJB29" s="172"/>
      <c r="HJC29" s="172"/>
      <c r="HJD29" s="172"/>
      <c r="HJE29" s="172"/>
      <c r="HJF29" s="172"/>
      <c r="HJG29" s="172"/>
      <c r="HJH29" s="172"/>
      <c r="HJI29" s="172"/>
      <c r="HJJ29" s="172"/>
      <c r="HJK29" s="172"/>
      <c r="HJL29" s="172"/>
      <c r="HJM29" s="172"/>
      <c r="HJN29" s="172"/>
      <c r="HJO29" s="172"/>
      <c r="HJP29" s="172"/>
      <c r="HJQ29" s="172"/>
      <c r="HJR29" s="172"/>
      <c r="HJS29" s="172"/>
      <c r="HJT29" s="172"/>
      <c r="HJU29" s="172"/>
      <c r="HJV29" s="172"/>
      <c r="HJW29" s="172"/>
      <c r="HJX29" s="172"/>
      <c r="HJY29" s="172"/>
      <c r="HJZ29" s="172"/>
      <c r="HKA29" s="172"/>
      <c r="HKB29" s="172"/>
      <c r="HKC29" s="172"/>
      <c r="HKD29" s="172"/>
      <c r="HKE29" s="172"/>
      <c r="HKF29" s="172"/>
      <c r="HKG29" s="172"/>
      <c r="HKH29" s="172"/>
      <c r="HKI29" s="172"/>
      <c r="HKJ29" s="172"/>
      <c r="HKK29" s="172"/>
      <c r="HKL29" s="172"/>
      <c r="HKM29" s="172"/>
      <c r="HKN29" s="172"/>
      <c r="HKO29" s="172"/>
      <c r="HKP29" s="172"/>
      <c r="HKQ29" s="172"/>
      <c r="HKR29" s="172"/>
      <c r="HKS29" s="172"/>
      <c r="HKT29" s="172"/>
      <c r="HKU29" s="172"/>
      <c r="HKV29" s="172"/>
      <c r="HKW29" s="172"/>
      <c r="HKX29" s="172"/>
      <c r="HKY29" s="172"/>
      <c r="HKZ29" s="172"/>
      <c r="HLA29" s="172"/>
      <c r="HLB29" s="172"/>
      <c r="HLC29" s="172"/>
      <c r="HLD29" s="172"/>
      <c r="HLE29" s="172"/>
      <c r="HLF29" s="172"/>
      <c r="HLG29" s="172"/>
      <c r="HLH29" s="172"/>
      <c r="HLI29" s="172"/>
      <c r="HLJ29" s="172"/>
      <c r="HLK29" s="172"/>
      <c r="HLL29" s="172"/>
      <c r="HLM29" s="172"/>
      <c r="HLN29" s="172"/>
      <c r="HLO29" s="172"/>
      <c r="HLP29" s="172"/>
      <c r="HLQ29" s="172"/>
      <c r="HLR29" s="172"/>
      <c r="HLS29" s="172"/>
      <c r="HLT29" s="172"/>
      <c r="HLU29" s="172"/>
      <c r="HLV29" s="172"/>
      <c r="HLW29" s="172"/>
      <c r="HLX29" s="172"/>
      <c r="HLY29" s="172"/>
      <c r="HLZ29" s="172"/>
      <c r="HMA29" s="172"/>
      <c r="HMB29" s="172"/>
      <c r="HMC29" s="172"/>
      <c r="HMD29" s="172"/>
      <c r="HME29" s="172"/>
      <c r="HMF29" s="172"/>
      <c r="HMG29" s="172"/>
      <c r="HMH29" s="172"/>
      <c r="HMI29" s="172"/>
      <c r="HMJ29" s="172"/>
      <c r="HMK29" s="172"/>
      <c r="HML29" s="172"/>
      <c r="HMM29" s="172"/>
      <c r="HMN29" s="172"/>
      <c r="HMO29" s="172"/>
      <c r="HMP29" s="172"/>
      <c r="HMQ29" s="172"/>
      <c r="HMR29" s="172"/>
      <c r="HMS29" s="172"/>
      <c r="HMT29" s="172"/>
      <c r="HMU29" s="172"/>
      <c r="HMV29" s="172"/>
      <c r="HMW29" s="172"/>
      <c r="HMX29" s="172"/>
      <c r="HMY29" s="172"/>
      <c r="HMZ29" s="172"/>
      <c r="HNA29" s="172"/>
      <c r="HNB29" s="172"/>
      <c r="HNC29" s="172"/>
      <c r="HND29" s="172"/>
      <c r="HNE29" s="172"/>
      <c r="HNF29" s="172"/>
      <c r="HNG29" s="172"/>
      <c r="HNH29" s="172"/>
      <c r="HNI29" s="172"/>
      <c r="HNJ29" s="172"/>
      <c r="HNK29" s="172"/>
      <c r="HNL29" s="172"/>
      <c r="HNM29" s="172"/>
      <c r="HNN29" s="172"/>
      <c r="HNO29" s="172"/>
      <c r="HNP29" s="172"/>
      <c r="HNQ29" s="172"/>
      <c r="HNR29" s="172"/>
      <c r="HNS29" s="172"/>
      <c r="HNT29" s="172"/>
      <c r="HNU29" s="172"/>
      <c r="HNV29" s="172"/>
      <c r="HNW29" s="172"/>
      <c r="HNX29" s="172"/>
      <c r="HNY29" s="172"/>
      <c r="HNZ29" s="172"/>
      <c r="HOA29" s="172"/>
      <c r="HOB29" s="172"/>
      <c r="HOC29" s="172"/>
      <c r="HOD29" s="172"/>
      <c r="HOE29" s="172"/>
      <c r="HOF29" s="172"/>
      <c r="HOG29" s="172"/>
      <c r="HOH29" s="172"/>
      <c r="HOI29" s="172"/>
      <c r="HOJ29" s="172"/>
      <c r="HOK29" s="172"/>
      <c r="HOL29" s="172"/>
      <c r="HOM29" s="172"/>
      <c r="HON29" s="172"/>
      <c r="HOO29" s="172"/>
      <c r="HOP29" s="172"/>
      <c r="HOQ29" s="172"/>
      <c r="HOR29" s="172"/>
      <c r="HOS29" s="172"/>
      <c r="HOT29" s="172"/>
      <c r="HOU29" s="172"/>
      <c r="HOV29" s="172"/>
      <c r="HOW29" s="172"/>
      <c r="HOX29" s="172"/>
      <c r="HOY29" s="172"/>
      <c r="HOZ29" s="172"/>
      <c r="HPA29" s="172"/>
      <c r="HPB29" s="172"/>
      <c r="HPC29" s="172"/>
      <c r="HPD29" s="172"/>
      <c r="HPE29" s="172"/>
      <c r="HPF29" s="172"/>
      <c r="HPG29" s="172"/>
      <c r="HPH29" s="172"/>
      <c r="HPI29" s="172"/>
      <c r="HPJ29" s="172"/>
      <c r="HPK29" s="172"/>
      <c r="HPL29" s="172"/>
      <c r="HPM29" s="172"/>
      <c r="HPN29" s="172"/>
      <c r="HPO29" s="172"/>
      <c r="HPP29" s="172"/>
      <c r="HPQ29" s="172"/>
      <c r="HPR29" s="172"/>
      <c r="HPS29" s="172"/>
      <c r="HPT29" s="172"/>
      <c r="HPU29" s="172"/>
      <c r="HPV29" s="172"/>
      <c r="HPW29" s="172"/>
      <c r="HPX29" s="172"/>
      <c r="HPY29" s="172"/>
      <c r="HPZ29" s="172"/>
      <c r="HQA29" s="172"/>
      <c r="HQB29" s="172"/>
      <c r="HQC29" s="172"/>
      <c r="HQD29" s="172"/>
      <c r="HQE29" s="172"/>
      <c r="HQF29" s="172"/>
      <c r="HQG29" s="172"/>
      <c r="HQH29" s="172"/>
      <c r="HQI29" s="172"/>
      <c r="HQJ29" s="172"/>
      <c r="HQK29" s="172"/>
      <c r="HQL29" s="172"/>
      <c r="HQM29" s="172"/>
      <c r="HQN29" s="172"/>
      <c r="HQO29" s="172"/>
      <c r="HQP29" s="172"/>
      <c r="HQQ29" s="172"/>
      <c r="HQR29" s="172"/>
      <c r="HQS29" s="172"/>
      <c r="HQT29" s="172"/>
      <c r="HQU29" s="172"/>
      <c r="HQV29" s="172"/>
      <c r="HQW29" s="172"/>
      <c r="HQX29" s="172"/>
      <c r="HQY29" s="172"/>
      <c r="HQZ29" s="172"/>
      <c r="HRA29" s="172"/>
      <c r="HRB29" s="172"/>
      <c r="HRC29" s="172"/>
      <c r="HRD29" s="172"/>
      <c r="HRE29" s="172"/>
      <c r="HRF29" s="172"/>
      <c r="HRG29" s="172"/>
      <c r="HRH29" s="172"/>
      <c r="HRI29" s="172"/>
      <c r="HRJ29" s="172"/>
      <c r="HRK29" s="172"/>
      <c r="HRL29" s="172"/>
      <c r="HRM29" s="172"/>
      <c r="HRN29" s="172"/>
      <c r="HRO29" s="172"/>
      <c r="HRP29" s="172"/>
      <c r="HRQ29" s="172"/>
      <c r="HRR29" s="172"/>
      <c r="HRS29" s="172"/>
      <c r="HRT29" s="172"/>
      <c r="HRU29" s="172"/>
      <c r="HRV29" s="172"/>
      <c r="HRW29" s="172"/>
      <c r="HRX29" s="172"/>
      <c r="HRY29" s="172"/>
      <c r="HRZ29" s="172"/>
      <c r="HSA29" s="172"/>
      <c r="HSB29" s="172"/>
      <c r="HSC29" s="172"/>
      <c r="HSD29" s="172"/>
      <c r="HSE29" s="172"/>
      <c r="HSF29" s="172"/>
      <c r="HSG29" s="172"/>
      <c r="HSH29" s="172"/>
      <c r="HSI29" s="172"/>
      <c r="HSJ29" s="172"/>
      <c r="HSK29" s="172"/>
      <c r="HSL29" s="172"/>
      <c r="HSM29" s="172"/>
      <c r="HSN29" s="172"/>
      <c r="HSO29" s="172"/>
      <c r="HSP29" s="172"/>
      <c r="HSQ29" s="172"/>
      <c r="HSR29" s="172"/>
      <c r="HSS29" s="172"/>
      <c r="HST29" s="172"/>
      <c r="HSU29" s="172"/>
      <c r="HSV29" s="172"/>
      <c r="HSW29" s="172"/>
      <c r="HSX29" s="172"/>
      <c r="HSY29" s="172"/>
      <c r="HSZ29" s="172"/>
      <c r="HTA29" s="172"/>
      <c r="HTB29" s="172"/>
      <c r="HTC29" s="172"/>
      <c r="HTD29" s="172"/>
      <c r="HTE29" s="172"/>
      <c r="HTF29" s="172"/>
      <c r="HTG29" s="172"/>
      <c r="HTH29" s="172"/>
      <c r="HTI29" s="172"/>
      <c r="HTJ29" s="172"/>
      <c r="HTK29" s="172"/>
      <c r="HTL29" s="172"/>
      <c r="HTM29" s="172"/>
      <c r="HTN29" s="172"/>
      <c r="HTO29" s="172"/>
      <c r="HTP29" s="172"/>
      <c r="HTQ29" s="172"/>
      <c r="HTR29" s="172"/>
      <c r="HTS29" s="172"/>
      <c r="HTT29" s="172"/>
      <c r="HTU29" s="172"/>
      <c r="HTV29" s="172"/>
      <c r="HTW29" s="172"/>
      <c r="HTX29" s="172"/>
      <c r="HTY29" s="172"/>
      <c r="HTZ29" s="172"/>
      <c r="HUA29" s="172"/>
      <c r="HUB29" s="172"/>
      <c r="HUC29" s="172"/>
      <c r="HUD29" s="172"/>
      <c r="HUE29" s="172"/>
      <c r="HUF29" s="172"/>
      <c r="HUG29" s="172"/>
      <c r="HUH29" s="172"/>
      <c r="HUI29" s="172"/>
      <c r="HUJ29" s="172"/>
      <c r="HUK29" s="172"/>
      <c r="HUL29" s="172"/>
      <c r="HUM29" s="172"/>
      <c r="HUN29" s="172"/>
      <c r="HUO29" s="172"/>
      <c r="HUP29" s="172"/>
      <c r="HUQ29" s="172"/>
      <c r="HUR29" s="172"/>
      <c r="HUS29" s="172"/>
      <c r="HUT29" s="172"/>
      <c r="HUU29" s="172"/>
      <c r="HUV29" s="172"/>
      <c r="HUW29" s="172"/>
      <c r="HUX29" s="172"/>
      <c r="HUY29" s="172"/>
      <c r="HUZ29" s="172"/>
      <c r="HVA29" s="172"/>
      <c r="HVB29" s="172"/>
      <c r="HVC29" s="172"/>
      <c r="HVD29" s="172"/>
      <c r="HVE29" s="172"/>
      <c r="HVF29" s="172"/>
      <c r="HVG29" s="172"/>
      <c r="HVH29" s="172"/>
      <c r="HVI29" s="172"/>
      <c r="HVJ29" s="172"/>
      <c r="HVK29" s="172"/>
      <c r="HVL29" s="172"/>
      <c r="HVM29" s="172"/>
      <c r="HVN29" s="172"/>
      <c r="HVO29" s="172"/>
      <c r="HVP29" s="172"/>
      <c r="HVQ29" s="172"/>
      <c r="HVR29" s="172"/>
      <c r="HVS29" s="172"/>
      <c r="HVT29" s="172"/>
      <c r="HVU29" s="172"/>
      <c r="HVV29" s="172"/>
      <c r="HVW29" s="172"/>
      <c r="HVX29" s="172"/>
      <c r="HVY29" s="172"/>
      <c r="HVZ29" s="172"/>
      <c r="HWA29" s="172"/>
      <c r="HWB29" s="172"/>
      <c r="HWC29" s="172"/>
      <c r="HWD29" s="172"/>
      <c r="HWE29" s="172"/>
      <c r="HWF29" s="172"/>
      <c r="HWG29" s="172"/>
      <c r="HWH29" s="172"/>
      <c r="HWI29" s="172"/>
      <c r="HWJ29" s="172"/>
      <c r="HWK29" s="172"/>
      <c r="HWL29" s="172"/>
      <c r="HWM29" s="172"/>
      <c r="HWN29" s="172"/>
      <c r="HWO29" s="172"/>
      <c r="HWP29" s="172"/>
      <c r="HWQ29" s="172"/>
      <c r="HWR29" s="172"/>
      <c r="HWS29" s="172"/>
      <c r="HWT29" s="172"/>
      <c r="HWU29" s="172"/>
      <c r="HWV29" s="172"/>
      <c r="HWW29" s="172"/>
      <c r="HWX29" s="172"/>
      <c r="HWY29" s="172"/>
      <c r="HWZ29" s="172"/>
      <c r="HXA29" s="172"/>
      <c r="HXB29" s="172"/>
      <c r="HXC29" s="172"/>
      <c r="HXD29" s="172"/>
      <c r="HXE29" s="172"/>
      <c r="HXF29" s="172"/>
      <c r="HXG29" s="172"/>
      <c r="HXH29" s="172"/>
      <c r="HXI29" s="172"/>
      <c r="HXJ29" s="172"/>
      <c r="HXK29" s="172"/>
      <c r="HXL29" s="172"/>
      <c r="HXM29" s="172"/>
      <c r="HXN29" s="172"/>
      <c r="HXO29" s="172"/>
      <c r="HXP29" s="172"/>
      <c r="HXQ29" s="172"/>
      <c r="HXR29" s="172"/>
      <c r="HXS29" s="172"/>
      <c r="HXT29" s="172"/>
      <c r="HXU29" s="172"/>
      <c r="HXV29" s="172"/>
      <c r="HXW29" s="172"/>
      <c r="HXX29" s="172"/>
      <c r="HXY29" s="172"/>
      <c r="HXZ29" s="172"/>
      <c r="HYA29" s="172"/>
      <c r="HYB29" s="172"/>
      <c r="HYC29" s="172"/>
      <c r="HYD29" s="172"/>
      <c r="HYE29" s="172"/>
      <c r="HYF29" s="172"/>
      <c r="HYG29" s="172"/>
      <c r="HYH29" s="172"/>
      <c r="HYI29" s="172"/>
      <c r="HYJ29" s="172"/>
      <c r="HYK29" s="172"/>
      <c r="HYL29" s="172"/>
      <c r="HYM29" s="172"/>
      <c r="HYN29" s="172"/>
      <c r="HYO29" s="172"/>
      <c r="HYP29" s="172"/>
      <c r="HYQ29" s="172"/>
      <c r="HYR29" s="172"/>
      <c r="HYS29" s="172"/>
      <c r="HYT29" s="172"/>
      <c r="HYU29" s="172"/>
      <c r="HYV29" s="172"/>
      <c r="HYW29" s="172"/>
      <c r="HYX29" s="172"/>
      <c r="HYY29" s="172"/>
      <c r="HYZ29" s="172"/>
      <c r="HZA29" s="172"/>
      <c r="HZB29" s="172"/>
      <c r="HZC29" s="172"/>
      <c r="HZD29" s="172"/>
      <c r="HZE29" s="172"/>
      <c r="HZF29" s="172"/>
      <c r="HZG29" s="172"/>
      <c r="HZH29" s="172"/>
      <c r="HZI29" s="172"/>
      <c r="HZJ29" s="172"/>
      <c r="HZK29" s="172"/>
      <c r="HZL29" s="172"/>
      <c r="HZM29" s="172"/>
      <c r="HZN29" s="172"/>
      <c r="HZO29" s="172"/>
      <c r="HZP29" s="172"/>
      <c r="HZQ29" s="172"/>
      <c r="HZR29" s="172"/>
      <c r="HZS29" s="172"/>
      <c r="HZT29" s="172"/>
      <c r="HZU29" s="172"/>
      <c r="HZV29" s="172"/>
      <c r="HZW29" s="172"/>
      <c r="HZX29" s="172"/>
      <c r="HZY29" s="172"/>
      <c r="HZZ29" s="172"/>
      <c r="IAA29" s="172"/>
      <c r="IAB29" s="172"/>
      <c r="IAC29" s="172"/>
      <c r="IAD29" s="172"/>
      <c r="IAE29" s="172"/>
      <c r="IAF29" s="172"/>
      <c r="IAG29" s="172"/>
      <c r="IAH29" s="172"/>
      <c r="IAI29" s="172"/>
      <c r="IAJ29" s="172"/>
      <c r="IAK29" s="172"/>
      <c r="IAL29" s="172"/>
      <c r="IAM29" s="172"/>
      <c r="IAN29" s="172"/>
      <c r="IAO29" s="172"/>
      <c r="IAP29" s="172"/>
      <c r="IAQ29" s="172"/>
      <c r="IAR29" s="172"/>
      <c r="IAS29" s="172"/>
      <c r="IAT29" s="172"/>
      <c r="IAU29" s="172"/>
      <c r="IAV29" s="172"/>
      <c r="IAW29" s="172"/>
      <c r="IAX29" s="172"/>
      <c r="IAY29" s="172"/>
      <c r="IAZ29" s="172"/>
      <c r="IBA29" s="172"/>
      <c r="IBB29" s="172"/>
      <c r="IBC29" s="172"/>
      <c r="IBD29" s="172"/>
      <c r="IBE29" s="172"/>
      <c r="IBF29" s="172"/>
      <c r="IBG29" s="172"/>
      <c r="IBH29" s="172"/>
      <c r="IBI29" s="172"/>
      <c r="IBJ29" s="172"/>
      <c r="IBK29" s="172"/>
      <c r="IBL29" s="172"/>
      <c r="IBM29" s="172"/>
      <c r="IBN29" s="172"/>
      <c r="IBO29" s="172"/>
      <c r="IBP29" s="172"/>
      <c r="IBQ29" s="172"/>
      <c r="IBR29" s="172"/>
      <c r="IBS29" s="172"/>
      <c r="IBT29" s="172"/>
      <c r="IBU29" s="172"/>
      <c r="IBV29" s="172"/>
      <c r="IBW29" s="172"/>
      <c r="IBX29" s="172"/>
      <c r="IBY29" s="172"/>
      <c r="IBZ29" s="172"/>
      <c r="ICA29" s="172"/>
      <c r="ICB29" s="172"/>
      <c r="ICC29" s="172"/>
      <c r="ICD29" s="172"/>
      <c r="ICE29" s="172"/>
      <c r="ICF29" s="172"/>
      <c r="ICG29" s="172"/>
      <c r="ICH29" s="172"/>
      <c r="ICI29" s="172"/>
      <c r="ICJ29" s="172"/>
      <c r="ICK29" s="172"/>
      <c r="ICL29" s="172"/>
      <c r="ICM29" s="172"/>
      <c r="ICN29" s="172"/>
      <c r="ICO29" s="172"/>
      <c r="ICP29" s="172"/>
      <c r="ICQ29" s="172"/>
      <c r="ICR29" s="172"/>
      <c r="ICS29" s="172"/>
      <c r="ICT29" s="172"/>
      <c r="ICU29" s="172"/>
      <c r="ICV29" s="172"/>
      <c r="ICW29" s="172"/>
      <c r="ICX29" s="172"/>
      <c r="ICY29" s="172"/>
      <c r="ICZ29" s="172"/>
      <c r="IDA29" s="172"/>
      <c r="IDB29" s="172"/>
      <c r="IDC29" s="172"/>
      <c r="IDD29" s="172"/>
      <c r="IDE29" s="172"/>
      <c r="IDF29" s="172"/>
      <c r="IDG29" s="172"/>
      <c r="IDH29" s="172"/>
      <c r="IDI29" s="172"/>
      <c r="IDJ29" s="172"/>
      <c r="IDK29" s="172"/>
      <c r="IDL29" s="172"/>
      <c r="IDM29" s="172"/>
      <c r="IDN29" s="172"/>
      <c r="IDO29" s="172"/>
      <c r="IDP29" s="172"/>
      <c r="IDQ29" s="172"/>
      <c r="IDR29" s="172"/>
      <c r="IDS29" s="172"/>
      <c r="IDT29" s="172"/>
      <c r="IDU29" s="172"/>
      <c r="IDV29" s="172"/>
      <c r="IDW29" s="172"/>
      <c r="IDX29" s="172"/>
      <c r="IDY29" s="172"/>
      <c r="IDZ29" s="172"/>
      <c r="IEA29" s="172"/>
      <c r="IEB29" s="172"/>
      <c r="IEC29" s="172"/>
      <c r="IED29" s="172"/>
      <c r="IEE29" s="172"/>
      <c r="IEF29" s="172"/>
      <c r="IEG29" s="172"/>
      <c r="IEH29" s="172"/>
      <c r="IEI29" s="172"/>
      <c r="IEJ29" s="172"/>
      <c r="IEK29" s="172"/>
      <c r="IEL29" s="172"/>
      <c r="IEM29" s="172"/>
      <c r="IEN29" s="172"/>
      <c r="IEO29" s="172"/>
      <c r="IEP29" s="172"/>
      <c r="IEQ29" s="172"/>
      <c r="IER29" s="172"/>
      <c r="IES29" s="172"/>
      <c r="IET29" s="172"/>
      <c r="IEU29" s="172"/>
      <c r="IEV29" s="172"/>
      <c r="IEW29" s="172"/>
      <c r="IEX29" s="172"/>
      <c r="IEY29" s="172"/>
      <c r="IEZ29" s="172"/>
      <c r="IFA29" s="172"/>
      <c r="IFB29" s="172"/>
      <c r="IFC29" s="172"/>
      <c r="IFD29" s="172"/>
      <c r="IFE29" s="172"/>
      <c r="IFF29" s="172"/>
      <c r="IFG29" s="172"/>
      <c r="IFH29" s="172"/>
      <c r="IFI29" s="172"/>
      <c r="IFJ29" s="172"/>
      <c r="IFK29" s="172"/>
      <c r="IFL29" s="172"/>
      <c r="IFM29" s="172"/>
      <c r="IFN29" s="172"/>
      <c r="IFO29" s="172"/>
      <c r="IFP29" s="172"/>
      <c r="IFQ29" s="172"/>
      <c r="IFR29" s="172"/>
      <c r="IFS29" s="172"/>
      <c r="IFT29" s="172"/>
      <c r="IFU29" s="172"/>
      <c r="IFV29" s="172"/>
      <c r="IFW29" s="172"/>
      <c r="IFX29" s="172"/>
      <c r="IFY29" s="172"/>
      <c r="IFZ29" s="172"/>
      <c r="IGA29" s="172"/>
      <c r="IGB29" s="172"/>
      <c r="IGC29" s="172"/>
      <c r="IGD29" s="172"/>
      <c r="IGE29" s="172"/>
      <c r="IGF29" s="172"/>
      <c r="IGG29" s="172"/>
      <c r="IGH29" s="172"/>
      <c r="IGI29" s="172"/>
      <c r="IGJ29" s="172"/>
      <c r="IGK29" s="172"/>
      <c r="IGL29" s="172"/>
      <c r="IGM29" s="172"/>
      <c r="IGN29" s="172"/>
      <c r="IGO29" s="172"/>
      <c r="IGP29" s="172"/>
      <c r="IGQ29" s="172"/>
      <c r="IGR29" s="172"/>
      <c r="IGS29" s="172"/>
      <c r="IGT29" s="172"/>
      <c r="IGU29" s="172"/>
      <c r="IGV29" s="172"/>
      <c r="IGW29" s="172"/>
      <c r="IGX29" s="172"/>
      <c r="IGY29" s="172"/>
      <c r="IGZ29" s="172"/>
      <c r="IHA29" s="172"/>
      <c r="IHB29" s="172"/>
      <c r="IHC29" s="172"/>
      <c r="IHD29" s="172"/>
      <c r="IHE29" s="172"/>
      <c r="IHF29" s="172"/>
      <c r="IHG29" s="172"/>
      <c r="IHH29" s="172"/>
      <c r="IHI29" s="172"/>
      <c r="IHJ29" s="172"/>
      <c r="IHK29" s="172"/>
      <c r="IHL29" s="172"/>
      <c r="IHM29" s="172"/>
      <c r="IHN29" s="172"/>
      <c r="IHO29" s="172"/>
      <c r="IHP29" s="172"/>
      <c r="IHQ29" s="172"/>
      <c r="IHR29" s="172"/>
      <c r="IHS29" s="172"/>
      <c r="IHT29" s="172"/>
      <c r="IHU29" s="172"/>
      <c r="IHV29" s="172"/>
      <c r="IHW29" s="172"/>
      <c r="IHX29" s="172"/>
      <c r="IHY29" s="172"/>
      <c r="IHZ29" s="172"/>
      <c r="IIA29" s="172"/>
      <c r="IIB29" s="172"/>
      <c r="IIC29" s="172"/>
      <c r="IID29" s="172"/>
      <c r="IIE29" s="172"/>
      <c r="IIF29" s="172"/>
      <c r="IIG29" s="172"/>
      <c r="IIH29" s="172"/>
      <c r="III29" s="172"/>
      <c r="IIJ29" s="172"/>
      <c r="IIK29" s="172"/>
      <c r="IIL29" s="172"/>
      <c r="IIM29" s="172"/>
      <c r="IIN29" s="172"/>
      <c r="IIO29" s="172"/>
      <c r="IIP29" s="172"/>
      <c r="IIQ29" s="172"/>
      <c r="IIR29" s="172"/>
      <c r="IIS29" s="172"/>
      <c r="IIT29" s="172"/>
      <c r="IIU29" s="172"/>
      <c r="IIV29" s="172"/>
      <c r="IIW29" s="172"/>
      <c r="IIX29" s="172"/>
      <c r="IIY29" s="172"/>
      <c r="IIZ29" s="172"/>
      <c r="IJA29" s="172"/>
      <c r="IJB29" s="172"/>
      <c r="IJC29" s="172"/>
      <c r="IJD29" s="172"/>
      <c r="IJE29" s="172"/>
      <c r="IJF29" s="172"/>
      <c r="IJG29" s="172"/>
      <c r="IJH29" s="172"/>
      <c r="IJI29" s="172"/>
      <c r="IJJ29" s="172"/>
      <c r="IJK29" s="172"/>
      <c r="IJL29" s="172"/>
      <c r="IJM29" s="172"/>
      <c r="IJN29" s="172"/>
      <c r="IJO29" s="172"/>
      <c r="IJP29" s="172"/>
      <c r="IJQ29" s="172"/>
      <c r="IJR29" s="172"/>
      <c r="IJS29" s="172"/>
      <c r="IJT29" s="172"/>
      <c r="IJU29" s="172"/>
      <c r="IJV29" s="172"/>
      <c r="IJW29" s="172"/>
      <c r="IJX29" s="172"/>
      <c r="IJY29" s="172"/>
      <c r="IJZ29" s="172"/>
      <c r="IKA29" s="172"/>
      <c r="IKB29" s="172"/>
      <c r="IKC29" s="172"/>
      <c r="IKD29" s="172"/>
      <c r="IKE29" s="172"/>
      <c r="IKF29" s="172"/>
      <c r="IKG29" s="172"/>
      <c r="IKH29" s="172"/>
      <c r="IKI29" s="172"/>
      <c r="IKJ29" s="172"/>
      <c r="IKK29" s="172"/>
      <c r="IKL29" s="172"/>
      <c r="IKM29" s="172"/>
      <c r="IKN29" s="172"/>
      <c r="IKO29" s="172"/>
      <c r="IKP29" s="172"/>
      <c r="IKQ29" s="172"/>
      <c r="IKR29" s="172"/>
      <c r="IKS29" s="172"/>
      <c r="IKT29" s="172"/>
      <c r="IKU29" s="172"/>
      <c r="IKV29" s="172"/>
      <c r="IKW29" s="172"/>
      <c r="IKX29" s="172"/>
      <c r="IKY29" s="172"/>
      <c r="IKZ29" s="172"/>
      <c r="ILA29" s="172"/>
      <c r="ILB29" s="172"/>
      <c r="ILC29" s="172"/>
      <c r="ILD29" s="172"/>
      <c r="ILE29" s="172"/>
      <c r="ILF29" s="172"/>
      <c r="ILG29" s="172"/>
      <c r="ILH29" s="172"/>
      <c r="ILI29" s="172"/>
      <c r="ILJ29" s="172"/>
      <c r="ILK29" s="172"/>
      <c r="ILL29" s="172"/>
      <c r="ILM29" s="172"/>
      <c r="ILN29" s="172"/>
      <c r="ILO29" s="172"/>
      <c r="ILP29" s="172"/>
      <c r="ILQ29" s="172"/>
      <c r="ILR29" s="172"/>
      <c r="ILS29" s="172"/>
      <c r="ILT29" s="172"/>
      <c r="ILU29" s="172"/>
      <c r="ILV29" s="172"/>
      <c r="ILW29" s="172"/>
      <c r="ILX29" s="172"/>
      <c r="ILY29" s="172"/>
      <c r="ILZ29" s="172"/>
      <c r="IMA29" s="172"/>
      <c r="IMB29" s="172"/>
      <c r="IMC29" s="172"/>
      <c r="IMD29" s="172"/>
      <c r="IME29" s="172"/>
      <c r="IMF29" s="172"/>
      <c r="IMG29" s="172"/>
      <c r="IMH29" s="172"/>
      <c r="IMI29" s="172"/>
      <c r="IMJ29" s="172"/>
      <c r="IMK29" s="172"/>
      <c r="IML29" s="172"/>
      <c r="IMM29" s="172"/>
      <c r="IMN29" s="172"/>
      <c r="IMO29" s="172"/>
      <c r="IMP29" s="172"/>
      <c r="IMQ29" s="172"/>
      <c r="IMR29" s="172"/>
      <c r="IMS29" s="172"/>
      <c r="IMT29" s="172"/>
      <c r="IMU29" s="172"/>
      <c r="IMV29" s="172"/>
      <c r="IMW29" s="172"/>
      <c r="IMX29" s="172"/>
      <c r="IMY29" s="172"/>
      <c r="IMZ29" s="172"/>
      <c r="INA29" s="172"/>
      <c r="INB29" s="172"/>
      <c r="INC29" s="172"/>
      <c r="IND29" s="172"/>
      <c r="INE29" s="172"/>
      <c r="INF29" s="172"/>
      <c r="ING29" s="172"/>
      <c r="INH29" s="172"/>
      <c r="INI29" s="172"/>
      <c r="INJ29" s="172"/>
      <c r="INK29" s="172"/>
      <c r="INL29" s="172"/>
      <c r="INM29" s="172"/>
      <c r="INN29" s="172"/>
      <c r="INO29" s="172"/>
      <c r="INP29" s="172"/>
      <c r="INQ29" s="172"/>
      <c r="INR29" s="172"/>
      <c r="INS29" s="172"/>
      <c r="INT29" s="172"/>
      <c r="INU29" s="172"/>
      <c r="INV29" s="172"/>
      <c r="INW29" s="172"/>
      <c r="INX29" s="172"/>
      <c r="INY29" s="172"/>
      <c r="INZ29" s="172"/>
      <c r="IOA29" s="172"/>
      <c r="IOB29" s="172"/>
      <c r="IOC29" s="172"/>
      <c r="IOD29" s="172"/>
      <c r="IOE29" s="172"/>
      <c r="IOF29" s="172"/>
      <c r="IOG29" s="172"/>
      <c r="IOH29" s="172"/>
      <c r="IOI29" s="172"/>
      <c r="IOJ29" s="172"/>
      <c r="IOK29" s="172"/>
      <c r="IOL29" s="172"/>
      <c r="IOM29" s="172"/>
      <c r="ION29" s="172"/>
      <c r="IOO29" s="172"/>
      <c r="IOP29" s="172"/>
      <c r="IOQ29" s="172"/>
      <c r="IOR29" s="172"/>
      <c r="IOS29" s="172"/>
      <c r="IOT29" s="172"/>
      <c r="IOU29" s="172"/>
      <c r="IOV29" s="172"/>
      <c r="IOW29" s="172"/>
      <c r="IOX29" s="172"/>
      <c r="IOY29" s="172"/>
      <c r="IOZ29" s="172"/>
      <c r="IPA29" s="172"/>
      <c r="IPB29" s="172"/>
      <c r="IPC29" s="172"/>
      <c r="IPD29" s="172"/>
      <c r="IPE29" s="172"/>
      <c r="IPF29" s="172"/>
      <c r="IPG29" s="172"/>
      <c r="IPH29" s="172"/>
      <c r="IPI29" s="172"/>
      <c r="IPJ29" s="172"/>
      <c r="IPK29" s="172"/>
      <c r="IPL29" s="172"/>
      <c r="IPM29" s="172"/>
      <c r="IPN29" s="172"/>
      <c r="IPO29" s="172"/>
      <c r="IPP29" s="172"/>
      <c r="IPQ29" s="172"/>
      <c r="IPR29" s="172"/>
      <c r="IPS29" s="172"/>
      <c r="IPT29" s="172"/>
      <c r="IPU29" s="172"/>
      <c r="IPV29" s="172"/>
      <c r="IPW29" s="172"/>
      <c r="IPX29" s="172"/>
      <c r="IPY29" s="172"/>
      <c r="IPZ29" s="172"/>
      <c r="IQA29" s="172"/>
      <c r="IQB29" s="172"/>
      <c r="IQC29" s="172"/>
      <c r="IQD29" s="172"/>
      <c r="IQE29" s="172"/>
      <c r="IQF29" s="172"/>
      <c r="IQG29" s="172"/>
      <c r="IQH29" s="172"/>
      <c r="IQI29" s="172"/>
      <c r="IQJ29" s="172"/>
      <c r="IQK29" s="172"/>
      <c r="IQL29" s="172"/>
      <c r="IQM29" s="172"/>
      <c r="IQN29" s="172"/>
      <c r="IQO29" s="172"/>
      <c r="IQP29" s="172"/>
      <c r="IQQ29" s="172"/>
      <c r="IQR29" s="172"/>
      <c r="IQS29" s="172"/>
      <c r="IQT29" s="172"/>
      <c r="IQU29" s="172"/>
      <c r="IQV29" s="172"/>
      <c r="IQW29" s="172"/>
      <c r="IQX29" s="172"/>
      <c r="IQY29" s="172"/>
      <c r="IQZ29" s="172"/>
      <c r="IRA29" s="172"/>
      <c r="IRB29" s="172"/>
      <c r="IRC29" s="172"/>
      <c r="IRD29" s="172"/>
      <c r="IRE29" s="172"/>
      <c r="IRF29" s="172"/>
      <c r="IRG29" s="172"/>
      <c r="IRH29" s="172"/>
      <c r="IRI29" s="172"/>
      <c r="IRJ29" s="172"/>
      <c r="IRK29" s="172"/>
      <c r="IRL29" s="172"/>
      <c r="IRM29" s="172"/>
      <c r="IRN29" s="172"/>
      <c r="IRO29" s="172"/>
      <c r="IRP29" s="172"/>
      <c r="IRQ29" s="172"/>
      <c r="IRR29" s="172"/>
      <c r="IRS29" s="172"/>
      <c r="IRT29" s="172"/>
      <c r="IRU29" s="172"/>
      <c r="IRV29" s="172"/>
      <c r="IRW29" s="172"/>
      <c r="IRX29" s="172"/>
      <c r="IRY29" s="172"/>
      <c r="IRZ29" s="172"/>
      <c r="ISA29" s="172"/>
      <c r="ISB29" s="172"/>
      <c r="ISC29" s="172"/>
      <c r="ISD29" s="172"/>
      <c r="ISE29" s="172"/>
      <c r="ISF29" s="172"/>
      <c r="ISG29" s="172"/>
      <c r="ISH29" s="172"/>
      <c r="ISI29" s="172"/>
      <c r="ISJ29" s="172"/>
      <c r="ISK29" s="172"/>
      <c r="ISL29" s="172"/>
      <c r="ISM29" s="172"/>
      <c r="ISN29" s="172"/>
      <c r="ISO29" s="172"/>
      <c r="ISP29" s="172"/>
      <c r="ISQ29" s="172"/>
      <c r="ISR29" s="172"/>
      <c r="ISS29" s="172"/>
      <c r="IST29" s="172"/>
      <c r="ISU29" s="172"/>
      <c r="ISV29" s="172"/>
      <c r="ISW29" s="172"/>
      <c r="ISX29" s="172"/>
      <c r="ISY29" s="172"/>
      <c r="ISZ29" s="172"/>
      <c r="ITA29" s="172"/>
      <c r="ITB29" s="172"/>
      <c r="ITC29" s="172"/>
      <c r="ITD29" s="172"/>
      <c r="ITE29" s="172"/>
      <c r="ITF29" s="172"/>
      <c r="ITG29" s="172"/>
      <c r="ITH29" s="172"/>
      <c r="ITI29" s="172"/>
      <c r="ITJ29" s="172"/>
      <c r="ITK29" s="172"/>
      <c r="ITL29" s="172"/>
      <c r="ITM29" s="172"/>
      <c r="ITN29" s="172"/>
      <c r="ITO29" s="172"/>
      <c r="ITP29" s="172"/>
      <c r="ITQ29" s="172"/>
      <c r="ITR29" s="172"/>
      <c r="ITS29" s="172"/>
      <c r="ITT29" s="172"/>
      <c r="ITU29" s="172"/>
      <c r="ITV29" s="172"/>
      <c r="ITW29" s="172"/>
      <c r="ITX29" s="172"/>
      <c r="ITY29" s="172"/>
      <c r="ITZ29" s="172"/>
      <c r="IUA29" s="172"/>
      <c r="IUB29" s="172"/>
      <c r="IUC29" s="172"/>
      <c r="IUD29" s="172"/>
      <c r="IUE29" s="172"/>
      <c r="IUF29" s="172"/>
      <c r="IUG29" s="172"/>
      <c r="IUH29" s="172"/>
      <c r="IUI29" s="172"/>
      <c r="IUJ29" s="172"/>
      <c r="IUK29" s="172"/>
      <c r="IUL29" s="172"/>
      <c r="IUM29" s="172"/>
      <c r="IUN29" s="172"/>
      <c r="IUO29" s="172"/>
      <c r="IUP29" s="172"/>
      <c r="IUQ29" s="172"/>
      <c r="IUR29" s="172"/>
      <c r="IUS29" s="172"/>
      <c r="IUT29" s="172"/>
      <c r="IUU29" s="172"/>
      <c r="IUV29" s="172"/>
      <c r="IUW29" s="172"/>
      <c r="IUX29" s="172"/>
      <c r="IUY29" s="172"/>
      <c r="IUZ29" s="172"/>
      <c r="IVA29" s="172"/>
      <c r="IVB29" s="172"/>
      <c r="IVC29" s="172"/>
      <c r="IVD29" s="172"/>
      <c r="IVE29" s="172"/>
      <c r="IVF29" s="172"/>
      <c r="IVG29" s="172"/>
      <c r="IVH29" s="172"/>
      <c r="IVI29" s="172"/>
      <c r="IVJ29" s="172"/>
      <c r="IVK29" s="172"/>
      <c r="IVL29" s="172"/>
      <c r="IVM29" s="172"/>
      <c r="IVN29" s="172"/>
      <c r="IVO29" s="172"/>
      <c r="IVP29" s="172"/>
      <c r="IVQ29" s="172"/>
      <c r="IVR29" s="172"/>
      <c r="IVS29" s="172"/>
      <c r="IVT29" s="172"/>
      <c r="IVU29" s="172"/>
      <c r="IVV29" s="172"/>
      <c r="IVW29" s="172"/>
      <c r="IVX29" s="172"/>
      <c r="IVY29" s="172"/>
      <c r="IVZ29" s="172"/>
      <c r="IWA29" s="172"/>
      <c r="IWB29" s="172"/>
      <c r="IWC29" s="172"/>
      <c r="IWD29" s="172"/>
      <c r="IWE29" s="172"/>
      <c r="IWF29" s="172"/>
      <c r="IWG29" s="172"/>
      <c r="IWH29" s="172"/>
      <c r="IWI29" s="172"/>
      <c r="IWJ29" s="172"/>
      <c r="IWK29" s="172"/>
      <c r="IWL29" s="172"/>
      <c r="IWM29" s="172"/>
      <c r="IWN29" s="172"/>
      <c r="IWO29" s="172"/>
      <c r="IWP29" s="172"/>
      <c r="IWQ29" s="172"/>
      <c r="IWR29" s="172"/>
      <c r="IWS29" s="172"/>
      <c r="IWT29" s="172"/>
      <c r="IWU29" s="172"/>
      <c r="IWV29" s="172"/>
      <c r="IWW29" s="172"/>
      <c r="IWX29" s="172"/>
      <c r="IWY29" s="172"/>
      <c r="IWZ29" s="172"/>
      <c r="IXA29" s="172"/>
      <c r="IXB29" s="172"/>
      <c r="IXC29" s="172"/>
      <c r="IXD29" s="172"/>
      <c r="IXE29" s="172"/>
      <c r="IXF29" s="172"/>
      <c r="IXG29" s="172"/>
      <c r="IXH29" s="172"/>
      <c r="IXI29" s="172"/>
      <c r="IXJ29" s="172"/>
      <c r="IXK29" s="172"/>
      <c r="IXL29" s="172"/>
      <c r="IXM29" s="172"/>
      <c r="IXN29" s="172"/>
      <c r="IXO29" s="172"/>
      <c r="IXP29" s="172"/>
      <c r="IXQ29" s="172"/>
      <c r="IXR29" s="172"/>
      <c r="IXS29" s="172"/>
      <c r="IXT29" s="172"/>
      <c r="IXU29" s="172"/>
      <c r="IXV29" s="172"/>
      <c r="IXW29" s="172"/>
      <c r="IXX29" s="172"/>
      <c r="IXY29" s="172"/>
      <c r="IXZ29" s="172"/>
      <c r="IYA29" s="172"/>
      <c r="IYB29" s="172"/>
      <c r="IYC29" s="172"/>
      <c r="IYD29" s="172"/>
      <c r="IYE29" s="172"/>
      <c r="IYF29" s="172"/>
      <c r="IYG29" s="172"/>
      <c r="IYH29" s="172"/>
      <c r="IYI29" s="172"/>
      <c r="IYJ29" s="172"/>
      <c r="IYK29" s="172"/>
      <c r="IYL29" s="172"/>
      <c r="IYM29" s="172"/>
      <c r="IYN29" s="172"/>
      <c r="IYO29" s="172"/>
      <c r="IYP29" s="172"/>
      <c r="IYQ29" s="172"/>
      <c r="IYR29" s="172"/>
      <c r="IYS29" s="172"/>
      <c r="IYT29" s="172"/>
      <c r="IYU29" s="172"/>
      <c r="IYV29" s="172"/>
      <c r="IYW29" s="172"/>
      <c r="IYX29" s="172"/>
      <c r="IYY29" s="172"/>
      <c r="IYZ29" s="172"/>
      <c r="IZA29" s="172"/>
      <c r="IZB29" s="172"/>
      <c r="IZC29" s="172"/>
      <c r="IZD29" s="172"/>
      <c r="IZE29" s="172"/>
      <c r="IZF29" s="172"/>
      <c r="IZG29" s="172"/>
      <c r="IZH29" s="172"/>
      <c r="IZI29" s="172"/>
      <c r="IZJ29" s="172"/>
      <c r="IZK29" s="172"/>
      <c r="IZL29" s="172"/>
      <c r="IZM29" s="172"/>
      <c r="IZN29" s="172"/>
      <c r="IZO29" s="172"/>
      <c r="IZP29" s="172"/>
      <c r="IZQ29" s="172"/>
      <c r="IZR29" s="172"/>
      <c r="IZS29" s="172"/>
      <c r="IZT29" s="172"/>
      <c r="IZU29" s="172"/>
      <c r="IZV29" s="172"/>
      <c r="IZW29" s="172"/>
      <c r="IZX29" s="172"/>
      <c r="IZY29" s="172"/>
      <c r="IZZ29" s="172"/>
      <c r="JAA29" s="172"/>
      <c r="JAB29" s="172"/>
      <c r="JAC29" s="172"/>
      <c r="JAD29" s="172"/>
      <c r="JAE29" s="172"/>
      <c r="JAF29" s="172"/>
      <c r="JAG29" s="172"/>
      <c r="JAH29" s="172"/>
      <c r="JAI29" s="172"/>
      <c r="JAJ29" s="172"/>
      <c r="JAK29" s="172"/>
      <c r="JAL29" s="172"/>
      <c r="JAM29" s="172"/>
      <c r="JAN29" s="172"/>
      <c r="JAO29" s="172"/>
      <c r="JAP29" s="172"/>
      <c r="JAQ29" s="172"/>
      <c r="JAR29" s="172"/>
      <c r="JAS29" s="172"/>
      <c r="JAT29" s="172"/>
      <c r="JAU29" s="172"/>
      <c r="JAV29" s="172"/>
      <c r="JAW29" s="172"/>
      <c r="JAX29" s="172"/>
      <c r="JAY29" s="172"/>
      <c r="JAZ29" s="172"/>
      <c r="JBA29" s="172"/>
      <c r="JBB29" s="172"/>
      <c r="JBC29" s="172"/>
      <c r="JBD29" s="172"/>
      <c r="JBE29" s="172"/>
      <c r="JBF29" s="172"/>
      <c r="JBG29" s="172"/>
      <c r="JBH29" s="172"/>
      <c r="JBI29" s="172"/>
      <c r="JBJ29" s="172"/>
      <c r="JBK29" s="172"/>
      <c r="JBL29" s="172"/>
      <c r="JBM29" s="172"/>
      <c r="JBN29" s="172"/>
      <c r="JBO29" s="172"/>
      <c r="JBP29" s="172"/>
      <c r="JBQ29" s="172"/>
      <c r="JBR29" s="172"/>
      <c r="JBS29" s="172"/>
      <c r="JBT29" s="172"/>
      <c r="JBU29" s="172"/>
      <c r="JBV29" s="172"/>
      <c r="JBW29" s="172"/>
      <c r="JBX29" s="172"/>
      <c r="JBY29" s="172"/>
      <c r="JBZ29" s="172"/>
      <c r="JCA29" s="172"/>
      <c r="JCB29" s="172"/>
      <c r="JCC29" s="172"/>
      <c r="JCD29" s="172"/>
      <c r="JCE29" s="172"/>
      <c r="JCF29" s="172"/>
      <c r="JCG29" s="172"/>
      <c r="JCH29" s="172"/>
      <c r="JCI29" s="172"/>
      <c r="JCJ29" s="172"/>
      <c r="JCK29" s="172"/>
      <c r="JCL29" s="172"/>
      <c r="JCM29" s="172"/>
      <c r="JCN29" s="172"/>
      <c r="JCO29" s="172"/>
      <c r="JCP29" s="172"/>
      <c r="JCQ29" s="172"/>
      <c r="JCR29" s="172"/>
      <c r="JCS29" s="172"/>
      <c r="JCT29" s="172"/>
      <c r="JCU29" s="172"/>
      <c r="JCV29" s="172"/>
      <c r="JCW29" s="172"/>
      <c r="JCX29" s="172"/>
      <c r="JCY29" s="172"/>
      <c r="JCZ29" s="172"/>
      <c r="JDA29" s="172"/>
      <c r="JDB29" s="172"/>
      <c r="JDC29" s="172"/>
      <c r="JDD29" s="172"/>
      <c r="JDE29" s="172"/>
      <c r="JDF29" s="172"/>
      <c r="JDG29" s="172"/>
      <c r="JDH29" s="172"/>
      <c r="JDI29" s="172"/>
      <c r="JDJ29" s="172"/>
      <c r="JDK29" s="172"/>
      <c r="JDL29" s="172"/>
      <c r="JDM29" s="172"/>
      <c r="JDN29" s="172"/>
      <c r="JDO29" s="172"/>
      <c r="JDP29" s="172"/>
      <c r="JDQ29" s="172"/>
      <c r="JDR29" s="172"/>
      <c r="JDS29" s="172"/>
      <c r="JDT29" s="172"/>
      <c r="JDU29" s="172"/>
      <c r="JDV29" s="172"/>
      <c r="JDW29" s="172"/>
      <c r="JDX29" s="172"/>
      <c r="JDY29" s="172"/>
      <c r="JDZ29" s="172"/>
      <c r="JEA29" s="172"/>
      <c r="JEB29" s="172"/>
      <c r="JEC29" s="172"/>
      <c r="JED29" s="172"/>
      <c r="JEE29" s="172"/>
      <c r="JEF29" s="172"/>
      <c r="JEG29" s="172"/>
      <c r="JEH29" s="172"/>
      <c r="JEI29" s="172"/>
      <c r="JEJ29" s="172"/>
      <c r="JEK29" s="172"/>
      <c r="JEL29" s="172"/>
      <c r="JEM29" s="172"/>
      <c r="JEN29" s="172"/>
      <c r="JEO29" s="172"/>
      <c r="JEP29" s="172"/>
      <c r="JEQ29" s="172"/>
      <c r="JER29" s="172"/>
      <c r="JES29" s="172"/>
      <c r="JET29" s="172"/>
      <c r="JEU29" s="172"/>
      <c r="JEV29" s="172"/>
      <c r="JEW29" s="172"/>
      <c r="JEX29" s="172"/>
      <c r="JEY29" s="172"/>
      <c r="JEZ29" s="172"/>
      <c r="JFA29" s="172"/>
      <c r="JFB29" s="172"/>
      <c r="JFC29" s="172"/>
      <c r="JFD29" s="172"/>
      <c r="JFE29" s="172"/>
      <c r="JFF29" s="172"/>
      <c r="JFG29" s="172"/>
      <c r="JFH29" s="172"/>
      <c r="JFI29" s="172"/>
      <c r="JFJ29" s="172"/>
      <c r="JFK29" s="172"/>
      <c r="JFL29" s="172"/>
      <c r="JFM29" s="172"/>
      <c r="JFN29" s="172"/>
      <c r="JFO29" s="172"/>
      <c r="JFP29" s="172"/>
      <c r="JFQ29" s="172"/>
      <c r="JFR29" s="172"/>
      <c r="JFS29" s="172"/>
      <c r="JFT29" s="172"/>
      <c r="JFU29" s="172"/>
      <c r="JFV29" s="172"/>
      <c r="JFW29" s="172"/>
      <c r="JFX29" s="172"/>
      <c r="JFY29" s="172"/>
      <c r="JFZ29" s="172"/>
      <c r="JGA29" s="172"/>
      <c r="JGB29" s="172"/>
      <c r="JGC29" s="172"/>
      <c r="JGD29" s="172"/>
      <c r="JGE29" s="172"/>
      <c r="JGF29" s="172"/>
      <c r="JGG29" s="172"/>
      <c r="JGH29" s="172"/>
      <c r="JGI29" s="172"/>
      <c r="JGJ29" s="172"/>
      <c r="JGK29" s="172"/>
      <c r="JGL29" s="172"/>
      <c r="JGM29" s="172"/>
      <c r="JGN29" s="172"/>
      <c r="JGO29" s="172"/>
      <c r="JGP29" s="172"/>
      <c r="JGQ29" s="172"/>
      <c r="JGR29" s="172"/>
      <c r="JGS29" s="172"/>
      <c r="JGT29" s="172"/>
      <c r="JGU29" s="172"/>
      <c r="JGV29" s="172"/>
      <c r="JGW29" s="172"/>
      <c r="JGX29" s="172"/>
      <c r="JGY29" s="172"/>
      <c r="JGZ29" s="172"/>
      <c r="JHA29" s="172"/>
      <c r="JHB29" s="172"/>
      <c r="JHC29" s="172"/>
      <c r="JHD29" s="172"/>
      <c r="JHE29" s="172"/>
      <c r="JHF29" s="172"/>
      <c r="JHG29" s="172"/>
      <c r="JHH29" s="172"/>
      <c r="JHI29" s="172"/>
      <c r="JHJ29" s="172"/>
      <c r="JHK29" s="172"/>
      <c r="JHL29" s="172"/>
      <c r="JHM29" s="172"/>
      <c r="JHN29" s="172"/>
      <c r="JHO29" s="172"/>
      <c r="JHP29" s="172"/>
      <c r="JHQ29" s="172"/>
      <c r="JHR29" s="172"/>
      <c r="JHS29" s="172"/>
      <c r="JHT29" s="172"/>
      <c r="JHU29" s="172"/>
      <c r="JHV29" s="172"/>
      <c r="JHW29" s="172"/>
      <c r="JHX29" s="172"/>
      <c r="JHY29" s="172"/>
      <c r="JHZ29" s="172"/>
      <c r="JIA29" s="172"/>
      <c r="JIB29" s="172"/>
      <c r="JIC29" s="172"/>
      <c r="JID29" s="172"/>
      <c r="JIE29" s="172"/>
      <c r="JIF29" s="172"/>
      <c r="JIG29" s="172"/>
      <c r="JIH29" s="172"/>
      <c r="JII29" s="172"/>
      <c r="JIJ29" s="172"/>
      <c r="JIK29" s="172"/>
      <c r="JIL29" s="172"/>
      <c r="JIM29" s="172"/>
      <c r="JIN29" s="172"/>
      <c r="JIO29" s="172"/>
      <c r="JIP29" s="172"/>
      <c r="JIQ29" s="172"/>
      <c r="JIR29" s="172"/>
      <c r="JIS29" s="172"/>
      <c r="JIT29" s="172"/>
      <c r="JIU29" s="172"/>
      <c r="JIV29" s="172"/>
      <c r="JIW29" s="172"/>
      <c r="JIX29" s="172"/>
      <c r="JIY29" s="172"/>
      <c r="JIZ29" s="172"/>
      <c r="JJA29" s="172"/>
      <c r="JJB29" s="172"/>
      <c r="JJC29" s="172"/>
      <c r="JJD29" s="172"/>
      <c r="JJE29" s="172"/>
      <c r="JJF29" s="172"/>
      <c r="JJG29" s="172"/>
      <c r="JJH29" s="172"/>
      <c r="JJI29" s="172"/>
      <c r="JJJ29" s="172"/>
      <c r="JJK29" s="172"/>
      <c r="JJL29" s="172"/>
      <c r="JJM29" s="172"/>
      <c r="JJN29" s="172"/>
      <c r="JJO29" s="172"/>
      <c r="JJP29" s="172"/>
      <c r="JJQ29" s="172"/>
      <c r="JJR29" s="172"/>
      <c r="JJS29" s="172"/>
      <c r="JJT29" s="172"/>
      <c r="JJU29" s="172"/>
      <c r="JJV29" s="172"/>
      <c r="JJW29" s="172"/>
      <c r="JJX29" s="172"/>
      <c r="JJY29" s="172"/>
      <c r="JJZ29" s="172"/>
      <c r="JKA29" s="172"/>
      <c r="JKB29" s="172"/>
      <c r="JKC29" s="172"/>
      <c r="JKD29" s="172"/>
      <c r="JKE29" s="172"/>
      <c r="JKF29" s="172"/>
      <c r="JKG29" s="172"/>
      <c r="JKH29" s="172"/>
      <c r="JKI29" s="172"/>
      <c r="JKJ29" s="172"/>
      <c r="JKK29" s="172"/>
      <c r="JKL29" s="172"/>
      <c r="JKM29" s="172"/>
      <c r="JKN29" s="172"/>
      <c r="JKO29" s="172"/>
      <c r="JKP29" s="172"/>
      <c r="JKQ29" s="172"/>
      <c r="JKR29" s="172"/>
      <c r="JKS29" s="172"/>
      <c r="JKT29" s="172"/>
      <c r="JKU29" s="172"/>
      <c r="JKV29" s="172"/>
      <c r="JKW29" s="172"/>
      <c r="JKX29" s="172"/>
      <c r="JKY29" s="172"/>
      <c r="JKZ29" s="172"/>
      <c r="JLA29" s="172"/>
      <c r="JLB29" s="172"/>
      <c r="JLC29" s="172"/>
      <c r="JLD29" s="172"/>
      <c r="JLE29" s="172"/>
      <c r="JLF29" s="172"/>
      <c r="JLG29" s="172"/>
      <c r="JLH29" s="172"/>
      <c r="JLI29" s="172"/>
      <c r="JLJ29" s="172"/>
      <c r="JLK29" s="172"/>
      <c r="JLL29" s="172"/>
      <c r="JLM29" s="172"/>
      <c r="JLN29" s="172"/>
      <c r="JLO29" s="172"/>
      <c r="JLP29" s="172"/>
      <c r="JLQ29" s="172"/>
      <c r="JLR29" s="172"/>
      <c r="JLS29" s="172"/>
      <c r="JLT29" s="172"/>
      <c r="JLU29" s="172"/>
      <c r="JLV29" s="172"/>
      <c r="JLW29" s="172"/>
      <c r="JLX29" s="172"/>
      <c r="JLY29" s="172"/>
      <c r="JLZ29" s="172"/>
      <c r="JMA29" s="172"/>
      <c r="JMB29" s="172"/>
      <c r="JMC29" s="172"/>
      <c r="JMD29" s="172"/>
      <c r="JME29" s="172"/>
      <c r="JMF29" s="172"/>
      <c r="JMG29" s="172"/>
      <c r="JMH29" s="172"/>
      <c r="JMI29" s="172"/>
      <c r="JMJ29" s="172"/>
      <c r="JMK29" s="172"/>
      <c r="JML29" s="172"/>
      <c r="JMM29" s="172"/>
      <c r="JMN29" s="172"/>
      <c r="JMO29" s="172"/>
      <c r="JMP29" s="172"/>
      <c r="JMQ29" s="172"/>
      <c r="JMR29" s="172"/>
      <c r="JMS29" s="172"/>
      <c r="JMT29" s="172"/>
      <c r="JMU29" s="172"/>
      <c r="JMV29" s="172"/>
      <c r="JMW29" s="172"/>
      <c r="JMX29" s="172"/>
      <c r="JMY29" s="172"/>
      <c r="JMZ29" s="172"/>
      <c r="JNA29" s="172"/>
      <c r="JNB29" s="172"/>
      <c r="JNC29" s="172"/>
      <c r="JND29" s="172"/>
      <c r="JNE29" s="172"/>
      <c r="JNF29" s="172"/>
      <c r="JNG29" s="172"/>
      <c r="JNH29" s="172"/>
      <c r="JNI29" s="172"/>
      <c r="JNJ29" s="172"/>
      <c r="JNK29" s="172"/>
      <c r="JNL29" s="172"/>
      <c r="JNM29" s="172"/>
      <c r="JNN29" s="172"/>
      <c r="JNO29" s="172"/>
      <c r="JNP29" s="172"/>
      <c r="JNQ29" s="172"/>
      <c r="JNR29" s="172"/>
      <c r="JNS29" s="172"/>
      <c r="JNT29" s="172"/>
      <c r="JNU29" s="172"/>
      <c r="JNV29" s="172"/>
      <c r="JNW29" s="172"/>
      <c r="JNX29" s="172"/>
      <c r="JNY29" s="172"/>
      <c r="JNZ29" s="172"/>
      <c r="JOA29" s="172"/>
      <c r="JOB29" s="172"/>
      <c r="JOC29" s="172"/>
      <c r="JOD29" s="172"/>
      <c r="JOE29" s="172"/>
      <c r="JOF29" s="172"/>
      <c r="JOG29" s="172"/>
      <c r="JOH29" s="172"/>
      <c r="JOI29" s="172"/>
      <c r="JOJ29" s="172"/>
      <c r="JOK29" s="172"/>
      <c r="JOL29" s="172"/>
      <c r="JOM29" s="172"/>
      <c r="JON29" s="172"/>
      <c r="JOO29" s="172"/>
      <c r="JOP29" s="172"/>
      <c r="JOQ29" s="172"/>
      <c r="JOR29" s="172"/>
      <c r="JOS29" s="172"/>
      <c r="JOT29" s="172"/>
      <c r="JOU29" s="172"/>
      <c r="JOV29" s="172"/>
      <c r="JOW29" s="172"/>
      <c r="JOX29" s="172"/>
      <c r="JOY29" s="172"/>
      <c r="JOZ29" s="172"/>
      <c r="JPA29" s="172"/>
      <c r="JPB29" s="172"/>
      <c r="JPC29" s="172"/>
      <c r="JPD29" s="172"/>
      <c r="JPE29" s="172"/>
      <c r="JPF29" s="172"/>
      <c r="JPG29" s="172"/>
      <c r="JPH29" s="172"/>
      <c r="JPI29" s="172"/>
      <c r="JPJ29" s="172"/>
      <c r="JPK29" s="172"/>
      <c r="JPL29" s="172"/>
      <c r="JPM29" s="172"/>
      <c r="JPN29" s="172"/>
      <c r="JPO29" s="172"/>
      <c r="JPP29" s="172"/>
      <c r="JPQ29" s="172"/>
      <c r="JPR29" s="172"/>
      <c r="JPS29" s="172"/>
      <c r="JPT29" s="172"/>
      <c r="JPU29" s="172"/>
      <c r="JPV29" s="172"/>
      <c r="JPW29" s="172"/>
      <c r="JPX29" s="172"/>
      <c r="JPY29" s="172"/>
      <c r="JPZ29" s="172"/>
      <c r="JQA29" s="172"/>
      <c r="JQB29" s="172"/>
      <c r="JQC29" s="172"/>
      <c r="JQD29" s="172"/>
      <c r="JQE29" s="172"/>
      <c r="JQF29" s="172"/>
      <c r="JQG29" s="172"/>
      <c r="JQH29" s="172"/>
      <c r="JQI29" s="172"/>
      <c r="JQJ29" s="172"/>
      <c r="JQK29" s="172"/>
      <c r="JQL29" s="172"/>
      <c r="JQM29" s="172"/>
      <c r="JQN29" s="172"/>
      <c r="JQO29" s="172"/>
      <c r="JQP29" s="172"/>
      <c r="JQQ29" s="172"/>
      <c r="JQR29" s="172"/>
      <c r="JQS29" s="172"/>
      <c r="JQT29" s="172"/>
      <c r="JQU29" s="172"/>
      <c r="JQV29" s="172"/>
      <c r="JQW29" s="172"/>
      <c r="JQX29" s="172"/>
      <c r="JQY29" s="172"/>
      <c r="JQZ29" s="172"/>
      <c r="JRA29" s="172"/>
      <c r="JRB29" s="172"/>
      <c r="JRC29" s="172"/>
      <c r="JRD29" s="172"/>
      <c r="JRE29" s="172"/>
      <c r="JRF29" s="172"/>
      <c r="JRG29" s="172"/>
      <c r="JRH29" s="172"/>
      <c r="JRI29" s="172"/>
      <c r="JRJ29" s="172"/>
      <c r="JRK29" s="172"/>
      <c r="JRL29" s="172"/>
      <c r="JRM29" s="172"/>
      <c r="JRN29" s="172"/>
      <c r="JRO29" s="172"/>
      <c r="JRP29" s="172"/>
      <c r="JRQ29" s="172"/>
      <c r="JRR29" s="172"/>
      <c r="JRS29" s="172"/>
      <c r="JRT29" s="172"/>
      <c r="JRU29" s="172"/>
      <c r="JRV29" s="172"/>
      <c r="JRW29" s="172"/>
      <c r="JRX29" s="172"/>
      <c r="JRY29" s="172"/>
      <c r="JRZ29" s="172"/>
      <c r="JSA29" s="172"/>
      <c r="JSB29" s="172"/>
      <c r="JSC29" s="172"/>
      <c r="JSD29" s="172"/>
      <c r="JSE29" s="172"/>
      <c r="JSF29" s="172"/>
      <c r="JSG29" s="172"/>
      <c r="JSH29" s="172"/>
      <c r="JSI29" s="172"/>
      <c r="JSJ29" s="172"/>
      <c r="JSK29" s="172"/>
      <c r="JSL29" s="172"/>
      <c r="JSM29" s="172"/>
      <c r="JSN29" s="172"/>
      <c r="JSO29" s="172"/>
      <c r="JSP29" s="172"/>
      <c r="JSQ29" s="172"/>
      <c r="JSR29" s="172"/>
      <c r="JSS29" s="172"/>
      <c r="JST29" s="172"/>
      <c r="JSU29" s="172"/>
      <c r="JSV29" s="172"/>
      <c r="JSW29" s="172"/>
      <c r="JSX29" s="172"/>
      <c r="JSY29" s="172"/>
      <c r="JSZ29" s="172"/>
      <c r="JTA29" s="172"/>
      <c r="JTB29" s="172"/>
      <c r="JTC29" s="172"/>
      <c r="JTD29" s="172"/>
      <c r="JTE29" s="172"/>
      <c r="JTF29" s="172"/>
      <c r="JTG29" s="172"/>
      <c r="JTH29" s="172"/>
      <c r="JTI29" s="172"/>
      <c r="JTJ29" s="172"/>
      <c r="JTK29" s="172"/>
      <c r="JTL29" s="172"/>
      <c r="JTM29" s="172"/>
      <c r="JTN29" s="172"/>
      <c r="JTO29" s="172"/>
      <c r="JTP29" s="172"/>
      <c r="JTQ29" s="172"/>
      <c r="JTR29" s="172"/>
      <c r="JTS29" s="172"/>
      <c r="JTT29" s="172"/>
      <c r="JTU29" s="172"/>
      <c r="JTV29" s="172"/>
      <c r="JTW29" s="172"/>
      <c r="JTX29" s="172"/>
      <c r="JTY29" s="172"/>
      <c r="JTZ29" s="172"/>
      <c r="JUA29" s="172"/>
      <c r="JUB29" s="172"/>
      <c r="JUC29" s="172"/>
      <c r="JUD29" s="172"/>
      <c r="JUE29" s="172"/>
      <c r="JUF29" s="172"/>
      <c r="JUG29" s="172"/>
      <c r="JUH29" s="172"/>
      <c r="JUI29" s="172"/>
      <c r="JUJ29" s="172"/>
      <c r="JUK29" s="172"/>
      <c r="JUL29" s="172"/>
      <c r="JUM29" s="172"/>
      <c r="JUN29" s="172"/>
      <c r="JUO29" s="172"/>
      <c r="JUP29" s="172"/>
      <c r="JUQ29" s="172"/>
      <c r="JUR29" s="172"/>
      <c r="JUS29" s="172"/>
      <c r="JUT29" s="172"/>
      <c r="JUU29" s="172"/>
      <c r="JUV29" s="172"/>
      <c r="JUW29" s="172"/>
      <c r="JUX29" s="172"/>
      <c r="JUY29" s="172"/>
      <c r="JUZ29" s="172"/>
      <c r="JVA29" s="172"/>
      <c r="JVB29" s="172"/>
      <c r="JVC29" s="172"/>
      <c r="JVD29" s="172"/>
      <c r="JVE29" s="172"/>
      <c r="JVF29" s="172"/>
      <c r="JVG29" s="172"/>
      <c r="JVH29" s="172"/>
      <c r="JVI29" s="172"/>
      <c r="JVJ29" s="172"/>
      <c r="JVK29" s="172"/>
      <c r="JVL29" s="172"/>
      <c r="JVM29" s="172"/>
      <c r="JVN29" s="172"/>
      <c r="JVO29" s="172"/>
      <c r="JVP29" s="172"/>
      <c r="JVQ29" s="172"/>
      <c r="JVR29" s="172"/>
      <c r="JVS29" s="172"/>
      <c r="JVT29" s="172"/>
      <c r="JVU29" s="172"/>
      <c r="JVV29" s="172"/>
      <c r="JVW29" s="172"/>
      <c r="JVX29" s="172"/>
      <c r="JVY29" s="172"/>
      <c r="JVZ29" s="172"/>
      <c r="JWA29" s="172"/>
      <c r="JWB29" s="172"/>
      <c r="JWC29" s="172"/>
      <c r="JWD29" s="172"/>
      <c r="JWE29" s="172"/>
      <c r="JWF29" s="172"/>
      <c r="JWG29" s="172"/>
      <c r="JWH29" s="172"/>
      <c r="JWI29" s="172"/>
      <c r="JWJ29" s="172"/>
      <c r="JWK29" s="172"/>
      <c r="JWL29" s="172"/>
      <c r="JWM29" s="172"/>
      <c r="JWN29" s="172"/>
      <c r="JWO29" s="172"/>
      <c r="JWP29" s="172"/>
      <c r="JWQ29" s="172"/>
      <c r="JWR29" s="172"/>
      <c r="JWS29" s="172"/>
      <c r="JWT29" s="172"/>
      <c r="JWU29" s="172"/>
      <c r="JWV29" s="172"/>
      <c r="JWW29" s="172"/>
      <c r="JWX29" s="172"/>
      <c r="JWY29" s="172"/>
      <c r="JWZ29" s="172"/>
      <c r="JXA29" s="172"/>
      <c r="JXB29" s="172"/>
      <c r="JXC29" s="172"/>
      <c r="JXD29" s="172"/>
      <c r="JXE29" s="172"/>
      <c r="JXF29" s="172"/>
      <c r="JXG29" s="172"/>
      <c r="JXH29" s="172"/>
      <c r="JXI29" s="172"/>
      <c r="JXJ29" s="172"/>
      <c r="JXK29" s="172"/>
      <c r="JXL29" s="172"/>
      <c r="JXM29" s="172"/>
      <c r="JXN29" s="172"/>
      <c r="JXO29" s="172"/>
      <c r="JXP29" s="172"/>
      <c r="JXQ29" s="172"/>
      <c r="JXR29" s="172"/>
      <c r="JXS29" s="172"/>
      <c r="JXT29" s="172"/>
      <c r="JXU29" s="172"/>
      <c r="JXV29" s="172"/>
      <c r="JXW29" s="172"/>
      <c r="JXX29" s="172"/>
      <c r="JXY29" s="172"/>
      <c r="JXZ29" s="172"/>
      <c r="JYA29" s="172"/>
      <c r="JYB29" s="172"/>
      <c r="JYC29" s="172"/>
      <c r="JYD29" s="172"/>
      <c r="JYE29" s="172"/>
      <c r="JYF29" s="172"/>
      <c r="JYG29" s="172"/>
      <c r="JYH29" s="172"/>
      <c r="JYI29" s="172"/>
      <c r="JYJ29" s="172"/>
      <c r="JYK29" s="172"/>
      <c r="JYL29" s="172"/>
      <c r="JYM29" s="172"/>
      <c r="JYN29" s="172"/>
      <c r="JYO29" s="172"/>
      <c r="JYP29" s="172"/>
      <c r="JYQ29" s="172"/>
      <c r="JYR29" s="172"/>
      <c r="JYS29" s="172"/>
      <c r="JYT29" s="172"/>
      <c r="JYU29" s="172"/>
      <c r="JYV29" s="172"/>
      <c r="JYW29" s="172"/>
      <c r="JYX29" s="172"/>
      <c r="JYY29" s="172"/>
      <c r="JYZ29" s="172"/>
      <c r="JZA29" s="172"/>
      <c r="JZB29" s="172"/>
      <c r="JZC29" s="172"/>
      <c r="JZD29" s="172"/>
      <c r="JZE29" s="172"/>
      <c r="JZF29" s="172"/>
      <c r="JZG29" s="172"/>
      <c r="JZH29" s="172"/>
      <c r="JZI29" s="172"/>
      <c r="JZJ29" s="172"/>
      <c r="JZK29" s="172"/>
      <c r="JZL29" s="172"/>
      <c r="JZM29" s="172"/>
      <c r="JZN29" s="172"/>
      <c r="JZO29" s="172"/>
      <c r="JZP29" s="172"/>
      <c r="JZQ29" s="172"/>
      <c r="JZR29" s="172"/>
      <c r="JZS29" s="172"/>
      <c r="JZT29" s="172"/>
      <c r="JZU29" s="172"/>
      <c r="JZV29" s="172"/>
      <c r="JZW29" s="172"/>
      <c r="JZX29" s="172"/>
      <c r="JZY29" s="172"/>
      <c r="JZZ29" s="172"/>
      <c r="KAA29" s="172"/>
      <c r="KAB29" s="172"/>
      <c r="KAC29" s="172"/>
      <c r="KAD29" s="172"/>
      <c r="KAE29" s="172"/>
      <c r="KAF29" s="172"/>
      <c r="KAG29" s="172"/>
      <c r="KAH29" s="172"/>
      <c r="KAI29" s="172"/>
      <c r="KAJ29" s="172"/>
      <c r="KAK29" s="172"/>
      <c r="KAL29" s="172"/>
      <c r="KAM29" s="172"/>
      <c r="KAN29" s="172"/>
      <c r="KAO29" s="172"/>
      <c r="KAP29" s="172"/>
      <c r="KAQ29" s="172"/>
      <c r="KAR29" s="172"/>
      <c r="KAS29" s="172"/>
      <c r="KAT29" s="172"/>
      <c r="KAU29" s="172"/>
      <c r="KAV29" s="172"/>
      <c r="KAW29" s="172"/>
      <c r="KAX29" s="172"/>
      <c r="KAY29" s="172"/>
      <c r="KAZ29" s="172"/>
      <c r="KBA29" s="172"/>
      <c r="KBB29" s="172"/>
      <c r="KBC29" s="172"/>
      <c r="KBD29" s="172"/>
      <c r="KBE29" s="172"/>
      <c r="KBF29" s="172"/>
      <c r="KBG29" s="172"/>
      <c r="KBH29" s="172"/>
      <c r="KBI29" s="172"/>
      <c r="KBJ29" s="172"/>
      <c r="KBK29" s="172"/>
      <c r="KBL29" s="172"/>
      <c r="KBM29" s="172"/>
      <c r="KBN29" s="172"/>
      <c r="KBO29" s="172"/>
      <c r="KBP29" s="172"/>
      <c r="KBQ29" s="172"/>
      <c r="KBR29" s="172"/>
      <c r="KBS29" s="172"/>
      <c r="KBT29" s="172"/>
      <c r="KBU29" s="172"/>
      <c r="KBV29" s="172"/>
      <c r="KBW29" s="172"/>
      <c r="KBX29" s="172"/>
      <c r="KBY29" s="172"/>
      <c r="KBZ29" s="172"/>
      <c r="KCA29" s="172"/>
      <c r="KCB29" s="172"/>
      <c r="KCC29" s="172"/>
      <c r="KCD29" s="172"/>
      <c r="KCE29" s="172"/>
      <c r="KCF29" s="172"/>
      <c r="KCG29" s="172"/>
      <c r="KCH29" s="172"/>
      <c r="KCI29" s="172"/>
      <c r="KCJ29" s="172"/>
      <c r="KCK29" s="172"/>
      <c r="KCL29" s="172"/>
      <c r="KCM29" s="172"/>
      <c r="KCN29" s="172"/>
      <c r="KCO29" s="172"/>
      <c r="KCP29" s="172"/>
      <c r="KCQ29" s="172"/>
      <c r="KCR29" s="172"/>
      <c r="KCS29" s="172"/>
      <c r="KCT29" s="172"/>
      <c r="KCU29" s="172"/>
      <c r="KCV29" s="172"/>
      <c r="KCW29" s="172"/>
      <c r="KCX29" s="172"/>
      <c r="KCY29" s="172"/>
      <c r="KCZ29" s="172"/>
      <c r="KDA29" s="172"/>
      <c r="KDB29" s="172"/>
      <c r="KDC29" s="172"/>
      <c r="KDD29" s="172"/>
      <c r="KDE29" s="172"/>
      <c r="KDF29" s="172"/>
      <c r="KDG29" s="172"/>
      <c r="KDH29" s="172"/>
      <c r="KDI29" s="172"/>
      <c r="KDJ29" s="172"/>
      <c r="KDK29" s="172"/>
      <c r="KDL29" s="172"/>
      <c r="KDM29" s="172"/>
      <c r="KDN29" s="172"/>
      <c r="KDO29" s="172"/>
      <c r="KDP29" s="172"/>
      <c r="KDQ29" s="172"/>
      <c r="KDR29" s="172"/>
      <c r="KDS29" s="172"/>
      <c r="KDT29" s="172"/>
      <c r="KDU29" s="172"/>
      <c r="KDV29" s="172"/>
      <c r="KDW29" s="172"/>
      <c r="KDX29" s="172"/>
      <c r="KDY29" s="172"/>
      <c r="KDZ29" s="172"/>
      <c r="KEA29" s="172"/>
      <c r="KEB29" s="172"/>
      <c r="KEC29" s="172"/>
      <c r="KED29" s="172"/>
      <c r="KEE29" s="172"/>
      <c r="KEF29" s="172"/>
      <c r="KEG29" s="172"/>
      <c r="KEH29" s="172"/>
      <c r="KEI29" s="172"/>
      <c r="KEJ29" s="172"/>
      <c r="KEK29" s="172"/>
      <c r="KEL29" s="172"/>
      <c r="KEM29" s="172"/>
      <c r="KEN29" s="172"/>
      <c r="KEO29" s="172"/>
      <c r="KEP29" s="172"/>
      <c r="KEQ29" s="172"/>
      <c r="KER29" s="172"/>
      <c r="KES29" s="172"/>
      <c r="KET29" s="172"/>
      <c r="KEU29" s="172"/>
      <c r="KEV29" s="172"/>
      <c r="KEW29" s="172"/>
      <c r="KEX29" s="172"/>
      <c r="KEY29" s="172"/>
      <c r="KEZ29" s="172"/>
      <c r="KFA29" s="172"/>
      <c r="KFB29" s="172"/>
      <c r="KFC29" s="172"/>
      <c r="KFD29" s="172"/>
      <c r="KFE29" s="172"/>
      <c r="KFF29" s="172"/>
      <c r="KFG29" s="172"/>
      <c r="KFH29" s="172"/>
      <c r="KFI29" s="172"/>
      <c r="KFJ29" s="172"/>
      <c r="KFK29" s="172"/>
      <c r="KFL29" s="172"/>
      <c r="KFM29" s="172"/>
      <c r="KFN29" s="172"/>
      <c r="KFO29" s="172"/>
      <c r="KFP29" s="172"/>
      <c r="KFQ29" s="172"/>
      <c r="KFR29" s="172"/>
      <c r="KFS29" s="172"/>
      <c r="KFT29" s="172"/>
      <c r="KFU29" s="172"/>
      <c r="KFV29" s="172"/>
      <c r="KFW29" s="172"/>
      <c r="KFX29" s="172"/>
      <c r="KFY29" s="172"/>
      <c r="KFZ29" s="172"/>
      <c r="KGA29" s="172"/>
      <c r="KGB29" s="172"/>
      <c r="KGC29" s="172"/>
      <c r="KGD29" s="172"/>
      <c r="KGE29" s="172"/>
      <c r="KGF29" s="172"/>
      <c r="KGG29" s="172"/>
      <c r="KGH29" s="172"/>
      <c r="KGI29" s="172"/>
      <c r="KGJ29" s="172"/>
      <c r="KGK29" s="172"/>
      <c r="KGL29" s="172"/>
      <c r="KGM29" s="172"/>
      <c r="KGN29" s="172"/>
      <c r="KGO29" s="172"/>
      <c r="KGP29" s="172"/>
      <c r="KGQ29" s="172"/>
      <c r="KGR29" s="172"/>
      <c r="KGS29" s="172"/>
      <c r="KGT29" s="172"/>
      <c r="KGU29" s="172"/>
      <c r="KGV29" s="172"/>
      <c r="KGW29" s="172"/>
      <c r="KGX29" s="172"/>
      <c r="KGY29" s="172"/>
      <c r="KGZ29" s="172"/>
      <c r="KHA29" s="172"/>
      <c r="KHB29" s="172"/>
      <c r="KHC29" s="172"/>
      <c r="KHD29" s="172"/>
      <c r="KHE29" s="172"/>
      <c r="KHF29" s="172"/>
      <c r="KHG29" s="172"/>
      <c r="KHH29" s="172"/>
      <c r="KHI29" s="172"/>
      <c r="KHJ29" s="172"/>
      <c r="KHK29" s="172"/>
      <c r="KHL29" s="172"/>
      <c r="KHM29" s="172"/>
      <c r="KHN29" s="172"/>
      <c r="KHO29" s="172"/>
      <c r="KHP29" s="172"/>
      <c r="KHQ29" s="172"/>
      <c r="KHR29" s="172"/>
      <c r="KHS29" s="172"/>
      <c r="KHT29" s="172"/>
      <c r="KHU29" s="172"/>
      <c r="KHV29" s="172"/>
      <c r="KHW29" s="172"/>
      <c r="KHX29" s="172"/>
      <c r="KHY29" s="172"/>
      <c r="KHZ29" s="172"/>
      <c r="KIA29" s="172"/>
      <c r="KIB29" s="172"/>
      <c r="KIC29" s="172"/>
      <c r="KID29" s="172"/>
      <c r="KIE29" s="172"/>
      <c r="KIF29" s="172"/>
      <c r="KIG29" s="172"/>
      <c r="KIH29" s="172"/>
      <c r="KII29" s="172"/>
      <c r="KIJ29" s="172"/>
      <c r="KIK29" s="172"/>
      <c r="KIL29" s="172"/>
      <c r="KIM29" s="172"/>
      <c r="KIN29" s="172"/>
      <c r="KIO29" s="172"/>
      <c r="KIP29" s="172"/>
      <c r="KIQ29" s="172"/>
      <c r="KIR29" s="172"/>
      <c r="KIS29" s="172"/>
      <c r="KIT29" s="172"/>
      <c r="KIU29" s="172"/>
      <c r="KIV29" s="172"/>
      <c r="KIW29" s="172"/>
      <c r="KIX29" s="172"/>
      <c r="KIY29" s="172"/>
      <c r="KIZ29" s="172"/>
      <c r="KJA29" s="172"/>
      <c r="KJB29" s="172"/>
      <c r="KJC29" s="172"/>
      <c r="KJD29" s="172"/>
      <c r="KJE29" s="172"/>
      <c r="KJF29" s="172"/>
      <c r="KJG29" s="172"/>
      <c r="KJH29" s="172"/>
      <c r="KJI29" s="172"/>
      <c r="KJJ29" s="172"/>
      <c r="KJK29" s="172"/>
      <c r="KJL29" s="172"/>
      <c r="KJM29" s="172"/>
      <c r="KJN29" s="172"/>
      <c r="KJO29" s="172"/>
      <c r="KJP29" s="172"/>
      <c r="KJQ29" s="172"/>
      <c r="KJR29" s="172"/>
      <c r="KJS29" s="172"/>
      <c r="KJT29" s="172"/>
      <c r="KJU29" s="172"/>
      <c r="KJV29" s="172"/>
      <c r="KJW29" s="172"/>
      <c r="KJX29" s="172"/>
      <c r="KJY29" s="172"/>
      <c r="KJZ29" s="172"/>
      <c r="KKA29" s="172"/>
      <c r="KKB29" s="172"/>
      <c r="KKC29" s="172"/>
      <c r="KKD29" s="172"/>
      <c r="KKE29" s="172"/>
      <c r="KKF29" s="172"/>
      <c r="KKG29" s="172"/>
      <c r="KKH29" s="172"/>
      <c r="KKI29" s="172"/>
      <c r="KKJ29" s="172"/>
      <c r="KKK29" s="172"/>
      <c r="KKL29" s="172"/>
      <c r="KKM29" s="172"/>
      <c r="KKN29" s="172"/>
      <c r="KKO29" s="172"/>
      <c r="KKP29" s="172"/>
      <c r="KKQ29" s="172"/>
      <c r="KKR29" s="172"/>
      <c r="KKS29" s="172"/>
      <c r="KKT29" s="172"/>
      <c r="KKU29" s="172"/>
      <c r="KKV29" s="172"/>
      <c r="KKW29" s="172"/>
      <c r="KKX29" s="172"/>
      <c r="KKY29" s="172"/>
      <c r="KKZ29" s="172"/>
      <c r="KLA29" s="172"/>
      <c r="KLB29" s="172"/>
      <c r="KLC29" s="172"/>
      <c r="KLD29" s="172"/>
      <c r="KLE29" s="172"/>
      <c r="KLF29" s="172"/>
      <c r="KLG29" s="172"/>
      <c r="KLH29" s="172"/>
      <c r="KLI29" s="172"/>
      <c r="KLJ29" s="172"/>
      <c r="KLK29" s="172"/>
      <c r="KLL29" s="172"/>
      <c r="KLM29" s="172"/>
      <c r="KLN29" s="172"/>
      <c r="KLO29" s="172"/>
      <c r="KLP29" s="172"/>
      <c r="KLQ29" s="172"/>
      <c r="KLR29" s="172"/>
      <c r="KLS29" s="172"/>
      <c r="KLT29" s="172"/>
      <c r="KLU29" s="172"/>
      <c r="KLV29" s="172"/>
      <c r="KLW29" s="172"/>
      <c r="KLX29" s="172"/>
      <c r="KLY29" s="172"/>
      <c r="KLZ29" s="172"/>
      <c r="KMA29" s="172"/>
      <c r="KMB29" s="172"/>
      <c r="KMC29" s="172"/>
      <c r="KMD29" s="172"/>
      <c r="KME29" s="172"/>
      <c r="KMF29" s="172"/>
      <c r="KMG29" s="172"/>
      <c r="KMH29" s="172"/>
      <c r="KMI29" s="172"/>
      <c r="KMJ29" s="172"/>
      <c r="KMK29" s="172"/>
      <c r="KML29" s="172"/>
      <c r="KMM29" s="172"/>
      <c r="KMN29" s="172"/>
      <c r="KMO29" s="172"/>
      <c r="KMP29" s="172"/>
      <c r="KMQ29" s="172"/>
      <c r="KMR29" s="172"/>
      <c r="KMS29" s="172"/>
      <c r="KMT29" s="172"/>
      <c r="KMU29" s="172"/>
      <c r="KMV29" s="172"/>
      <c r="KMW29" s="172"/>
      <c r="KMX29" s="172"/>
      <c r="KMY29" s="172"/>
      <c r="KMZ29" s="172"/>
      <c r="KNA29" s="172"/>
      <c r="KNB29" s="172"/>
      <c r="KNC29" s="172"/>
      <c r="KND29" s="172"/>
      <c r="KNE29" s="172"/>
      <c r="KNF29" s="172"/>
      <c r="KNG29" s="172"/>
      <c r="KNH29" s="172"/>
      <c r="KNI29" s="172"/>
      <c r="KNJ29" s="172"/>
      <c r="KNK29" s="172"/>
      <c r="KNL29" s="172"/>
      <c r="KNM29" s="172"/>
      <c r="KNN29" s="172"/>
      <c r="KNO29" s="172"/>
      <c r="KNP29" s="172"/>
      <c r="KNQ29" s="172"/>
      <c r="KNR29" s="172"/>
      <c r="KNS29" s="172"/>
      <c r="KNT29" s="172"/>
      <c r="KNU29" s="172"/>
      <c r="KNV29" s="172"/>
      <c r="KNW29" s="172"/>
      <c r="KNX29" s="172"/>
      <c r="KNY29" s="172"/>
      <c r="KNZ29" s="172"/>
      <c r="KOA29" s="172"/>
      <c r="KOB29" s="172"/>
      <c r="KOC29" s="172"/>
      <c r="KOD29" s="172"/>
      <c r="KOE29" s="172"/>
      <c r="KOF29" s="172"/>
      <c r="KOG29" s="172"/>
      <c r="KOH29" s="172"/>
      <c r="KOI29" s="172"/>
      <c r="KOJ29" s="172"/>
      <c r="KOK29" s="172"/>
      <c r="KOL29" s="172"/>
      <c r="KOM29" s="172"/>
      <c r="KON29" s="172"/>
      <c r="KOO29" s="172"/>
      <c r="KOP29" s="172"/>
      <c r="KOQ29" s="172"/>
      <c r="KOR29" s="172"/>
      <c r="KOS29" s="172"/>
      <c r="KOT29" s="172"/>
      <c r="KOU29" s="172"/>
      <c r="KOV29" s="172"/>
      <c r="KOW29" s="172"/>
      <c r="KOX29" s="172"/>
      <c r="KOY29" s="172"/>
      <c r="KOZ29" s="172"/>
      <c r="KPA29" s="172"/>
      <c r="KPB29" s="172"/>
      <c r="KPC29" s="172"/>
      <c r="KPD29" s="172"/>
      <c r="KPE29" s="172"/>
      <c r="KPF29" s="172"/>
      <c r="KPG29" s="172"/>
      <c r="KPH29" s="172"/>
      <c r="KPI29" s="172"/>
      <c r="KPJ29" s="172"/>
      <c r="KPK29" s="172"/>
      <c r="KPL29" s="172"/>
      <c r="KPM29" s="172"/>
      <c r="KPN29" s="172"/>
      <c r="KPO29" s="172"/>
      <c r="KPP29" s="172"/>
      <c r="KPQ29" s="172"/>
      <c r="KPR29" s="172"/>
      <c r="KPS29" s="172"/>
      <c r="KPT29" s="172"/>
      <c r="KPU29" s="172"/>
      <c r="KPV29" s="172"/>
      <c r="KPW29" s="172"/>
      <c r="KPX29" s="172"/>
      <c r="KPY29" s="172"/>
      <c r="KPZ29" s="172"/>
      <c r="KQA29" s="172"/>
      <c r="KQB29" s="172"/>
      <c r="KQC29" s="172"/>
      <c r="KQD29" s="172"/>
      <c r="KQE29" s="172"/>
      <c r="KQF29" s="172"/>
      <c r="KQG29" s="172"/>
      <c r="KQH29" s="172"/>
      <c r="KQI29" s="172"/>
      <c r="KQJ29" s="172"/>
      <c r="KQK29" s="172"/>
      <c r="KQL29" s="172"/>
      <c r="KQM29" s="172"/>
      <c r="KQN29" s="172"/>
      <c r="KQO29" s="172"/>
      <c r="KQP29" s="172"/>
      <c r="KQQ29" s="172"/>
      <c r="KQR29" s="172"/>
      <c r="KQS29" s="172"/>
      <c r="KQT29" s="172"/>
      <c r="KQU29" s="172"/>
      <c r="KQV29" s="172"/>
      <c r="KQW29" s="172"/>
      <c r="KQX29" s="172"/>
      <c r="KQY29" s="172"/>
      <c r="KQZ29" s="172"/>
      <c r="KRA29" s="172"/>
      <c r="KRB29" s="172"/>
      <c r="KRC29" s="172"/>
      <c r="KRD29" s="172"/>
      <c r="KRE29" s="172"/>
      <c r="KRF29" s="172"/>
      <c r="KRG29" s="172"/>
      <c r="KRH29" s="172"/>
      <c r="KRI29" s="172"/>
      <c r="KRJ29" s="172"/>
      <c r="KRK29" s="172"/>
      <c r="KRL29" s="172"/>
      <c r="KRM29" s="172"/>
      <c r="KRN29" s="172"/>
      <c r="KRO29" s="172"/>
      <c r="KRP29" s="172"/>
      <c r="KRQ29" s="172"/>
      <c r="KRR29" s="172"/>
      <c r="KRS29" s="172"/>
      <c r="KRT29" s="172"/>
      <c r="KRU29" s="172"/>
      <c r="KRV29" s="172"/>
      <c r="KRW29" s="172"/>
      <c r="KRX29" s="172"/>
      <c r="KRY29" s="172"/>
      <c r="KRZ29" s="172"/>
      <c r="KSA29" s="172"/>
      <c r="KSB29" s="172"/>
      <c r="KSC29" s="172"/>
      <c r="KSD29" s="172"/>
      <c r="KSE29" s="172"/>
      <c r="KSF29" s="172"/>
      <c r="KSG29" s="172"/>
      <c r="KSH29" s="172"/>
      <c r="KSI29" s="172"/>
      <c r="KSJ29" s="172"/>
      <c r="KSK29" s="172"/>
      <c r="KSL29" s="172"/>
      <c r="KSM29" s="172"/>
      <c r="KSN29" s="172"/>
      <c r="KSO29" s="172"/>
      <c r="KSP29" s="172"/>
      <c r="KSQ29" s="172"/>
      <c r="KSR29" s="172"/>
      <c r="KSS29" s="172"/>
      <c r="KST29" s="172"/>
      <c r="KSU29" s="172"/>
      <c r="KSV29" s="172"/>
      <c r="KSW29" s="172"/>
      <c r="KSX29" s="172"/>
      <c r="KSY29" s="172"/>
      <c r="KSZ29" s="172"/>
      <c r="KTA29" s="172"/>
      <c r="KTB29" s="172"/>
      <c r="KTC29" s="172"/>
      <c r="KTD29" s="172"/>
      <c r="KTE29" s="172"/>
      <c r="KTF29" s="172"/>
      <c r="KTG29" s="172"/>
      <c r="KTH29" s="172"/>
      <c r="KTI29" s="172"/>
      <c r="KTJ29" s="172"/>
      <c r="KTK29" s="172"/>
      <c r="KTL29" s="172"/>
      <c r="KTM29" s="172"/>
      <c r="KTN29" s="172"/>
      <c r="KTO29" s="172"/>
      <c r="KTP29" s="172"/>
      <c r="KTQ29" s="172"/>
      <c r="KTR29" s="172"/>
      <c r="KTS29" s="172"/>
      <c r="KTT29" s="172"/>
      <c r="KTU29" s="172"/>
      <c r="KTV29" s="172"/>
      <c r="KTW29" s="172"/>
      <c r="KTX29" s="172"/>
      <c r="KTY29" s="172"/>
      <c r="KTZ29" s="172"/>
      <c r="KUA29" s="172"/>
      <c r="KUB29" s="172"/>
      <c r="KUC29" s="172"/>
      <c r="KUD29" s="172"/>
      <c r="KUE29" s="172"/>
      <c r="KUF29" s="172"/>
      <c r="KUG29" s="172"/>
      <c r="KUH29" s="172"/>
      <c r="KUI29" s="172"/>
      <c r="KUJ29" s="172"/>
      <c r="KUK29" s="172"/>
      <c r="KUL29" s="172"/>
      <c r="KUM29" s="172"/>
      <c r="KUN29" s="172"/>
      <c r="KUO29" s="172"/>
      <c r="KUP29" s="172"/>
      <c r="KUQ29" s="172"/>
      <c r="KUR29" s="172"/>
      <c r="KUS29" s="172"/>
      <c r="KUT29" s="172"/>
      <c r="KUU29" s="172"/>
      <c r="KUV29" s="172"/>
      <c r="KUW29" s="172"/>
      <c r="KUX29" s="172"/>
      <c r="KUY29" s="172"/>
      <c r="KUZ29" s="172"/>
      <c r="KVA29" s="172"/>
      <c r="KVB29" s="172"/>
      <c r="KVC29" s="172"/>
      <c r="KVD29" s="172"/>
      <c r="KVE29" s="172"/>
      <c r="KVF29" s="172"/>
      <c r="KVG29" s="172"/>
      <c r="KVH29" s="172"/>
      <c r="KVI29" s="172"/>
      <c r="KVJ29" s="172"/>
      <c r="KVK29" s="172"/>
      <c r="KVL29" s="172"/>
      <c r="KVM29" s="172"/>
      <c r="KVN29" s="172"/>
      <c r="KVO29" s="172"/>
      <c r="KVP29" s="172"/>
      <c r="KVQ29" s="172"/>
      <c r="KVR29" s="172"/>
      <c r="KVS29" s="172"/>
      <c r="KVT29" s="172"/>
      <c r="KVU29" s="172"/>
      <c r="KVV29" s="172"/>
      <c r="KVW29" s="172"/>
      <c r="KVX29" s="172"/>
      <c r="KVY29" s="172"/>
      <c r="KVZ29" s="172"/>
      <c r="KWA29" s="172"/>
      <c r="KWB29" s="172"/>
      <c r="KWC29" s="172"/>
      <c r="KWD29" s="172"/>
      <c r="KWE29" s="172"/>
      <c r="KWF29" s="172"/>
      <c r="KWG29" s="172"/>
      <c r="KWH29" s="172"/>
      <c r="KWI29" s="172"/>
      <c r="KWJ29" s="172"/>
      <c r="KWK29" s="172"/>
      <c r="KWL29" s="172"/>
      <c r="KWM29" s="172"/>
      <c r="KWN29" s="172"/>
      <c r="KWO29" s="172"/>
      <c r="KWP29" s="172"/>
      <c r="KWQ29" s="172"/>
      <c r="KWR29" s="172"/>
      <c r="KWS29" s="172"/>
      <c r="KWT29" s="172"/>
      <c r="KWU29" s="172"/>
      <c r="KWV29" s="172"/>
      <c r="KWW29" s="172"/>
      <c r="KWX29" s="172"/>
      <c r="KWY29" s="172"/>
      <c r="KWZ29" s="172"/>
      <c r="KXA29" s="172"/>
      <c r="KXB29" s="172"/>
      <c r="KXC29" s="172"/>
      <c r="KXD29" s="172"/>
      <c r="KXE29" s="172"/>
      <c r="KXF29" s="172"/>
      <c r="KXG29" s="172"/>
      <c r="KXH29" s="172"/>
      <c r="KXI29" s="172"/>
      <c r="KXJ29" s="172"/>
      <c r="KXK29" s="172"/>
      <c r="KXL29" s="172"/>
      <c r="KXM29" s="172"/>
      <c r="KXN29" s="172"/>
      <c r="KXO29" s="172"/>
      <c r="KXP29" s="172"/>
      <c r="KXQ29" s="172"/>
      <c r="KXR29" s="172"/>
      <c r="KXS29" s="172"/>
      <c r="KXT29" s="172"/>
      <c r="KXU29" s="172"/>
      <c r="KXV29" s="172"/>
      <c r="KXW29" s="172"/>
      <c r="KXX29" s="172"/>
      <c r="KXY29" s="172"/>
      <c r="KXZ29" s="172"/>
      <c r="KYA29" s="172"/>
      <c r="KYB29" s="172"/>
      <c r="KYC29" s="172"/>
      <c r="KYD29" s="172"/>
      <c r="KYE29" s="172"/>
      <c r="KYF29" s="172"/>
      <c r="KYG29" s="172"/>
      <c r="KYH29" s="172"/>
      <c r="KYI29" s="172"/>
      <c r="KYJ29" s="172"/>
      <c r="KYK29" s="172"/>
      <c r="KYL29" s="172"/>
      <c r="KYM29" s="172"/>
      <c r="KYN29" s="172"/>
      <c r="KYO29" s="172"/>
      <c r="KYP29" s="172"/>
      <c r="KYQ29" s="172"/>
      <c r="KYR29" s="172"/>
      <c r="KYS29" s="172"/>
      <c r="KYT29" s="172"/>
      <c r="KYU29" s="172"/>
      <c r="KYV29" s="172"/>
      <c r="KYW29" s="172"/>
      <c r="KYX29" s="172"/>
      <c r="KYY29" s="172"/>
      <c r="KYZ29" s="172"/>
      <c r="KZA29" s="172"/>
      <c r="KZB29" s="172"/>
      <c r="KZC29" s="172"/>
      <c r="KZD29" s="172"/>
      <c r="KZE29" s="172"/>
      <c r="KZF29" s="172"/>
      <c r="KZG29" s="172"/>
      <c r="KZH29" s="172"/>
      <c r="KZI29" s="172"/>
      <c r="KZJ29" s="172"/>
      <c r="KZK29" s="172"/>
      <c r="KZL29" s="172"/>
      <c r="KZM29" s="172"/>
      <c r="KZN29" s="172"/>
      <c r="KZO29" s="172"/>
      <c r="KZP29" s="172"/>
      <c r="KZQ29" s="172"/>
      <c r="KZR29" s="172"/>
      <c r="KZS29" s="172"/>
      <c r="KZT29" s="172"/>
      <c r="KZU29" s="172"/>
      <c r="KZV29" s="172"/>
      <c r="KZW29" s="172"/>
      <c r="KZX29" s="172"/>
      <c r="KZY29" s="172"/>
      <c r="KZZ29" s="172"/>
      <c r="LAA29" s="172"/>
      <c r="LAB29" s="172"/>
      <c r="LAC29" s="172"/>
      <c r="LAD29" s="172"/>
      <c r="LAE29" s="172"/>
      <c r="LAF29" s="172"/>
      <c r="LAG29" s="172"/>
      <c r="LAH29" s="172"/>
      <c r="LAI29" s="172"/>
      <c r="LAJ29" s="172"/>
      <c r="LAK29" s="172"/>
      <c r="LAL29" s="172"/>
      <c r="LAM29" s="172"/>
      <c r="LAN29" s="172"/>
      <c r="LAO29" s="172"/>
      <c r="LAP29" s="172"/>
      <c r="LAQ29" s="172"/>
      <c r="LAR29" s="172"/>
      <c r="LAS29" s="172"/>
      <c r="LAT29" s="172"/>
      <c r="LAU29" s="172"/>
      <c r="LAV29" s="172"/>
      <c r="LAW29" s="172"/>
      <c r="LAX29" s="172"/>
      <c r="LAY29" s="172"/>
      <c r="LAZ29" s="172"/>
      <c r="LBA29" s="172"/>
      <c r="LBB29" s="172"/>
      <c r="LBC29" s="172"/>
      <c r="LBD29" s="172"/>
      <c r="LBE29" s="172"/>
      <c r="LBF29" s="172"/>
      <c r="LBG29" s="172"/>
      <c r="LBH29" s="172"/>
      <c r="LBI29" s="172"/>
      <c r="LBJ29" s="172"/>
      <c r="LBK29" s="172"/>
      <c r="LBL29" s="172"/>
      <c r="LBM29" s="172"/>
      <c r="LBN29" s="172"/>
      <c r="LBO29" s="172"/>
      <c r="LBP29" s="172"/>
      <c r="LBQ29" s="172"/>
      <c r="LBR29" s="172"/>
      <c r="LBS29" s="172"/>
      <c r="LBT29" s="172"/>
      <c r="LBU29" s="172"/>
      <c r="LBV29" s="172"/>
      <c r="LBW29" s="172"/>
      <c r="LBX29" s="172"/>
      <c r="LBY29" s="172"/>
      <c r="LBZ29" s="172"/>
      <c r="LCA29" s="172"/>
      <c r="LCB29" s="172"/>
      <c r="LCC29" s="172"/>
      <c r="LCD29" s="172"/>
      <c r="LCE29" s="172"/>
      <c r="LCF29" s="172"/>
      <c r="LCG29" s="172"/>
      <c r="LCH29" s="172"/>
      <c r="LCI29" s="172"/>
      <c r="LCJ29" s="172"/>
      <c r="LCK29" s="172"/>
      <c r="LCL29" s="172"/>
      <c r="LCM29" s="172"/>
      <c r="LCN29" s="172"/>
      <c r="LCO29" s="172"/>
      <c r="LCP29" s="172"/>
      <c r="LCQ29" s="172"/>
      <c r="LCR29" s="172"/>
      <c r="LCS29" s="172"/>
      <c r="LCT29" s="172"/>
      <c r="LCU29" s="172"/>
      <c r="LCV29" s="172"/>
      <c r="LCW29" s="172"/>
      <c r="LCX29" s="172"/>
      <c r="LCY29" s="172"/>
      <c r="LCZ29" s="172"/>
      <c r="LDA29" s="172"/>
      <c r="LDB29" s="172"/>
      <c r="LDC29" s="172"/>
      <c r="LDD29" s="172"/>
      <c r="LDE29" s="172"/>
      <c r="LDF29" s="172"/>
      <c r="LDG29" s="172"/>
      <c r="LDH29" s="172"/>
      <c r="LDI29" s="172"/>
      <c r="LDJ29" s="172"/>
      <c r="LDK29" s="172"/>
      <c r="LDL29" s="172"/>
      <c r="LDM29" s="172"/>
      <c r="LDN29" s="172"/>
      <c r="LDO29" s="172"/>
      <c r="LDP29" s="172"/>
      <c r="LDQ29" s="172"/>
      <c r="LDR29" s="172"/>
      <c r="LDS29" s="172"/>
      <c r="LDT29" s="172"/>
      <c r="LDU29" s="172"/>
      <c r="LDV29" s="172"/>
      <c r="LDW29" s="172"/>
      <c r="LDX29" s="172"/>
      <c r="LDY29" s="172"/>
      <c r="LDZ29" s="172"/>
      <c r="LEA29" s="172"/>
      <c r="LEB29" s="172"/>
      <c r="LEC29" s="172"/>
      <c r="LED29" s="172"/>
      <c r="LEE29" s="172"/>
      <c r="LEF29" s="172"/>
      <c r="LEG29" s="172"/>
      <c r="LEH29" s="172"/>
      <c r="LEI29" s="172"/>
      <c r="LEJ29" s="172"/>
      <c r="LEK29" s="172"/>
      <c r="LEL29" s="172"/>
      <c r="LEM29" s="172"/>
      <c r="LEN29" s="172"/>
      <c r="LEO29" s="172"/>
      <c r="LEP29" s="172"/>
      <c r="LEQ29" s="172"/>
      <c r="LER29" s="172"/>
      <c r="LES29" s="172"/>
      <c r="LET29" s="172"/>
      <c r="LEU29" s="172"/>
      <c r="LEV29" s="172"/>
      <c r="LEW29" s="172"/>
      <c r="LEX29" s="172"/>
      <c r="LEY29" s="172"/>
      <c r="LEZ29" s="172"/>
      <c r="LFA29" s="172"/>
      <c r="LFB29" s="172"/>
      <c r="LFC29" s="172"/>
      <c r="LFD29" s="172"/>
      <c r="LFE29" s="172"/>
      <c r="LFF29" s="172"/>
      <c r="LFG29" s="172"/>
      <c r="LFH29" s="172"/>
      <c r="LFI29" s="172"/>
      <c r="LFJ29" s="172"/>
      <c r="LFK29" s="172"/>
      <c r="LFL29" s="172"/>
      <c r="LFM29" s="172"/>
      <c r="LFN29" s="172"/>
      <c r="LFO29" s="172"/>
      <c r="LFP29" s="172"/>
      <c r="LFQ29" s="172"/>
      <c r="LFR29" s="172"/>
      <c r="LFS29" s="172"/>
      <c r="LFT29" s="172"/>
      <c r="LFU29" s="172"/>
      <c r="LFV29" s="172"/>
      <c r="LFW29" s="172"/>
      <c r="LFX29" s="172"/>
      <c r="LFY29" s="172"/>
      <c r="LFZ29" s="172"/>
      <c r="LGA29" s="172"/>
      <c r="LGB29" s="172"/>
      <c r="LGC29" s="172"/>
      <c r="LGD29" s="172"/>
      <c r="LGE29" s="172"/>
      <c r="LGF29" s="172"/>
      <c r="LGG29" s="172"/>
      <c r="LGH29" s="172"/>
      <c r="LGI29" s="172"/>
      <c r="LGJ29" s="172"/>
      <c r="LGK29" s="172"/>
      <c r="LGL29" s="172"/>
      <c r="LGM29" s="172"/>
      <c r="LGN29" s="172"/>
      <c r="LGO29" s="172"/>
      <c r="LGP29" s="172"/>
      <c r="LGQ29" s="172"/>
      <c r="LGR29" s="172"/>
      <c r="LGS29" s="172"/>
      <c r="LGT29" s="172"/>
      <c r="LGU29" s="172"/>
      <c r="LGV29" s="172"/>
      <c r="LGW29" s="172"/>
      <c r="LGX29" s="172"/>
      <c r="LGY29" s="172"/>
      <c r="LGZ29" s="172"/>
      <c r="LHA29" s="172"/>
      <c r="LHB29" s="172"/>
      <c r="LHC29" s="172"/>
      <c r="LHD29" s="172"/>
      <c r="LHE29" s="172"/>
      <c r="LHF29" s="172"/>
      <c r="LHG29" s="172"/>
      <c r="LHH29" s="172"/>
      <c r="LHI29" s="172"/>
      <c r="LHJ29" s="172"/>
      <c r="LHK29" s="172"/>
      <c r="LHL29" s="172"/>
      <c r="LHM29" s="172"/>
      <c r="LHN29" s="172"/>
      <c r="LHO29" s="172"/>
      <c r="LHP29" s="172"/>
      <c r="LHQ29" s="172"/>
      <c r="LHR29" s="172"/>
      <c r="LHS29" s="172"/>
      <c r="LHT29" s="172"/>
      <c r="LHU29" s="172"/>
      <c r="LHV29" s="172"/>
      <c r="LHW29" s="172"/>
      <c r="LHX29" s="172"/>
      <c r="LHY29" s="172"/>
      <c r="LHZ29" s="172"/>
      <c r="LIA29" s="172"/>
      <c r="LIB29" s="172"/>
      <c r="LIC29" s="172"/>
      <c r="LID29" s="172"/>
      <c r="LIE29" s="172"/>
      <c r="LIF29" s="172"/>
      <c r="LIG29" s="172"/>
      <c r="LIH29" s="172"/>
      <c r="LII29" s="172"/>
      <c r="LIJ29" s="172"/>
      <c r="LIK29" s="172"/>
      <c r="LIL29" s="172"/>
      <c r="LIM29" s="172"/>
      <c r="LIN29" s="172"/>
      <c r="LIO29" s="172"/>
      <c r="LIP29" s="172"/>
      <c r="LIQ29" s="172"/>
      <c r="LIR29" s="172"/>
      <c r="LIS29" s="172"/>
      <c r="LIT29" s="172"/>
      <c r="LIU29" s="172"/>
      <c r="LIV29" s="172"/>
      <c r="LIW29" s="172"/>
      <c r="LIX29" s="172"/>
      <c r="LIY29" s="172"/>
      <c r="LIZ29" s="172"/>
      <c r="LJA29" s="172"/>
      <c r="LJB29" s="172"/>
      <c r="LJC29" s="172"/>
      <c r="LJD29" s="172"/>
      <c r="LJE29" s="172"/>
      <c r="LJF29" s="172"/>
      <c r="LJG29" s="172"/>
      <c r="LJH29" s="172"/>
      <c r="LJI29" s="172"/>
      <c r="LJJ29" s="172"/>
      <c r="LJK29" s="172"/>
      <c r="LJL29" s="172"/>
      <c r="LJM29" s="172"/>
      <c r="LJN29" s="172"/>
      <c r="LJO29" s="172"/>
      <c r="LJP29" s="172"/>
      <c r="LJQ29" s="172"/>
      <c r="LJR29" s="172"/>
      <c r="LJS29" s="172"/>
      <c r="LJT29" s="172"/>
      <c r="LJU29" s="172"/>
      <c r="LJV29" s="172"/>
      <c r="LJW29" s="172"/>
      <c r="LJX29" s="172"/>
      <c r="LJY29" s="172"/>
      <c r="LJZ29" s="172"/>
      <c r="LKA29" s="172"/>
      <c r="LKB29" s="172"/>
      <c r="LKC29" s="172"/>
      <c r="LKD29" s="172"/>
      <c r="LKE29" s="172"/>
      <c r="LKF29" s="172"/>
      <c r="LKG29" s="172"/>
      <c r="LKH29" s="172"/>
      <c r="LKI29" s="172"/>
      <c r="LKJ29" s="172"/>
      <c r="LKK29" s="172"/>
      <c r="LKL29" s="172"/>
      <c r="LKM29" s="172"/>
      <c r="LKN29" s="172"/>
      <c r="LKO29" s="172"/>
      <c r="LKP29" s="172"/>
      <c r="LKQ29" s="172"/>
      <c r="LKR29" s="172"/>
      <c r="LKS29" s="172"/>
      <c r="LKT29" s="172"/>
      <c r="LKU29" s="172"/>
      <c r="LKV29" s="172"/>
      <c r="LKW29" s="172"/>
      <c r="LKX29" s="172"/>
      <c r="LKY29" s="172"/>
      <c r="LKZ29" s="172"/>
      <c r="LLA29" s="172"/>
      <c r="LLB29" s="172"/>
      <c r="LLC29" s="172"/>
      <c r="LLD29" s="172"/>
      <c r="LLE29" s="172"/>
      <c r="LLF29" s="172"/>
      <c r="LLG29" s="172"/>
      <c r="LLH29" s="172"/>
      <c r="LLI29" s="172"/>
      <c r="LLJ29" s="172"/>
      <c r="LLK29" s="172"/>
      <c r="LLL29" s="172"/>
      <c r="LLM29" s="172"/>
      <c r="LLN29" s="172"/>
      <c r="LLO29" s="172"/>
      <c r="LLP29" s="172"/>
      <c r="LLQ29" s="172"/>
      <c r="LLR29" s="172"/>
      <c r="LLS29" s="172"/>
      <c r="LLT29" s="172"/>
      <c r="LLU29" s="172"/>
      <c r="LLV29" s="172"/>
      <c r="LLW29" s="172"/>
      <c r="LLX29" s="172"/>
      <c r="LLY29" s="172"/>
      <c r="LLZ29" s="172"/>
      <c r="LMA29" s="172"/>
      <c r="LMB29" s="172"/>
      <c r="LMC29" s="172"/>
      <c r="LMD29" s="172"/>
      <c r="LME29" s="172"/>
      <c r="LMF29" s="172"/>
      <c r="LMG29" s="172"/>
      <c r="LMH29" s="172"/>
      <c r="LMI29" s="172"/>
      <c r="LMJ29" s="172"/>
      <c r="LMK29" s="172"/>
      <c r="LML29" s="172"/>
      <c r="LMM29" s="172"/>
      <c r="LMN29" s="172"/>
      <c r="LMO29" s="172"/>
      <c r="LMP29" s="172"/>
      <c r="LMQ29" s="172"/>
      <c r="LMR29" s="172"/>
      <c r="LMS29" s="172"/>
      <c r="LMT29" s="172"/>
      <c r="LMU29" s="172"/>
      <c r="LMV29" s="172"/>
      <c r="LMW29" s="172"/>
      <c r="LMX29" s="172"/>
      <c r="LMY29" s="172"/>
      <c r="LMZ29" s="172"/>
      <c r="LNA29" s="172"/>
      <c r="LNB29" s="172"/>
      <c r="LNC29" s="172"/>
      <c r="LND29" s="172"/>
      <c r="LNE29" s="172"/>
      <c r="LNF29" s="172"/>
      <c r="LNG29" s="172"/>
      <c r="LNH29" s="172"/>
      <c r="LNI29" s="172"/>
      <c r="LNJ29" s="172"/>
      <c r="LNK29" s="172"/>
      <c r="LNL29" s="172"/>
      <c r="LNM29" s="172"/>
      <c r="LNN29" s="172"/>
      <c r="LNO29" s="172"/>
      <c r="LNP29" s="172"/>
      <c r="LNQ29" s="172"/>
      <c r="LNR29" s="172"/>
      <c r="LNS29" s="172"/>
      <c r="LNT29" s="172"/>
      <c r="LNU29" s="172"/>
      <c r="LNV29" s="172"/>
      <c r="LNW29" s="172"/>
      <c r="LNX29" s="172"/>
      <c r="LNY29" s="172"/>
      <c r="LNZ29" s="172"/>
      <c r="LOA29" s="172"/>
      <c r="LOB29" s="172"/>
      <c r="LOC29" s="172"/>
      <c r="LOD29" s="172"/>
      <c r="LOE29" s="172"/>
      <c r="LOF29" s="172"/>
      <c r="LOG29" s="172"/>
      <c r="LOH29" s="172"/>
      <c r="LOI29" s="172"/>
      <c r="LOJ29" s="172"/>
      <c r="LOK29" s="172"/>
      <c r="LOL29" s="172"/>
      <c r="LOM29" s="172"/>
      <c r="LON29" s="172"/>
      <c r="LOO29" s="172"/>
      <c r="LOP29" s="172"/>
      <c r="LOQ29" s="172"/>
      <c r="LOR29" s="172"/>
      <c r="LOS29" s="172"/>
      <c r="LOT29" s="172"/>
      <c r="LOU29" s="172"/>
      <c r="LOV29" s="172"/>
      <c r="LOW29" s="172"/>
      <c r="LOX29" s="172"/>
      <c r="LOY29" s="172"/>
      <c r="LOZ29" s="172"/>
      <c r="LPA29" s="172"/>
      <c r="LPB29" s="172"/>
      <c r="LPC29" s="172"/>
      <c r="LPD29" s="172"/>
      <c r="LPE29" s="172"/>
      <c r="LPF29" s="172"/>
      <c r="LPG29" s="172"/>
      <c r="LPH29" s="172"/>
      <c r="LPI29" s="172"/>
      <c r="LPJ29" s="172"/>
      <c r="LPK29" s="172"/>
      <c r="LPL29" s="172"/>
      <c r="LPM29" s="172"/>
      <c r="LPN29" s="172"/>
      <c r="LPO29" s="172"/>
      <c r="LPP29" s="172"/>
      <c r="LPQ29" s="172"/>
      <c r="LPR29" s="172"/>
      <c r="LPS29" s="172"/>
      <c r="LPT29" s="172"/>
      <c r="LPU29" s="172"/>
      <c r="LPV29" s="172"/>
      <c r="LPW29" s="172"/>
      <c r="LPX29" s="172"/>
      <c r="LPY29" s="172"/>
      <c r="LPZ29" s="172"/>
      <c r="LQA29" s="172"/>
      <c r="LQB29" s="172"/>
      <c r="LQC29" s="172"/>
      <c r="LQD29" s="172"/>
      <c r="LQE29" s="172"/>
      <c r="LQF29" s="172"/>
      <c r="LQG29" s="172"/>
      <c r="LQH29" s="172"/>
      <c r="LQI29" s="172"/>
      <c r="LQJ29" s="172"/>
      <c r="LQK29" s="172"/>
      <c r="LQL29" s="172"/>
      <c r="LQM29" s="172"/>
      <c r="LQN29" s="172"/>
      <c r="LQO29" s="172"/>
      <c r="LQP29" s="172"/>
      <c r="LQQ29" s="172"/>
      <c r="LQR29" s="172"/>
      <c r="LQS29" s="172"/>
      <c r="LQT29" s="172"/>
      <c r="LQU29" s="172"/>
      <c r="LQV29" s="172"/>
      <c r="LQW29" s="172"/>
      <c r="LQX29" s="172"/>
      <c r="LQY29" s="172"/>
      <c r="LQZ29" s="172"/>
      <c r="LRA29" s="172"/>
      <c r="LRB29" s="172"/>
      <c r="LRC29" s="172"/>
      <c r="LRD29" s="172"/>
      <c r="LRE29" s="172"/>
      <c r="LRF29" s="172"/>
      <c r="LRG29" s="172"/>
      <c r="LRH29" s="172"/>
      <c r="LRI29" s="172"/>
      <c r="LRJ29" s="172"/>
      <c r="LRK29" s="172"/>
      <c r="LRL29" s="172"/>
      <c r="LRM29" s="172"/>
      <c r="LRN29" s="172"/>
      <c r="LRO29" s="172"/>
      <c r="LRP29" s="172"/>
      <c r="LRQ29" s="172"/>
      <c r="LRR29" s="172"/>
      <c r="LRS29" s="172"/>
      <c r="LRT29" s="172"/>
      <c r="LRU29" s="172"/>
      <c r="LRV29" s="172"/>
      <c r="LRW29" s="172"/>
      <c r="LRX29" s="172"/>
      <c r="LRY29" s="172"/>
      <c r="LRZ29" s="172"/>
      <c r="LSA29" s="172"/>
      <c r="LSB29" s="172"/>
      <c r="LSC29" s="172"/>
      <c r="LSD29" s="172"/>
      <c r="LSE29" s="172"/>
      <c r="LSF29" s="172"/>
      <c r="LSG29" s="172"/>
      <c r="LSH29" s="172"/>
      <c r="LSI29" s="172"/>
      <c r="LSJ29" s="172"/>
      <c r="LSK29" s="172"/>
      <c r="LSL29" s="172"/>
      <c r="LSM29" s="172"/>
      <c r="LSN29" s="172"/>
      <c r="LSO29" s="172"/>
      <c r="LSP29" s="172"/>
      <c r="LSQ29" s="172"/>
      <c r="LSR29" s="172"/>
      <c r="LSS29" s="172"/>
      <c r="LST29" s="172"/>
      <c r="LSU29" s="172"/>
      <c r="LSV29" s="172"/>
      <c r="LSW29" s="172"/>
      <c r="LSX29" s="172"/>
      <c r="LSY29" s="172"/>
      <c r="LSZ29" s="172"/>
      <c r="LTA29" s="172"/>
      <c r="LTB29" s="172"/>
      <c r="LTC29" s="172"/>
      <c r="LTD29" s="172"/>
      <c r="LTE29" s="172"/>
      <c r="LTF29" s="172"/>
      <c r="LTG29" s="172"/>
      <c r="LTH29" s="172"/>
      <c r="LTI29" s="172"/>
      <c r="LTJ29" s="172"/>
      <c r="LTK29" s="172"/>
      <c r="LTL29" s="172"/>
      <c r="LTM29" s="172"/>
      <c r="LTN29" s="172"/>
      <c r="LTO29" s="172"/>
      <c r="LTP29" s="172"/>
      <c r="LTQ29" s="172"/>
      <c r="LTR29" s="172"/>
      <c r="LTS29" s="172"/>
      <c r="LTT29" s="172"/>
      <c r="LTU29" s="172"/>
      <c r="LTV29" s="172"/>
      <c r="LTW29" s="172"/>
      <c r="LTX29" s="172"/>
      <c r="LTY29" s="172"/>
      <c r="LTZ29" s="172"/>
      <c r="LUA29" s="172"/>
      <c r="LUB29" s="172"/>
      <c r="LUC29" s="172"/>
      <c r="LUD29" s="172"/>
      <c r="LUE29" s="172"/>
      <c r="LUF29" s="172"/>
      <c r="LUG29" s="172"/>
      <c r="LUH29" s="172"/>
      <c r="LUI29" s="172"/>
      <c r="LUJ29" s="172"/>
      <c r="LUK29" s="172"/>
      <c r="LUL29" s="172"/>
      <c r="LUM29" s="172"/>
      <c r="LUN29" s="172"/>
      <c r="LUO29" s="172"/>
      <c r="LUP29" s="172"/>
      <c r="LUQ29" s="172"/>
      <c r="LUR29" s="172"/>
      <c r="LUS29" s="172"/>
      <c r="LUT29" s="172"/>
      <c r="LUU29" s="172"/>
      <c r="LUV29" s="172"/>
      <c r="LUW29" s="172"/>
      <c r="LUX29" s="172"/>
      <c r="LUY29" s="172"/>
      <c r="LUZ29" s="172"/>
      <c r="LVA29" s="172"/>
      <c r="LVB29" s="172"/>
      <c r="LVC29" s="172"/>
      <c r="LVD29" s="172"/>
      <c r="LVE29" s="172"/>
      <c r="LVF29" s="172"/>
      <c r="LVG29" s="172"/>
      <c r="LVH29" s="172"/>
      <c r="LVI29" s="172"/>
      <c r="LVJ29" s="172"/>
      <c r="LVK29" s="172"/>
      <c r="LVL29" s="172"/>
      <c r="LVM29" s="172"/>
      <c r="LVN29" s="172"/>
      <c r="LVO29" s="172"/>
      <c r="LVP29" s="172"/>
      <c r="LVQ29" s="172"/>
      <c r="LVR29" s="172"/>
      <c r="LVS29" s="172"/>
      <c r="LVT29" s="172"/>
      <c r="LVU29" s="172"/>
      <c r="LVV29" s="172"/>
      <c r="LVW29" s="172"/>
      <c r="LVX29" s="172"/>
      <c r="LVY29" s="172"/>
      <c r="LVZ29" s="172"/>
      <c r="LWA29" s="172"/>
      <c r="LWB29" s="172"/>
      <c r="LWC29" s="172"/>
      <c r="LWD29" s="172"/>
      <c r="LWE29" s="172"/>
      <c r="LWF29" s="172"/>
      <c r="LWG29" s="172"/>
      <c r="LWH29" s="172"/>
      <c r="LWI29" s="172"/>
      <c r="LWJ29" s="172"/>
      <c r="LWK29" s="172"/>
      <c r="LWL29" s="172"/>
      <c r="LWM29" s="172"/>
      <c r="LWN29" s="172"/>
      <c r="LWO29" s="172"/>
      <c r="LWP29" s="172"/>
      <c r="LWQ29" s="172"/>
      <c r="LWR29" s="172"/>
      <c r="LWS29" s="172"/>
      <c r="LWT29" s="172"/>
      <c r="LWU29" s="172"/>
      <c r="LWV29" s="172"/>
      <c r="LWW29" s="172"/>
      <c r="LWX29" s="172"/>
      <c r="LWY29" s="172"/>
      <c r="LWZ29" s="172"/>
      <c r="LXA29" s="172"/>
      <c r="LXB29" s="172"/>
      <c r="LXC29" s="172"/>
      <c r="LXD29" s="172"/>
      <c r="LXE29" s="172"/>
      <c r="LXF29" s="172"/>
      <c r="LXG29" s="172"/>
      <c r="LXH29" s="172"/>
      <c r="LXI29" s="172"/>
      <c r="LXJ29" s="172"/>
      <c r="LXK29" s="172"/>
      <c r="LXL29" s="172"/>
      <c r="LXM29" s="172"/>
      <c r="LXN29" s="172"/>
      <c r="LXO29" s="172"/>
      <c r="LXP29" s="172"/>
      <c r="LXQ29" s="172"/>
      <c r="LXR29" s="172"/>
      <c r="LXS29" s="172"/>
      <c r="LXT29" s="172"/>
      <c r="LXU29" s="172"/>
      <c r="LXV29" s="172"/>
      <c r="LXW29" s="172"/>
      <c r="LXX29" s="172"/>
      <c r="LXY29" s="172"/>
      <c r="LXZ29" s="172"/>
      <c r="LYA29" s="172"/>
      <c r="LYB29" s="172"/>
      <c r="LYC29" s="172"/>
      <c r="LYD29" s="172"/>
      <c r="LYE29" s="172"/>
      <c r="LYF29" s="172"/>
      <c r="LYG29" s="172"/>
      <c r="LYH29" s="172"/>
      <c r="LYI29" s="172"/>
      <c r="LYJ29" s="172"/>
      <c r="LYK29" s="172"/>
      <c r="LYL29" s="172"/>
      <c r="LYM29" s="172"/>
      <c r="LYN29" s="172"/>
      <c r="LYO29" s="172"/>
      <c r="LYP29" s="172"/>
      <c r="LYQ29" s="172"/>
      <c r="LYR29" s="172"/>
      <c r="LYS29" s="172"/>
      <c r="LYT29" s="172"/>
      <c r="LYU29" s="172"/>
      <c r="LYV29" s="172"/>
      <c r="LYW29" s="172"/>
      <c r="LYX29" s="172"/>
      <c r="LYY29" s="172"/>
      <c r="LYZ29" s="172"/>
      <c r="LZA29" s="172"/>
      <c r="LZB29" s="172"/>
      <c r="LZC29" s="172"/>
      <c r="LZD29" s="172"/>
      <c r="LZE29" s="172"/>
      <c r="LZF29" s="172"/>
      <c r="LZG29" s="172"/>
      <c r="LZH29" s="172"/>
      <c r="LZI29" s="172"/>
      <c r="LZJ29" s="172"/>
      <c r="LZK29" s="172"/>
      <c r="LZL29" s="172"/>
      <c r="LZM29" s="172"/>
      <c r="LZN29" s="172"/>
      <c r="LZO29" s="172"/>
      <c r="LZP29" s="172"/>
      <c r="LZQ29" s="172"/>
      <c r="LZR29" s="172"/>
      <c r="LZS29" s="172"/>
      <c r="LZT29" s="172"/>
      <c r="LZU29" s="172"/>
      <c r="LZV29" s="172"/>
      <c r="LZW29" s="172"/>
      <c r="LZX29" s="172"/>
      <c r="LZY29" s="172"/>
      <c r="LZZ29" s="172"/>
      <c r="MAA29" s="172"/>
      <c r="MAB29" s="172"/>
      <c r="MAC29" s="172"/>
      <c r="MAD29" s="172"/>
      <c r="MAE29" s="172"/>
      <c r="MAF29" s="172"/>
      <c r="MAG29" s="172"/>
      <c r="MAH29" s="172"/>
      <c r="MAI29" s="172"/>
      <c r="MAJ29" s="172"/>
      <c r="MAK29" s="172"/>
      <c r="MAL29" s="172"/>
      <c r="MAM29" s="172"/>
      <c r="MAN29" s="172"/>
      <c r="MAO29" s="172"/>
      <c r="MAP29" s="172"/>
      <c r="MAQ29" s="172"/>
      <c r="MAR29" s="172"/>
      <c r="MAS29" s="172"/>
      <c r="MAT29" s="172"/>
      <c r="MAU29" s="172"/>
      <c r="MAV29" s="172"/>
      <c r="MAW29" s="172"/>
      <c r="MAX29" s="172"/>
      <c r="MAY29" s="172"/>
      <c r="MAZ29" s="172"/>
      <c r="MBA29" s="172"/>
      <c r="MBB29" s="172"/>
      <c r="MBC29" s="172"/>
      <c r="MBD29" s="172"/>
      <c r="MBE29" s="172"/>
      <c r="MBF29" s="172"/>
      <c r="MBG29" s="172"/>
      <c r="MBH29" s="172"/>
      <c r="MBI29" s="172"/>
      <c r="MBJ29" s="172"/>
      <c r="MBK29" s="172"/>
      <c r="MBL29" s="172"/>
      <c r="MBM29" s="172"/>
      <c r="MBN29" s="172"/>
      <c r="MBO29" s="172"/>
      <c r="MBP29" s="172"/>
      <c r="MBQ29" s="172"/>
      <c r="MBR29" s="172"/>
      <c r="MBS29" s="172"/>
      <c r="MBT29" s="172"/>
      <c r="MBU29" s="172"/>
      <c r="MBV29" s="172"/>
      <c r="MBW29" s="172"/>
      <c r="MBX29" s="172"/>
      <c r="MBY29" s="172"/>
      <c r="MBZ29" s="172"/>
      <c r="MCA29" s="172"/>
      <c r="MCB29" s="172"/>
      <c r="MCC29" s="172"/>
      <c r="MCD29" s="172"/>
      <c r="MCE29" s="172"/>
      <c r="MCF29" s="172"/>
      <c r="MCG29" s="172"/>
      <c r="MCH29" s="172"/>
      <c r="MCI29" s="172"/>
      <c r="MCJ29" s="172"/>
      <c r="MCK29" s="172"/>
      <c r="MCL29" s="172"/>
      <c r="MCM29" s="172"/>
      <c r="MCN29" s="172"/>
      <c r="MCO29" s="172"/>
      <c r="MCP29" s="172"/>
      <c r="MCQ29" s="172"/>
      <c r="MCR29" s="172"/>
      <c r="MCS29" s="172"/>
      <c r="MCT29" s="172"/>
      <c r="MCU29" s="172"/>
      <c r="MCV29" s="172"/>
      <c r="MCW29" s="172"/>
      <c r="MCX29" s="172"/>
      <c r="MCY29" s="172"/>
      <c r="MCZ29" s="172"/>
      <c r="MDA29" s="172"/>
      <c r="MDB29" s="172"/>
      <c r="MDC29" s="172"/>
      <c r="MDD29" s="172"/>
      <c r="MDE29" s="172"/>
      <c r="MDF29" s="172"/>
      <c r="MDG29" s="172"/>
      <c r="MDH29" s="172"/>
      <c r="MDI29" s="172"/>
      <c r="MDJ29" s="172"/>
      <c r="MDK29" s="172"/>
      <c r="MDL29" s="172"/>
      <c r="MDM29" s="172"/>
      <c r="MDN29" s="172"/>
      <c r="MDO29" s="172"/>
      <c r="MDP29" s="172"/>
      <c r="MDQ29" s="172"/>
      <c r="MDR29" s="172"/>
      <c r="MDS29" s="172"/>
      <c r="MDT29" s="172"/>
      <c r="MDU29" s="172"/>
      <c r="MDV29" s="172"/>
      <c r="MDW29" s="172"/>
      <c r="MDX29" s="172"/>
      <c r="MDY29" s="172"/>
      <c r="MDZ29" s="172"/>
      <c r="MEA29" s="172"/>
      <c r="MEB29" s="172"/>
      <c r="MEC29" s="172"/>
      <c r="MED29" s="172"/>
      <c r="MEE29" s="172"/>
      <c r="MEF29" s="172"/>
      <c r="MEG29" s="172"/>
      <c r="MEH29" s="172"/>
      <c r="MEI29" s="172"/>
      <c r="MEJ29" s="172"/>
      <c r="MEK29" s="172"/>
      <c r="MEL29" s="172"/>
      <c r="MEM29" s="172"/>
      <c r="MEN29" s="172"/>
      <c r="MEO29" s="172"/>
      <c r="MEP29" s="172"/>
      <c r="MEQ29" s="172"/>
      <c r="MER29" s="172"/>
      <c r="MES29" s="172"/>
      <c r="MET29" s="172"/>
      <c r="MEU29" s="172"/>
      <c r="MEV29" s="172"/>
      <c r="MEW29" s="172"/>
      <c r="MEX29" s="172"/>
      <c r="MEY29" s="172"/>
      <c r="MEZ29" s="172"/>
      <c r="MFA29" s="172"/>
      <c r="MFB29" s="172"/>
      <c r="MFC29" s="172"/>
      <c r="MFD29" s="172"/>
      <c r="MFE29" s="172"/>
      <c r="MFF29" s="172"/>
      <c r="MFG29" s="172"/>
      <c r="MFH29" s="172"/>
      <c r="MFI29" s="172"/>
      <c r="MFJ29" s="172"/>
      <c r="MFK29" s="172"/>
      <c r="MFL29" s="172"/>
      <c r="MFM29" s="172"/>
      <c r="MFN29" s="172"/>
      <c r="MFO29" s="172"/>
      <c r="MFP29" s="172"/>
      <c r="MFQ29" s="172"/>
      <c r="MFR29" s="172"/>
      <c r="MFS29" s="172"/>
      <c r="MFT29" s="172"/>
      <c r="MFU29" s="172"/>
      <c r="MFV29" s="172"/>
      <c r="MFW29" s="172"/>
      <c r="MFX29" s="172"/>
      <c r="MFY29" s="172"/>
      <c r="MFZ29" s="172"/>
      <c r="MGA29" s="172"/>
      <c r="MGB29" s="172"/>
      <c r="MGC29" s="172"/>
      <c r="MGD29" s="172"/>
      <c r="MGE29" s="172"/>
      <c r="MGF29" s="172"/>
      <c r="MGG29" s="172"/>
      <c r="MGH29" s="172"/>
      <c r="MGI29" s="172"/>
      <c r="MGJ29" s="172"/>
      <c r="MGK29" s="172"/>
      <c r="MGL29" s="172"/>
      <c r="MGM29" s="172"/>
      <c r="MGN29" s="172"/>
      <c r="MGO29" s="172"/>
      <c r="MGP29" s="172"/>
      <c r="MGQ29" s="172"/>
      <c r="MGR29" s="172"/>
      <c r="MGS29" s="172"/>
      <c r="MGT29" s="172"/>
      <c r="MGU29" s="172"/>
      <c r="MGV29" s="172"/>
      <c r="MGW29" s="172"/>
      <c r="MGX29" s="172"/>
      <c r="MGY29" s="172"/>
      <c r="MGZ29" s="172"/>
      <c r="MHA29" s="172"/>
      <c r="MHB29" s="172"/>
      <c r="MHC29" s="172"/>
      <c r="MHD29" s="172"/>
      <c r="MHE29" s="172"/>
      <c r="MHF29" s="172"/>
      <c r="MHG29" s="172"/>
      <c r="MHH29" s="172"/>
      <c r="MHI29" s="172"/>
      <c r="MHJ29" s="172"/>
      <c r="MHK29" s="172"/>
      <c r="MHL29" s="172"/>
      <c r="MHM29" s="172"/>
      <c r="MHN29" s="172"/>
      <c r="MHO29" s="172"/>
      <c r="MHP29" s="172"/>
      <c r="MHQ29" s="172"/>
      <c r="MHR29" s="172"/>
      <c r="MHS29" s="172"/>
      <c r="MHT29" s="172"/>
      <c r="MHU29" s="172"/>
      <c r="MHV29" s="172"/>
      <c r="MHW29" s="172"/>
      <c r="MHX29" s="172"/>
      <c r="MHY29" s="172"/>
      <c r="MHZ29" s="172"/>
      <c r="MIA29" s="172"/>
      <c r="MIB29" s="172"/>
      <c r="MIC29" s="172"/>
      <c r="MID29" s="172"/>
      <c r="MIE29" s="172"/>
      <c r="MIF29" s="172"/>
      <c r="MIG29" s="172"/>
      <c r="MIH29" s="172"/>
      <c r="MII29" s="172"/>
      <c r="MIJ29" s="172"/>
      <c r="MIK29" s="172"/>
      <c r="MIL29" s="172"/>
      <c r="MIM29" s="172"/>
      <c r="MIN29" s="172"/>
      <c r="MIO29" s="172"/>
      <c r="MIP29" s="172"/>
      <c r="MIQ29" s="172"/>
      <c r="MIR29" s="172"/>
      <c r="MIS29" s="172"/>
      <c r="MIT29" s="172"/>
      <c r="MIU29" s="172"/>
      <c r="MIV29" s="172"/>
      <c r="MIW29" s="172"/>
      <c r="MIX29" s="172"/>
      <c r="MIY29" s="172"/>
      <c r="MIZ29" s="172"/>
      <c r="MJA29" s="172"/>
      <c r="MJB29" s="172"/>
      <c r="MJC29" s="172"/>
      <c r="MJD29" s="172"/>
      <c r="MJE29" s="172"/>
      <c r="MJF29" s="172"/>
      <c r="MJG29" s="172"/>
      <c r="MJH29" s="172"/>
      <c r="MJI29" s="172"/>
      <c r="MJJ29" s="172"/>
      <c r="MJK29" s="172"/>
      <c r="MJL29" s="172"/>
      <c r="MJM29" s="172"/>
      <c r="MJN29" s="172"/>
      <c r="MJO29" s="172"/>
      <c r="MJP29" s="172"/>
      <c r="MJQ29" s="172"/>
      <c r="MJR29" s="172"/>
      <c r="MJS29" s="172"/>
      <c r="MJT29" s="172"/>
      <c r="MJU29" s="172"/>
      <c r="MJV29" s="172"/>
      <c r="MJW29" s="172"/>
      <c r="MJX29" s="172"/>
      <c r="MJY29" s="172"/>
      <c r="MJZ29" s="172"/>
      <c r="MKA29" s="172"/>
      <c r="MKB29" s="172"/>
      <c r="MKC29" s="172"/>
      <c r="MKD29" s="172"/>
      <c r="MKE29" s="172"/>
      <c r="MKF29" s="172"/>
      <c r="MKG29" s="172"/>
      <c r="MKH29" s="172"/>
      <c r="MKI29" s="172"/>
      <c r="MKJ29" s="172"/>
      <c r="MKK29" s="172"/>
      <c r="MKL29" s="172"/>
      <c r="MKM29" s="172"/>
      <c r="MKN29" s="172"/>
      <c r="MKO29" s="172"/>
      <c r="MKP29" s="172"/>
      <c r="MKQ29" s="172"/>
      <c r="MKR29" s="172"/>
      <c r="MKS29" s="172"/>
      <c r="MKT29" s="172"/>
      <c r="MKU29" s="172"/>
      <c r="MKV29" s="172"/>
      <c r="MKW29" s="172"/>
      <c r="MKX29" s="172"/>
      <c r="MKY29" s="172"/>
      <c r="MKZ29" s="172"/>
      <c r="MLA29" s="172"/>
      <c r="MLB29" s="172"/>
      <c r="MLC29" s="172"/>
      <c r="MLD29" s="172"/>
      <c r="MLE29" s="172"/>
      <c r="MLF29" s="172"/>
      <c r="MLG29" s="172"/>
      <c r="MLH29" s="172"/>
      <c r="MLI29" s="172"/>
      <c r="MLJ29" s="172"/>
      <c r="MLK29" s="172"/>
      <c r="MLL29" s="172"/>
      <c r="MLM29" s="172"/>
      <c r="MLN29" s="172"/>
      <c r="MLO29" s="172"/>
      <c r="MLP29" s="172"/>
      <c r="MLQ29" s="172"/>
      <c r="MLR29" s="172"/>
      <c r="MLS29" s="172"/>
      <c r="MLT29" s="172"/>
      <c r="MLU29" s="172"/>
      <c r="MLV29" s="172"/>
      <c r="MLW29" s="172"/>
      <c r="MLX29" s="172"/>
      <c r="MLY29" s="172"/>
      <c r="MLZ29" s="172"/>
      <c r="MMA29" s="172"/>
      <c r="MMB29" s="172"/>
      <c r="MMC29" s="172"/>
      <c r="MMD29" s="172"/>
      <c r="MME29" s="172"/>
      <c r="MMF29" s="172"/>
      <c r="MMG29" s="172"/>
      <c r="MMH29" s="172"/>
      <c r="MMI29" s="172"/>
      <c r="MMJ29" s="172"/>
      <c r="MMK29" s="172"/>
      <c r="MML29" s="172"/>
      <c r="MMM29" s="172"/>
      <c r="MMN29" s="172"/>
      <c r="MMO29" s="172"/>
      <c r="MMP29" s="172"/>
      <c r="MMQ29" s="172"/>
      <c r="MMR29" s="172"/>
      <c r="MMS29" s="172"/>
      <c r="MMT29" s="172"/>
      <c r="MMU29" s="172"/>
      <c r="MMV29" s="172"/>
      <c r="MMW29" s="172"/>
      <c r="MMX29" s="172"/>
      <c r="MMY29" s="172"/>
      <c r="MMZ29" s="172"/>
      <c r="MNA29" s="172"/>
      <c r="MNB29" s="172"/>
      <c r="MNC29" s="172"/>
      <c r="MND29" s="172"/>
      <c r="MNE29" s="172"/>
      <c r="MNF29" s="172"/>
      <c r="MNG29" s="172"/>
      <c r="MNH29" s="172"/>
      <c r="MNI29" s="172"/>
      <c r="MNJ29" s="172"/>
      <c r="MNK29" s="172"/>
      <c r="MNL29" s="172"/>
      <c r="MNM29" s="172"/>
      <c r="MNN29" s="172"/>
      <c r="MNO29" s="172"/>
      <c r="MNP29" s="172"/>
      <c r="MNQ29" s="172"/>
      <c r="MNR29" s="172"/>
      <c r="MNS29" s="172"/>
      <c r="MNT29" s="172"/>
      <c r="MNU29" s="172"/>
      <c r="MNV29" s="172"/>
      <c r="MNW29" s="172"/>
      <c r="MNX29" s="172"/>
      <c r="MNY29" s="172"/>
      <c r="MNZ29" s="172"/>
      <c r="MOA29" s="172"/>
      <c r="MOB29" s="172"/>
      <c r="MOC29" s="172"/>
      <c r="MOD29" s="172"/>
      <c r="MOE29" s="172"/>
      <c r="MOF29" s="172"/>
      <c r="MOG29" s="172"/>
      <c r="MOH29" s="172"/>
      <c r="MOI29" s="172"/>
      <c r="MOJ29" s="172"/>
      <c r="MOK29" s="172"/>
      <c r="MOL29" s="172"/>
      <c r="MOM29" s="172"/>
      <c r="MON29" s="172"/>
      <c r="MOO29" s="172"/>
      <c r="MOP29" s="172"/>
      <c r="MOQ29" s="172"/>
      <c r="MOR29" s="172"/>
      <c r="MOS29" s="172"/>
      <c r="MOT29" s="172"/>
      <c r="MOU29" s="172"/>
      <c r="MOV29" s="172"/>
      <c r="MOW29" s="172"/>
      <c r="MOX29" s="172"/>
      <c r="MOY29" s="172"/>
      <c r="MOZ29" s="172"/>
      <c r="MPA29" s="172"/>
      <c r="MPB29" s="172"/>
      <c r="MPC29" s="172"/>
      <c r="MPD29" s="172"/>
      <c r="MPE29" s="172"/>
      <c r="MPF29" s="172"/>
      <c r="MPG29" s="172"/>
      <c r="MPH29" s="172"/>
      <c r="MPI29" s="172"/>
      <c r="MPJ29" s="172"/>
      <c r="MPK29" s="172"/>
      <c r="MPL29" s="172"/>
      <c r="MPM29" s="172"/>
      <c r="MPN29" s="172"/>
      <c r="MPO29" s="172"/>
      <c r="MPP29" s="172"/>
      <c r="MPQ29" s="172"/>
      <c r="MPR29" s="172"/>
      <c r="MPS29" s="172"/>
      <c r="MPT29" s="172"/>
      <c r="MPU29" s="172"/>
      <c r="MPV29" s="172"/>
      <c r="MPW29" s="172"/>
      <c r="MPX29" s="172"/>
      <c r="MPY29" s="172"/>
      <c r="MPZ29" s="172"/>
      <c r="MQA29" s="172"/>
      <c r="MQB29" s="172"/>
      <c r="MQC29" s="172"/>
      <c r="MQD29" s="172"/>
      <c r="MQE29" s="172"/>
      <c r="MQF29" s="172"/>
      <c r="MQG29" s="172"/>
      <c r="MQH29" s="172"/>
      <c r="MQI29" s="172"/>
      <c r="MQJ29" s="172"/>
      <c r="MQK29" s="172"/>
      <c r="MQL29" s="172"/>
      <c r="MQM29" s="172"/>
      <c r="MQN29" s="172"/>
      <c r="MQO29" s="172"/>
      <c r="MQP29" s="172"/>
      <c r="MQQ29" s="172"/>
      <c r="MQR29" s="172"/>
      <c r="MQS29" s="172"/>
      <c r="MQT29" s="172"/>
      <c r="MQU29" s="172"/>
      <c r="MQV29" s="172"/>
      <c r="MQW29" s="172"/>
      <c r="MQX29" s="172"/>
      <c r="MQY29" s="172"/>
      <c r="MQZ29" s="172"/>
      <c r="MRA29" s="172"/>
      <c r="MRB29" s="172"/>
      <c r="MRC29" s="172"/>
      <c r="MRD29" s="172"/>
      <c r="MRE29" s="172"/>
      <c r="MRF29" s="172"/>
      <c r="MRG29" s="172"/>
      <c r="MRH29" s="172"/>
      <c r="MRI29" s="172"/>
      <c r="MRJ29" s="172"/>
      <c r="MRK29" s="172"/>
      <c r="MRL29" s="172"/>
      <c r="MRM29" s="172"/>
      <c r="MRN29" s="172"/>
      <c r="MRO29" s="172"/>
      <c r="MRP29" s="172"/>
      <c r="MRQ29" s="172"/>
      <c r="MRR29" s="172"/>
      <c r="MRS29" s="172"/>
      <c r="MRT29" s="172"/>
      <c r="MRU29" s="172"/>
      <c r="MRV29" s="172"/>
      <c r="MRW29" s="172"/>
      <c r="MRX29" s="172"/>
      <c r="MRY29" s="172"/>
      <c r="MRZ29" s="172"/>
      <c r="MSA29" s="172"/>
      <c r="MSB29" s="172"/>
      <c r="MSC29" s="172"/>
      <c r="MSD29" s="172"/>
      <c r="MSE29" s="172"/>
      <c r="MSF29" s="172"/>
      <c r="MSG29" s="172"/>
      <c r="MSH29" s="172"/>
      <c r="MSI29" s="172"/>
      <c r="MSJ29" s="172"/>
      <c r="MSK29" s="172"/>
      <c r="MSL29" s="172"/>
      <c r="MSM29" s="172"/>
      <c r="MSN29" s="172"/>
      <c r="MSO29" s="172"/>
      <c r="MSP29" s="172"/>
      <c r="MSQ29" s="172"/>
      <c r="MSR29" s="172"/>
      <c r="MSS29" s="172"/>
      <c r="MST29" s="172"/>
      <c r="MSU29" s="172"/>
      <c r="MSV29" s="172"/>
      <c r="MSW29" s="172"/>
      <c r="MSX29" s="172"/>
      <c r="MSY29" s="172"/>
      <c r="MSZ29" s="172"/>
      <c r="MTA29" s="172"/>
      <c r="MTB29" s="172"/>
      <c r="MTC29" s="172"/>
      <c r="MTD29" s="172"/>
      <c r="MTE29" s="172"/>
      <c r="MTF29" s="172"/>
      <c r="MTG29" s="172"/>
      <c r="MTH29" s="172"/>
      <c r="MTI29" s="172"/>
      <c r="MTJ29" s="172"/>
      <c r="MTK29" s="172"/>
      <c r="MTL29" s="172"/>
      <c r="MTM29" s="172"/>
      <c r="MTN29" s="172"/>
      <c r="MTO29" s="172"/>
      <c r="MTP29" s="172"/>
      <c r="MTQ29" s="172"/>
      <c r="MTR29" s="172"/>
      <c r="MTS29" s="172"/>
      <c r="MTT29" s="172"/>
      <c r="MTU29" s="172"/>
      <c r="MTV29" s="172"/>
      <c r="MTW29" s="172"/>
      <c r="MTX29" s="172"/>
      <c r="MTY29" s="172"/>
      <c r="MTZ29" s="172"/>
      <c r="MUA29" s="172"/>
      <c r="MUB29" s="172"/>
      <c r="MUC29" s="172"/>
      <c r="MUD29" s="172"/>
      <c r="MUE29" s="172"/>
      <c r="MUF29" s="172"/>
      <c r="MUG29" s="172"/>
      <c r="MUH29" s="172"/>
      <c r="MUI29" s="172"/>
      <c r="MUJ29" s="172"/>
      <c r="MUK29" s="172"/>
      <c r="MUL29" s="172"/>
      <c r="MUM29" s="172"/>
      <c r="MUN29" s="172"/>
      <c r="MUO29" s="172"/>
      <c r="MUP29" s="172"/>
      <c r="MUQ29" s="172"/>
      <c r="MUR29" s="172"/>
      <c r="MUS29" s="172"/>
      <c r="MUT29" s="172"/>
      <c r="MUU29" s="172"/>
      <c r="MUV29" s="172"/>
      <c r="MUW29" s="172"/>
      <c r="MUX29" s="172"/>
      <c r="MUY29" s="172"/>
      <c r="MUZ29" s="172"/>
      <c r="MVA29" s="172"/>
      <c r="MVB29" s="172"/>
      <c r="MVC29" s="172"/>
      <c r="MVD29" s="172"/>
      <c r="MVE29" s="172"/>
      <c r="MVF29" s="172"/>
      <c r="MVG29" s="172"/>
      <c r="MVH29" s="172"/>
      <c r="MVI29" s="172"/>
      <c r="MVJ29" s="172"/>
      <c r="MVK29" s="172"/>
      <c r="MVL29" s="172"/>
      <c r="MVM29" s="172"/>
      <c r="MVN29" s="172"/>
      <c r="MVO29" s="172"/>
      <c r="MVP29" s="172"/>
      <c r="MVQ29" s="172"/>
      <c r="MVR29" s="172"/>
      <c r="MVS29" s="172"/>
      <c r="MVT29" s="172"/>
      <c r="MVU29" s="172"/>
      <c r="MVV29" s="172"/>
      <c r="MVW29" s="172"/>
      <c r="MVX29" s="172"/>
      <c r="MVY29" s="172"/>
      <c r="MVZ29" s="172"/>
      <c r="MWA29" s="172"/>
      <c r="MWB29" s="172"/>
      <c r="MWC29" s="172"/>
      <c r="MWD29" s="172"/>
      <c r="MWE29" s="172"/>
      <c r="MWF29" s="172"/>
      <c r="MWG29" s="172"/>
      <c r="MWH29" s="172"/>
      <c r="MWI29" s="172"/>
      <c r="MWJ29" s="172"/>
      <c r="MWK29" s="172"/>
      <c r="MWL29" s="172"/>
      <c r="MWM29" s="172"/>
      <c r="MWN29" s="172"/>
      <c r="MWO29" s="172"/>
      <c r="MWP29" s="172"/>
      <c r="MWQ29" s="172"/>
      <c r="MWR29" s="172"/>
      <c r="MWS29" s="172"/>
      <c r="MWT29" s="172"/>
      <c r="MWU29" s="172"/>
      <c r="MWV29" s="172"/>
      <c r="MWW29" s="172"/>
      <c r="MWX29" s="172"/>
      <c r="MWY29" s="172"/>
      <c r="MWZ29" s="172"/>
      <c r="MXA29" s="172"/>
      <c r="MXB29" s="172"/>
      <c r="MXC29" s="172"/>
      <c r="MXD29" s="172"/>
      <c r="MXE29" s="172"/>
      <c r="MXF29" s="172"/>
      <c r="MXG29" s="172"/>
      <c r="MXH29" s="172"/>
      <c r="MXI29" s="172"/>
      <c r="MXJ29" s="172"/>
      <c r="MXK29" s="172"/>
      <c r="MXL29" s="172"/>
      <c r="MXM29" s="172"/>
      <c r="MXN29" s="172"/>
      <c r="MXO29" s="172"/>
      <c r="MXP29" s="172"/>
      <c r="MXQ29" s="172"/>
      <c r="MXR29" s="172"/>
      <c r="MXS29" s="172"/>
      <c r="MXT29" s="172"/>
      <c r="MXU29" s="172"/>
      <c r="MXV29" s="172"/>
      <c r="MXW29" s="172"/>
      <c r="MXX29" s="172"/>
      <c r="MXY29" s="172"/>
      <c r="MXZ29" s="172"/>
      <c r="MYA29" s="172"/>
      <c r="MYB29" s="172"/>
      <c r="MYC29" s="172"/>
      <c r="MYD29" s="172"/>
      <c r="MYE29" s="172"/>
      <c r="MYF29" s="172"/>
      <c r="MYG29" s="172"/>
      <c r="MYH29" s="172"/>
      <c r="MYI29" s="172"/>
      <c r="MYJ29" s="172"/>
      <c r="MYK29" s="172"/>
      <c r="MYL29" s="172"/>
      <c r="MYM29" s="172"/>
      <c r="MYN29" s="172"/>
      <c r="MYO29" s="172"/>
      <c r="MYP29" s="172"/>
      <c r="MYQ29" s="172"/>
      <c r="MYR29" s="172"/>
      <c r="MYS29" s="172"/>
      <c r="MYT29" s="172"/>
      <c r="MYU29" s="172"/>
      <c r="MYV29" s="172"/>
      <c r="MYW29" s="172"/>
      <c r="MYX29" s="172"/>
      <c r="MYY29" s="172"/>
      <c r="MYZ29" s="172"/>
      <c r="MZA29" s="172"/>
      <c r="MZB29" s="172"/>
      <c r="MZC29" s="172"/>
      <c r="MZD29" s="172"/>
      <c r="MZE29" s="172"/>
      <c r="MZF29" s="172"/>
      <c r="MZG29" s="172"/>
      <c r="MZH29" s="172"/>
      <c r="MZI29" s="172"/>
      <c r="MZJ29" s="172"/>
      <c r="MZK29" s="172"/>
      <c r="MZL29" s="172"/>
      <c r="MZM29" s="172"/>
      <c r="MZN29" s="172"/>
      <c r="MZO29" s="172"/>
      <c r="MZP29" s="172"/>
      <c r="MZQ29" s="172"/>
      <c r="MZR29" s="172"/>
      <c r="MZS29" s="172"/>
      <c r="MZT29" s="172"/>
      <c r="MZU29" s="172"/>
      <c r="MZV29" s="172"/>
      <c r="MZW29" s="172"/>
      <c r="MZX29" s="172"/>
      <c r="MZY29" s="172"/>
      <c r="MZZ29" s="172"/>
      <c r="NAA29" s="172"/>
      <c r="NAB29" s="172"/>
      <c r="NAC29" s="172"/>
      <c r="NAD29" s="172"/>
      <c r="NAE29" s="172"/>
      <c r="NAF29" s="172"/>
      <c r="NAG29" s="172"/>
      <c r="NAH29" s="172"/>
      <c r="NAI29" s="172"/>
      <c r="NAJ29" s="172"/>
      <c r="NAK29" s="172"/>
      <c r="NAL29" s="172"/>
      <c r="NAM29" s="172"/>
      <c r="NAN29" s="172"/>
      <c r="NAO29" s="172"/>
      <c r="NAP29" s="172"/>
      <c r="NAQ29" s="172"/>
      <c r="NAR29" s="172"/>
      <c r="NAS29" s="172"/>
      <c r="NAT29" s="172"/>
      <c r="NAU29" s="172"/>
      <c r="NAV29" s="172"/>
      <c r="NAW29" s="172"/>
      <c r="NAX29" s="172"/>
      <c r="NAY29" s="172"/>
      <c r="NAZ29" s="172"/>
      <c r="NBA29" s="172"/>
      <c r="NBB29" s="172"/>
      <c r="NBC29" s="172"/>
      <c r="NBD29" s="172"/>
      <c r="NBE29" s="172"/>
      <c r="NBF29" s="172"/>
      <c r="NBG29" s="172"/>
      <c r="NBH29" s="172"/>
      <c r="NBI29" s="172"/>
      <c r="NBJ29" s="172"/>
      <c r="NBK29" s="172"/>
      <c r="NBL29" s="172"/>
      <c r="NBM29" s="172"/>
      <c r="NBN29" s="172"/>
      <c r="NBO29" s="172"/>
      <c r="NBP29" s="172"/>
      <c r="NBQ29" s="172"/>
      <c r="NBR29" s="172"/>
      <c r="NBS29" s="172"/>
      <c r="NBT29" s="172"/>
      <c r="NBU29" s="172"/>
      <c r="NBV29" s="172"/>
      <c r="NBW29" s="172"/>
      <c r="NBX29" s="172"/>
      <c r="NBY29" s="172"/>
      <c r="NBZ29" s="172"/>
      <c r="NCA29" s="172"/>
      <c r="NCB29" s="172"/>
      <c r="NCC29" s="172"/>
      <c r="NCD29" s="172"/>
      <c r="NCE29" s="172"/>
      <c r="NCF29" s="172"/>
      <c r="NCG29" s="172"/>
      <c r="NCH29" s="172"/>
      <c r="NCI29" s="172"/>
      <c r="NCJ29" s="172"/>
      <c r="NCK29" s="172"/>
      <c r="NCL29" s="172"/>
      <c r="NCM29" s="172"/>
      <c r="NCN29" s="172"/>
      <c r="NCO29" s="172"/>
      <c r="NCP29" s="172"/>
      <c r="NCQ29" s="172"/>
      <c r="NCR29" s="172"/>
      <c r="NCS29" s="172"/>
      <c r="NCT29" s="172"/>
      <c r="NCU29" s="172"/>
      <c r="NCV29" s="172"/>
      <c r="NCW29" s="172"/>
      <c r="NCX29" s="172"/>
      <c r="NCY29" s="172"/>
      <c r="NCZ29" s="172"/>
      <c r="NDA29" s="172"/>
      <c r="NDB29" s="172"/>
      <c r="NDC29" s="172"/>
      <c r="NDD29" s="172"/>
      <c r="NDE29" s="172"/>
      <c r="NDF29" s="172"/>
      <c r="NDG29" s="172"/>
      <c r="NDH29" s="172"/>
      <c r="NDI29" s="172"/>
      <c r="NDJ29" s="172"/>
      <c r="NDK29" s="172"/>
      <c r="NDL29" s="172"/>
      <c r="NDM29" s="172"/>
      <c r="NDN29" s="172"/>
      <c r="NDO29" s="172"/>
      <c r="NDP29" s="172"/>
      <c r="NDQ29" s="172"/>
      <c r="NDR29" s="172"/>
      <c r="NDS29" s="172"/>
      <c r="NDT29" s="172"/>
      <c r="NDU29" s="172"/>
      <c r="NDV29" s="172"/>
      <c r="NDW29" s="172"/>
      <c r="NDX29" s="172"/>
      <c r="NDY29" s="172"/>
      <c r="NDZ29" s="172"/>
      <c r="NEA29" s="172"/>
      <c r="NEB29" s="172"/>
      <c r="NEC29" s="172"/>
      <c r="NED29" s="172"/>
      <c r="NEE29" s="172"/>
      <c r="NEF29" s="172"/>
      <c r="NEG29" s="172"/>
      <c r="NEH29" s="172"/>
      <c r="NEI29" s="172"/>
      <c r="NEJ29" s="172"/>
      <c r="NEK29" s="172"/>
      <c r="NEL29" s="172"/>
      <c r="NEM29" s="172"/>
      <c r="NEN29" s="172"/>
      <c r="NEO29" s="172"/>
      <c r="NEP29" s="172"/>
      <c r="NEQ29" s="172"/>
      <c r="NER29" s="172"/>
      <c r="NES29" s="172"/>
      <c r="NET29" s="172"/>
      <c r="NEU29" s="172"/>
      <c r="NEV29" s="172"/>
      <c r="NEW29" s="172"/>
      <c r="NEX29" s="172"/>
      <c r="NEY29" s="172"/>
      <c r="NEZ29" s="172"/>
      <c r="NFA29" s="172"/>
      <c r="NFB29" s="172"/>
      <c r="NFC29" s="172"/>
      <c r="NFD29" s="172"/>
      <c r="NFE29" s="172"/>
      <c r="NFF29" s="172"/>
      <c r="NFG29" s="172"/>
      <c r="NFH29" s="172"/>
      <c r="NFI29" s="172"/>
      <c r="NFJ29" s="172"/>
      <c r="NFK29" s="172"/>
      <c r="NFL29" s="172"/>
      <c r="NFM29" s="172"/>
      <c r="NFN29" s="172"/>
      <c r="NFO29" s="172"/>
      <c r="NFP29" s="172"/>
      <c r="NFQ29" s="172"/>
      <c r="NFR29" s="172"/>
      <c r="NFS29" s="172"/>
      <c r="NFT29" s="172"/>
      <c r="NFU29" s="172"/>
      <c r="NFV29" s="172"/>
      <c r="NFW29" s="172"/>
      <c r="NFX29" s="172"/>
      <c r="NFY29" s="172"/>
      <c r="NFZ29" s="172"/>
      <c r="NGA29" s="172"/>
      <c r="NGB29" s="172"/>
      <c r="NGC29" s="172"/>
      <c r="NGD29" s="172"/>
      <c r="NGE29" s="172"/>
      <c r="NGF29" s="172"/>
      <c r="NGG29" s="172"/>
      <c r="NGH29" s="172"/>
      <c r="NGI29" s="172"/>
      <c r="NGJ29" s="172"/>
      <c r="NGK29" s="172"/>
      <c r="NGL29" s="172"/>
      <c r="NGM29" s="172"/>
      <c r="NGN29" s="172"/>
      <c r="NGO29" s="172"/>
      <c r="NGP29" s="172"/>
      <c r="NGQ29" s="172"/>
      <c r="NGR29" s="172"/>
      <c r="NGS29" s="172"/>
      <c r="NGT29" s="172"/>
      <c r="NGU29" s="172"/>
      <c r="NGV29" s="172"/>
      <c r="NGW29" s="172"/>
      <c r="NGX29" s="172"/>
      <c r="NGY29" s="172"/>
      <c r="NGZ29" s="172"/>
      <c r="NHA29" s="172"/>
      <c r="NHB29" s="172"/>
      <c r="NHC29" s="172"/>
      <c r="NHD29" s="172"/>
      <c r="NHE29" s="172"/>
      <c r="NHF29" s="172"/>
      <c r="NHG29" s="172"/>
      <c r="NHH29" s="172"/>
      <c r="NHI29" s="172"/>
      <c r="NHJ29" s="172"/>
      <c r="NHK29" s="172"/>
      <c r="NHL29" s="172"/>
      <c r="NHM29" s="172"/>
      <c r="NHN29" s="172"/>
      <c r="NHO29" s="172"/>
      <c r="NHP29" s="172"/>
      <c r="NHQ29" s="172"/>
      <c r="NHR29" s="172"/>
      <c r="NHS29" s="172"/>
      <c r="NHT29" s="172"/>
      <c r="NHU29" s="172"/>
      <c r="NHV29" s="172"/>
      <c r="NHW29" s="172"/>
      <c r="NHX29" s="172"/>
      <c r="NHY29" s="172"/>
      <c r="NHZ29" s="172"/>
      <c r="NIA29" s="172"/>
      <c r="NIB29" s="172"/>
      <c r="NIC29" s="172"/>
      <c r="NID29" s="172"/>
      <c r="NIE29" s="172"/>
      <c r="NIF29" s="172"/>
      <c r="NIG29" s="172"/>
      <c r="NIH29" s="172"/>
      <c r="NII29" s="172"/>
      <c r="NIJ29" s="172"/>
      <c r="NIK29" s="172"/>
      <c r="NIL29" s="172"/>
      <c r="NIM29" s="172"/>
      <c r="NIN29" s="172"/>
      <c r="NIO29" s="172"/>
      <c r="NIP29" s="172"/>
      <c r="NIQ29" s="172"/>
      <c r="NIR29" s="172"/>
      <c r="NIS29" s="172"/>
      <c r="NIT29" s="172"/>
      <c r="NIU29" s="172"/>
      <c r="NIV29" s="172"/>
      <c r="NIW29" s="172"/>
      <c r="NIX29" s="172"/>
      <c r="NIY29" s="172"/>
      <c r="NIZ29" s="172"/>
      <c r="NJA29" s="172"/>
      <c r="NJB29" s="172"/>
      <c r="NJC29" s="172"/>
      <c r="NJD29" s="172"/>
      <c r="NJE29" s="172"/>
      <c r="NJF29" s="172"/>
      <c r="NJG29" s="172"/>
      <c r="NJH29" s="172"/>
      <c r="NJI29" s="172"/>
      <c r="NJJ29" s="172"/>
      <c r="NJK29" s="172"/>
      <c r="NJL29" s="172"/>
      <c r="NJM29" s="172"/>
      <c r="NJN29" s="172"/>
      <c r="NJO29" s="172"/>
      <c r="NJP29" s="172"/>
      <c r="NJQ29" s="172"/>
      <c r="NJR29" s="172"/>
      <c r="NJS29" s="172"/>
      <c r="NJT29" s="172"/>
      <c r="NJU29" s="172"/>
      <c r="NJV29" s="172"/>
      <c r="NJW29" s="172"/>
      <c r="NJX29" s="172"/>
      <c r="NJY29" s="172"/>
      <c r="NJZ29" s="172"/>
      <c r="NKA29" s="172"/>
      <c r="NKB29" s="172"/>
      <c r="NKC29" s="172"/>
      <c r="NKD29" s="172"/>
      <c r="NKE29" s="172"/>
      <c r="NKF29" s="172"/>
      <c r="NKG29" s="172"/>
      <c r="NKH29" s="172"/>
      <c r="NKI29" s="172"/>
      <c r="NKJ29" s="172"/>
      <c r="NKK29" s="172"/>
      <c r="NKL29" s="172"/>
      <c r="NKM29" s="172"/>
      <c r="NKN29" s="172"/>
      <c r="NKO29" s="172"/>
      <c r="NKP29" s="172"/>
      <c r="NKQ29" s="172"/>
      <c r="NKR29" s="172"/>
      <c r="NKS29" s="172"/>
      <c r="NKT29" s="172"/>
      <c r="NKU29" s="172"/>
      <c r="NKV29" s="172"/>
      <c r="NKW29" s="172"/>
      <c r="NKX29" s="172"/>
      <c r="NKY29" s="172"/>
      <c r="NKZ29" s="172"/>
      <c r="NLA29" s="172"/>
      <c r="NLB29" s="172"/>
      <c r="NLC29" s="172"/>
      <c r="NLD29" s="172"/>
      <c r="NLE29" s="172"/>
      <c r="NLF29" s="172"/>
      <c r="NLG29" s="172"/>
      <c r="NLH29" s="172"/>
      <c r="NLI29" s="172"/>
      <c r="NLJ29" s="172"/>
      <c r="NLK29" s="172"/>
      <c r="NLL29" s="172"/>
      <c r="NLM29" s="172"/>
      <c r="NLN29" s="172"/>
      <c r="NLO29" s="172"/>
      <c r="NLP29" s="172"/>
      <c r="NLQ29" s="172"/>
      <c r="NLR29" s="172"/>
      <c r="NLS29" s="172"/>
      <c r="NLT29" s="172"/>
      <c r="NLU29" s="172"/>
      <c r="NLV29" s="172"/>
      <c r="NLW29" s="172"/>
      <c r="NLX29" s="172"/>
      <c r="NLY29" s="172"/>
      <c r="NLZ29" s="172"/>
      <c r="NMA29" s="172"/>
      <c r="NMB29" s="172"/>
      <c r="NMC29" s="172"/>
      <c r="NMD29" s="172"/>
      <c r="NME29" s="172"/>
      <c r="NMF29" s="172"/>
      <c r="NMG29" s="172"/>
      <c r="NMH29" s="172"/>
      <c r="NMI29" s="172"/>
      <c r="NMJ29" s="172"/>
      <c r="NMK29" s="172"/>
      <c r="NML29" s="172"/>
      <c r="NMM29" s="172"/>
      <c r="NMN29" s="172"/>
      <c r="NMO29" s="172"/>
      <c r="NMP29" s="172"/>
      <c r="NMQ29" s="172"/>
      <c r="NMR29" s="172"/>
      <c r="NMS29" s="172"/>
      <c r="NMT29" s="172"/>
      <c r="NMU29" s="172"/>
      <c r="NMV29" s="172"/>
      <c r="NMW29" s="172"/>
      <c r="NMX29" s="172"/>
      <c r="NMY29" s="172"/>
      <c r="NMZ29" s="172"/>
      <c r="NNA29" s="172"/>
      <c r="NNB29" s="172"/>
      <c r="NNC29" s="172"/>
      <c r="NND29" s="172"/>
      <c r="NNE29" s="172"/>
      <c r="NNF29" s="172"/>
      <c r="NNG29" s="172"/>
      <c r="NNH29" s="172"/>
      <c r="NNI29" s="172"/>
      <c r="NNJ29" s="172"/>
      <c r="NNK29" s="172"/>
      <c r="NNL29" s="172"/>
      <c r="NNM29" s="172"/>
      <c r="NNN29" s="172"/>
      <c r="NNO29" s="172"/>
      <c r="NNP29" s="172"/>
      <c r="NNQ29" s="172"/>
      <c r="NNR29" s="172"/>
      <c r="NNS29" s="172"/>
      <c r="NNT29" s="172"/>
      <c r="NNU29" s="172"/>
      <c r="NNV29" s="172"/>
      <c r="NNW29" s="172"/>
      <c r="NNX29" s="172"/>
      <c r="NNY29" s="172"/>
      <c r="NNZ29" s="172"/>
      <c r="NOA29" s="172"/>
      <c r="NOB29" s="172"/>
      <c r="NOC29" s="172"/>
      <c r="NOD29" s="172"/>
      <c r="NOE29" s="172"/>
      <c r="NOF29" s="172"/>
      <c r="NOG29" s="172"/>
      <c r="NOH29" s="172"/>
      <c r="NOI29" s="172"/>
      <c r="NOJ29" s="172"/>
      <c r="NOK29" s="172"/>
      <c r="NOL29" s="172"/>
      <c r="NOM29" s="172"/>
      <c r="NON29" s="172"/>
      <c r="NOO29" s="172"/>
      <c r="NOP29" s="172"/>
      <c r="NOQ29" s="172"/>
      <c r="NOR29" s="172"/>
      <c r="NOS29" s="172"/>
      <c r="NOT29" s="172"/>
      <c r="NOU29" s="172"/>
      <c r="NOV29" s="172"/>
      <c r="NOW29" s="172"/>
      <c r="NOX29" s="172"/>
      <c r="NOY29" s="172"/>
      <c r="NOZ29" s="172"/>
      <c r="NPA29" s="172"/>
      <c r="NPB29" s="172"/>
      <c r="NPC29" s="172"/>
      <c r="NPD29" s="172"/>
      <c r="NPE29" s="172"/>
      <c r="NPF29" s="172"/>
      <c r="NPG29" s="172"/>
      <c r="NPH29" s="172"/>
      <c r="NPI29" s="172"/>
      <c r="NPJ29" s="172"/>
      <c r="NPK29" s="172"/>
      <c r="NPL29" s="172"/>
      <c r="NPM29" s="172"/>
      <c r="NPN29" s="172"/>
      <c r="NPO29" s="172"/>
      <c r="NPP29" s="172"/>
      <c r="NPQ29" s="172"/>
      <c r="NPR29" s="172"/>
      <c r="NPS29" s="172"/>
      <c r="NPT29" s="172"/>
      <c r="NPU29" s="172"/>
      <c r="NPV29" s="172"/>
      <c r="NPW29" s="172"/>
      <c r="NPX29" s="172"/>
      <c r="NPY29" s="172"/>
      <c r="NPZ29" s="172"/>
      <c r="NQA29" s="172"/>
      <c r="NQB29" s="172"/>
      <c r="NQC29" s="172"/>
      <c r="NQD29" s="172"/>
      <c r="NQE29" s="172"/>
      <c r="NQF29" s="172"/>
      <c r="NQG29" s="172"/>
      <c r="NQH29" s="172"/>
      <c r="NQI29" s="172"/>
      <c r="NQJ29" s="172"/>
      <c r="NQK29" s="172"/>
      <c r="NQL29" s="172"/>
      <c r="NQM29" s="172"/>
      <c r="NQN29" s="172"/>
      <c r="NQO29" s="172"/>
      <c r="NQP29" s="172"/>
      <c r="NQQ29" s="172"/>
      <c r="NQR29" s="172"/>
      <c r="NQS29" s="172"/>
      <c r="NQT29" s="172"/>
      <c r="NQU29" s="172"/>
      <c r="NQV29" s="172"/>
      <c r="NQW29" s="172"/>
      <c r="NQX29" s="172"/>
      <c r="NQY29" s="172"/>
      <c r="NQZ29" s="172"/>
      <c r="NRA29" s="172"/>
      <c r="NRB29" s="172"/>
      <c r="NRC29" s="172"/>
      <c r="NRD29" s="172"/>
      <c r="NRE29" s="172"/>
      <c r="NRF29" s="172"/>
      <c r="NRG29" s="172"/>
      <c r="NRH29" s="172"/>
      <c r="NRI29" s="172"/>
      <c r="NRJ29" s="172"/>
      <c r="NRK29" s="172"/>
      <c r="NRL29" s="172"/>
      <c r="NRM29" s="172"/>
      <c r="NRN29" s="172"/>
      <c r="NRO29" s="172"/>
      <c r="NRP29" s="172"/>
      <c r="NRQ29" s="172"/>
      <c r="NRR29" s="172"/>
      <c r="NRS29" s="172"/>
      <c r="NRT29" s="172"/>
      <c r="NRU29" s="172"/>
      <c r="NRV29" s="172"/>
      <c r="NRW29" s="172"/>
      <c r="NRX29" s="172"/>
      <c r="NRY29" s="172"/>
      <c r="NRZ29" s="172"/>
      <c r="NSA29" s="172"/>
      <c r="NSB29" s="172"/>
      <c r="NSC29" s="172"/>
      <c r="NSD29" s="172"/>
      <c r="NSE29" s="172"/>
      <c r="NSF29" s="172"/>
      <c r="NSG29" s="172"/>
      <c r="NSH29" s="172"/>
      <c r="NSI29" s="172"/>
      <c r="NSJ29" s="172"/>
      <c r="NSK29" s="172"/>
      <c r="NSL29" s="172"/>
      <c r="NSM29" s="172"/>
      <c r="NSN29" s="172"/>
      <c r="NSO29" s="172"/>
      <c r="NSP29" s="172"/>
      <c r="NSQ29" s="172"/>
      <c r="NSR29" s="172"/>
      <c r="NSS29" s="172"/>
      <c r="NST29" s="172"/>
      <c r="NSU29" s="172"/>
      <c r="NSV29" s="172"/>
      <c r="NSW29" s="172"/>
      <c r="NSX29" s="172"/>
      <c r="NSY29" s="172"/>
      <c r="NSZ29" s="172"/>
      <c r="NTA29" s="172"/>
      <c r="NTB29" s="172"/>
      <c r="NTC29" s="172"/>
      <c r="NTD29" s="172"/>
      <c r="NTE29" s="172"/>
      <c r="NTF29" s="172"/>
      <c r="NTG29" s="172"/>
      <c r="NTH29" s="172"/>
      <c r="NTI29" s="172"/>
      <c r="NTJ29" s="172"/>
      <c r="NTK29" s="172"/>
      <c r="NTL29" s="172"/>
      <c r="NTM29" s="172"/>
      <c r="NTN29" s="172"/>
      <c r="NTO29" s="172"/>
      <c r="NTP29" s="172"/>
      <c r="NTQ29" s="172"/>
      <c r="NTR29" s="172"/>
      <c r="NTS29" s="172"/>
      <c r="NTT29" s="172"/>
      <c r="NTU29" s="172"/>
      <c r="NTV29" s="172"/>
      <c r="NTW29" s="172"/>
      <c r="NTX29" s="172"/>
      <c r="NTY29" s="172"/>
      <c r="NTZ29" s="172"/>
      <c r="NUA29" s="172"/>
      <c r="NUB29" s="172"/>
      <c r="NUC29" s="172"/>
      <c r="NUD29" s="172"/>
      <c r="NUE29" s="172"/>
      <c r="NUF29" s="172"/>
      <c r="NUG29" s="172"/>
      <c r="NUH29" s="172"/>
      <c r="NUI29" s="172"/>
      <c r="NUJ29" s="172"/>
      <c r="NUK29" s="172"/>
      <c r="NUL29" s="172"/>
      <c r="NUM29" s="172"/>
      <c r="NUN29" s="172"/>
      <c r="NUO29" s="172"/>
      <c r="NUP29" s="172"/>
      <c r="NUQ29" s="172"/>
      <c r="NUR29" s="172"/>
      <c r="NUS29" s="172"/>
      <c r="NUT29" s="172"/>
      <c r="NUU29" s="172"/>
      <c r="NUV29" s="172"/>
      <c r="NUW29" s="172"/>
      <c r="NUX29" s="172"/>
      <c r="NUY29" s="172"/>
      <c r="NUZ29" s="172"/>
      <c r="NVA29" s="172"/>
      <c r="NVB29" s="172"/>
      <c r="NVC29" s="172"/>
      <c r="NVD29" s="172"/>
      <c r="NVE29" s="172"/>
      <c r="NVF29" s="172"/>
      <c r="NVG29" s="172"/>
      <c r="NVH29" s="172"/>
      <c r="NVI29" s="172"/>
      <c r="NVJ29" s="172"/>
      <c r="NVK29" s="172"/>
      <c r="NVL29" s="172"/>
      <c r="NVM29" s="172"/>
      <c r="NVN29" s="172"/>
      <c r="NVO29" s="172"/>
      <c r="NVP29" s="172"/>
      <c r="NVQ29" s="172"/>
      <c r="NVR29" s="172"/>
      <c r="NVS29" s="172"/>
      <c r="NVT29" s="172"/>
      <c r="NVU29" s="172"/>
      <c r="NVV29" s="172"/>
      <c r="NVW29" s="172"/>
      <c r="NVX29" s="172"/>
      <c r="NVY29" s="172"/>
      <c r="NVZ29" s="172"/>
      <c r="NWA29" s="172"/>
      <c r="NWB29" s="172"/>
      <c r="NWC29" s="172"/>
      <c r="NWD29" s="172"/>
      <c r="NWE29" s="172"/>
      <c r="NWF29" s="172"/>
      <c r="NWG29" s="172"/>
      <c r="NWH29" s="172"/>
      <c r="NWI29" s="172"/>
      <c r="NWJ29" s="172"/>
      <c r="NWK29" s="172"/>
      <c r="NWL29" s="172"/>
      <c r="NWM29" s="172"/>
      <c r="NWN29" s="172"/>
      <c r="NWO29" s="172"/>
      <c r="NWP29" s="172"/>
      <c r="NWQ29" s="172"/>
      <c r="NWR29" s="172"/>
      <c r="NWS29" s="172"/>
      <c r="NWT29" s="172"/>
      <c r="NWU29" s="172"/>
      <c r="NWV29" s="172"/>
      <c r="NWW29" s="172"/>
      <c r="NWX29" s="172"/>
      <c r="NWY29" s="172"/>
      <c r="NWZ29" s="172"/>
      <c r="NXA29" s="172"/>
      <c r="NXB29" s="172"/>
      <c r="NXC29" s="172"/>
      <c r="NXD29" s="172"/>
      <c r="NXE29" s="172"/>
      <c r="NXF29" s="172"/>
      <c r="NXG29" s="172"/>
      <c r="NXH29" s="172"/>
      <c r="NXI29" s="172"/>
      <c r="NXJ29" s="172"/>
      <c r="NXK29" s="172"/>
      <c r="NXL29" s="172"/>
      <c r="NXM29" s="172"/>
      <c r="NXN29" s="172"/>
      <c r="NXO29" s="172"/>
      <c r="NXP29" s="172"/>
      <c r="NXQ29" s="172"/>
      <c r="NXR29" s="172"/>
      <c r="NXS29" s="172"/>
      <c r="NXT29" s="172"/>
      <c r="NXU29" s="172"/>
      <c r="NXV29" s="172"/>
      <c r="NXW29" s="172"/>
      <c r="NXX29" s="172"/>
      <c r="NXY29" s="172"/>
      <c r="NXZ29" s="172"/>
      <c r="NYA29" s="172"/>
      <c r="NYB29" s="172"/>
      <c r="NYC29" s="172"/>
      <c r="NYD29" s="172"/>
      <c r="NYE29" s="172"/>
      <c r="NYF29" s="172"/>
      <c r="NYG29" s="172"/>
      <c r="NYH29" s="172"/>
      <c r="NYI29" s="172"/>
      <c r="NYJ29" s="172"/>
      <c r="NYK29" s="172"/>
      <c r="NYL29" s="172"/>
      <c r="NYM29" s="172"/>
      <c r="NYN29" s="172"/>
      <c r="NYO29" s="172"/>
      <c r="NYP29" s="172"/>
      <c r="NYQ29" s="172"/>
      <c r="NYR29" s="172"/>
      <c r="NYS29" s="172"/>
      <c r="NYT29" s="172"/>
      <c r="NYU29" s="172"/>
      <c r="NYV29" s="172"/>
      <c r="NYW29" s="172"/>
      <c r="NYX29" s="172"/>
      <c r="NYY29" s="172"/>
      <c r="NYZ29" s="172"/>
      <c r="NZA29" s="172"/>
      <c r="NZB29" s="172"/>
      <c r="NZC29" s="172"/>
      <c r="NZD29" s="172"/>
      <c r="NZE29" s="172"/>
      <c r="NZF29" s="172"/>
      <c r="NZG29" s="172"/>
      <c r="NZH29" s="172"/>
      <c r="NZI29" s="172"/>
      <c r="NZJ29" s="172"/>
      <c r="NZK29" s="172"/>
      <c r="NZL29" s="172"/>
      <c r="NZM29" s="172"/>
      <c r="NZN29" s="172"/>
      <c r="NZO29" s="172"/>
      <c r="NZP29" s="172"/>
      <c r="NZQ29" s="172"/>
      <c r="NZR29" s="172"/>
      <c r="NZS29" s="172"/>
      <c r="NZT29" s="172"/>
      <c r="NZU29" s="172"/>
      <c r="NZV29" s="172"/>
      <c r="NZW29" s="172"/>
      <c r="NZX29" s="172"/>
      <c r="NZY29" s="172"/>
      <c r="NZZ29" s="172"/>
      <c r="OAA29" s="172"/>
      <c r="OAB29" s="172"/>
      <c r="OAC29" s="172"/>
      <c r="OAD29" s="172"/>
      <c r="OAE29" s="172"/>
      <c r="OAF29" s="172"/>
      <c r="OAG29" s="172"/>
      <c r="OAH29" s="172"/>
      <c r="OAI29" s="172"/>
      <c r="OAJ29" s="172"/>
      <c r="OAK29" s="172"/>
      <c r="OAL29" s="172"/>
      <c r="OAM29" s="172"/>
      <c r="OAN29" s="172"/>
      <c r="OAO29" s="172"/>
      <c r="OAP29" s="172"/>
      <c r="OAQ29" s="172"/>
      <c r="OAR29" s="172"/>
      <c r="OAS29" s="172"/>
      <c r="OAT29" s="172"/>
      <c r="OAU29" s="172"/>
      <c r="OAV29" s="172"/>
      <c r="OAW29" s="172"/>
      <c r="OAX29" s="172"/>
      <c r="OAY29" s="172"/>
      <c r="OAZ29" s="172"/>
      <c r="OBA29" s="172"/>
      <c r="OBB29" s="172"/>
      <c r="OBC29" s="172"/>
      <c r="OBD29" s="172"/>
      <c r="OBE29" s="172"/>
      <c r="OBF29" s="172"/>
      <c r="OBG29" s="172"/>
      <c r="OBH29" s="172"/>
      <c r="OBI29" s="172"/>
      <c r="OBJ29" s="172"/>
      <c r="OBK29" s="172"/>
      <c r="OBL29" s="172"/>
      <c r="OBM29" s="172"/>
      <c r="OBN29" s="172"/>
      <c r="OBO29" s="172"/>
      <c r="OBP29" s="172"/>
      <c r="OBQ29" s="172"/>
      <c r="OBR29" s="172"/>
      <c r="OBS29" s="172"/>
      <c r="OBT29" s="172"/>
      <c r="OBU29" s="172"/>
      <c r="OBV29" s="172"/>
      <c r="OBW29" s="172"/>
      <c r="OBX29" s="172"/>
      <c r="OBY29" s="172"/>
      <c r="OBZ29" s="172"/>
      <c r="OCA29" s="172"/>
      <c r="OCB29" s="172"/>
      <c r="OCC29" s="172"/>
      <c r="OCD29" s="172"/>
      <c r="OCE29" s="172"/>
      <c r="OCF29" s="172"/>
      <c r="OCG29" s="172"/>
      <c r="OCH29" s="172"/>
      <c r="OCI29" s="172"/>
      <c r="OCJ29" s="172"/>
      <c r="OCK29" s="172"/>
      <c r="OCL29" s="172"/>
      <c r="OCM29" s="172"/>
      <c r="OCN29" s="172"/>
      <c r="OCO29" s="172"/>
      <c r="OCP29" s="172"/>
      <c r="OCQ29" s="172"/>
      <c r="OCR29" s="172"/>
      <c r="OCS29" s="172"/>
      <c r="OCT29" s="172"/>
      <c r="OCU29" s="172"/>
      <c r="OCV29" s="172"/>
      <c r="OCW29" s="172"/>
      <c r="OCX29" s="172"/>
      <c r="OCY29" s="172"/>
      <c r="OCZ29" s="172"/>
      <c r="ODA29" s="172"/>
      <c r="ODB29" s="172"/>
      <c r="ODC29" s="172"/>
      <c r="ODD29" s="172"/>
      <c r="ODE29" s="172"/>
      <c r="ODF29" s="172"/>
      <c r="ODG29" s="172"/>
      <c r="ODH29" s="172"/>
      <c r="ODI29" s="172"/>
      <c r="ODJ29" s="172"/>
      <c r="ODK29" s="172"/>
      <c r="ODL29" s="172"/>
      <c r="ODM29" s="172"/>
      <c r="ODN29" s="172"/>
      <c r="ODO29" s="172"/>
      <c r="ODP29" s="172"/>
      <c r="ODQ29" s="172"/>
      <c r="ODR29" s="172"/>
      <c r="ODS29" s="172"/>
      <c r="ODT29" s="172"/>
      <c r="ODU29" s="172"/>
      <c r="ODV29" s="172"/>
      <c r="ODW29" s="172"/>
      <c r="ODX29" s="172"/>
      <c r="ODY29" s="172"/>
      <c r="ODZ29" s="172"/>
      <c r="OEA29" s="172"/>
      <c r="OEB29" s="172"/>
      <c r="OEC29" s="172"/>
      <c r="OED29" s="172"/>
      <c r="OEE29" s="172"/>
      <c r="OEF29" s="172"/>
      <c r="OEG29" s="172"/>
      <c r="OEH29" s="172"/>
      <c r="OEI29" s="172"/>
      <c r="OEJ29" s="172"/>
      <c r="OEK29" s="172"/>
      <c r="OEL29" s="172"/>
      <c r="OEM29" s="172"/>
      <c r="OEN29" s="172"/>
      <c r="OEO29" s="172"/>
      <c r="OEP29" s="172"/>
      <c r="OEQ29" s="172"/>
      <c r="OER29" s="172"/>
      <c r="OES29" s="172"/>
      <c r="OET29" s="172"/>
      <c r="OEU29" s="172"/>
      <c r="OEV29" s="172"/>
      <c r="OEW29" s="172"/>
      <c r="OEX29" s="172"/>
      <c r="OEY29" s="172"/>
      <c r="OEZ29" s="172"/>
      <c r="OFA29" s="172"/>
      <c r="OFB29" s="172"/>
      <c r="OFC29" s="172"/>
      <c r="OFD29" s="172"/>
      <c r="OFE29" s="172"/>
      <c r="OFF29" s="172"/>
      <c r="OFG29" s="172"/>
      <c r="OFH29" s="172"/>
      <c r="OFI29" s="172"/>
      <c r="OFJ29" s="172"/>
      <c r="OFK29" s="172"/>
      <c r="OFL29" s="172"/>
      <c r="OFM29" s="172"/>
      <c r="OFN29" s="172"/>
      <c r="OFO29" s="172"/>
      <c r="OFP29" s="172"/>
      <c r="OFQ29" s="172"/>
      <c r="OFR29" s="172"/>
      <c r="OFS29" s="172"/>
      <c r="OFT29" s="172"/>
      <c r="OFU29" s="172"/>
      <c r="OFV29" s="172"/>
      <c r="OFW29" s="172"/>
      <c r="OFX29" s="172"/>
      <c r="OFY29" s="172"/>
      <c r="OFZ29" s="172"/>
      <c r="OGA29" s="172"/>
      <c r="OGB29" s="172"/>
      <c r="OGC29" s="172"/>
      <c r="OGD29" s="172"/>
      <c r="OGE29" s="172"/>
      <c r="OGF29" s="172"/>
      <c r="OGG29" s="172"/>
      <c r="OGH29" s="172"/>
      <c r="OGI29" s="172"/>
      <c r="OGJ29" s="172"/>
      <c r="OGK29" s="172"/>
      <c r="OGL29" s="172"/>
      <c r="OGM29" s="172"/>
      <c r="OGN29" s="172"/>
      <c r="OGO29" s="172"/>
      <c r="OGP29" s="172"/>
      <c r="OGQ29" s="172"/>
      <c r="OGR29" s="172"/>
      <c r="OGS29" s="172"/>
      <c r="OGT29" s="172"/>
      <c r="OGU29" s="172"/>
      <c r="OGV29" s="172"/>
      <c r="OGW29" s="172"/>
      <c r="OGX29" s="172"/>
      <c r="OGY29" s="172"/>
      <c r="OGZ29" s="172"/>
      <c r="OHA29" s="172"/>
      <c r="OHB29" s="172"/>
      <c r="OHC29" s="172"/>
      <c r="OHD29" s="172"/>
      <c r="OHE29" s="172"/>
      <c r="OHF29" s="172"/>
      <c r="OHG29" s="172"/>
      <c r="OHH29" s="172"/>
      <c r="OHI29" s="172"/>
      <c r="OHJ29" s="172"/>
      <c r="OHK29" s="172"/>
      <c r="OHL29" s="172"/>
      <c r="OHM29" s="172"/>
      <c r="OHN29" s="172"/>
      <c r="OHO29" s="172"/>
      <c r="OHP29" s="172"/>
      <c r="OHQ29" s="172"/>
      <c r="OHR29" s="172"/>
      <c r="OHS29" s="172"/>
      <c r="OHT29" s="172"/>
      <c r="OHU29" s="172"/>
      <c r="OHV29" s="172"/>
      <c r="OHW29" s="172"/>
      <c r="OHX29" s="172"/>
      <c r="OHY29" s="172"/>
      <c r="OHZ29" s="172"/>
      <c r="OIA29" s="172"/>
      <c r="OIB29" s="172"/>
      <c r="OIC29" s="172"/>
      <c r="OID29" s="172"/>
      <c r="OIE29" s="172"/>
      <c r="OIF29" s="172"/>
      <c r="OIG29" s="172"/>
      <c r="OIH29" s="172"/>
      <c r="OII29" s="172"/>
      <c r="OIJ29" s="172"/>
      <c r="OIK29" s="172"/>
      <c r="OIL29" s="172"/>
      <c r="OIM29" s="172"/>
      <c r="OIN29" s="172"/>
      <c r="OIO29" s="172"/>
      <c r="OIP29" s="172"/>
      <c r="OIQ29" s="172"/>
      <c r="OIR29" s="172"/>
      <c r="OIS29" s="172"/>
      <c r="OIT29" s="172"/>
      <c r="OIU29" s="172"/>
      <c r="OIV29" s="172"/>
      <c r="OIW29" s="172"/>
      <c r="OIX29" s="172"/>
      <c r="OIY29" s="172"/>
      <c r="OIZ29" s="172"/>
      <c r="OJA29" s="172"/>
      <c r="OJB29" s="172"/>
      <c r="OJC29" s="172"/>
      <c r="OJD29" s="172"/>
      <c r="OJE29" s="172"/>
      <c r="OJF29" s="172"/>
      <c r="OJG29" s="172"/>
      <c r="OJH29" s="172"/>
      <c r="OJI29" s="172"/>
      <c r="OJJ29" s="172"/>
      <c r="OJK29" s="172"/>
      <c r="OJL29" s="172"/>
      <c r="OJM29" s="172"/>
      <c r="OJN29" s="172"/>
      <c r="OJO29" s="172"/>
      <c r="OJP29" s="172"/>
      <c r="OJQ29" s="172"/>
      <c r="OJR29" s="172"/>
      <c r="OJS29" s="172"/>
      <c r="OJT29" s="172"/>
      <c r="OJU29" s="172"/>
      <c r="OJV29" s="172"/>
      <c r="OJW29" s="172"/>
      <c r="OJX29" s="172"/>
      <c r="OJY29" s="172"/>
      <c r="OJZ29" s="172"/>
      <c r="OKA29" s="172"/>
      <c r="OKB29" s="172"/>
      <c r="OKC29" s="172"/>
      <c r="OKD29" s="172"/>
      <c r="OKE29" s="172"/>
      <c r="OKF29" s="172"/>
      <c r="OKG29" s="172"/>
      <c r="OKH29" s="172"/>
      <c r="OKI29" s="172"/>
      <c r="OKJ29" s="172"/>
      <c r="OKK29" s="172"/>
      <c r="OKL29" s="172"/>
      <c r="OKM29" s="172"/>
      <c r="OKN29" s="172"/>
      <c r="OKO29" s="172"/>
      <c r="OKP29" s="172"/>
      <c r="OKQ29" s="172"/>
      <c r="OKR29" s="172"/>
      <c r="OKS29" s="172"/>
      <c r="OKT29" s="172"/>
      <c r="OKU29" s="172"/>
      <c r="OKV29" s="172"/>
      <c r="OKW29" s="172"/>
      <c r="OKX29" s="172"/>
      <c r="OKY29" s="172"/>
      <c r="OKZ29" s="172"/>
      <c r="OLA29" s="172"/>
      <c r="OLB29" s="172"/>
      <c r="OLC29" s="172"/>
      <c r="OLD29" s="172"/>
      <c r="OLE29" s="172"/>
      <c r="OLF29" s="172"/>
      <c r="OLG29" s="172"/>
      <c r="OLH29" s="172"/>
      <c r="OLI29" s="172"/>
      <c r="OLJ29" s="172"/>
      <c r="OLK29" s="172"/>
      <c r="OLL29" s="172"/>
      <c r="OLM29" s="172"/>
      <c r="OLN29" s="172"/>
      <c r="OLO29" s="172"/>
      <c r="OLP29" s="172"/>
      <c r="OLQ29" s="172"/>
      <c r="OLR29" s="172"/>
      <c r="OLS29" s="172"/>
      <c r="OLT29" s="172"/>
      <c r="OLU29" s="172"/>
      <c r="OLV29" s="172"/>
      <c r="OLW29" s="172"/>
      <c r="OLX29" s="172"/>
      <c r="OLY29" s="172"/>
      <c r="OLZ29" s="172"/>
      <c r="OMA29" s="172"/>
      <c r="OMB29" s="172"/>
      <c r="OMC29" s="172"/>
      <c r="OMD29" s="172"/>
      <c r="OME29" s="172"/>
      <c r="OMF29" s="172"/>
      <c r="OMG29" s="172"/>
      <c r="OMH29" s="172"/>
      <c r="OMI29" s="172"/>
      <c r="OMJ29" s="172"/>
      <c r="OMK29" s="172"/>
      <c r="OML29" s="172"/>
      <c r="OMM29" s="172"/>
      <c r="OMN29" s="172"/>
      <c r="OMO29" s="172"/>
      <c r="OMP29" s="172"/>
      <c r="OMQ29" s="172"/>
      <c r="OMR29" s="172"/>
      <c r="OMS29" s="172"/>
      <c r="OMT29" s="172"/>
      <c r="OMU29" s="172"/>
      <c r="OMV29" s="172"/>
      <c r="OMW29" s="172"/>
      <c r="OMX29" s="172"/>
      <c r="OMY29" s="172"/>
      <c r="OMZ29" s="172"/>
      <c r="ONA29" s="172"/>
      <c r="ONB29" s="172"/>
      <c r="ONC29" s="172"/>
      <c r="OND29" s="172"/>
      <c r="ONE29" s="172"/>
      <c r="ONF29" s="172"/>
      <c r="ONG29" s="172"/>
      <c r="ONH29" s="172"/>
      <c r="ONI29" s="172"/>
      <c r="ONJ29" s="172"/>
      <c r="ONK29" s="172"/>
      <c r="ONL29" s="172"/>
      <c r="ONM29" s="172"/>
      <c r="ONN29" s="172"/>
      <c r="ONO29" s="172"/>
      <c r="ONP29" s="172"/>
      <c r="ONQ29" s="172"/>
      <c r="ONR29" s="172"/>
      <c r="ONS29" s="172"/>
      <c r="ONT29" s="172"/>
      <c r="ONU29" s="172"/>
      <c r="ONV29" s="172"/>
      <c r="ONW29" s="172"/>
      <c r="ONX29" s="172"/>
      <c r="ONY29" s="172"/>
      <c r="ONZ29" s="172"/>
      <c r="OOA29" s="172"/>
      <c r="OOB29" s="172"/>
      <c r="OOC29" s="172"/>
      <c r="OOD29" s="172"/>
      <c r="OOE29" s="172"/>
      <c r="OOF29" s="172"/>
      <c r="OOG29" s="172"/>
      <c r="OOH29" s="172"/>
      <c r="OOI29" s="172"/>
      <c r="OOJ29" s="172"/>
      <c r="OOK29" s="172"/>
      <c r="OOL29" s="172"/>
      <c r="OOM29" s="172"/>
      <c r="OON29" s="172"/>
      <c r="OOO29" s="172"/>
      <c r="OOP29" s="172"/>
      <c r="OOQ29" s="172"/>
      <c r="OOR29" s="172"/>
      <c r="OOS29" s="172"/>
      <c r="OOT29" s="172"/>
      <c r="OOU29" s="172"/>
      <c r="OOV29" s="172"/>
      <c r="OOW29" s="172"/>
      <c r="OOX29" s="172"/>
      <c r="OOY29" s="172"/>
      <c r="OOZ29" s="172"/>
      <c r="OPA29" s="172"/>
      <c r="OPB29" s="172"/>
      <c r="OPC29" s="172"/>
      <c r="OPD29" s="172"/>
      <c r="OPE29" s="172"/>
      <c r="OPF29" s="172"/>
      <c r="OPG29" s="172"/>
      <c r="OPH29" s="172"/>
      <c r="OPI29" s="172"/>
      <c r="OPJ29" s="172"/>
      <c r="OPK29" s="172"/>
      <c r="OPL29" s="172"/>
      <c r="OPM29" s="172"/>
      <c r="OPN29" s="172"/>
      <c r="OPO29" s="172"/>
      <c r="OPP29" s="172"/>
      <c r="OPQ29" s="172"/>
      <c r="OPR29" s="172"/>
      <c r="OPS29" s="172"/>
      <c r="OPT29" s="172"/>
      <c r="OPU29" s="172"/>
      <c r="OPV29" s="172"/>
      <c r="OPW29" s="172"/>
      <c r="OPX29" s="172"/>
      <c r="OPY29" s="172"/>
      <c r="OPZ29" s="172"/>
      <c r="OQA29" s="172"/>
      <c r="OQB29" s="172"/>
      <c r="OQC29" s="172"/>
      <c r="OQD29" s="172"/>
      <c r="OQE29" s="172"/>
      <c r="OQF29" s="172"/>
      <c r="OQG29" s="172"/>
      <c r="OQH29" s="172"/>
      <c r="OQI29" s="172"/>
      <c r="OQJ29" s="172"/>
      <c r="OQK29" s="172"/>
      <c r="OQL29" s="172"/>
      <c r="OQM29" s="172"/>
      <c r="OQN29" s="172"/>
      <c r="OQO29" s="172"/>
      <c r="OQP29" s="172"/>
      <c r="OQQ29" s="172"/>
      <c r="OQR29" s="172"/>
      <c r="OQS29" s="172"/>
      <c r="OQT29" s="172"/>
      <c r="OQU29" s="172"/>
      <c r="OQV29" s="172"/>
      <c r="OQW29" s="172"/>
      <c r="OQX29" s="172"/>
      <c r="OQY29" s="172"/>
      <c r="OQZ29" s="172"/>
      <c r="ORA29" s="172"/>
      <c r="ORB29" s="172"/>
      <c r="ORC29" s="172"/>
      <c r="ORD29" s="172"/>
      <c r="ORE29" s="172"/>
      <c r="ORF29" s="172"/>
      <c r="ORG29" s="172"/>
      <c r="ORH29" s="172"/>
      <c r="ORI29" s="172"/>
      <c r="ORJ29" s="172"/>
      <c r="ORK29" s="172"/>
      <c r="ORL29" s="172"/>
      <c r="ORM29" s="172"/>
      <c r="ORN29" s="172"/>
      <c r="ORO29" s="172"/>
      <c r="ORP29" s="172"/>
      <c r="ORQ29" s="172"/>
      <c r="ORR29" s="172"/>
      <c r="ORS29" s="172"/>
      <c r="ORT29" s="172"/>
      <c r="ORU29" s="172"/>
      <c r="ORV29" s="172"/>
      <c r="ORW29" s="172"/>
      <c r="ORX29" s="172"/>
      <c r="ORY29" s="172"/>
      <c r="ORZ29" s="172"/>
      <c r="OSA29" s="172"/>
      <c r="OSB29" s="172"/>
      <c r="OSC29" s="172"/>
      <c r="OSD29" s="172"/>
      <c r="OSE29" s="172"/>
      <c r="OSF29" s="172"/>
      <c r="OSG29" s="172"/>
      <c r="OSH29" s="172"/>
      <c r="OSI29" s="172"/>
      <c r="OSJ29" s="172"/>
      <c r="OSK29" s="172"/>
      <c r="OSL29" s="172"/>
      <c r="OSM29" s="172"/>
      <c r="OSN29" s="172"/>
      <c r="OSO29" s="172"/>
      <c r="OSP29" s="172"/>
      <c r="OSQ29" s="172"/>
      <c r="OSR29" s="172"/>
      <c r="OSS29" s="172"/>
      <c r="OST29" s="172"/>
      <c r="OSU29" s="172"/>
      <c r="OSV29" s="172"/>
      <c r="OSW29" s="172"/>
      <c r="OSX29" s="172"/>
      <c r="OSY29" s="172"/>
      <c r="OSZ29" s="172"/>
      <c r="OTA29" s="172"/>
      <c r="OTB29" s="172"/>
      <c r="OTC29" s="172"/>
      <c r="OTD29" s="172"/>
      <c r="OTE29" s="172"/>
      <c r="OTF29" s="172"/>
      <c r="OTG29" s="172"/>
      <c r="OTH29" s="172"/>
      <c r="OTI29" s="172"/>
      <c r="OTJ29" s="172"/>
      <c r="OTK29" s="172"/>
      <c r="OTL29" s="172"/>
      <c r="OTM29" s="172"/>
      <c r="OTN29" s="172"/>
      <c r="OTO29" s="172"/>
      <c r="OTP29" s="172"/>
      <c r="OTQ29" s="172"/>
      <c r="OTR29" s="172"/>
      <c r="OTS29" s="172"/>
      <c r="OTT29" s="172"/>
      <c r="OTU29" s="172"/>
      <c r="OTV29" s="172"/>
      <c r="OTW29" s="172"/>
      <c r="OTX29" s="172"/>
      <c r="OTY29" s="172"/>
      <c r="OTZ29" s="172"/>
      <c r="OUA29" s="172"/>
      <c r="OUB29" s="172"/>
      <c r="OUC29" s="172"/>
      <c r="OUD29" s="172"/>
      <c r="OUE29" s="172"/>
      <c r="OUF29" s="172"/>
      <c r="OUG29" s="172"/>
      <c r="OUH29" s="172"/>
      <c r="OUI29" s="172"/>
      <c r="OUJ29" s="172"/>
      <c r="OUK29" s="172"/>
      <c r="OUL29" s="172"/>
      <c r="OUM29" s="172"/>
      <c r="OUN29" s="172"/>
      <c r="OUO29" s="172"/>
      <c r="OUP29" s="172"/>
      <c r="OUQ29" s="172"/>
      <c r="OUR29" s="172"/>
      <c r="OUS29" s="172"/>
      <c r="OUT29" s="172"/>
      <c r="OUU29" s="172"/>
      <c r="OUV29" s="172"/>
      <c r="OUW29" s="172"/>
      <c r="OUX29" s="172"/>
      <c r="OUY29" s="172"/>
      <c r="OUZ29" s="172"/>
      <c r="OVA29" s="172"/>
      <c r="OVB29" s="172"/>
      <c r="OVC29" s="172"/>
      <c r="OVD29" s="172"/>
      <c r="OVE29" s="172"/>
      <c r="OVF29" s="172"/>
      <c r="OVG29" s="172"/>
      <c r="OVH29" s="172"/>
      <c r="OVI29" s="172"/>
      <c r="OVJ29" s="172"/>
      <c r="OVK29" s="172"/>
      <c r="OVL29" s="172"/>
      <c r="OVM29" s="172"/>
      <c r="OVN29" s="172"/>
      <c r="OVO29" s="172"/>
      <c r="OVP29" s="172"/>
      <c r="OVQ29" s="172"/>
      <c r="OVR29" s="172"/>
      <c r="OVS29" s="172"/>
      <c r="OVT29" s="172"/>
      <c r="OVU29" s="172"/>
      <c r="OVV29" s="172"/>
      <c r="OVW29" s="172"/>
      <c r="OVX29" s="172"/>
      <c r="OVY29" s="172"/>
      <c r="OVZ29" s="172"/>
      <c r="OWA29" s="172"/>
      <c r="OWB29" s="172"/>
      <c r="OWC29" s="172"/>
      <c r="OWD29" s="172"/>
      <c r="OWE29" s="172"/>
      <c r="OWF29" s="172"/>
      <c r="OWG29" s="172"/>
      <c r="OWH29" s="172"/>
      <c r="OWI29" s="172"/>
      <c r="OWJ29" s="172"/>
      <c r="OWK29" s="172"/>
      <c r="OWL29" s="172"/>
      <c r="OWM29" s="172"/>
      <c r="OWN29" s="172"/>
      <c r="OWO29" s="172"/>
      <c r="OWP29" s="172"/>
      <c r="OWQ29" s="172"/>
      <c r="OWR29" s="172"/>
      <c r="OWS29" s="172"/>
      <c r="OWT29" s="172"/>
      <c r="OWU29" s="172"/>
      <c r="OWV29" s="172"/>
      <c r="OWW29" s="172"/>
      <c r="OWX29" s="172"/>
      <c r="OWY29" s="172"/>
      <c r="OWZ29" s="172"/>
      <c r="OXA29" s="172"/>
      <c r="OXB29" s="172"/>
      <c r="OXC29" s="172"/>
      <c r="OXD29" s="172"/>
      <c r="OXE29" s="172"/>
      <c r="OXF29" s="172"/>
      <c r="OXG29" s="172"/>
      <c r="OXH29" s="172"/>
      <c r="OXI29" s="172"/>
      <c r="OXJ29" s="172"/>
      <c r="OXK29" s="172"/>
      <c r="OXL29" s="172"/>
      <c r="OXM29" s="172"/>
      <c r="OXN29" s="172"/>
      <c r="OXO29" s="172"/>
      <c r="OXP29" s="172"/>
      <c r="OXQ29" s="172"/>
      <c r="OXR29" s="172"/>
      <c r="OXS29" s="172"/>
      <c r="OXT29" s="172"/>
      <c r="OXU29" s="172"/>
      <c r="OXV29" s="172"/>
      <c r="OXW29" s="172"/>
      <c r="OXX29" s="172"/>
      <c r="OXY29" s="172"/>
      <c r="OXZ29" s="172"/>
      <c r="OYA29" s="172"/>
      <c r="OYB29" s="172"/>
      <c r="OYC29" s="172"/>
      <c r="OYD29" s="172"/>
      <c r="OYE29" s="172"/>
      <c r="OYF29" s="172"/>
      <c r="OYG29" s="172"/>
      <c r="OYH29" s="172"/>
      <c r="OYI29" s="172"/>
      <c r="OYJ29" s="172"/>
      <c r="OYK29" s="172"/>
      <c r="OYL29" s="172"/>
      <c r="OYM29" s="172"/>
      <c r="OYN29" s="172"/>
      <c r="OYO29" s="172"/>
      <c r="OYP29" s="172"/>
      <c r="OYQ29" s="172"/>
      <c r="OYR29" s="172"/>
      <c r="OYS29" s="172"/>
      <c r="OYT29" s="172"/>
      <c r="OYU29" s="172"/>
      <c r="OYV29" s="172"/>
      <c r="OYW29" s="172"/>
      <c r="OYX29" s="172"/>
      <c r="OYY29" s="172"/>
      <c r="OYZ29" s="172"/>
      <c r="OZA29" s="172"/>
      <c r="OZB29" s="172"/>
      <c r="OZC29" s="172"/>
      <c r="OZD29" s="172"/>
      <c r="OZE29" s="172"/>
      <c r="OZF29" s="172"/>
      <c r="OZG29" s="172"/>
      <c r="OZH29" s="172"/>
      <c r="OZI29" s="172"/>
      <c r="OZJ29" s="172"/>
      <c r="OZK29" s="172"/>
      <c r="OZL29" s="172"/>
      <c r="OZM29" s="172"/>
      <c r="OZN29" s="172"/>
      <c r="OZO29" s="172"/>
      <c r="OZP29" s="172"/>
      <c r="OZQ29" s="172"/>
      <c r="OZR29" s="172"/>
      <c r="OZS29" s="172"/>
      <c r="OZT29" s="172"/>
      <c r="OZU29" s="172"/>
      <c r="OZV29" s="172"/>
      <c r="OZW29" s="172"/>
      <c r="OZX29" s="172"/>
      <c r="OZY29" s="172"/>
      <c r="OZZ29" s="172"/>
      <c r="PAA29" s="172"/>
      <c r="PAB29" s="172"/>
      <c r="PAC29" s="172"/>
      <c r="PAD29" s="172"/>
      <c r="PAE29" s="172"/>
      <c r="PAF29" s="172"/>
      <c r="PAG29" s="172"/>
      <c r="PAH29" s="172"/>
      <c r="PAI29" s="172"/>
      <c r="PAJ29" s="172"/>
      <c r="PAK29" s="172"/>
      <c r="PAL29" s="172"/>
      <c r="PAM29" s="172"/>
      <c r="PAN29" s="172"/>
      <c r="PAO29" s="172"/>
      <c r="PAP29" s="172"/>
      <c r="PAQ29" s="172"/>
      <c r="PAR29" s="172"/>
      <c r="PAS29" s="172"/>
      <c r="PAT29" s="172"/>
      <c r="PAU29" s="172"/>
      <c r="PAV29" s="172"/>
      <c r="PAW29" s="172"/>
      <c r="PAX29" s="172"/>
      <c r="PAY29" s="172"/>
      <c r="PAZ29" s="172"/>
      <c r="PBA29" s="172"/>
      <c r="PBB29" s="172"/>
      <c r="PBC29" s="172"/>
      <c r="PBD29" s="172"/>
      <c r="PBE29" s="172"/>
      <c r="PBF29" s="172"/>
      <c r="PBG29" s="172"/>
      <c r="PBH29" s="172"/>
      <c r="PBI29" s="172"/>
      <c r="PBJ29" s="172"/>
      <c r="PBK29" s="172"/>
      <c r="PBL29" s="172"/>
      <c r="PBM29" s="172"/>
      <c r="PBN29" s="172"/>
      <c r="PBO29" s="172"/>
      <c r="PBP29" s="172"/>
      <c r="PBQ29" s="172"/>
      <c r="PBR29" s="172"/>
      <c r="PBS29" s="172"/>
      <c r="PBT29" s="172"/>
      <c r="PBU29" s="172"/>
      <c r="PBV29" s="172"/>
      <c r="PBW29" s="172"/>
      <c r="PBX29" s="172"/>
      <c r="PBY29" s="172"/>
      <c r="PBZ29" s="172"/>
      <c r="PCA29" s="172"/>
      <c r="PCB29" s="172"/>
      <c r="PCC29" s="172"/>
      <c r="PCD29" s="172"/>
      <c r="PCE29" s="172"/>
      <c r="PCF29" s="172"/>
      <c r="PCG29" s="172"/>
      <c r="PCH29" s="172"/>
      <c r="PCI29" s="172"/>
      <c r="PCJ29" s="172"/>
      <c r="PCK29" s="172"/>
      <c r="PCL29" s="172"/>
      <c r="PCM29" s="172"/>
      <c r="PCN29" s="172"/>
      <c r="PCO29" s="172"/>
      <c r="PCP29" s="172"/>
      <c r="PCQ29" s="172"/>
      <c r="PCR29" s="172"/>
      <c r="PCS29" s="172"/>
      <c r="PCT29" s="172"/>
      <c r="PCU29" s="172"/>
      <c r="PCV29" s="172"/>
      <c r="PCW29" s="172"/>
      <c r="PCX29" s="172"/>
      <c r="PCY29" s="172"/>
      <c r="PCZ29" s="172"/>
      <c r="PDA29" s="172"/>
      <c r="PDB29" s="172"/>
      <c r="PDC29" s="172"/>
      <c r="PDD29" s="172"/>
      <c r="PDE29" s="172"/>
      <c r="PDF29" s="172"/>
      <c r="PDG29" s="172"/>
      <c r="PDH29" s="172"/>
      <c r="PDI29" s="172"/>
      <c r="PDJ29" s="172"/>
      <c r="PDK29" s="172"/>
      <c r="PDL29" s="172"/>
      <c r="PDM29" s="172"/>
      <c r="PDN29" s="172"/>
      <c r="PDO29" s="172"/>
      <c r="PDP29" s="172"/>
      <c r="PDQ29" s="172"/>
      <c r="PDR29" s="172"/>
      <c r="PDS29" s="172"/>
      <c r="PDT29" s="172"/>
      <c r="PDU29" s="172"/>
      <c r="PDV29" s="172"/>
      <c r="PDW29" s="172"/>
      <c r="PDX29" s="172"/>
      <c r="PDY29" s="172"/>
      <c r="PDZ29" s="172"/>
      <c r="PEA29" s="172"/>
      <c r="PEB29" s="172"/>
      <c r="PEC29" s="172"/>
      <c r="PED29" s="172"/>
      <c r="PEE29" s="172"/>
      <c r="PEF29" s="172"/>
      <c r="PEG29" s="172"/>
      <c r="PEH29" s="172"/>
      <c r="PEI29" s="172"/>
      <c r="PEJ29" s="172"/>
      <c r="PEK29" s="172"/>
      <c r="PEL29" s="172"/>
      <c r="PEM29" s="172"/>
      <c r="PEN29" s="172"/>
      <c r="PEO29" s="172"/>
      <c r="PEP29" s="172"/>
      <c r="PEQ29" s="172"/>
      <c r="PER29" s="172"/>
      <c r="PES29" s="172"/>
      <c r="PET29" s="172"/>
      <c r="PEU29" s="172"/>
      <c r="PEV29" s="172"/>
      <c r="PEW29" s="172"/>
      <c r="PEX29" s="172"/>
      <c r="PEY29" s="172"/>
      <c r="PEZ29" s="172"/>
      <c r="PFA29" s="172"/>
      <c r="PFB29" s="172"/>
      <c r="PFC29" s="172"/>
      <c r="PFD29" s="172"/>
      <c r="PFE29" s="172"/>
      <c r="PFF29" s="172"/>
      <c r="PFG29" s="172"/>
      <c r="PFH29" s="172"/>
      <c r="PFI29" s="172"/>
      <c r="PFJ29" s="172"/>
      <c r="PFK29" s="172"/>
      <c r="PFL29" s="172"/>
      <c r="PFM29" s="172"/>
      <c r="PFN29" s="172"/>
      <c r="PFO29" s="172"/>
      <c r="PFP29" s="172"/>
      <c r="PFQ29" s="172"/>
      <c r="PFR29" s="172"/>
      <c r="PFS29" s="172"/>
      <c r="PFT29" s="172"/>
      <c r="PFU29" s="172"/>
      <c r="PFV29" s="172"/>
      <c r="PFW29" s="172"/>
      <c r="PFX29" s="172"/>
      <c r="PFY29" s="172"/>
      <c r="PFZ29" s="172"/>
      <c r="PGA29" s="172"/>
      <c r="PGB29" s="172"/>
      <c r="PGC29" s="172"/>
      <c r="PGD29" s="172"/>
      <c r="PGE29" s="172"/>
      <c r="PGF29" s="172"/>
      <c r="PGG29" s="172"/>
      <c r="PGH29" s="172"/>
      <c r="PGI29" s="172"/>
      <c r="PGJ29" s="172"/>
      <c r="PGK29" s="172"/>
      <c r="PGL29" s="172"/>
      <c r="PGM29" s="172"/>
      <c r="PGN29" s="172"/>
      <c r="PGO29" s="172"/>
      <c r="PGP29" s="172"/>
      <c r="PGQ29" s="172"/>
      <c r="PGR29" s="172"/>
      <c r="PGS29" s="172"/>
      <c r="PGT29" s="172"/>
      <c r="PGU29" s="172"/>
      <c r="PGV29" s="172"/>
      <c r="PGW29" s="172"/>
      <c r="PGX29" s="172"/>
      <c r="PGY29" s="172"/>
      <c r="PGZ29" s="172"/>
      <c r="PHA29" s="172"/>
      <c r="PHB29" s="172"/>
      <c r="PHC29" s="172"/>
      <c r="PHD29" s="172"/>
      <c r="PHE29" s="172"/>
      <c r="PHF29" s="172"/>
      <c r="PHG29" s="172"/>
      <c r="PHH29" s="172"/>
      <c r="PHI29" s="172"/>
      <c r="PHJ29" s="172"/>
      <c r="PHK29" s="172"/>
      <c r="PHL29" s="172"/>
      <c r="PHM29" s="172"/>
      <c r="PHN29" s="172"/>
      <c r="PHO29" s="172"/>
      <c r="PHP29" s="172"/>
      <c r="PHQ29" s="172"/>
      <c r="PHR29" s="172"/>
      <c r="PHS29" s="172"/>
      <c r="PHT29" s="172"/>
      <c r="PHU29" s="172"/>
      <c r="PHV29" s="172"/>
      <c r="PHW29" s="172"/>
      <c r="PHX29" s="172"/>
      <c r="PHY29" s="172"/>
      <c r="PHZ29" s="172"/>
      <c r="PIA29" s="172"/>
      <c r="PIB29" s="172"/>
      <c r="PIC29" s="172"/>
      <c r="PID29" s="172"/>
      <c r="PIE29" s="172"/>
      <c r="PIF29" s="172"/>
      <c r="PIG29" s="172"/>
      <c r="PIH29" s="172"/>
      <c r="PII29" s="172"/>
      <c r="PIJ29" s="172"/>
      <c r="PIK29" s="172"/>
      <c r="PIL29" s="172"/>
      <c r="PIM29" s="172"/>
      <c r="PIN29" s="172"/>
      <c r="PIO29" s="172"/>
      <c r="PIP29" s="172"/>
      <c r="PIQ29" s="172"/>
      <c r="PIR29" s="172"/>
      <c r="PIS29" s="172"/>
      <c r="PIT29" s="172"/>
      <c r="PIU29" s="172"/>
      <c r="PIV29" s="172"/>
      <c r="PIW29" s="172"/>
      <c r="PIX29" s="172"/>
      <c r="PIY29" s="172"/>
      <c r="PIZ29" s="172"/>
      <c r="PJA29" s="172"/>
      <c r="PJB29" s="172"/>
      <c r="PJC29" s="172"/>
      <c r="PJD29" s="172"/>
      <c r="PJE29" s="172"/>
      <c r="PJF29" s="172"/>
      <c r="PJG29" s="172"/>
      <c r="PJH29" s="172"/>
      <c r="PJI29" s="172"/>
      <c r="PJJ29" s="172"/>
      <c r="PJK29" s="172"/>
      <c r="PJL29" s="172"/>
      <c r="PJM29" s="172"/>
      <c r="PJN29" s="172"/>
      <c r="PJO29" s="172"/>
      <c r="PJP29" s="172"/>
      <c r="PJQ29" s="172"/>
      <c r="PJR29" s="172"/>
      <c r="PJS29" s="172"/>
      <c r="PJT29" s="172"/>
      <c r="PJU29" s="172"/>
      <c r="PJV29" s="172"/>
      <c r="PJW29" s="172"/>
      <c r="PJX29" s="172"/>
      <c r="PJY29" s="172"/>
      <c r="PJZ29" s="172"/>
      <c r="PKA29" s="172"/>
      <c r="PKB29" s="172"/>
      <c r="PKC29" s="172"/>
      <c r="PKD29" s="172"/>
      <c r="PKE29" s="172"/>
      <c r="PKF29" s="172"/>
      <c r="PKG29" s="172"/>
      <c r="PKH29" s="172"/>
      <c r="PKI29" s="172"/>
      <c r="PKJ29" s="172"/>
      <c r="PKK29" s="172"/>
      <c r="PKL29" s="172"/>
      <c r="PKM29" s="172"/>
      <c r="PKN29" s="172"/>
      <c r="PKO29" s="172"/>
      <c r="PKP29" s="172"/>
      <c r="PKQ29" s="172"/>
      <c r="PKR29" s="172"/>
      <c r="PKS29" s="172"/>
      <c r="PKT29" s="172"/>
      <c r="PKU29" s="172"/>
      <c r="PKV29" s="172"/>
      <c r="PKW29" s="172"/>
      <c r="PKX29" s="172"/>
      <c r="PKY29" s="172"/>
      <c r="PKZ29" s="172"/>
      <c r="PLA29" s="172"/>
      <c r="PLB29" s="172"/>
      <c r="PLC29" s="172"/>
      <c r="PLD29" s="172"/>
      <c r="PLE29" s="172"/>
      <c r="PLF29" s="172"/>
      <c r="PLG29" s="172"/>
      <c r="PLH29" s="172"/>
      <c r="PLI29" s="172"/>
      <c r="PLJ29" s="172"/>
      <c r="PLK29" s="172"/>
      <c r="PLL29" s="172"/>
      <c r="PLM29" s="172"/>
      <c r="PLN29" s="172"/>
      <c r="PLO29" s="172"/>
      <c r="PLP29" s="172"/>
      <c r="PLQ29" s="172"/>
      <c r="PLR29" s="172"/>
      <c r="PLS29" s="172"/>
      <c r="PLT29" s="172"/>
      <c r="PLU29" s="172"/>
      <c r="PLV29" s="172"/>
      <c r="PLW29" s="172"/>
      <c r="PLX29" s="172"/>
      <c r="PLY29" s="172"/>
      <c r="PLZ29" s="172"/>
      <c r="PMA29" s="172"/>
      <c r="PMB29" s="172"/>
      <c r="PMC29" s="172"/>
      <c r="PMD29" s="172"/>
      <c r="PME29" s="172"/>
      <c r="PMF29" s="172"/>
      <c r="PMG29" s="172"/>
      <c r="PMH29" s="172"/>
      <c r="PMI29" s="172"/>
      <c r="PMJ29" s="172"/>
      <c r="PMK29" s="172"/>
      <c r="PML29" s="172"/>
      <c r="PMM29" s="172"/>
      <c r="PMN29" s="172"/>
      <c r="PMO29" s="172"/>
      <c r="PMP29" s="172"/>
      <c r="PMQ29" s="172"/>
      <c r="PMR29" s="172"/>
      <c r="PMS29" s="172"/>
      <c r="PMT29" s="172"/>
      <c r="PMU29" s="172"/>
      <c r="PMV29" s="172"/>
      <c r="PMW29" s="172"/>
      <c r="PMX29" s="172"/>
      <c r="PMY29" s="172"/>
      <c r="PMZ29" s="172"/>
      <c r="PNA29" s="172"/>
      <c r="PNB29" s="172"/>
      <c r="PNC29" s="172"/>
      <c r="PND29" s="172"/>
      <c r="PNE29" s="172"/>
      <c r="PNF29" s="172"/>
      <c r="PNG29" s="172"/>
      <c r="PNH29" s="172"/>
      <c r="PNI29" s="172"/>
      <c r="PNJ29" s="172"/>
      <c r="PNK29" s="172"/>
      <c r="PNL29" s="172"/>
      <c r="PNM29" s="172"/>
      <c r="PNN29" s="172"/>
      <c r="PNO29" s="172"/>
      <c r="PNP29" s="172"/>
      <c r="PNQ29" s="172"/>
      <c r="PNR29" s="172"/>
      <c r="PNS29" s="172"/>
      <c r="PNT29" s="172"/>
      <c r="PNU29" s="172"/>
      <c r="PNV29" s="172"/>
      <c r="PNW29" s="172"/>
      <c r="PNX29" s="172"/>
      <c r="PNY29" s="172"/>
      <c r="PNZ29" s="172"/>
      <c r="POA29" s="172"/>
      <c r="POB29" s="172"/>
      <c r="POC29" s="172"/>
      <c r="POD29" s="172"/>
      <c r="POE29" s="172"/>
      <c r="POF29" s="172"/>
      <c r="POG29" s="172"/>
      <c r="POH29" s="172"/>
      <c r="POI29" s="172"/>
      <c r="POJ29" s="172"/>
      <c r="POK29" s="172"/>
      <c r="POL29" s="172"/>
      <c r="POM29" s="172"/>
      <c r="PON29" s="172"/>
      <c r="POO29" s="172"/>
      <c r="POP29" s="172"/>
      <c r="POQ29" s="172"/>
      <c r="POR29" s="172"/>
      <c r="POS29" s="172"/>
      <c r="POT29" s="172"/>
      <c r="POU29" s="172"/>
      <c r="POV29" s="172"/>
      <c r="POW29" s="172"/>
      <c r="POX29" s="172"/>
      <c r="POY29" s="172"/>
      <c r="POZ29" s="172"/>
      <c r="PPA29" s="172"/>
      <c r="PPB29" s="172"/>
      <c r="PPC29" s="172"/>
      <c r="PPD29" s="172"/>
      <c r="PPE29" s="172"/>
      <c r="PPF29" s="172"/>
      <c r="PPG29" s="172"/>
      <c r="PPH29" s="172"/>
      <c r="PPI29" s="172"/>
      <c r="PPJ29" s="172"/>
      <c r="PPK29" s="172"/>
      <c r="PPL29" s="172"/>
      <c r="PPM29" s="172"/>
      <c r="PPN29" s="172"/>
      <c r="PPO29" s="172"/>
      <c r="PPP29" s="172"/>
      <c r="PPQ29" s="172"/>
      <c r="PPR29" s="172"/>
      <c r="PPS29" s="172"/>
      <c r="PPT29" s="172"/>
      <c r="PPU29" s="172"/>
      <c r="PPV29" s="172"/>
      <c r="PPW29" s="172"/>
      <c r="PPX29" s="172"/>
      <c r="PPY29" s="172"/>
      <c r="PPZ29" s="172"/>
      <c r="PQA29" s="172"/>
      <c r="PQB29" s="172"/>
      <c r="PQC29" s="172"/>
      <c r="PQD29" s="172"/>
      <c r="PQE29" s="172"/>
      <c r="PQF29" s="172"/>
      <c r="PQG29" s="172"/>
      <c r="PQH29" s="172"/>
      <c r="PQI29" s="172"/>
      <c r="PQJ29" s="172"/>
      <c r="PQK29" s="172"/>
      <c r="PQL29" s="172"/>
      <c r="PQM29" s="172"/>
      <c r="PQN29" s="172"/>
      <c r="PQO29" s="172"/>
      <c r="PQP29" s="172"/>
      <c r="PQQ29" s="172"/>
      <c r="PQR29" s="172"/>
      <c r="PQS29" s="172"/>
      <c r="PQT29" s="172"/>
      <c r="PQU29" s="172"/>
      <c r="PQV29" s="172"/>
      <c r="PQW29" s="172"/>
      <c r="PQX29" s="172"/>
      <c r="PQY29" s="172"/>
      <c r="PQZ29" s="172"/>
      <c r="PRA29" s="172"/>
      <c r="PRB29" s="172"/>
      <c r="PRC29" s="172"/>
      <c r="PRD29" s="172"/>
      <c r="PRE29" s="172"/>
      <c r="PRF29" s="172"/>
      <c r="PRG29" s="172"/>
      <c r="PRH29" s="172"/>
      <c r="PRI29" s="172"/>
      <c r="PRJ29" s="172"/>
      <c r="PRK29" s="172"/>
      <c r="PRL29" s="172"/>
      <c r="PRM29" s="172"/>
      <c r="PRN29" s="172"/>
      <c r="PRO29" s="172"/>
      <c r="PRP29" s="172"/>
      <c r="PRQ29" s="172"/>
      <c r="PRR29" s="172"/>
      <c r="PRS29" s="172"/>
      <c r="PRT29" s="172"/>
      <c r="PRU29" s="172"/>
      <c r="PRV29" s="172"/>
      <c r="PRW29" s="172"/>
      <c r="PRX29" s="172"/>
      <c r="PRY29" s="172"/>
      <c r="PRZ29" s="172"/>
      <c r="PSA29" s="172"/>
      <c r="PSB29" s="172"/>
      <c r="PSC29" s="172"/>
      <c r="PSD29" s="172"/>
      <c r="PSE29" s="172"/>
      <c r="PSF29" s="172"/>
      <c r="PSG29" s="172"/>
      <c r="PSH29" s="172"/>
      <c r="PSI29" s="172"/>
      <c r="PSJ29" s="172"/>
      <c r="PSK29" s="172"/>
      <c r="PSL29" s="172"/>
      <c r="PSM29" s="172"/>
      <c r="PSN29" s="172"/>
      <c r="PSO29" s="172"/>
      <c r="PSP29" s="172"/>
      <c r="PSQ29" s="172"/>
      <c r="PSR29" s="172"/>
      <c r="PSS29" s="172"/>
      <c r="PST29" s="172"/>
      <c r="PSU29" s="172"/>
      <c r="PSV29" s="172"/>
      <c r="PSW29" s="172"/>
      <c r="PSX29" s="172"/>
      <c r="PSY29" s="172"/>
      <c r="PSZ29" s="172"/>
      <c r="PTA29" s="172"/>
      <c r="PTB29" s="172"/>
      <c r="PTC29" s="172"/>
      <c r="PTD29" s="172"/>
      <c r="PTE29" s="172"/>
      <c r="PTF29" s="172"/>
      <c r="PTG29" s="172"/>
      <c r="PTH29" s="172"/>
      <c r="PTI29" s="172"/>
      <c r="PTJ29" s="172"/>
      <c r="PTK29" s="172"/>
      <c r="PTL29" s="172"/>
      <c r="PTM29" s="172"/>
      <c r="PTN29" s="172"/>
      <c r="PTO29" s="172"/>
      <c r="PTP29" s="172"/>
      <c r="PTQ29" s="172"/>
      <c r="PTR29" s="172"/>
      <c r="PTS29" s="172"/>
      <c r="PTT29" s="172"/>
      <c r="PTU29" s="172"/>
      <c r="PTV29" s="172"/>
      <c r="PTW29" s="172"/>
      <c r="PTX29" s="172"/>
      <c r="PTY29" s="172"/>
      <c r="PTZ29" s="172"/>
      <c r="PUA29" s="172"/>
      <c r="PUB29" s="172"/>
      <c r="PUC29" s="172"/>
      <c r="PUD29" s="172"/>
      <c r="PUE29" s="172"/>
      <c r="PUF29" s="172"/>
      <c r="PUG29" s="172"/>
      <c r="PUH29" s="172"/>
      <c r="PUI29" s="172"/>
      <c r="PUJ29" s="172"/>
      <c r="PUK29" s="172"/>
      <c r="PUL29" s="172"/>
      <c r="PUM29" s="172"/>
      <c r="PUN29" s="172"/>
      <c r="PUO29" s="172"/>
      <c r="PUP29" s="172"/>
      <c r="PUQ29" s="172"/>
      <c r="PUR29" s="172"/>
      <c r="PUS29" s="172"/>
      <c r="PUT29" s="172"/>
      <c r="PUU29" s="172"/>
      <c r="PUV29" s="172"/>
      <c r="PUW29" s="172"/>
      <c r="PUX29" s="172"/>
      <c r="PUY29" s="172"/>
      <c r="PUZ29" s="172"/>
      <c r="PVA29" s="172"/>
      <c r="PVB29" s="172"/>
      <c r="PVC29" s="172"/>
      <c r="PVD29" s="172"/>
      <c r="PVE29" s="172"/>
      <c r="PVF29" s="172"/>
      <c r="PVG29" s="172"/>
      <c r="PVH29" s="172"/>
      <c r="PVI29" s="172"/>
      <c r="PVJ29" s="172"/>
      <c r="PVK29" s="172"/>
      <c r="PVL29" s="172"/>
      <c r="PVM29" s="172"/>
      <c r="PVN29" s="172"/>
      <c r="PVO29" s="172"/>
      <c r="PVP29" s="172"/>
      <c r="PVQ29" s="172"/>
      <c r="PVR29" s="172"/>
      <c r="PVS29" s="172"/>
      <c r="PVT29" s="172"/>
      <c r="PVU29" s="172"/>
      <c r="PVV29" s="172"/>
      <c r="PVW29" s="172"/>
      <c r="PVX29" s="172"/>
      <c r="PVY29" s="172"/>
      <c r="PVZ29" s="172"/>
      <c r="PWA29" s="172"/>
      <c r="PWB29" s="172"/>
      <c r="PWC29" s="172"/>
      <c r="PWD29" s="172"/>
      <c r="PWE29" s="172"/>
      <c r="PWF29" s="172"/>
      <c r="PWG29" s="172"/>
      <c r="PWH29" s="172"/>
      <c r="PWI29" s="172"/>
      <c r="PWJ29" s="172"/>
      <c r="PWK29" s="172"/>
      <c r="PWL29" s="172"/>
      <c r="PWM29" s="172"/>
      <c r="PWN29" s="172"/>
      <c r="PWO29" s="172"/>
      <c r="PWP29" s="172"/>
      <c r="PWQ29" s="172"/>
      <c r="PWR29" s="172"/>
      <c r="PWS29" s="172"/>
      <c r="PWT29" s="172"/>
      <c r="PWU29" s="172"/>
      <c r="PWV29" s="172"/>
      <c r="PWW29" s="172"/>
      <c r="PWX29" s="172"/>
      <c r="PWY29" s="172"/>
      <c r="PWZ29" s="172"/>
      <c r="PXA29" s="172"/>
      <c r="PXB29" s="172"/>
      <c r="PXC29" s="172"/>
      <c r="PXD29" s="172"/>
      <c r="PXE29" s="172"/>
      <c r="PXF29" s="172"/>
      <c r="PXG29" s="172"/>
      <c r="PXH29" s="172"/>
      <c r="PXI29" s="172"/>
      <c r="PXJ29" s="172"/>
      <c r="PXK29" s="172"/>
      <c r="PXL29" s="172"/>
      <c r="PXM29" s="172"/>
      <c r="PXN29" s="172"/>
      <c r="PXO29" s="172"/>
      <c r="PXP29" s="172"/>
      <c r="PXQ29" s="172"/>
      <c r="PXR29" s="172"/>
      <c r="PXS29" s="172"/>
      <c r="PXT29" s="172"/>
      <c r="PXU29" s="172"/>
      <c r="PXV29" s="172"/>
      <c r="PXW29" s="172"/>
      <c r="PXX29" s="172"/>
      <c r="PXY29" s="172"/>
      <c r="PXZ29" s="172"/>
      <c r="PYA29" s="172"/>
      <c r="PYB29" s="172"/>
      <c r="PYC29" s="172"/>
      <c r="PYD29" s="172"/>
      <c r="PYE29" s="172"/>
      <c r="PYF29" s="172"/>
      <c r="PYG29" s="172"/>
      <c r="PYH29" s="172"/>
      <c r="PYI29" s="172"/>
      <c r="PYJ29" s="172"/>
      <c r="PYK29" s="172"/>
      <c r="PYL29" s="172"/>
      <c r="PYM29" s="172"/>
      <c r="PYN29" s="172"/>
      <c r="PYO29" s="172"/>
      <c r="PYP29" s="172"/>
      <c r="PYQ29" s="172"/>
      <c r="PYR29" s="172"/>
      <c r="PYS29" s="172"/>
      <c r="PYT29" s="172"/>
      <c r="PYU29" s="172"/>
      <c r="PYV29" s="172"/>
      <c r="PYW29" s="172"/>
      <c r="PYX29" s="172"/>
      <c r="PYY29" s="172"/>
      <c r="PYZ29" s="172"/>
      <c r="PZA29" s="172"/>
      <c r="PZB29" s="172"/>
      <c r="PZC29" s="172"/>
      <c r="PZD29" s="172"/>
      <c r="PZE29" s="172"/>
      <c r="PZF29" s="172"/>
      <c r="PZG29" s="172"/>
      <c r="PZH29" s="172"/>
      <c r="PZI29" s="172"/>
      <c r="PZJ29" s="172"/>
      <c r="PZK29" s="172"/>
      <c r="PZL29" s="172"/>
      <c r="PZM29" s="172"/>
      <c r="PZN29" s="172"/>
      <c r="PZO29" s="172"/>
      <c r="PZP29" s="172"/>
      <c r="PZQ29" s="172"/>
      <c r="PZR29" s="172"/>
      <c r="PZS29" s="172"/>
      <c r="PZT29" s="172"/>
      <c r="PZU29" s="172"/>
      <c r="PZV29" s="172"/>
      <c r="PZW29" s="172"/>
      <c r="PZX29" s="172"/>
      <c r="PZY29" s="172"/>
      <c r="PZZ29" s="172"/>
      <c r="QAA29" s="172"/>
      <c r="QAB29" s="172"/>
      <c r="QAC29" s="172"/>
      <c r="QAD29" s="172"/>
      <c r="QAE29" s="172"/>
      <c r="QAF29" s="172"/>
      <c r="QAG29" s="172"/>
      <c r="QAH29" s="172"/>
      <c r="QAI29" s="172"/>
      <c r="QAJ29" s="172"/>
      <c r="QAK29" s="172"/>
      <c r="QAL29" s="172"/>
      <c r="QAM29" s="172"/>
      <c r="QAN29" s="172"/>
      <c r="QAO29" s="172"/>
      <c r="QAP29" s="172"/>
      <c r="QAQ29" s="172"/>
      <c r="QAR29" s="172"/>
      <c r="QAS29" s="172"/>
      <c r="QAT29" s="172"/>
      <c r="QAU29" s="172"/>
      <c r="QAV29" s="172"/>
      <c r="QAW29" s="172"/>
      <c r="QAX29" s="172"/>
      <c r="QAY29" s="172"/>
      <c r="QAZ29" s="172"/>
      <c r="QBA29" s="172"/>
      <c r="QBB29" s="172"/>
      <c r="QBC29" s="172"/>
      <c r="QBD29" s="172"/>
      <c r="QBE29" s="172"/>
      <c r="QBF29" s="172"/>
      <c r="QBG29" s="172"/>
      <c r="QBH29" s="172"/>
      <c r="QBI29" s="172"/>
      <c r="QBJ29" s="172"/>
      <c r="QBK29" s="172"/>
      <c r="QBL29" s="172"/>
      <c r="QBM29" s="172"/>
      <c r="QBN29" s="172"/>
      <c r="QBO29" s="172"/>
      <c r="QBP29" s="172"/>
      <c r="QBQ29" s="172"/>
      <c r="QBR29" s="172"/>
      <c r="QBS29" s="172"/>
      <c r="QBT29" s="172"/>
      <c r="QBU29" s="172"/>
      <c r="QBV29" s="172"/>
      <c r="QBW29" s="172"/>
      <c r="QBX29" s="172"/>
      <c r="QBY29" s="172"/>
      <c r="QBZ29" s="172"/>
      <c r="QCA29" s="172"/>
      <c r="QCB29" s="172"/>
      <c r="QCC29" s="172"/>
      <c r="QCD29" s="172"/>
      <c r="QCE29" s="172"/>
      <c r="QCF29" s="172"/>
      <c r="QCG29" s="172"/>
      <c r="QCH29" s="172"/>
      <c r="QCI29" s="172"/>
      <c r="QCJ29" s="172"/>
      <c r="QCK29" s="172"/>
      <c r="QCL29" s="172"/>
      <c r="QCM29" s="172"/>
      <c r="QCN29" s="172"/>
      <c r="QCO29" s="172"/>
      <c r="QCP29" s="172"/>
      <c r="QCQ29" s="172"/>
      <c r="QCR29" s="172"/>
      <c r="QCS29" s="172"/>
      <c r="QCT29" s="172"/>
      <c r="QCU29" s="172"/>
      <c r="QCV29" s="172"/>
      <c r="QCW29" s="172"/>
      <c r="QCX29" s="172"/>
      <c r="QCY29" s="172"/>
      <c r="QCZ29" s="172"/>
      <c r="QDA29" s="172"/>
      <c r="QDB29" s="172"/>
      <c r="QDC29" s="172"/>
      <c r="QDD29" s="172"/>
      <c r="QDE29" s="172"/>
      <c r="QDF29" s="172"/>
      <c r="QDG29" s="172"/>
      <c r="QDH29" s="172"/>
      <c r="QDI29" s="172"/>
      <c r="QDJ29" s="172"/>
      <c r="QDK29" s="172"/>
      <c r="QDL29" s="172"/>
      <c r="QDM29" s="172"/>
      <c r="QDN29" s="172"/>
      <c r="QDO29" s="172"/>
      <c r="QDP29" s="172"/>
      <c r="QDQ29" s="172"/>
      <c r="QDR29" s="172"/>
      <c r="QDS29" s="172"/>
      <c r="QDT29" s="172"/>
      <c r="QDU29" s="172"/>
      <c r="QDV29" s="172"/>
      <c r="QDW29" s="172"/>
      <c r="QDX29" s="172"/>
      <c r="QDY29" s="172"/>
      <c r="QDZ29" s="172"/>
      <c r="QEA29" s="172"/>
      <c r="QEB29" s="172"/>
      <c r="QEC29" s="172"/>
      <c r="QED29" s="172"/>
      <c r="QEE29" s="172"/>
      <c r="QEF29" s="172"/>
      <c r="QEG29" s="172"/>
      <c r="QEH29" s="172"/>
      <c r="QEI29" s="172"/>
      <c r="QEJ29" s="172"/>
      <c r="QEK29" s="172"/>
      <c r="QEL29" s="172"/>
      <c r="QEM29" s="172"/>
      <c r="QEN29" s="172"/>
      <c r="QEO29" s="172"/>
      <c r="QEP29" s="172"/>
      <c r="QEQ29" s="172"/>
      <c r="QER29" s="172"/>
      <c r="QES29" s="172"/>
      <c r="QET29" s="172"/>
      <c r="QEU29" s="172"/>
      <c r="QEV29" s="172"/>
      <c r="QEW29" s="172"/>
      <c r="QEX29" s="172"/>
      <c r="QEY29" s="172"/>
      <c r="QEZ29" s="172"/>
      <c r="QFA29" s="172"/>
      <c r="QFB29" s="172"/>
      <c r="QFC29" s="172"/>
      <c r="QFD29" s="172"/>
      <c r="QFE29" s="172"/>
      <c r="QFF29" s="172"/>
      <c r="QFG29" s="172"/>
      <c r="QFH29" s="172"/>
      <c r="QFI29" s="172"/>
      <c r="QFJ29" s="172"/>
      <c r="QFK29" s="172"/>
      <c r="QFL29" s="172"/>
      <c r="QFM29" s="172"/>
      <c r="QFN29" s="172"/>
      <c r="QFO29" s="172"/>
      <c r="QFP29" s="172"/>
      <c r="QFQ29" s="172"/>
      <c r="QFR29" s="172"/>
      <c r="QFS29" s="172"/>
      <c r="QFT29" s="172"/>
      <c r="QFU29" s="172"/>
      <c r="QFV29" s="172"/>
      <c r="QFW29" s="172"/>
      <c r="QFX29" s="172"/>
      <c r="QFY29" s="172"/>
      <c r="QFZ29" s="172"/>
      <c r="QGA29" s="172"/>
      <c r="QGB29" s="172"/>
      <c r="QGC29" s="172"/>
      <c r="QGD29" s="172"/>
      <c r="QGE29" s="172"/>
      <c r="QGF29" s="172"/>
      <c r="QGG29" s="172"/>
      <c r="QGH29" s="172"/>
      <c r="QGI29" s="172"/>
      <c r="QGJ29" s="172"/>
      <c r="QGK29" s="172"/>
      <c r="QGL29" s="172"/>
      <c r="QGM29" s="172"/>
      <c r="QGN29" s="172"/>
      <c r="QGO29" s="172"/>
      <c r="QGP29" s="172"/>
      <c r="QGQ29" s="172"/>
      <c r="QGR29" s="172"/>
      <c r="QGS29" s="172"/>
      <c r="QGT29" s="172"/>
      <c r="QGU29" s="172"/>
      <c r="QGV29" s="172"/>
      <c r="QGW29" s="172"/>
      <c r="QGX29" s="172"/>
      <c r="QGY29" s="172"/>
      <c r="QGZ29" s="172"/>
      <c r="QHA29" s="172"/>
      <c r="QHB29" s="172"/>
      <c r="QHC29" s="172"/>
      <c r="QHD29" s="172"/>
      <c r="QHE29" s="172"/>
      <c r="QHF29" s="172"/>
      <c r="QHG29" s="172"/>
      <c r="QHH29" s="172"/>
      <c r="QHI29" s="172"/>
      <c r="QHJ29" s="172"/>
      <c r="QHK29" s="172"/>
      <c r="QHL29" s="172"/>
      <c r="QHM29" s="172"/>
      <c r="QHN29" s="172"/>
      <c r="QHO29" s="172"/>
      <c r="QHP29" s="172"/>
      <c r="QHQ29" s="172"/>
      <c r="QHR29" s="172"/>
      <c r="QHS29" s="172"/>
      <c r="QHT29" s="172"/>
      <c r="QHU29" s="172"/>
      <c r="QHV29" s="172"/>
      <c r="QHW29" s="172"/>
      <c r="QHX29" s="172"/>
      <c r="QHY29" s="172"/>
      <c r="QHZ29" s="172"/>
      <c r="QIA29" s="172"/>
      <c r="QIB29" s="172"/>
      <c r="QIC29" s="172"/>
      <c r="QID29" s="172"/>
      <c r="QIE29" s="172"/>
      <c r="QIF29" s="172"/>
      <c r="QIG29" s="172"/>
      <c r="QIH29" s="172"/>
      <c r="QII29" s="172"/>
      <c r="QIJ29" s="172"/>
      <c r="QIK29" s="172"/>
      <c r="QIL29" s="172"/>
      <c r="QIM29" s="172"/>
      <c r="QIN29" s="172"/>
      <c r="QIO29" s="172"/>
      <c r="QIP29" s="172"/>
      <c r="QIQ29" s="172"/>
      <c r="QIR29" s="172"/>
      <c r="QIS29" s="172"/>
      <c r="QIT29" s="172"/>
      <c r="QIU29" s="172"/>
      <c r="QIV29" s="172"/>
      <c r="QIW29" s="172"/>
      <c r="QIX29" s="172"/>
      <c r="QIY29" s="172"/>
      <c r="QIZ29" s="172"/>
      <c r="QJA29" s="172"/>
      <c r="QJB29" s="172"/>
      <c r="QJC29" s="172"/>
      <c r="QJD29" s="172"/>
      <c r="QJE29" s="172"/>
      <c r="QJF29" s="172"/>
      <c r="QJG29" s="172"/>
      <c r="QJH29" s="172"/>
      <c r="QJI29" s="172"/>
      <c r="QJJ29" s="172"/>
      <c r="QJK29" s="172"/>
      <c r="QJL29" s="172"/>
      <c r="QJM29" s="172"/>
      <c r="QJN29" s="172"/>
      <c r="QJO29" s="172"/>
      <c r="QJP29" s="172"/>
      <c r="QJQ29" s="172"/>
      <c r="QJR29" s="172"/>
      <c r="QJS29" s="172"/>
      <c r="QJT29" s="172"/>
      <c r="QJU29" s="172"/>
      <c r="QJV29" s="172"/>
      <c r="QJW29" s="172"/>
      <c r="QJX29" s="172"/>
      <c r="QJY29" s="172"/>
      <c r="QJZ29" s="172"/>
      <c r="QKA29" s="172"/>
      <c r="QKB29" s="172"/>
      <c r="QKC29" s="172"/>
      <c r="QKD29" s="172"/>
      <c r="QKE29" s="172"/>
      <c r="QKF29" s="172"/>
      <c r="QKG29" s="172"/>
      <c r="QKH29" s="172"/>
      <c r="QKI29" s="172"/>
      <c r="QKJ29" s="172"/>
      <c r="QKK29" s="172"/>
      <c r="QKL29" s="172"/>
      <c r="QKM29" s="172"/>
      <c r="QKN29" s="172"/>
      <c r="QKO29" s="172"/>
      <c r="QKP29" s="172"/>
      <c r="QKQ29" s="172"/>
      <c r="QKR29" s="172"/>
      <c r="QKS29" s="172"/>
      <c r="QKT29" s="172"/>
      <c r="QKU29" s="172"/>
      <c r="QKV29" s="172"/>
      <c r="QKW29" s="172"/>
      <c r="QKX29" s="172"/>
      <c r="QKY29" s="172"/>
      <c r="QKZ29" s="172"/>
      <c r="QLA29" s="172"/>
      <c r="QLB29" s="172"/>
      <c r="QLC29" s="172"/>
      <c r="QLD29" s="172"/>
      <c r="QLE29" s="172"/>
      <c r="QLF29" s="172"/>
      <c r="QLG29" s="172"/>
      <c r="QLH29" s="172"/>
      <c r="QLI29" s="172"/>
      <c r="QLJ29" s="172"/>
      <c r="QLK29" s="172"/>
      <c r="QLL29" s="172"/>
      <c r="QLM29" s="172"/>
      <c r="QLN29" s="172"/>
      <c r="QLO29" s="172"/>
      <c r="QLP29" s="172"/>
      <c r="QLQ29" s="172"/>
      <c r="QLR29" s="172"/>
      <c r="QLS29" s="172"/>
      <c r="QLT29" s="172"/>
      <c r="QLU29" s="172"/>
      <c r="QLV29" s="172"/>
      <c r="QLW29" s="172"/>
      <c r="QLX29" s="172"/>
      <c r="QLY29" s="172"/>
      <c r="QLZ29" s="172"/>
      <c r="QMA29" s="172"/>
      <c r="QMB29" s="172"/>
      <c r="QMC29" s="172"/>
      <c r="QMD29" s="172"/>
      <c r="QME29" s="172"/>
      <c r="QMF29" s="172"/>
      <c r="QMG29" s="172"/>
      <c r="QMH29" s="172"/>
      <c r="QMI29" s="172"/>
      <c r="QMJ29" s="172"/>
      <c r="QMK29" s="172"/>
      <c r="QML29" s="172"/>
      <c r="QMM29" s="172"/>
      <c r="QMN29" s="172"/>
      <c r="QMO29" s="172"/>
      <c r="QMP29" s="172"/>
      <c r="QMQ29" s="172"/>
      <c r="QMR29" s="172"/>
      <c r="QMS29" s="172"/>
      <c r="QMT29" s="172"/>
      <c r="QMU29" s="172"/>
      <c r="QMV29" s="172"/>
      <c r="QMW29" s="172"/>
      <c r="QMX29" s="172"/>
      <c r="QMY29" s="172"/>
      <c r="QMZ29" s="172"/>
      <c r="QNA29" s="172"/>
      <c r="QNB29" s="172"/>
      <c r="QNC29" s="172"/>
      <c r="QND29" s="172"/>
      <c r="QNE29" s="172"/>
      <c r="QNF29" s="172"/>
      <c r="QNG29" s="172"/>
      <c r="QNH29" s="172"/>
      <c r="QNI29" s="172"/>
      <c r="QNJ29" s="172"/>
      <c r="QNK29" s="172"/>
      <c r="QNL29" s="172"/>
      <c r="QNM29" s="172"/>
      <c r="QNN29" s="172"/>
      <c r="QNO29" s="172"/>
      <c r="QNP29" s="172"/>
      <c r="QNQ29" s="172"/>
      <c r="QNR29" s="172"/>
      <c r="QNS29" s="172"/>
      <c r="QNT29" s="172"/>
      <c r="QNU29" s="172"/>
      <c r="QNV29" s="172"/>
      <c r="QNW29" s="172"/>
      <c r="QNX29" s="172"/>
      <c r="QNY29" s="172"/>
      <c r="QNZ29" s="172"/>
      <c r="QOA29" s="172"/>
      <c r="QOB29" s="172"/>
      <c r="QOC29" s="172"/>
      <c r="QOD29" s="172"/>
      <c r="QOE29" s="172"/>
      <c r="QOF29" s="172"/>
      <c r="QOG29" s="172"/>
      <c r="QOH29" s="172"/>
      <c r="QOI29" s="172"/>
      <c r="QOJ29" s="172"/>
      <c r="QOK29" s="172"/>
      <c r="QOL29" s="172"/>
      <c r="QOM29" s="172"/>
      <c r="QON29" s="172"/>
      <c r="QOO29" s="172"/>
      <c r="QOP29" s="172"/>
      <c r="QOQ29" s="172"/>
      <c r="QOR29" s="172"/>
      <c r="QOS29" s="172"/>
      <c r="QOT29" s="172"/>
      <c r="QOU29" s="172"/>
      <c r="QOV29" s="172"/>
      <c r="QOW29" s="172"/>
      <c r="QOX29" s="172"/>
      <c r="QOY29" s="172"/>
      <c r="QOZ29" s="172"/>
      <c r="QPA29" s="172"/>
      <c r="QPB29" s="172"/>
      <c r="QPC29" s="172"/>
      <c r="QPD29" s="172"/>
      <c r="QPE29" s="172"/>
      <c r="QPF29" s="172"/>
      <c r="QPG29" s="172"/>
      <c r="QPH29" s="172"/>
      <c r="QPI29" s="172"/>
      <c r="QPJ29" s="172"/>
      <c r="QPK29" s="172"/>
      <c r="QPL29" s="172"/>
      <c r="QPM29" s="172"/>
      <c r="QPN29" s="172"/>
      <c r="QPO29" s="172"/>
      <c r="QPP29" s="172"/>
      <c r="QPQ29" s="172"/>
      <c r="QPR29" s="172"/>
      <c r="QPS29" s="172"/>
      <c r="QPT29" s="172"/>
      <c r="QPU29" s="172"/>
      <c r="QPV29" s="172"/>
      <c r="QPW29" s="172"/>
      <c r="QPX29" s="172"/>
      <c r="QPY29" s="172"/>
      <c r="QPZ29" s="172"/>
      <c r="QQA29" s="172"/>
      <c r="QQB29" s="172"/>
      <c r="QQC29" s="172"/>
      <c r="QQD29" s="172"/>
      <c r="QQE29" s="172"/>
      <c r="QQF29" s="172"/>
      <c r="QQG29" s="172"/>
      <c r="QQH29" s="172"/>
      <c r="QQI29" s="172"/>
      <c r="QQJ29" s="172"/>
      <c r="QQK29" s="172"/>
      <c r="QQL29" s="172"/>
      <c r="QQM29" s="172"/>
      <c r="QQN29" s="172"/>
      <c r="QQO29" s="172"/>
      <c r="QQP29" s="172"/>
      <c r="QQQ29" s="172"/>
      <c r="QQR29" s="172"/>
      <c r="QQS29" s="172"/>
      <c r="QQT29" s="172"/>
      <c r="QQU29" s="172"/>
      <c r="QQV29" s="172"/>
      <c r="QQW29" s="172"/>
      <c r="QQX29" s="172"/>
      <c r="QQY29" s="172"/>
      <c r="QQZ29" s="172"/>
      <c r="QRA29" s="172"/>
      <c r="QRB29" s="172"/>
      <c r="QRC29" s="172"/>
      <c r="QRD29" s="172"/>
      <c r="QRE29" s="172"/>
      <c r="QRF29" s="172"/>
      <c r="QRG29" s="172"/>
      <c r="QRH29" s="172"/>
      <c r="QRI29" s="172"/>
      <c r="QRJ29" s="172"/>
      <c r="QRK29" s="172"/>
      <c r="QRL29" s="172"/>
      <c r="QRM29" s="172"/>
      <c r="QRN29" s="172"/>
      <c r="QRO29" s="172"/>
      <c r="QRP29" s="172"/>
      <c r="QRQ29" s="172"/>
      <c r="QRR29" s="172"/>
      <c r="QRS29" s="172"/>
      <c r="QRT29" s="172"/>
      <c r="QRU29" s="172"/>
      <c r="QRV29" s="172"/>
      <c r="QRW29" s="172"/>
      <c r="QRX29" s="172"/>
      <c r="QRY29" s="172"/>
      <c r="QRZ29" s="172"/>
      <c r="QSA29" s="172"/>
      <c r="QSB29" s="172"/>
      <c r="QSC29" s="172"/>
      <c r="QSD29" s="172"/>
      <c r="QSE29" s="172"/>
      <c r="QSF29" s="172"/>
      <c r="QSG29" s="172"/>
      <c r="QSH29" s="172"/>
      <c r="QSI29" s="172"/>
      <c r="QSJ29" s="172"/>
      <c r="QSK29" s="172"/>
      <c r="QSL29" s="172"/>
      <c r="QSM29" s="172"/>
      <c r="QSN29" s="172"/>
      <c r="QSO29" s="172"/>
      <c r="QSP29" s="172"/>
      <c r="QSQ29" s="172"/>
      <c r="QSR29" s="172"/>
      <c r="QSS29" s="172"/>
      <c r="QST29" s="172"/>
      <c r="QSU29" s="172"/>
      <c r="QSV29" s="172"/>
      <c r="QSW29" s="172"/>
      <c r="QSX29" s="172"/>
      <c r="QSY29" s="172"/>
      <c r="QSZ29" s="172"/>
      <c r="QTA29" s="172"/>
      <c r="QTB29" s="172"/>
      <c r="QTC29" s="172"/>
      <c r="QTD29" s="172"/>
      <c r="QTE29" s="172"/>
      <c r="QTF29" s="172"/>
      <c r="QTG29" s="172"/>
      <c r="QTH29" s="172"/>
      <c r="QTI29" s="172"/>
      <c r="QTJ29" s="172"/>
      <c r="QTK29" s="172"/>
      <c r="QTL29" s="172"/>
      <c r="QTM29" s="172"/>
      <c r="QTN29" s="172"/>
      <c r="QTO29" s="172"/>
      <c r="QTP29" s="172"/>
      <c r="QTQ29" s="172"/>
      <c r="QTR29" s="172"/>
      <c r="QTS29" s="172"/>
      <c r="QTT29" s="172"/>
      <c r="QTU29" s="172"/>
      <c r="QTV29" s="172"/>
      <c r="QTW29" s="172"/>
      <c r="QTX29" s="172"/>
      <c r="QTY29" s="172"/>
      <c r="QTZ29" s="172"/>
      <c r="QUA29" s="172"/>
      <c r="QUB29" s="172"/>
      <c r="QUC29" s="172"/>
      <c r="QUD29" s="172"/>
      <c r="QUE29" s="172"/>
      <c r="QUF29" s="172"/>
      <c r="QUG29" s="172"/>
      <c r="QUH29" s="172"/>
      <c r="QUI29" s="172"/>
      <c r="QUJ29" s="172"/>
      <c r="QUK29" s="172"/>
      <c r="QUL29" s="172"/>
      <c r="QUM29" s="172"/>
      <c r="QUN29" s="172"/>
      <c r="QUO29" s="172"/>
      <c r="QUP29" s="172"/>
      <c r="QUQ29" s="172"/>
      <c r="QUR29" s="172"/>
      <c r="QUS29" s="172"/>
      <c r="QUT29" s="172"/>
      <c r="QUU29" s="172"/>
      <c r="QUV29" s="172"/>
      <c r="QUW29" s="172"/>
      <c r="QUX29" s="172"/>
      <c r="QUY29" s="172"/>
      <c r="QUZ29" s="172"/>
      <c r="QVA29" s="172"/>
      <c r="QVB29" s="172"/>
      <c r="QVC29" s="172"/>
      <c r="QVD29" s="172"/>
      <c r="QVE29" s="172"/>
      <c r="QVF29" s="172"/>
      <c r="QVG29" s="172"/>
      <c r="QVH29" s="172"/>
      <c r="QVI29" s="172"/>
      <c r="QVJ29" s="172"/>
      <c r="QVK29" s="172"/>
      <c r="QVL29" s="172"/>
      <c r="QVM29" s="172"/>
      <c r="QVN29" s="172"/>
      <c r="QVO29" s="172"/>
      <c r="QVP29" s="172"/>
      <c r="QVQ29" s="172"/>
      <c r="QVR29" s="172"/>
      <c r="QVS29" s="172"/>
      <c r="QVT29" s="172"/>
      <c r="QVU29" s="172"/>
      <c r="QVV29" s="172"/>
      <c r="QVW29" s="172"/>
      <c r="QVX29" s="172"/>
      <c r="QVY29" s="172"/>
      <c r="QVZ29" s="172"/>
      <c r="QWA29" s="172"/>
      <c r="QWB29" s="172"/>
      <c r="QWC29" s="172"/>
      <c r="QWD29" s="172"/>
      <c r="QWE29" s="172"/>
      <c r="QWF29" s="172"/>
      <c r="QWG29" s="172"/>
      <c r="QWH29" s="172"/>
      <c r="QWI29" s="172"/>
      <c r="QWJ29" s="172"/>
      <c r="QWK29" s="172"/>
      <c r="QWL29" s="172"/>
      <c r="QWM29" s="172"/>
      <c r="QWN29" s="172"/>
      <c r="QWO29" s="172"/>
      <c r="QWP29" s="172"/>
      <c r="QWQ29" s="172"/>
      <c r="QWR29" s="172"/>
      <c r="QWS29" s="172"/>
      <c r="QWT29" s="172"/>
      <c r="QWU29" s="172"/>
      <c r="QWV29" s="172"/>
      <c r="QWW29" s="172"/>
      <c r="QWX29" s="172"/>
      <c r="QWY29" s="172"/>
      <c r="QWZ29" s="172"/>
      <c r="QXA29" s="172"/>
      <c r="QXB29" s="172"/>
      <c r="QXC29" s="172"/>
      <c r="QXD29" s="172"/>
      <c r="QXE29" s="172"/>
      <c r="QXF29" s="172"/>
      <c r="QXG29" s="172"/>
      <c r="QXH29" s="172"/>
      <c r="QXI29" s="172"/>
      <c r="QXJ29" s="172"/>
      <c r="QXK29" s="172"/>
      <c r="QXL29" s="172"/>
      <c r="QXM29" s="172"/>
      <c r="QXN29" s="172"/>
      <c r="QXO29" s="172"/>
      <c r="QXP29" s="172"/>
      <c r="QXQ29" s="172"/>
      <c r="QXR29" s="172"/>
      <c r="QXS29" s="172"/>
      <c r="QXT29" s="172"/>
      <c r="QXU29" s="172"/>
      <c r="QXV29" s="172"/>
      <c r="QXW29" s="172"/>
      <c r="QXX29" s="172"/>
      <c r="QXY29" s="172"/>
      <c r="QXZ29" s="172"/>
      <c r="QYA29" s="172"/>
      <c r="QYB29" s="172"/>
      <c r="QYC29" s="172"/>
      <c r="QYD29" s="172"/>
      <c r="QYE29" s="172"/>
      <c r="QYF29" s="172"/>
      <c r="QYG29" s="172"/>
      <c r="QYH29" s="172"/>
      <c r="QYI29" s="172"/>
      <c r="QYJ29" s="172"/>
      <c r="QYK29" s="172"/>
      <c r="QYL29" s="172"/>
      <c r="QYM29" s="172"/>
      <c r="QYN29" s="172"/>
      <c r="QYO29" s="172"/>
      <c r="QYP29" s="172"/>
      <c r="QYQ29" s="172"/>
      <c r="QYR29" s="172"/>
      <c r="QYS29" s="172"/>
      <c r="QYT29" s="172"/>
      <c r="QYU29" s="172"/>
      <c r="QYV29" s="172"/>
      <c r="QYW29" s="172"/>
      <c r="QYX29" s="172"/>
      <c r="QYY29" s="172"/>
      <c r="QYZ29" s="172"/>
      <c r="QZA29" s="172"/>
      <c r="QZB29" s="172"/>
      <c r="QZC29" s="172"/>
      <c r="QZD29" s="172"/>
      <c r="QZE29" s="172"/>
      <c r="QZF29" s="172"/>
      <c r="QZG29" s="172"/>
      <c r="QZH29" s="172"/>
      <c r="QZI29" s="172"/>
      <c r="QZJ29" s="172"/>
      <c r="QZK29" s="172"/>
      <c r="QZL29" s="172"/>
      <c r="QZM29" s="172"/>
      <c r="QZN29" s="172"/>
      <c r="QZO29" s="172"/>
      <c r="QZP29" s="172"/>
      <c r="QZQ29" s="172"/>
      <c r="QZR29" s="172"/>
      <c r="QZS29" s="172"/>
      <c r="QZT29" s="172"/>
      <c r="QZU29" s="172"/>
      <c r="QZV29" s="172"/>
      <c r="QZW29" s="172"/>
      <c r="QZX29" s="172"/>
      <c r="QZY29" s="172"/>
      <c r="QZZ29" s="172"/>
      <c r="RAA29" s="172"/>
      <c r="RAB29" s="172"/>
      <c r="RAC29" s="172"/>
      <c r="RAD29" s="172"/>
      <c r="RAE29" s="172"/>
      <c r="RAF29" s="172"/>
      <c r="RAG29" s="172"/>
      <c r="RAH29" s="172"/>
      <c r="RAI29" s="172"/>
      <c r="RAJ29" s="172"/>
      <c r="RAK29" s="172"/>
      <c r="RAL29" s="172"/>
      <c r="RAM29" s="172"/>
      <c r="RAN29" s="172"/>
      <c r="RAO29" s="172"/>
      <c r="RAP29" s="172"/>
      <c r="RAQ29" s="172"/>
      <c r="RAR29" s="172"/>
      <c r="RAS29" s="172"/>
      <c r="RAT29" s="172"/>
      <c r="RAU29" s="172"/>
      <c r="RAV29" s="172"/>
      <c r="RAW29" s="172"/>
      <c r="RAX29" s="172"/>
      <c r="RAY29" s="172"/>
      <c r="RAZ29" s="172"/>
      <c r="RBA29" s="172"/>
      <c r="RBB29" s="172"/>
      <c r="RBC29" s="172"/>
      <c r="RBD29" s="172"/>
      <c r="RBE29" s="172"/>
      <c r="RBF29" s="172"/>
      <c r="RBG29" s="172"/>
      <c r="RBH29" s="172"/>
      <c r="RBI29" s="172"/>
      <c r="RBJ29" s="172"/>
      <c r="RBK29" s="172"/>
      <c r="RBL29" s="172"/>
      <c r="RBM29" s="172"/>
      <c r="RBN29" s="172"/>
      <c r="RBO29" s="172"/>
      <c r="RBP29" s="172"/>
      <c r="RBQ29" s="172"/>
      <c r="RBR29" s="172"/>
      <c r="RBS29" s="172"/>
      <c r="RBT29" s="172"/>
      <c r="RBU29" s="172"/>
      <c r="RBV29" s="172"/>
      <c r="RBW29" s="172"/>
      <c r="RBX29" s="172"/>
      <c r="RBY29" s="172"/>
      <c r="RBZ29" s="172"/>
      <c r="RCA29" s="172"/>
      <c r="RCB29" s="172"/>
      <c r="RCC29" s="172"/>
      <c r="RCD29" s="172"/>
      <c r="RCE29" s="172"/>
      <c r="RCF29" s="172"/>
      <c r="RCG29" s="172"/>
      <c r="RCH29" s="172"/>
      <c r="RCI29" s="172"/>
      <c r="RCJ29" s="172"/>
      <c r="RCK29" s="172"/>
      <c r="RCL29" s="172"/>
      <c r="RCM29" s="172"/>
      <c r="RCN29" s="172"/>
      <c r="RCO29" s="172"/>
      <c r="RCP29" s="172"/>
      <c r="RCQ29" s="172"/>
      <c r="RCR29" s="172"/>
      <c r="RCS29" s="172"/>
      <c r="RCT29" s="172"/>
      <c r="RCU29" s="172"/>
      <c r="RCV29" s="172"/>
      <c r="RCW29" s="172"/>
      <c r="RCX29" s="172"/>
      <c r="RCY29" s="172"/>
      <c r="RCZ29" s="172"/>
      <c r="RDA29" s="172"/>
      <c r="RDB29" s="172"/>
      <c r="RDC29" s="172"/>
      <c r="RDD29" s="172"/>
      <c r="RDE29" s="172"/>
      <c r="RDF29" s="172"/>
      <c r="RDG29" s="172"/>
      <c r="RDH29" s="172"/>
      <c r="RDI29" s="172"/>
      <c r="RDJ29" s="172"/>
      <c r="RDK29" s="172"/>
      <c r="RDL29" s="172"/>
      <c r="RDM29" s="172"/>
      <c r="RDN29" s="172"/>
      <c r="RDO29" s="172"/>
      <c r="RDP29" s="172"/>
      <c r="RDQ29" s="172"/>
      <c r="RDR29" s="172"/>
      <c r="RDS29" s="172"/>
      <c r="RDT29" s="172"/>
      <c r="RDU29" s="172"/>
      <c r="RDV29" s="172"/>
      <c r="RDW29" s="172"/>
      <c r="RDX29" s="172"/>
      <c r="RDY29" s="172"/>
      <c r="RDZ29" s="172"/>
      <c r="REA29" s="172"/>
      <c r="REB29" s="172"/>
      <c r="REC29" s="172"/>
      <c r="RED29" s="172"/>
      <c r="REE29" s="172"/>
      <c r="REF29" s="172"/>
      <c r="REG29" s="172"/>
      <c r="REH29" s="172"/>
      <c r="REI29" s="172"/>
      <c r="REJ29" s="172"/>
      <c r="REK29" s="172"/>
      <c r="REL29" s="172"/>
      <c r="REM29" s="172"/>
      <c r="REN29" s="172"/>
      <c r="REO29" s="172"/>
      <c r="REP29" s="172"/>
      <c r="REQ29" s="172"/>
      <c r="RER29" s="172"/>
      <c r="RES29" s="172"/>
      <c r="RET29" s="172"/>
      <c r="REU29" s="172"/>
      <c r="REV29" s="172"/>
      <c r="REW29" s="172"/>
      <c r="REX29" s="172"/>
      <c r="REY29" s="172"/>
      <c r="REZ29" s="172"/>
      <c r="RFA29" s="172"/>
      <c r="RFB29" s="172"/>
      <c r="RFC29" s="172"/>
      <c r="RFD29" s="172"/>
      <c r="RFE29" s="172"/>
      <c r="RFF29" s="172"/>
      <c r="RFG29" s="172"/>
      <c r="RFH29" s="172"/>
      <c r="RFI29" s="172"/>
      <c r="RFJ29" s="172"/>
      <c r="RFK29" s="172"/>
      <c r="RFL29" s="172"/>
      <c r="RFM29" s="172"/>
      <c r="RFN29" s="172"/>
      <c r="RFO29" s="172"/>
      <c r="RFP29" s="172"/>
      <c r="RFQ29" s="172"/>
      <c r="RFR29" s="172"/>
      <c r="RFS29" s="172"/>
      <c r="RFT29" s="172"/>
      <c r="RFU29" s="172"/>
      <c r="RFV29" s="172"/>
      <c r="RFW29" s="172"/>
      <c r="RFX29" s="172"/>
      <c r="RFY29" s="172"/>
      <c r="RFZ29" s="172"/>
      <c r="RGA29" s="172"/>
      <c r="RGB29" s="172"/>
      <c r="RGC29" s="172"/>
      <c r="RGD29" s="172"/>
      <c r="RGE29" s="172"/>
      <c r="RGF29" s="172"/>
      <c r="RGG29" s="172"/>
      <c r="RGH29" s="172"/>
      <c r="RGI29" s="172"/>
      <c r="RGJ29" s="172"/>
      <c r="RGK29" s="172"/>
      <c r="RGL29" s="172"/>
      <c r="RGM29" s="172"/>
      <c r="RGN29" s="172"/>
      <c r="RGO29" s="172"/>
      <c r="RGP29" s="172"/>
      <c r="RGQ29" s="172"/>
      <c r="RGR29" s="172"/>
      <c r="RGS29" s="172"/>
      <c r="RGT29" s="172"/>
      <c r="RGU29" s="172"/>
      <c r="RGV29" s="172"/>
      <c r="RGW29" s="172"/>
      <c r="RGX29" s="172"/>
      <c r="RGY29" s="172"/>
      <c r="RGZ29" s="172"/>
      <c r="RHA29" s="172"/>
      <c r="RHB29" s="172"/>
      <c r="RHC29" s="172"/>
      <c r="RHD29" s="172"/>
      <c r="RHE29" s="172"/>
      <c r="RHF29" s="172"/>
      <c r="RHG29" s="172"/>
      <c r="RHH29" s="172"/>
      <c r="RHI29" s="172"/>
      <c r="RHJ29" s="172"/>
      <c r="RHK29" s="172"/>
      <c r="RHL29" s="172"/>
      <c r="RHM29" s="172"/>
      <c r="RHN29" s="172"/>
      <c r="RHO29" s="172"/>
      <c r="RHP29" s="172"/>
      <c r="RHQ29" s="172"/>
      <c r="RHR29" s="172"/>
      <c r="RHS29" s="172"/>
      <c r="RHT29" s="172"/>
      <c r="RHU29" s="172"/>
      <c r="RHV29" s="172"/>
      <c r="RHW29" s="172"/>
      <c r="RHX29" s="172"/>
      <c r="RHY29" s="172"/>
      <c r="RHZ29" s="172"/>
      <c r="RIA29" s="172"/>
      <c r="RIB29" s="172"/>
      <c r="RIC29" s="172"/>
      <c r="RID29" s="172"/>
      <c r="RIE29" s="172"/>
      <c r="RIF29" s="172"/>
      <c r="RIG29" s="172"/>
      <c r="RIH29" s="172"/>
      <c r="RII29" s="172"/>
      <c r="RIJ29" s="172"/>
      <c r="RIK29" s="172"/>
      <c r="RIL29" s="172"/>
      <c r="RIM29" s="172"/>
      <c r="RIN29" s="172"/>
      <c r="RIO29" s="172"/>
      <c r="RIP29" s="172"/>
      <c r="RIQ29" s="172"/>
      <c r="RIR29" s="172"/>
      <c r="RIS29" s="172"/>
      <c r="RIT29" s="172"/>
      <c r="RIU29" s="172"/>
      <c r="RIV29" s="172"/>
      <c r="RIW29" s="172"/>
      <c r="RIX29" s="172"/>
      <c r="RIY29" s="172"/>
      <c r="RIZ29" s="172"/>
      <c r="RJA29" s="172"/>
      <c r="RJB29" s="172"/>
      <c r="RJC29" s="172"/>
      <c r="RJD29" s="172"/>
      <c r="RJE29" s="172"/>
      <c r="RJF29" s="172"/>
      <c r="RJG29" s="172"/>
      <c r="RJH29" s="172"/>
      <c r="RJI29" s="172"/>
      <c r="RJJ29" s="172"/>
      <c r="RJK29" s="172"/>
      <c r="RJL29" s="172"/>
      <c r="RJM29" s="172"/>
      <c r="RJN29" s="172"/>
      <c r="RJO29" s="172"/>
      <c r="RJP29" s="172"/>
      <c r="RJQ29" s="172"/>
      <c r="RJR29" s="172"/>
      <c r="RJS29" s="172"/>
      <c r="RJT29" s="172"/>
      <c r="RJU29" s="172"/>
      <c r="RJV29" s="172"/>
      <c r="RJW29" s="172"/>
      <c r="RJX29" s="172"/>
      <c r="RJY29" s="172"/>
      <c r="RJZ29" s="172"/>
      <c r="RKA29" s="172"/>
      <c r="RKB29" s="172"/>
      <c r="RKC29" s="172"/>
      <c r="RKD29" s="172"/>
      <c r="RKE29" s="172"/>
      <c r="RKF29" s="172"/>
      <c r="RKG29" s="172"/>
      <c r="RKH29" s="172"/>
      <c r="RKI29" s="172"/>
      <c r="RKJ29" s="172"/>
      <c r="RKK29" s="172"/>
      <c r="RKL29" s="172"/>
      <c r="RKM29" s="172"/>
      <c r="RKN29" s="172"/>
      <c r="RKO29" s="172"/>
      <c r="RKP29" s="172"/>
      <c r="RKQ29" s="172"/>
      <c r="RKR29" s="172"/>
      <c r="RKS29" s="172"/>
      <c r="RKT29" s="172"/>
      <c r="RKU29" s="172"/>
      <c r="RKV29" s="172"/>
      <c r="RKW29" s="172"/>
      <c r="RKX29" s="172"/>
      <c r="RKY29" s="172"/>
      <c r="RKZ29" s="172"/>
      <c r="RLA29" s="172"/>
      <c r="RLB29" s="172"/>
      <c r="RLC29" s="172"/>
      <c r="RLD29" s="172"/>
      <c r="RLE29" s="172"/>
      <c r="RLF29" s="172"/>
      <c r="RLG29" s="172"/>
      <c r="RLH29" s="172"/>
      <c r="RLI29" s="172"/>
      <c r="RLJ29" s="172"/>
      <c r="RLK29" s="172"/>
      <c r="RLL29" s="172"/>
      <c r="RLM29" s="172"/>
      <c r="RLN29" s="172"/>
      <c r="RLO29" s="172"/>
      <c r="RLP29" s="172"/>
      <c r="RLQ29" s="172"/>
      <c r="RLR29" s="172"/>
      <c r="RLS29" s="172"/>
      <c r="RLT29" s="172"/>
      <c r="RLU29" s="172"/>
      <c r="RLV29" s="172"/>
      <c r="RLW29" s="172"/>
      <c r="RLX29" s="172"/>
      <c r="RLY29" s="172"/>
      <c r="RLZ29" s="172"/>
      <c r="RMA29" s="172"/>
      <c r="RMB29" s="172"/>
      <c r="RMC29" s="172"/>
      <c r="RMD29" s="172"/>
      <c r="RME29" s="172"/>
      <c r="RMF29" s="172"/>
      <c r="RMG29" s="172"/>
      <c r="RMH29" s="172"/>
      <c r="RMI29" s="172"/>
      <c r="RMJ29" s="172"/>
      <c r="RMK29" s="172"/>
      <c r="RML29" s="172"/>
      <c r="RMM29" s="172"/>
      <c r="RMN29" s="172"/>
      <c r="RMO29" s="172"/>
      <c r="RMP29" s="172"/>
      <c r="RMQ29" s="172"/>
      <c r="RMR29" s="172"/>
      <c r="RMS29" s="172"/>
      <c r="RMT29" s="172"/>
      <c r="RMU29" s="172"/>
      <c r="RMV29" s="172"/>
      <c r="RMW29" s="172"/>
      <c r="RMX29" s="172"/>
      <c r="RMY29" s="172"/>
      <c r="RMZ29" s="172"/>
      <c r="RNA29" s="172"/>
      <c r="RNB29" s="172"/>
      <c r="RNC29" s="172"/>
      <c r="RND29" s="172"/>
      <c r="RNE29" s="172"/>
      <c r="RNF29" s="172"/>
      <c r="RNG29" s="172"/>
      <c r="RNH29" s="172"/>
      <c r="RNI29" s="172"/>
      <c r="RNJ29" s="172"/>
      <c r="RNK29" s="172"/>
      <c r="RNL29" s="172"/>
      <c r="RNM29" s="172"/>
      <c r="RNN29" s="172"/>
      <c r="RNO29" s="172"/>
      <c r="RNP29" s="172"/>
      <c r="RNQ29" s="172"/>
      <c r="RNR29" s="172"/>
      <c r="RNS29" s="172"/>
      <c r="RNT29" s="172"/>
      <c r="RNU29" s="172"/>
      <c r="RNV29" s="172"/>
      <c r="RNW29" s="172"/>
      <c r="RNX29" s="172"/>
      <c r="RNY29" s="172"/>
      <c r="RNZ29" s="172"/>
      <c r="ROA29" s="172"/>
      <c r="ROB29" s="172"/>
      <c r="ROC29" s="172"/>
      <c r="ROD29" s="172"/>
      <c r="ROE29" s="172"/>
      <c r="ROF29" s="172"/>
      <c r="ROG29" s="172"/>
      <c r="ROH29" s="172"/>
      <c r="ROI29" s="172"/>
      <c r="ROJ29" s="172"/>
      <c r="ROK29" s="172"/>
      <c r="ROL29" s="172"/>
      <c r="ROM29" s="172"/>
      <c r="RON29" s="172"/>
      <c r="ROO29" s="172"/>
      <c r="ROP29" s="172"/>
      <c r="ROQ29" s="172"/>
      <c r="ROR29" s="172"/>
      <c r="ROS29" s="172"/>
      <c r="ROT29" s="172"/>
      <c r="ROU29" s="172"/>
      <c r="ROV29" s="172"/>
      <c r="ROW29" s="172"/>
      <c r="ROX29" s="172"/>
      <c r="ROY29" s="172"/>
      <c r="ROZ29" s="172"/>
      <c r="RPA29" s="172"/>
      <c r="RPB29" s="172"/>
      <c r="RPC29" s="172"/>
      <c r="RPD29" s="172"/>
      <c r="RPE29" s="172"/>
      <c r="RPF29" s="172"/>
      <c r="RPG29" s="172"/>
      <c r="RPH29" s="172"/>
      <c r="RPI29" s="172"/>
      <c r="RPJ29" s="172"/>
      <c r="RPK29" s="172"/>
      <c r="RPL29" s="172"/>
      <c r="RPM29" s="172"/>
      <c r="RPN29" s="172"/>
      <c r="RPO29" s="172"/>
      <c r="RPP29" s="172"/>
      <c r="RPQ29" s="172"/>
      <c r="RPR29" s="172"/>
      <c r="RPS29" s="172"/>
      <c r="RPT29" s="172"/>
      <c r="RPU29" s="172"/>
      <c r="RPV29" s="172"/>
      <c r="RPW29" s="172"/>
      <c r="RPX29" s="172"/>
      <c r="RPY29" s="172"/>
      <c r="RPZ29" s="172"/>
      <c r="RQA29" s="172"/>
      <c r="RQB29" s="172"/>
      <c r="RQC29" s="172"/>
      <c r="RQD29" s="172"/>
      <c r="RQE29" s="172"/>
      <c r="RQF29" s="172"/>
      <c r="RQG29" s="172"/>
      <c r="RQH29" s="172"/>
      <c r="RQI29" s="172"/>
      <c r="RQJ29" s="172"/>
      <c r="RQK29" s="172"/>
      <c r="RQL29" s="172"/>
      <c r="RQM29" s="172"/>
      <c r="RQN29" s="172"/>
      <c r="RQO29" s="172"/>
      <c r="RQP29" s="172"/>
      <c r="RQQ29" s="172"/>
      <c r="RQR29" s="172"/>
      <c r="RQS29" s="172"/>
      <c r="RQT29" s="172"/>
      <c r="RQU29" s="172"/>
      <c r="RQV29" s="172"/>
      <c r="RQW29" s="172"/>
      <c r="RQX29" s="172"/>
      <c r="RQY29" s="172"/>
      <c r="RQZ29" s="172"/>
      <c r="RRA29" s="172"/>
      <c r="RRB29" s="172"/>
      <c r="RRC29" s="172"/>
      <c r="RRD29" s="172"/>
      <c r="RRE29" s="172"/>
      <c r="RRF29" s="172"/>
      <c r="RRG29" s="172"/>
      <c r="RRH29" s="172"/>
      <c r="RRI29" s="172"/>
      <c r="RRJ29" s="172"/>
      <c r="RRK29" s="172"/>
      <c r="RRL29" s="172"/>
      <c r="RRM29" s="172"/>
      <c r="RRN29" s="172"/>
      <c r="RRO29" s="172"/>
      <c r="RRP29" s="172"/>
      <c r="RRQ29" s="172"/>
      <c r="RRR29" s="172"/>
      <c r="RRS29" s="172"/>
      <c r="RRT29" s="172"/>
      <c r="RRU29" s="172"/>
      <c r="RRV29" s="172"/>
      <c r="RRW29" s="172"/>
      <c r="RRX29" s="172"/>
      <c r="RRY29" s="172"/>
      <c r="RRZ29" s="172"/>
      <c r="RSA29" s="172"/>
      <c r="RSB29" s="172"/>
      <c r="RSC29" s="172"/>
      <c r="RSD29" s="172"/>
      <c r="RSE29" s="172"/>
      <c r="RSF29" s="172"/>
      <c r="RSG29" s="172"/>
      <c r="RSH29" s="172"/>
      <c r="RSI29" s="172"/>
      <c r="RSJ29" s="172"/>
      <c r="RSK29" s="172"/>
      <c r="RSL29" s="172"/>
      <c r="RSM29" s="172"/>
      <c r="RSN29" s="172"/>
      <c r="RSO29" s="172"/>
      <c r="RSP29" s="172"/>
      <c r="RSQ29" s="172"/>
      <c r="RSR29" s="172"/>
      <c r="RSS29" s="172"/>
      <c r="RST29" s="172"/>
      <c r="RSU29" s="172"/>
      <c r="RSV29" s="172"/>
      <c r="RSW29" s="172"/>
      <c r="RSX29" s="172"/>
      <c r="RSY29" s="172"/>
      <c r="RSZ29" s="172"/>
      <c r="RTA29" s="172"/>
      <c r="RTB29" s="172"/>
      <c r="RTC29" s="172"/>
      <c r="RTD29" s="172"/>
      <c r="RTE29" s="172"/>
      <c r="RTF29" s="172"/>
      <c r="RTG29" s="172"/>
      <c r="RTH29" s="172"/>
      <c r="RTI29" s="172"/>
      <c r="RTJ29" s="172"/>
      <c r="RTK29" s="172"/>
      <c r="RTL29" s="172"/>
      <c r="RTM29" s="172"/>
      <c r="RTN29" s="172"/>
      <c r="RTO29" s="172"/>
      <c r="RTP29" s="172"/>
      <c r="RTQ29" s="172"/>
      <c r="RTR29" s="172"/>
      <c r="RTS29" s="172"/>
      <c r="RTT29" s="172"/>
      <c r="RTU29" s="172"/>
      <c r="RTV29" s="172"/>
      <c r="RTW29" s="172"/>
      <c r="RTX29" s="172"/>
      <c r="RTY29" s="172"/>
      <c r="RTZ29" s="172"/>
      <c r="RUA29" s="172"/>
      <c r="RUB29" s="172"/>
      <c r="RUC29" s="172"/>
      <c r="RUD29" s="172"/>
      <c r="RUE29" s="172"/>
      <c r="RUF29" s="172"/>
      <c r="RUG29" s="172"/>
      <c r="RUH29" s="172"/>
      <c r="RUI29" s="172"/>
      <c r="RUJ29" s="172"/>
      <c r="RUK29" s="172"/>
      <c r="RUL29" s="172"/>
      <c r="RUM29" s="172"/>
      <c r="RUN29" s="172"/>
      <c r="RUO29" s="172"/>
      <c r="RUP29" s="172"/>
      <c r="RUQ29" s="172"/>
      <c r="RUR29" s="172"/>
      <c r="RUS29" s="172"/>
      <c r="RUT29" s="172"/>
      <c r="RUU29" s="172"/>
      <c r="RUV29" s="172"/>
      <c r="RUW29" s="172"/>
      <c r="RUX29" s="172"/>
      <c r="RUY29" s="172"/>
      <c r="RUZ29" s="172"/>
      <c r="RVA29" s="172"/>
      <c r="RVB29" s="172"/>
      <c r="RVC29" s="172"/>
      <c r="RVD29" s="172"/>
      <c r="RVE29" s="172"/>
      <c r="RVF29" s="172"/>
      <c r="RVG29" s="172"/>
      <c r="RVH29" s="172"/>
      <c r="RVI29" s="172"/>
      <c r="RVJ29" s="172"/>
      <c r="RVK29" s="172"/>
      <c r="RVL29" s="172"/>
      <c r="RVM29" s="172"/>
      <c r="RVN29" s="172"/>
      <c r="RVO29" s="172"/>
      <c r="RVP29" s="172"/>
      <c r="RVQ29" s="172"/>
      <c r="RVR29" s="172"/>
      <c r="RVS29" s="172"/>
      <c r="RVT29" s="172"/>
      <c r="RVU29" s="172"/>
      <c r="RVV29" s="172"/>
      <c r="RVW29" s="172"/>
      <c r="RVX29" s="172"/>
      <c r="RVY29" s="172"/>
      <c r="RVZ29" s="172"/>
      <c r="RWA29" s="172"/>
      <c r="RWB29" s="172"/>
      <c r="RWC29" s="172"/>
      <c r="RWD29" s="172"/>
      <c r="RWE29" s="172"/>
      <c r="RWF29" s="172"/>
      <c r="RWG29" s="172"/>
      <c r="RWH29" s="172"/>
      <c r="RWI29" s="172"/>
      <c r="RWJ29" s="172"/>
      <c r="RWK29" s="172"/>
      <c r="RWL29" s="172"/>
      <c r="RWM29" s="172"/>
      <c r="RWN29" s="172"/>
      <c r="RWO29" s="172"/>
      <c r="RWP29" s="172"/>
      <c r="RWQ29" s="172"/>
      <c r="RWR29" s="172"/>
      <c r="RWS29" s="172"/>
      <c r="RWT29" s="172"/>
      <c r="RWU29" s="172"/>
      <c r="RWV29" s="172"/>
      <c r="RWW29" s="172"/>
      <c r="RWX29" s="172"/>
      <c r="RWY29" s="172"/>
      <c r="RWZ29" s="172"/>
      <c r="RXA29" s="172"/>
      <c r="RXB29" s="172"/>
      <c r="RXC29" s="172"/>
      <c r="RXD29" s="172"/>
      <c r="RXE29" s="172"/>
      <c r="RXF29" s="172"/>
      <c r="RXG29" s="172"/>
      <c r="RXH29" s="172"/>
      <c r="RXI29" s="172"/>
      <c r="RXJ29" s="172"/>
      <c r="RXK29" s="172"/>
      <c r="RXL29" s="172"/>
      <c r="RXM29" s="172"/>
      <c r="RXN29" s="172"/>
      <c r="RXO29" s="172"/>
      <c r="RXP29" s="172"/>
      <c r="RXQ29" s="172"/>
      <c r="RXR29" s="172"/>
      <c r="RXS29" s="172"/>
      <c r="RXT29" s="172"/>
      <c r="RXU29" s="172"/>
      <c r="RXV29" s="172"/>
      <c r="RXW29" s="172"/>
      <c r="RXX29" s="172"/>
      <c r="RXY29" s="172"/>
      <c r="RXZ29" s="172"/>
      <c r="RYA29" s="172"/>
      <c r="RYB29" s="172"/>
      <c r="RYC29" s="172"/>
      <c r="RYD29" s="172"/>
      <c r="RYE29" s="172"/>
      <c r="RYF29" s="172"/>
      <c r="RYG29" s="172"/>
      <c r="RYH29" s="172"/>
      <c r="RYI29" s="172"/>
      <c r="RYJ29" s="172"/>
      <c r="RYK29" s="172"/>
      <c r="RYL29" s="172"/>
      <c r="RYM29" s="172"/>
      <c r="RYN29" s="172"/>
      <c r="RYO29" s="172"/>
      <c r="RYP29" s="172"/>
      <c r="RYQ29" s="172"/>
      <c r="RYR29" s="172"/>
      <c r="RYS29" s="172"/>
      <c r="RYT29" s="172"/>
      <c r="RYU29" s="172"/>
      <c r="RYV29" s="172"/>
      <c r="RYW29" s="172"/>
      <c r="RYX29" s="172"/>
      <c r="RYY29" s="172"/>
      <c r="RYZ29" s="172"/>
      <c r="RZA29" s="172"/>
      <c r="RZB29" s="172"/>
      <c r="RZC29" s="172"/>
      <c r="RZD29" s="172"/>
      <c r="RZE29" s="172"/>
      <c r="RZF29" s="172"/>
      <c r="RZG29" s="172"/>
      <c r="RZH29" s="172"/>
      <c r="RZI29" s="172"/>
      <c r="RZJ29" s="172"/>
      <c r="RZK29" s="172"/>
      <c r="RZL29" s="172"/>
      <c r="RZM29" s="172"/>
      <c r="RZN29" s="172"/>
      <c r="RZO29" s="172"/>
      <c r="RZP29" s="172"/>
      <c r="RZQ29" s="172"/>
      <c r="RZR29" s="172"/>
      <c r="RZS29" s="172"/>
      <c r="RZT29" s="172"/>
      <c r="RZU29" s="172"/>
      <c r="RZV29" s="172"/>
      <c r="RZW29" s="172"/>
      <c r="RZX29" s="172"/>
      <c r="RZY29" s="172"/>
      <c r="RZZ29" s="172"/>
      <c r="SAA29" s="172"/>
      <c r="SAB29" s="172"/>
      <c r="SAC29" s="172"/>
      <c r="SAD29" s="172"/>
      <c r="SAE29" s="172"/>
      <c r="SAF29" s="172"/>
      <c r="SAG29" s="172"/>
      <c r="SAH29" s="172"/>
      <c r="SAI29" s="172"/>
      <c r="SAJ29" s="172"/>
      <c r="SAK29" s="172"/>
      <c r="SAL29" s="172"/>
      <c r="SAM29" s="172"/>
      <c r="SAN29" s="172"/>
      <c r="SAO29" s="172"/>
      <c r="SAP29" s="172"/>
      <c r="SAQ29" s="172"/>
      <c r="SAR29" s="172"/>
      <c r="SAS29" s="172"/>
      <c r="SAT29" s="172"/>
      <c r="SAU29" s="172"/>
      <c r="SAV29" s="172"/>
      <c r="SAW29" s="172"/>
      <c r="SAX29" s="172"/>
      <c r="SAY29" s="172"/>
      <c r="SAZ29" s="172"/>
      <c r="SBA29" s="172"/>
      <c r="SBB29" s="172"/>
      <c r="SBC29" s="172"/>
      <c r="SBD29" s="172"/>
      <c r="SBE29" s="172"/>
      <c r="SBF29" s="172"/>
      <c r="SBG29" s="172"/>
      <c r="SBH29" s="172"/>
      <c r="SBI29" s="172"/>
      <c r="SBJ29" s="172"/>
      <c r="SBK29" s="172"/>
      <c r="SBL29" s="172"/>
      <c r="SBM29" s="172"/>
      <c r="SBN29" s="172"/>
      <c r="SBO29" s="172"/>
      <c r="SBP29" s="172"/>
      <c r="SBQ29" s="172"/>
      <c r="SBR29" s="172"/>
      <c r="SBS29" s="172"/>
      <c r="SBT29" s="172"/>
      <c r="SBU29" s="172"/>
      <c r="SBV29" s="172"/>
      <c r="SBW29" s="172"/>
      <c r="SBX29" s="172"/>
      <c r="SBY29" s="172"/>
      <c r="SBZ29" s="172"/>
      <c r="SCA29" s="172"/>
      <c r="SCB29" s="172"/>
      <c r="SCC29" s="172"/>
      <c r="SCD29" s="172"/>
      <c r="SCE29" s="172"/>
      <c r="SCF29" s="172"/>
      <c r="SCG29" s="172"/>
      <c r="SCH29" s="172"/>
      <c r="SCI29" s="172"/>
      <c r="SCJ29" s="172"/>
      <c r="SCK29" s="172"/>
      <c r="SCL29" s="172"/>
      <c r="SCM29" s="172"/>
      <c r="SCN29" s="172"/>
      <c r="SCO29" s="172"/>
      <c r="SCP29" s="172"/>
      <c r="SCQ29" s="172"/>
      <c r="SCR29" s="172"/>
      <c r="SCS29" s="172"/>
      <c r="SCT29" s="172"/>
      <c r="SCU29" s="172"/>
      <c r="SCV29" s="172"/>
      <c r="SCW29" s="172"/>
      <c r="SCX29" s="172"/>
      <c r="SCY29" s="172"/>
      <c r="SCZ29" s="172"/>
      <c r="SDA29" s="172"/>
      <c r="SDB29" s="172"/>
      <c r="SDC29" s="172"/>
      <c r="SDD29" s="172"/>
      <c r="SDE29" s="172"/>
      <c r="SDF29" s="172"/>
      <c r="SDG29" s="172"/>
      <c r="SDH29" s="172"/>
      <c r="SDI29" s="172"/>
      <c r="SDJ29" s="172"/>
      <c r="SDK29" s="172"/>
      <c r="SDL29" s="172"/>
      <c r="SDM29" s="172"/>
      <c r="SDN29" s="172"/>
      <c r="SDO29" s="172"/>
      <c r="SDP29" s="172"/>
      <c r="SDQ29" s="172"/>
      <c r="SDR29" s="172"/>
      <c r="SDS29" s="172"/>
      <c r="SDT29" s="172"/>
      <c r="SDU29" s="172"/>
      <c r="SDV29" s="172"/>
      <c r="SDW29" s="172"/>
      <c r="SDX29" s="172"/>
      <c r="SDY29" s="172"/>
      <c r="SDZ29" s="172"/>
      <c r="SEA29" s="172"/>
      <c r="SEB29" s="172"/>
      <c r="SEC29" s="172"/>
      <c r="SED29" s="172"/>
      <c r="SEE29" s="172"/>
      <c r="SEF29" s="172"/>
      <c r="SEG29" s="172"/>
      <c r="SEH29" s="172"/>
      <c r="SEI29" s="172"/>
      <c r="SEJ29" s="172"/>
      <c r="SEK29" s="172"/>
      <c r="SEL29" s="172"/>
      <c r="SEM29" s="172"/>
      <c r="SEN29" s="172"/>
      <c r="SEO29" s="172"/>
      <c r="SEP29" s="172"/>
      <c r="SEQ29" s="172"/>
      <c r="SER29" s="172"/>
      <c r="SES29" s="172"/>
      <c r="SET29" s="172"/>
      <c r="SEU29" s="172"/>
      <c r="SEV29" s="172"/>
      <c r="SEW29" s="172"/>
      <c r="SEX29" s="172"/>
      <c r="SEY29" s="172"/>
      <c r="SEZ29" s="172"/>
      <c r="SFA29" s="172"/>
      <c r="SFB29" s="172"/>
      <c r="SFC29" s="172"/>
      <c r="SFD29" s="172"/>
      <c r="SFE29" s="172"/>
      <c r="SFF29" s="172"/>
      <c r="SFG29" s="172"/>
      <c r="SFH29" s="172"/>
      <c r="SFI29" s="172"/>
      <c r="SFJ29" s="172"/>
      <c r="SFK29" s="172"/>
      <c r="SFL29" s="172"/>
      <c r="SFM29" s="172"/>
      <c r="SFN29" s="172"/>
      <c r="SFO29" s="172"/>
      <c r="SFP29" s="172"/>
      <c r="SFQ29" s="172"/>
      <c r="SFR29" s="172"/>
      <c r="SFS29" s="172"/>
      <c r="SFT29" s="172"/>
      <c r="SFU29" s="172"/>
      <c r="SFV29" s="172"/>
      <c r="SFW29" s="172"/>
      <c r="SFX29" s="172"/>
      <c r="SFY29" s="172"/>
      <c r="SFZ29" s="172"/>
      <c r="SGA29" s="172"/>
      <c r="SGB29" s="172"/>
      <c r="SGC29" s="172"/>
      <c r="SGD29" s="172"/>
      <c r="SGE29" s="172"/>
      <c r="SGF29" s="172"/>
      <c r="SGG29" s="172"/>
      <c r="SGH29" s="172"/>
      <c r="SGI29" s="172"/>
      <c r="SGJ29" s="172"/>
      <c r="SGK29" s="172"/>
      <c r="SGL29" s="172"/>
      <c r="SGM29" s="172"/>
      <c r="SGN29" s="172"/>
      <c r="SGO29" s="172"/>
      <c r="SGP29" s="172"/>
      <c r="SGQ29" s="172"/>
      <c r="SGR29" s="172"/>
      <c r="SGS29" s="172"/>
      <c r="SGT29" s="172"/>
      <c r="SGU29" s="172"/>
      <c r="SGV29" s="172"/>
      <c r="SGW29" s="172"/>
      <c r="SGX29" s="172"/>
      <c r="SGY29" s="172"/>
      <c r="SGZ29" s="172"/>
      <c r="SHA29" s="172"/>
      <c r="SHB29" s="172"/>
      <c r="SHC29" s="172"/>
      <c r="SHD29" s="172"/>
      <c r="SHE29" s="172"/>
      <c r="SHF29" s="172"/>
      <c r="SHG29" s="172"/>
      <c r="SHH29" s="172"/>
      <c r="SHI29" s="172"/>
      <c r="SHJ29" s="172"/>
      <c r="SHK29" s="172"/>
      <c r="SHL29" s="172"/>
      <c r="SHM29" s="172"/>
      <c r="SHN29" s="172"/>
      <c r="SHO29" s="172"/>
      <c r="SHP29" s="172"/>
      <c r="SHQ29" s="172"/>
      <c r="SHR29" s="172"/>
      <c r="SHS29" s="172"/>
      <c r="SHT29" s="172"/>
      <c r="SHU29" s="172"/>
      <c r="SHV29" s="172"/>
      <c r="SHW29" s="172"/>
      <c r="SHX29" s="172"/>
      <c r="SHY29" s="172"/>
      <c r="SHZ29" s="172"/>
      <c r="SIA29" s="172"/>
      <c r="SIB29" s="172"/>
      <c r="SIC29" s="172"/>
      <c r="SID29" s="172"/>
      <c r="SIE29" s="172"/>
      <c r="SIF29" s="172"/>
      <c r="SIG29" s="172"/>
      <c r="SIH29" s="172"/>
      <c r="SII29" s="172"/>
      <c r="SIJ29" s="172"/>
      <c r="SIK29" s="172"/>
      <c r="SIL29" s="172"/>
      <c r="SIM29" s="172"/>
      <c r="SIN29" s="172"/>
      <c r="SIO29" s="172"/>
      <c r="SIP29" s="172"/>
      <c r="SIQ29" s="172"/>
      <c r="SIR29" s="172"/>
      <c r="SIS29" s="172"/>
      <c r="SIT29" s="172"/>
      <c r="SIU29" s="172"/>
      <c r="SIV29" s="172"/>
      <c r="SIW29" s="172"/>
      <c r="SIX29" s="172"/>
      <c r="SIY29" s="172"/>
      <c r="SIZ29" s="172"/>
      <c r="SJA29" s="172"/>
      <c r="SJB29" s="172"/>
      <c r="SJC29" s="172"/>
      <c r="SJD29" s="172"/>
      <c r="SJE29" s="172"/>
      <c r="SJF29" s="172"/>
      <c r="SJG29" s="172"/>
      <c r="SJH29" s="172"/>
      <c r="SJI29" s="172"/>
      <c r="SJJ29" s="172"/>
      <c r="SJK29" s="172"/>
      <c r="SJL29" s="172"/>
      <c r="SJM29" s="172"/>
      <c r="SJN29" s="172"/>
      <c r="SJO29" s="172"/>
      <c r="SJP29" s="172"/>
      <c r="SJQ29" s="172"/>
      <c r="SJR29" s="172"/>
      <c r="SJS29" s="172"/>
      <c r="SJT29" s="172"/>
      <c r="SJU29" s="172"/>
      <c r="SJV29" s="172"/>
      <c r="SJW29" s="172"/>
      <c r="SJX29" s="172"/>
      <c r="SJY29" s="172"/>
      <c r="SJZ29" s="172"/>
      <c r="SKA29" s="172"/>
      <c r="SKB29" s="172"/>
      <c r="SKC29" s="172"/>
      <c r="SKD29" s="172"/>
      <c r="SKE29" s="172"/>
      <c r="SKF29" s="172"/>
      <c r="SKG29" s="172"/>
      <c r="SKH29" s="172"/>
      <c r="SKI29" s="172"/>
      <c r="SKJ29" s="172"/>
      <c r="SKK29" s="172"/>
      <c r="SKL29" s="172"/>
      <c r="SKM29" s="172"/>
      <c r="SKN29" s="172"/>
      <c r="SKO29" s="172"/>
      <c r="SKP29" s="172"/>
      <c r="SKQ29" s="172"/>
      <c r="SKR29" s="172"/>
      <c r="SKS29" s="172"/>
      <c r="SKT29" s="172"/>
      <c r="SKU29" s="172"/>
      <c r="SKV29" s="172"/>
      <c r="SKW29" s="172"/>
      <c r="SKX29" s="172"/>
      <c r="SKY29" s="172"/>
      <c r="SKZ29" s="172"/>
      <c r="SLA29" s="172"/>
      <c r="SLB29" s="172"/>
      <c r="SLC29" s="172"/>
      <c r="SLD29" s="172"/>
      <c r="SLE29" s="172"/>
      <c r="SLF29" s="172"/>
      <c r="SLG29" s="172"/>
      <c r="SLH29" s="172"/>
      <c r="SLI29" s="172"/>
      <c r="SLJ29" s="172"/>
      <c r="SLK29" s="172"/>
      <c r="SLL29" s="172"/>
      <c r="SLM29" s="172"/>
      <c r="SLN29" s="172"/>
      <c r="SLO29" s="172"/>
      <c r="SLP29" s="172"/>
      <c r="SLQ29" s="172"/>
      <c r="SLR29" s="172"/>
      <c r="SLS29" s="172"/>
      <c r="SLT29" s="172"/>
      <c r="SLU29" s="172"/>
      <c r="SLV29" s="172"/>
      <c r="SLW29" s="172"/>
      <c r="SLX29" s="172"/>
      <c r="SLY29" s="172"/>
      <c r="SLZ29" s="172"/>
      <c r="SMA29" s="172"/>
      <c r="SMB29" s="172"/>
      <c r="SMC29" s="172"/>
      <c r="SMD29" s="172"/>
      <c r="SME29" s="172"/>
      <c r="SMF29" s="172"/>
      <c r="SMG29" s="172"/>
      <c r="SMH29" s="172"/>
      <c r="SMI29" s="172"/>
      <c r="SMJ29" s="172"/>
      <c r="SMK29" s="172"/>
      <c r="SML29" s="172"/>
      <c r="SMM29" s="172"/>
      <c r="SMN29" s="172"/>
      <c r="SMO29" s="172"/>
      <c r="SMP29" s="172"/>
      <c r="SMQ29" s="172"/>
      <c r="SMR29" s="172"/>
      <c r="SMS29" s="172"/>
      <c r="SMT29" s="172"/>
      <c r="SMU29" s="172"/>
      <c r="SMV29" s="172"/>
      <c r="SMW29" s="172"/>
      <c r="SMX29" s="172"/>
      <c r="SMY29" s="172"/>
      <c r="SMZ29" s="172"/>
      <c r="SNA29" s="172"/>
      <c r="SNB29" s="172"/>
      <c r="SNC29" s="172"/>
      <c r="SND29" s="172"/>
      <c r="SNE29" s="172"/>
      <c r="SNF29" s="172"/>
      <c r="SNG29" s="172"/>
      <c r="SNH29" s="172"/>
      <c r="SNI29" s="172"/>
      <c r="SNJ29" s="172"/>
      <c r="SNK29" s="172"/>
      <c r="SNL29" s="172"/>
      <c r="SNM29" s="172"/>
      <c r="SNN29" s="172"/>
      <c r="SNO29" s="172"/>
      <c r="SNP29" s="172"/>
      <c r="SNQ29" s="172"/>
      <c r="SNR29" s="172"/>
      <c r="SNS29" s="172"/>
      <c r="SNT29" s="172"/>
      <c r="SNU29" s="172"/>
      <c r="SNV29" s="172"/>
      <c r="SNW29" s="172"/>
      <c r="SNX29" s="172"/>
      <c r="SNY29" s="172"/>
      <c r="SNZ29" s="172"/>
      <c r="SOA29" s="172"/>
      <c r="SOB29" s="172"/>
      <c r="SOC29" s="172"/>
      <c r="SOD29" s="172"/>
      <c r="SOE29" s="172"/>
      <c r="SOF29" s="172"/>
      <c r="SOG29" s="172"/>
      <c r="SOH29" s="172"/>
      <c r="SOI29" s="172"/>
      <c r="SOJ29" s="172"/>
      <c r="SOK29" s="172"/>
      <c r="SOL29" s="172"/>
      <c r="SOM29" s="172"/>
      <c r="SON29" s="172"/>
      <c r="SOO29" s="172"/>
      <c r="SOP29" s="172"/>
      <c r="SOQ29" s="172"/>
      <c r="SOR29" s="172"/>
      <c r="SOS29" s="172"/>
      <c r="SOT29" s="172"/>
      <c r="SOU29" s="172"/>
      <c r="SOV29" s="172"/>
      <c r="SOW29" s="172"/>
      <c r="SOX29" s="172"/>
      <c r="SOY29" s="172"/>
      <c r="SOZ29" s="172"/>
      <c r="SPA29" s="172"/>
      <c r="SPB29" s="172"/>
      <c r="SPC29" s="172"/>
      <c r="SPD29" s="172"/>
      <c r="SPE29" s="172"/>
      <c r="SPF29" s="172"/>
      <c r="SPG29" s="172"/>
      <c r="SPH29" s="172"/>
      <c r="SPI29" s="172"/>
      <c r="SPJ29" s="172"/>
      <c r="SPK29" s="172"/>
      <c r="SPL29" s="172"/>
      <c r="SPM29" s="172"/>
      <c r="SPN29" s="172"/>
      <c r="SPO29" s="172"/>
      <c r="SPP29" s="172"/>
      <c r="SPQ29" s="172"/>
      <c r="SPR29" s="172"/>
      <c r="SPS29" s="172"/>
      <c r="SPT29" s="172"/>
      <c r="SPU29" s="172"/>
      <c r="SPV29" s="172"/>
      <c r="SPW29" s="172"/>
      <c r="SPX29" s="172"/>
      <c r="SPY29" s="172"/>
      <c r="SPZ29" s="172"/>
      <c r="SQA29" s="172"/>
      <c r="SQB29" s="172"/>
      <c r="SQC29" s="172"/>
      <c r="SQD29" s="172"/>
      <c r="SQE29" s="172"/>
      <c r="SQF29" s="172"/>
      <c r="SQG29" s="172"/>
      <c r="SQH29" s="172"/>
      <c r="SQI29" s="172"/>
      <c r="SQJ29" s="172"/>
      <c r="SQK29" s="172"/>
      <c r="SQL29" s="172"/>
      <c r="SQM29" s="172"/>
      <c r="SQN29" s="172"/>
      <c r="SQO29" s="172"/>
      <c r="SQP29" s="172"/>
      <c r="SQQ29" s="172"/>
      <c r="SQR29" s="172"/>
      <c r="SQS29" s="172"/>
      <c r="SQT29" s="172"/>
      <c r="SQU29" s="172"/>
      <c r="SQV29" s="172"/>
      <c r="SQW29" s="172"/>
      <c r="SQX29" s="172"/>
      <c r="SQY29" s="172"/>
      <c r="SQZ29" s="172"/>
      <c r="SRA29" s="172"/>
      <c r="SRB29" s="172"/>
      <c r="SRC29" s="172"/>
      <c r="SRD29" s="172"/>
      <c r="SRE29" s="172"/>
      <c r="SRF29" s="172"/>
      <c r="SRG29" s="172"/>
      <c r="SRH29" s="172"/>
      <c r="SRI29" s="172"/>
      <c r="SRJ29" s="172"/>
      <c r="SRK29" s="172"/>
      <c r="SRL29" s="172"/>
      <c r="SRM29" s="172"/>
      <c r="SRN29" s="172"/>
      <c r="SRO29" s="172"/>
      <c r="SRP29" s="172"/>
      <c r="SRQ29" s="172"/>
      <c r="SRR29" s="172"/>
      <c r="SRS29" s="172"/>
      <c r="SRT29" s="172"/>
      <c r="SRU29" s="172"/>
      <c r="SRV29" s="172"/>
      <c r="SRW29" s="172"/>
      <c r="SRX29" s="172"/>
      <c r="SRY29" s="172"/>
      <c r="SRZ29" s="172"/>
      <c r="SSA29" s="172"/>
      <c r="SSB29" s="172"/>
      <c r="SSC29" s="172"/>
      <c r="SSD29" s="172"/>
      <c r="SSE29" s="172"/>
      <c r="SSF29" s="172"/>
      <c r="SSG29" s="172"/>
      <c r="SSH29" s="172"/>
      <c r="SSI29" s="172"/>
      <c r="SSJ29" s="172"/>
      <c r="SSK29" s="172"/>
      <c r="SSL29" s="172"/>
      <c r="SSM29" s="172"/>
      <c r="SSN29" s="172"/>
      <c r="SSO29" s="172"/>
      <c r="SSP29" s="172"/>
      <c r="SSQ29" s="172"/>
      <c r="SSR29" s="172"/>
      <c r="SSS29" s="172"/>
      <c r="SST29" s="172"/>
      <c r="SSU29" s="172"/>
      <c r="SSV29" s="172"/>
      <c r="SSW29" s="172"/>
      <c r="SSX29" s="172"/>
      <c r="SSY29" s="172"/>
      <c r="SSZ29" s="172"/>
      <c r="STA29" s="172"/>
      <c r="STB29" s="172"/>
      <c r="STC29" s="172"/>
      <c r="STD29" s="172"/>
      <c r="STE29" s="172"/>
      <c r="STF29" s="172"/>
      <c r="STG29" s="172"/>
      <c r="STH29" s="172"/>
      <c r="STI29" s="172"/>
      <c r="STJ29" s="172"/>
      <c r="STK29" s="172"/>
      <c r="STL29" s="172"/>
      <c r="STM29" s="172"/>
      <c r="STN29" s="172"/>
      <c r="STO29" s="172"/>
      <c r="STP29" s="172"/>
      <c r="STQ29" s="172"/>
      <c r="STR29" s="172"/>
      <c r="STS29" s="172"/>
      <c r="STT29" s="172"/>
      <c r="STU29" s="172"/>
      <c r="STV29" s="172"/>
      <c r="STW29" s="172"/>
      <c r="STX29" s="172"/>
      <c r="STY29" s="172"/>
      <c r="STZ29" s="172"/>
      <c r="SUA29" s="172"/>
      <c r="SUB29" s="172"/>
      <c r="SUC29" s="172"/>
      <c r="SUD29" s="172"/>
      <c r="SUE29" s="172"/>
      <c r="SUF29" s="172"/>
      <c r="SUG29" s="172"/>
      <c r="SUH29" s="172"/>
      <c r="SUI29" s="172"/>
      <c r="SUJ29" s="172"/>
      <c r="SUK29" s="172"/>
      <c r="SUL29" s="172"/>
      <c r="SUM29" s="172"/>
      <c r="SUN29" s="172"/>
      <c r="SUO29" s="172"/>
      <c r="SUP29" s="172"/>
      <c r="SUQ29" s="172"/>
      <c r="SUR29" s="172"/>
      <c r="SUS29" s="172"/>
      <c r="SUT29" s="172"/>
      <c r="SUU29" s="172"/>
      <c r="SUV29" s="172"/>
      <c r="SUW29" s="172"/>
      <c r="SUX29" s="172"/>
      <c r="SUY29" s="172"/>
      <c r="SUZ29" s="172"/>
      <c r="SVA29" s="172"/>
      <c r="SVB29" s="172"/>
      <c r="SVC29" s="172"/>
      <c r="SVD29" s="172"/>
      <c r="SVE29" s="172"/>
      <c r="SVF29" s="172"/>
      <c r="SVG29" s="172"/>
      <c r="SVH29" s="172"/>
      <c r="SVI29" s="172"/>
      <c r="SVJ29" s="172"/>
      <c r="SVK29" s="172"/>
      <c r="SVL29" s="172"/>
      <c r="SVM29" s="172"/>
      <c r="SVN29" s="172"/>
      <c r="SVO29" s="172"/>
      <c r="SVP29" s="172"/>
      <c r="SVQ29" s="172"/>
      <c r="SVR29" s="172"/>
      <c r="SVS29" s="172"/>
      <c r="SVT29" s="172"/>
      <c r="SVU29" s="172"/>
      <c r="SVV29" s="172"/>
      <c r="SVW29" s="172"/>
      <c r="SVX29" s="172"/>
      <c r="SVY29" s="172"/>
      <c r="SVZ29" s="172"/>
      <c r="SWA29" s="172"/>
      <c r="SWB29" s="172"/>
      <c r="SWC29" s="172"/>
      <c r="SWD29" s="172"/>
      <c r="SWE29" s="172"/>
      <c r="SWF29" s="172"/>
      <c r="SWG29" s="172"/>
      <c r="SWH29" s="172"/>
      <c r="SWI29" s="172"/>
      <c r="SWJ29" s="172"/>
      <c r="SWK29" s="172"/>
      <c r="SWL29" s="172"/>
      <c r="SWM29" s="172"/>
      <c r="SWN29" s="172"/>
      <c r="SWO29" s="172"/>
      <c r="SWP29" s="172"/>
      <c r="SWQ29" s="172"/>
      <c r="SWR29" s="172"/>
      <c r="SWS29" s="172"/>
      <c r="SWT29" s="172"/>
      <c r="SWU29" s="172"/>
      <c r="SWV29" s="172"/>
      <c r="SWW29" s="172"/>
      <c r="SWX29" s="172"/>
      <c r="SWY29" s="172"/>
      <c r="SWZ29" s="172"/>
      <c r="SXA29" s="172"/>
      <c r="SXB29" s="172"/>
      <c r="SXC29" s="172"/>
      <c r="SXD29" s="172"/>
      <c r="SXE29" s="172"/>
      <c r="SXF29" s="172"/>
      <c r="SXG29" s="172"/>
      <c r="SXH29" s="172"/>
      <c r="SXI29" s="172"/>
      <c r="SXJ29" s="172"/>
      <c r="SXK29" s="172"/>
      <c r="SXL29" s="172"/>
      <c r="SXM29" s="172"/>
      <c r="SXN29" s="172"/>
      <c r="SXO29" s="172"/>
      <c r="SXP29" s="172"/>
      <c r="SXQ29" s="172"/>
      <c r="SXR29" s="172"/>
      <c r="SXS29" s="172"/>
      <c r="SXT29" s="172"/>
      <c r="SXU29" s="172"/>
      <c r="SXV29" s="172"/>
      <c r="SXW29" s="172"/>
      <c r="SXX29" s="172"/>
      <c r="SXY29" s="172"/>
      <c r="SXZ29" s="172"/>
      <c r="SYA29" s="172"/>
      <c r="SYB29" s="172"/>
      <c r="SYC29" s="172"/>
      <c r="SYD29" s="172"/>
      <c r="SYE29" s="172"/>
      <c r="SYF29" s="172"/>
      <c r="SYG29" s="172"/>
      <c r="SYH29" s="172"/>
      <c r="SYI29" s="172"/>
      <c r="SYJ29" s="172"/>
      <c r="SYK29" s="172"/>
      <c r="SYL29" s="172"/>
      <c r="SYM29" s="172"/>
      <c r="SYN29" s="172"/>
      <c r="SYO29" s="172"/>
      <c r="SYP29" s="172"/>
      <c r="SYQ29" s="172"/>
      <c r="SYR29" s="172"/>
      <c r="SYS29" s="172"/>
      <c r="SYT29" s="172"/>
      <c r="SYU29" s="172"/>
      <c r="SYV29" s="172"/>
      <c r="SYW29" s="172"/>
      <c r="SYX29" s="172"/>
      <c r="SYY29" s="172"/>
      <c r="SYZ29" s="172"/>
      <c r="SZA29" s="172"/>
      <c r="SZB29" s="172"/>
      <c r="SZC29" s="172"/>
      <c r="SZD29" s="172"/>
      <c r="SZE29" s="172"/>
      <c r="SZF29" s="172"/>
      <c r="SZG29" s="172"/>
      <c r="SZH29" s="172"/>
      <c r="SZI29" s="172"/>
      <c r="SZJ29" s="172"/>
      <c r="SZK29" s="172"/>
      <c r="SZL29" s="172"/>
      <c r="SZM29" s="172"/>
      <c r="SZN29" s="172"/>
      <c r="SZO29" s="172"/>
      <c r="SZP29" s="172"/>
      <c r="SZQ29" s="172"/>
      <c r="SZR29" s="172"/>
      <c r="SZS29" s="172"/>
      <c r="SZT29" s="172"/>
      <c r="SZU29" s="172"/>
      <c r="SZV29" s="172"/>
      <c r="SZW29" s="172"/>
      <c r="SZX29" s="172"/>
      <c r="SZY29" s="172"/>
      <c r="SZZ29" s="172"/>
      <c r="TAA29" s="172"/>
      <c r="TAB29" s="172"/>
      <c r="TAC29" s="172"/>
      <c r="TAD29" s="172"/>
      <c r="TAE29" s="172"/>
      <c r="TAF29" s="172"/>
      <c r="TAG29" s="172"/>
      <c r="TAH29" s="172"/>
      <c r="TAI29" s="172"/>
      <c r="TAJ29" s="172"/>
      <c r="TAK29" s="172"/>
      <c r="TAL29" s="172"/>
      <c r="TAM29" s="172"/>
      <c r="TAN29" s="172"/>
      <c r="TAO29" s="172"/>
      <c r="TAP29" s="172"/>
      <c r="TAQ29" s="172"/>
      <c r="TAR29" s="172"/>
      <c r="TAS29" s="172"/>
      <c r="TAT29" s="172"/>
      <c r="TAU29" s="172"/>
      <c r="TAV29" s="172"/>
      <c r="TAW29" s="172"/>
      <c r="TAX29" s="172"/>
      <c r="TAY29" s="172"/>
      <c r="TAZ29" s="172"/>
      <c r="TBA29" s="172"/>
      <c r="TBB29" s="172"/>
      <c r="TBC29" s="172"/>
      <c r="TBD29" s="172"/>
      <c r="TBE29" s="172"/>
      <c r="TBF29" s="172"/>
      <c r="TBG29" s="172"/>
      <c r="TBH29" s="172"/>
      <c r="TBI29" s="172"/>
      <c r="TBJ29" s="172"/>
      <c r="TBK29" s="172"/>
      <c r="TBL29" s="172"/>
      <c r="TBM29" s="172"/>
      <c r="TBN29" s="172"/>
      <c r="TBO29" s="172"/>
      <c r="TBP29" s="172"/>
      <c r="TBQ29" s="172"/>
      <c r="TBR29" s="172"/>
      <c r="TBS29" s="172"/>
      <c r="TBT29" s="172"/>
      <c r="TBU29" s="172"/>
      <c r="TBV29" s="172"/>
      <c r="TBW29" s="172"/>
      <c r="TBX29" s="172"/>
      <c r="TBY29" s="172"/>
      <c r="TBZ29" s="172"/>
      <c r="TCA29" s="172"/>
      <c r="TCB29" s="172"/>
      <c r="TCC29" s="172"/>
      <c r="TCD29" s="172"/>
      <c r="TCE29" s="172"/>
      <c r="TCF29" s="172"/>
      <c r="TCG29" s="172"/>
      <c r="TCH29" s="172"/>
      <c r="TCI29" s="172"/>
      <c r="TCJ29" s="172"/>
      <c r="TCK29" s="172"/>
      <c r="TCL29" s="172"/>
      <c r="TCM29" s="172"/>
      <c r="TCN29" s="172"/>
      <c r="TCO29" s="172"/>
      <c r="TCP29" s="172"/>
      <c r="TCQ29" s="172"/>
      <c r="TCR29" s="172"/>
      <c r="TCS29" s="172"/>
      <c r="TCT29" s="172"/>
      <c r="TCU29" s="172"/>
      <c r="TCV29" s="172"/>
      <c r="TCW29" s="172"/>
      <c r="TCX29" s="172"/>
      <c r="TCY29" s="172"/>
      <c r="TCZ29" s="172"/>
      <c r="TDA29" s="172"/>
      <c r="TDB29" s="172"/>
      <c r="TDC29" s="172"/>
      <c r="TDD29" s="172"/>
      <c r="TDE29" s="172"/>
      <c r="TDF29" s="172"/>
      <c r="TDG29" s="172"/>
      <c r="TDH29" s="172"/>
      <c r="TDI29" s="172"/>
      <c r="TDJ29" s="172"/>
      <c r="TDK29" s="172"/>
      <c r="TDL29" s="172"/>
      <c r="TDM29" s="172"/>
      <c r="TDN29" s="172"/>
      <c r="TDO29" s="172"/>
      <c r="TDP29" s="172"/>
      <c r="TDQ29" s="172"/>
      <c r="TDR29" s="172"/>
      <c r="TDS29" s="172"/>
      <c r="TDT29" s="172"/>
      <c r="TDU29" s="172"/>
      <c r="TDV29" s="172"/>
      <c r="TDW29" s="172"/>
      <c r="TDX29" s="172"/>
      <c r="TDY29" s="172"/>
      <c r="TDZ29" s="172"/>
      <c r="TEA29" s="172"/>
      <c r="TEB29" s="172"/>
      <c r="TEC29" s="172"/>
      <c r="TED29" s="172"/>
      <c r="TEE29" s="172"/>
      <c r="TEF29" s="172"/>
      <c r="TEG29" s="172"/>
      <c r="TEH29" s="172"/>
      <c r="TEI29" s="172"/>
      <c r="TEJ29" s="172"/>
      <c r="TEK29" s="172"/>
      <c r="TEL29" s="172"/>
      <c r="TEM29" s="172"/>
      <c r="TEN29" s="172"/>
      <c r="TEO29" s="172"/>
      <c r="TEP29" s="172"/>
      <c r="TEQ29" s="172"/>
      <c r="TER29" s="172"/>
      <c r="TES29" s="172"/>
      <c r="TET29" s="172"/>
      <c r="TEU29" s="172"/>
      <c r="TEV29" s="172"/>
      <c r="TEW29" s="172"/>
      <c r="TEX29" s="172"/>
      <c r="TEY29" s="172"/>
      <c r="TEZ29" s="172"/>
      <c r="TFA29" s="172"/>
      <c r="TFB29" s="172"/>
      <c r="TFC29" s="172"/>
      <c r="TFD29" s="172"/>
      <c r="TFE29" s="172"/>
      <c r="TFF29" s="172"/>
      <c r="TFG29" s="172"/>
      <c r="TFH29" s="172"/>
      <c r="TFI29" s="172"/>
      <c r="TFJ29" s="172"/>
      <c r="TFK29" s="172"/>
      <c r="TFL29" s="172"/>
      <c r="TFM29" s="172"/>
      <c r="TFN29" s="172"/>
      <c r="TFO29" s="172"/>
      <c r="TFP29" s="172"/>
      <c r="TFQ29" s="172"/>
      <c r="TFR29" s="172"/>
      <c r="TFS29" s="172"/>
      <c r="TFT29" s="172"/>
      <c r="TFU29" s="172"/>
      <c r="TFV29" s="172"/>
      <c r="TFW29" s="172"/>
      <c r="TFX29" s="172"/>
      <c r="TFY29" s="172"/>
      <c r="TFZ29" s="172"/>
      <c r="TGA29" s="172"/>
      <c r="TGB29" s="172"/>
      <c r="TGC29" s="172"/>
      <c r="TGD29" s="172"/>
      <c r="TGE29" s="172"/>
      <c r="TGF29" s="172"/>
      <c r="TGG29" s="172"/>
      <c r="TGH29" s="172"/>
      <c r="TGI29" s="172"/>
      <c r="TGJ29" s="172"/>
      <c r="TGK29" s="172"/>
      <c r="TGL29" s="172"/>
      <c r="TGM29" s="172"/>
      <c r="TGN29" s="172"/>
      <c r="TGO29" s="172"/>
      <c r="TGP29" s="172"/>
      <c r="TGQ29" s="172"/>
      <c r="TGR29" s="172"/>
      <c r="TGS29" s="172"/>
      <c r="TGT29" s="172"/>
      <c r="TGU29" s="172"/>
      <c r="TGV29" s="172"/>
      <c r="TGW29" s="172"/>
      <c r="TGX29" s="172"/>
      <c r="TGY29" s="172"/>
      <c r="TGZ29" s="172"/>
      <c r="THA29" s="172"/>
      <c r="THB29" s="172"/>
      <c r="THC29" s="172"/>
      <c r="THD29" s="172"/>
      <c r="THE29" s="172"/>
      <c r="THF29" s="172"/>
      <c r="THG29" s="172"/>
      <c r="THH29" s="172"/>
      <c r="THI29" s="172"/>
      <c r="THJ29" s="172"/>
      <c r="THK29" s="172"/>
      <c r="THL29" s="172"/>
      <c r="THM29" s="172"/>
      <c r="THN29" s="172"/>
      <c r="THO29" s="172"/>
      <c r="THP29" s="172"/>
      <c r="THQ29" s="172"/>
      <c r="THR29" s="172"/>
      <c r="THS29" s="172"/>
      <c r="THT29" s="172"/>
      <c r="THU29" s="172"/>
      <c r="THV29" s="172"/>
      <c r="THW29" s="172"/>
      <c r="THX29" s="172"/>
      <c r="THY29" s="172"/>
      <c r="THZ29" s="172"/>
      <c r="TIA29" s="172"/>
      <c r="TIB29" s="172"/>
      <c r="TIC29" s="172"/>
      <c r="TID29" s="172"/>
      <c r="TIE29" s="172"/>
      <c r="TIF29" s="172"/>
      <c r="TIG29" s="172"/>
      <c r="TIH29" s="172"/>
      <c r="TII29" s="172"/>
      <c r="TIJ29" s="172"/>
      <c r="TIK29" s="172"/>
      <c r="TIL29" s="172"/>
      <c r="TIM29" s="172"/>
      <c r="TIN29" s="172"/>
      <c r="TIO29" s="172"/>
      <c r="TIP29" s="172"/>
      <c r="TIQ29" s="172"/>
      <c r="TIR29" s="172"/>
      <c r="TIS29" s="172"/>
      <c r="TIT29" s="172"/>
      <c r="TIU29" s="172"/>
      <c r="TIV29" s="172"/>
      <c r="TIW29" s="172"/>
      <c r="TIX29" s="172"/>
      <c r="TIY29" s="172"/>
      <c r="TIZ29" s="172"/>
      <c r="TJA29" s="172"/>
      <c r="TJB29" s="172"/>
      <c r="TJC29" s="172"/>
      <c r="TJD29" s="172"/>
      <c r="TJE29" s="172"/>
      <c r="TJF29" s="172"/>
      <c r="TJG29" s="172"/>
      <c r="TJH29" s="172"/>
      <c r="TJI29" s="172"/>
      <c r="TJJ29" s="172"/>
      <c r="TJK29" s="172"/>
      <c r="TJL29" s="172"/>
      <c r="TJM29" s="172"/>
      <c r="TJN29" s="172"/>
      <c r="TJO29" s="172"/>
      <c r="TJP29" s="172"/>
      <c r="TJQ29" s="172"/>
      <c r="TJR29" s="172"/>
      <c r="TJS29" s="172"/>
      <c r="TJT29" s="172"/>
      <c r="TJU29" s="172"/>
      <c r="TJV29" s="172"/>
      <c r="TJW29" s="172"/>
      <c r="TJX29" s="172"/>
      <c r="TJY29" s="172"/>
      <c r="TJZ29" s="172"/>
      <c r="TKA29" s="172"/>
      <c r="TKB29" s="172"/>
      <c r="TKC29" s="172"/>
      <c r="TKD29" s="172"/>
      <c r="TKE29" s="172"/>
      <c r="TKF29" s="172"/>
      <c r="TKG29" s="172"/>
      <c r="TKH29" s="172"/>
      <c r="TKI29" s="172"/>
      <c r="TKJ29" s="172"/>
      <c r="TKK29" s="172"/>
      <c r="TKL29" s="172"/>
      <c r="TKM29" s="172"/>
      <c r="TKN29" s="172"/>
      <c r="TKO29" s="172"/>
      <c r="TKP29" s="172"/>
      <c r="TKQ29" s="172"/>
      <c r="TKR29" s="172"/>
      <c r="TKS29" s="172"/>
      <c r="TKT29" s="172"/>
      <c r="TKU29" s="172"/>
      <c r="TKV29" s="172"/>
      <c r="TKW29" s="172"/>
      <c r="TKX29" s="172"/>
      <c r="TKY29" s="172"/>
      <c r="TKZ29" s="172"/>
      <c r="TLA29" s="172"/>
      <c r="TLB29" s="172"/>
      <c r="TLC29" s="172"/>
      <c r="TLD29" s="172"/>
      <c r="TLE29" s="172"/>
      <c r="TLF29" s="172"/>
      <c r="TLG29" s="172"/>
      <c r="TLH29" s="172"/>
      <c r="TLI29" s="172"/>
      <c r="TLJ29" s="172"/>
      <c r="TLK29" s="172"/>
      <c r="TLL29" s="172"/>
      <c r="TLM29" s="172"/>
      <c r="TLN29" s="172"/>
      <c r="TLO29" s="172"/>
      <c r="TLP29" s="172"/>
      <c r="TLQ29" s="172"/>
      <c r="TLR29" s="172"/>
      <c r="TLS29" s="172"/>
      <c r="TLT29" s="172"/>
      <c r="TLU29" s="172"/>
      <c r="TLV29" s="172"/>
      <c r="TLW29" s="172"/>
      <c r="TLX29" s="172"/>
      <c r="TLY29" s="172"/>
      <c r="TLZ29" s="172"/>
      <c r="TMA29" s="172"/>
      <c r="TMB29" s="172"/>
      <c r="TMC29" s="172"/>
      <c r="TMD29" s="172"/>
      <c r="TME29" s="172"/>
      <c r="TMF29" s="172"/>
      <c r="TMG29" s="172"/>
      <c r="TMH29" s="172"/>
      <c r="TMI29" s="172"/>
      <c r="TMJ29" s="172"/>
      <c r="TMK29" s="172"/>
      <c r="TML29" s="172"/>
      <c r="TMM29" s="172"/>
      <c r="TMN29" s="172"/>
      <c r="TMO29" s="172"/>
      <c r="TMP29" s="172"/>
      <c r="TMQ29" s="172"/>
      <c r="TMR29" s="172"/>
      <c r="TMS29" s="172"/>
      <c r="TMT29" s="172"/>
      <c r="TMU29" s="172"/>
      <c r="TMV29" s="172"/>
      <c r="TMW29" s="172"/>
      <c r="TMX29" s="172"/>
      <c r="TMY29" s="172"/>
      <c r="TMZ29" s="172"/>
      <c r="TNA29" s="172"/>
      <c r="TNB29" s="172"/>
      <c r="TNC29" s="172"/>
      <c r="TND29" s="172"/>
      <c r="TNE29" s="172"/>
      <c r="TNF29" s="172"/>
      <c r="TNG29" s="172"/>
      <c r="TNH29" s="172"/>
      <c r="TNI29" s="172"/>
      <c r="TNJ29" s="172"/>
      <c r="TNK29" s="172"/>
      <c r="TNL29" s="172"/>
      <c r="TNM29" s="172"/>
      <c r="TNN29" s="172"/>
      <c r="TNO29" s="172"/>
      <c r="TNP29" s="172"/>
      <c r="TNQ29" s="172"/>
      <c r="TNR29" s="172"/>
      <c r="TNS29" s="172"/>
      <c r="TNT29" s="172"/>
      <c r="TNU29" s="172"/>
      <c r="TNV29" s="172"/>
      <c r="TNW29" s="172"/>
      <c r="TNX29" s="172"/>
      <c r="TNY29" s="172"/>
      <c r="TNZ29" s="172"/>
      <c r="TOA29" s="172"/>
      <c r="TOB29" s="172"/>
      <c r="TOC29" s="172"/>
      <c r="TOD29" s="172"/>
      <c r="TOE29" s="172"/>
      <c r="TOF29" s="172"/>
      <c r="TOG29" s="172"/>
      <c r="TOH29" s="172"/>
      <c r="TOI29" s="172"/>
      <c r="TOJ29" s="172"/>
      <c r="TOK29" s="172"/>
      <c r="TOL29" s="172"/>
      <c r="TOM29" s="172"/>
      <c r="TON29" s="172"/>
      <c r="TOO29" s="172"/>
      <c r="TOP29" s="172"/>
      <c r="TOQ29" s="172"/>
      <c r="TOR29" s="172"/>
      <c r="TOS29" s="172"/>
      <c r="TOT29" s="172"/>
      <c r="TOU29" s="172"/>
      <c r="TOV29" s="172"/>
      <c r="TOW29" s="172"/>
      <c r="TOX29" s="172"/>
      <c r="TOY29" s="172"/>
      <c r="TOZ29" s="172"/>
      <c r="TPA29" s="172"/>
      <c r="TPB29" s="172"/>
      <c r="TPC29" s="172"/>
      <c r="TPD29" s="172"/>
      <c r="TPE29" s="172"/>
      <c r="TPF29" s="172"/>
      <c r="TPG29" s="172"/>
      <c r="TPH29" s="172"/>
      <c r="TPI29" s="172"/>
      <c r="TPJ29" s="172"/>
      <c r="TPK29" s="172"/>
      <c r="TPL29" s="172"/>
      <c r="TPM29" s="172"/>
      <c r="TPN29" s="172"/>
      <c r="TPO29" s="172"/>
      <c r="TPP29" s="172"/>
      <c r="TPQ29" s="172"/>
      <c r="TPR29" s="172"/>
      <c r="TPS29" s="172"/>
      <c r="TPT29" s="172"/>
      <c r="TPU29" s="172"/>
      <c r="TPV29" s="172"/>
      <c r="TPW29" s="172"/>
      <c r="TPX29" s="172"/>
      <c r="TPY29" s="172"/>
      <c r="TPZ29" s="172"/>
      <c r="TQA29" s="172"/>
      <c r="TQB29" s="172"/>
      <c r="TQC29" s="172"/>
      <c r="TQD29" s="172"/>
      <c r="TQE29" s="172"/>
      <c r="TQF29" s="172"/>
      <c r="TQG29" s="172"/>
      <c r="TQH29" s="172"/>
      <c r="TQI29" s="172"/>
      <c r="TQJ29" s="172"/>
      <c r="TQK29" s="172"/>
      <c r="TQL29" s="172"/>
      <c r="TQM29" s="172"/>
      <c r="TQN29" s="172"/>
      <c r="TQO29" s="172"/>
      <c r="TQP29" s="172"/>
      <c r="TQQ29" s="172"/>
      <c r="TQR29" s="172"/>
      <c r="TQS29" s="172"/>
      <c r="TQT29" s="172"/>
      <c r="TQU29" s="172"/>
      <c r="TQV29" s="172"/>
      <c r="TQW29" s="172"/>
      <c r="TQX29" s="172"/>
      <c r="TQY29" s="172"/>
      <c r="TQZ29" s="172"/>
      <c r="TRA29" s="172"/>
      <c r="TRB29" s="172"/>
      <c r="TRC29" s="172"/>
      <c r="TRD29" s="172"/>
      <c r="TRE29" s="172"/>
      <c r="TRF29" s="172"/>
      <c r="TRG29" s="172"/>
      <c r="TRH29" s="172"/>
      <c r="TRI29" s="172"/>
      <c r="TRJ29" s="172"/>
      <c r="TRK29" s="172"/>
      <c r="TRL29" s="172"/>
      <c r="TRM29" s="172"/>
      <c r="TRN29" s="172"/>
      <c r="TRO29" s="172"/>
      <c r="TRP29" s="172"/>
      <c r="TRQ29" s="172"/>
      <c r="TRR29" s="172"/>
      <c r="TRS29" s="172"/>
      <c r="TRT29" s="172"/>
      <c r="TRU29" s="172"/>
      <c r="TRV29" s="172"/>
      <c r="TRW29" s="172"/>
      <c r="TRX29" s="172"/>
      <c r="TRY29" s="172"/>
      <c r="TRZ29" s="172"/>
      <c r="TSA29" s="172"/>
      <c r="TSB29" s="172"/>
      <c r="TSC29" s="172"/>
      <c r="TSD29" s="172"/>
      <c r="TSE29" s="172"/>
      <c r="TSF29" s="172"/>
      <c r="TSG29" s="172"/>
      <c r="TSH29" s="172"/>
      <c r="TSI29" s="172"/>
      <c r="TSJ29" s="172"/>
      <c r="TSK29" s="172"/>
      <c r="TSL29" s="172"/>
      <c r="TSM29" s="172"/>
      <c r="TSN29" s="172"/>
      <c r="TSO29" s="172"/>
      <c r="TSP29" s="172"/>
      <c r="TSQ29" s="172"/>
      <c r="TSR29" s="172"/>
      <c r="TSS29" s="172"/>
      <c r="TST29" s="172"/>
      <c r="TSU29" s="172"/>
      <c r="TSV29" s="172"/>
      <c r="TSW29" s="172"/>
      <c r="TSX29" s="172"/>
      <c r="TSY29" s="172"/>
      <c r="TSZ29" s="172"/>
      <c r="TTA29" s="172"/>
      <c r="TTB29" s="172"/>
      <c r="TTC29" s="172"/>
      <c r="TTD29" s="172"/>
      <c r="TTE29" s="172"/>
      <c r="TTF29" s="172"/>
      <c r="TTG29" s="172"/>
      <c r="TTH29" s="172"/>
      <c r="TTI29" s="172"/>
      <c r="TTJ29" s="172"/>
      <c r="TTK29" s="172"/>
      <c r="TTL29" s="172"/>
      <c r="TTM29" s="172"/>
      <c r="TTN29" s="172"/>
      <c r="TTO29" s="172"/>
      <c r="TTP29" s="172"/>
      <c r="TTQ29" s="172"/>
      <c r="TTR29" s="172"/>
      <c r="TTS29" s="172"/>
      <c r="TTT29" s="172"/>
      <c r="TTU29" s="172"/>
      <c r="TTV29" s="172"/>
      <c r="TTW29" s="172"/>
      <c r="TTX29" s="172"/>
      <c r="TTY29" s="172"/>
      <c r="TTZ29" s="172"/>
      <c r="TUA29" s="172"/>
      <c r="TUB29" s="172"/>
      <c r="TUC29" s="172"/>
      <c r="TUD29" s="172"/>
      <c r="TUE29" s="172"/>
      <c r="TUF29" s="172"/>
      <c r="TUG29" s="172"/>
      <c r="TUH29" s="172"/>
      <c r="TUI29" s="172"/>
      <c r="TUJ29" s="172"/>
      <c r="TUK29" s="172"/>
      <c r="TUL29" s="172"/>
      <c r="TUM29" s="172"/>
      <c r="TUN29" s="172"/>
      <c r="TUO29" s="172"/>
      <c r="TUP29" s="172"/>
      <c r="TUQ29" s="172"/>
      <c r="TUR29" s="172"/>
      <c r="TUS29" s="172"/>
      <c r="TUT29" s="172"/>
      <c r="TUU29" s="172"/>
      <c r="TUV29" s="172"/>
      <c r="TUW29" s="172"/>
      <c r="TUX29" s="172"/>
      <c r="TUY29" s="172"/>
      <c r="TUZ29" s="172"/>
      <c r="TVA29" s="172"/>
      <c r="TVB29" s="172"/>
      <c r="TVC29" s="172"/>
      <c r="TVD29" s="172"/>
      <c r="TVE29" s="172"/>
      <c r="TVF29" s="172"/>
      <c r="TVG29" s="172"/>
      <c r="TVH29" s="172"/>
      <c r="TVI29" s="172"/>
      <c r="TVJ29" s="172"/>
      <c r="TVK29" s="172"/>
      <c r="TVL29" s="172"/>
      <c r="TVM29" s="172"/>
      <c r="TVN29" s="172"/>
      <c r="TVO29" s="172"/>
      <c r="TVP29" s="172"/>
      <c r="TVQ29" s="172"/>
      <c r="TVR29" s="172"/>
      <c r="TVS29" s="172"/>
      <c r="TVT29" s="172"/>
      <c r="TVU29" s="172"/>
      <c r="TVV29" s="172"/>
      <c r="TVW29" s="172"/>
      <c r="TVX29" s="172"/>
      <c r="TVY29" s="172"/>
      <c r="TVZ29" s="172"/>
      <c r="TWA29" s="172"/>
      <c r="TWB29" s="172"/>
      <c r="TWC29" s="172"/>
      <c r="TWD29" s="172"/>
      <c r="TWE29" s="172"/>
      <c r="TWF29" s="172"/>
      <c r="TWG29" s="172"/>
      <c r="TWH29" s="172"/>
      <c r="TWI29" s="172"/>
      <c r="TWJ29" s="172"/>
      <c r="TWK29" s="172"/>
      <c r="TWL29" s="172"/>
      <c r="TWM29" s="172"/>
      <c r="TWN29" s="172"/>
      <c r="TWO29" s="172"/>
      <c r="TWP29" s="172"/>
      <c r="TWQ29" s="172"/>
      <c r="TWR29" s="172"/>
      <c r="TWS29" s="172"/>
      <c r="TWT29" s="172"/>
      <c r="TWU29" s="172"/>
      <c r="TWV29" s="172"/>
      <c r="TWW29" s="172"/>
      <c r="TWX29" s="172"/>
      <c r="TWY29" s="172"/>
      <c r="TWZ29" s="172"/>
      <c r="TXA29" s="172"/>
      <c r="TXB29" s="172"/>
      <c r="TXC29" s="172"/>
      <c r="TXD29" s="172"/>
      <c r="TXE29" s="172"/>
      <c r="TXF29" s="172"/>
      <c r="TXG29" s="172"/>
      <c r="TXH29" s="172"/>
      <c r="TXI29" s="172"/>
      <c r="TXJ29" s="172"/>
      <c r="TXK29" s="172"/>
      <c r="TXL29" s="172"/>
      <c r="TXM29" s="172"/>
      <c r="TXN29" s="172"/>
      <c r="TXO29" s="172"/>
      <c r="TXP29" s="172"/>
      <c r="TXQ29" s="172"/>
      <c r="TXR29" s="172"/>
      <c r="TXS29" s="172"/>
      <c r="TXT29" s="172"/>
      <c r="TXU29" s="172"/>
      <c r="TXV29" s="172"/>
      <c r="TXW29" s="172"/>
      <c r="TXX29" s="172"/>
      <c r="TXY29" s="172"/>
      <c r="TXZ29" s="172"/>
      <c r="TYA29" s="172"/>
      <c r="TYB29" s="172"/>
      <c r="TYC29" s="172"/>
      <c r="TYD29" s="172"/>
      <c r="TYE29" s="172"/>
      <c r="TYF29" s="172"/>
      <c r="TYG29" s="172"/>
      <c r="TYH29" s="172"/>
      <c r="TYI29" s="172"/>
      <c r="TYJ29" s="172"/>
      <c r="TYK29" s="172"/>
      <c r="TYL29" s="172"/>
      <c r="TYM29" s="172"/>
      <c r="TYN29" s="172"/>
      <c r="TYO29" s="172"/>
      <c r="TYP29" s="172"/>
      <c r="TYQ29" s="172"/>
      <c r="TYR29" s="172"/>
      <c r="TYS29" s="172"/>
      <c r="TYT29" s="172"/>
      <c r="TYU29" s="172"/>
      <c r="TYV29" s="172"/>
      <c r="TYW29" s="172"/>
      <c r="TYX29" s="172"/>
      <c r="TYY29" s="172"/>
      <c r="TYZ29" s="172"/>
      <c r="TZA29" s="172"/>
      <c r="TZB29" s="172"/>
      <c r="TZC29" s="172"/>
      <c r="TZD29" s="172"/>
      <c r="TZE29" s="172"/>
      <c r="TZF29" s="172"/>
      <c r="TZG29" s="172"/>
      <c r="TZH29" s="172"/>
      <c r="TZI29" s="172"/>
      <c r="TZJ29" s="172"/>
      <c r="TZK29" s="172"/>
      <c r="TZL29" s="172"/>
      <c r="TZM29" s="172"/>
      <c r="TZN29" s="172"/>
      <c r="TZO29" s="172"/>
      <c r="TZP29" s="172"/>
      <c r="TZQ29" s="172"/>
      <c r="TZR29" s="172"/>
      <c r="TZS29" s="172"/>
      <c r="TZT29" s="172"/>
      <c r="TZU29" s="172"/>
      <c r="TZV29" s="172"/>
      <c r="TZW29" s="172"/>
      <c r="TZX29" s="172"/>
      <c r="TZY29" s="172"/>
      <c r="TZZ29" s="172"/>
      <c r="UAA29" s="172"/>
      <c r="UAB29" s="172"/>
      <c r="UAC29" s="172"/>
      <c r="UAD29" s="172"/>
      <c r="UAE29" s="172"/>
      <c r="UAF29" s="172"/>
      <c r="UAG29" s="172"/>
      <c r="UAH29" s="172"/>
      <c r="UAI29" s="172"/>
      <c r="UAJ29" s="172"/>
      <c r="UAK29" s="172"/>
      <c r="UAL29" s="172"/>
      <c r="UAM29" s="172"/>
      <c r="UAN29" s="172"/>
      <c r="UAO29" s="172"/>
      <c r="UAP29" s="172"/>
      <c r="UAQ29" s="172"/>
      <c r="UAR29" s="172"/>
      <c r="UAS29" s="172"/>
      <c r="UAT29" s="172"/>
      <c r="UAU29" s="172"/>
      <c r="UAV29" s="172"/>
      <c r="UAW29" s="172"/>
      <c r="UAX29" s="172"/>
      <c r="UAY29" s="172"/>
      <c r="UAZ29" s="172"/>
      <c r="UBA29" s="172"/>
      <c r="UBB29" s="172"/>
      <c r="UBC29" s="172"/>
      <c r="UBD29" s="172"/>
      <c r="UBE29" s="172"/>
      <c r="UBF29" s="172"/>
      <c r="UBG29" s="172"/>
      <c r="UBH29" s="172"/>
      <c r="UBI29" s="172"/>
      <c r="UBJ29" s="172"/>
      <c r="UBK29" s="172"/>
      <c r="UBL29" s="172"/>
      <c r="UBM29" s="172"/>
      <c r="UBN29" s="172"/>
      <c r="UBO29" s="172"/>
      <c r="UBP29" s="172"/>
      <c r="UBQ29" s="172"/>
      <c r="UBR29" s="172"/>
      <c r="UBS29" s="172"/>
      <c r="UBT29" s="172"/>
      <c r="UBU29" s="172"/>
      <c r="UBV29" s="172"/>
      <c r="UBW29" s="172"/>
      <c r="UBX29" s="172"/>
      <c r="UBY29" s="172"/>
      <c r="UBZ29" s="172"/>
      <c r="UCA29" s="172"/>
      <c r="UCB29" s="172"/>
      <c r="UCC29" s="172"/>
      <c r="UCD29" s="172"/>
      <c r="UCE29" s="172"/>
      <c r="UCF29" s="172"/>
      <c r="UCG29" s="172"/>
      <c r="UCH29" s="172"/>
      <c r="UCI29" s="172"/>
      <c r="UCJ29" s="172"/>
      <c r="UCK29" s="172"/>
      <c r="UCL29" s="172"/>
      <c r="UCM29" s="172"/>
      <c r="UCN29" s="172"/>
      <c r="UCO29" s="172"/>
      <c r="UCP29" s="172"/>
      <c r="UCQ29" s="172"/>
      <c r="UCR29" s="172"/>
      <c r="UCS29" s="172"/>
      <c r="UCT29" s="172"/>
      <c r="UCU29" s="172"/>
      <c r="UCV29" s="172"/>
      <c r="UCW29" s="172"/>
      <c r="UCX29" s="172"/>
      <c r="UCY29" s="172"/>
      <c r="UCZ29" s="172"/>
      <c r="UDA29" s="172"/>
      <c r="UDB29" s="172"/>
      <c r="UDC29" s="172"/>
      <c r="UDD29" s="172"/>
      <c r="UDE29" s="172"/>
      <c r="UDF29" s="172"/>
      <c r="UDG29" s="172"/>
      <c r="UDH29" s="172"/>
      <c r="UDI29" s="172"/>
      <c r="UDJ29" s="172"/>
      <c r="UDK29" s="172"/>
      <c r="UDL29" s="172"/>
      <c r="UDM29" s="172"/>
      <c r="UDN29" s="172"/>
      <c r="UDO29" s="172"/>
      <c r="UDP29" s="172"/>
      <c r="UDQ29" s="172"/>
      <c r="UDR29" s="172"/>
      <c r="UDS29" s="172"/>
      <c r="UDT29" s="172"/>
      <c r="UDU29" s="172"/>
      <c r="UDV29" s="172"/>
      <c r="UDW29" s="172"/>
      <c r="UDX29" s="172"/>
      <c r="UDY29" s="172"/>
      <c r="UDZ29" s="172"/>
      <c r="UEA29" s="172"/>
      <c r="UEB29" s="172"/>
      <c r="UEC29" s="172"/>
      <c r="UED29" s="172"/>
      <c r="UEE29" s="172"/>
      <c r="UEF29" s="172"/>
      <c r="UEG29" s="172"/>
      <c r="UEH29" s="172"/>
      <c r="UEI29" s="172"/>
      <c r="UEJ29" s="172"/>
      <c r="UEK29" s="172"/>
      <c r="UEL29" s="172"/>
      <c r="UEM29" s="172"/>
      <c r="UEN29" s="172"/>
      <c r="UEO29" s="172"/>
      <c r="UEP29" s="172"/>
      <c r="UEQ29" s="172"/>
      <c r="UER29" s="172"/>
      <c r="UES29" s="172"/>
      <c r="UET29" s="172"/>
      <c r="UEU29" s="172"/>
      <c r="UEV29" s="172"/>
      <c r="UEW29" s="172"/>
      <c r="UEX29" s="172"/>
      <c r="UEY29" s="172"/>
      <c r="UEZ29" s="172"/>
      <c r="UFA29" s="172"/>
      <c r="UFB29" s="172"/>
      <c r="UFC29" s="172"/>
      <c r="UFD29" s="172"/>
      <c r="UFE29" s="172"/>
      <c r="UFF29" s="172"/>
      <c r="UFG29" s="172"/>
      <c r="UFH29" s="172"/>
      <c r="UFI29" s="172"/>
      <c r="UFJ29" s="172"/>
      <c r="UFK29" s="172"/>
      <c r="UFL29" s="172"/>
      <c r="UFM29" s="172"/>
      <c r="UFN29" s="172"/>
      <c r="UFO29" s="172"/>
      <c r="UFP29" s="172"/>
      <c r="UFQ29" s="172"/>
      <c r="UFR29" s="172"/>
      <c r="UFS29" s="172"/>
      <c r="UFT29" s="172"/>
      <c r="UFU29" s="172"/>
      <c r="UFV29" s="172"/>
      <c r="UFW29" s="172"/>
      <c r="UFX29" s="172"/>
      <c r="UFY29" s="172"/>
      <c r="UFZ29" s="172"/>
      <c r="UGA29" s="172"/>
      <c r="UGB29" s="172"/>
      <c r="UGC29" s="172"/>
      <c r="UGD29" s="172"/>
      <c r="UGE29" s="172"/>
      <c r="UGF29" s="172"/>
      <c r="UGG29" s="172"/>
      <c r="UGH29" s="172"/>
      <c r="UGI29" s="172"/>
      <c r="UGJ29" s="172"/>
      <c r="UGK29" s="172"/>
      <c r="UGL29" s="172"/>
      <c r="UGM29" s="172"/>
      <c r="UGN29" s="172"/>
      <c r="UGO29" s="172"/>
      <c r="UGP29" s="172"/>
      <c r="UGQ29" s="172"/>
      <c r="UGR29" s="172"/>
      <c r="UGS29" s="172"/>
      <c r="UGT29" s="172"/>
      <c r="UGU29" s="172"/>
      <c r="UGV29" s="172"/>
      <c r="UGW29" s="172"/>
      <c r="UGX29" s="172"/>
      <c r="UGY29" s="172"/>
      <c r="UGZ29" s="172"/>
      <c r="UHA29" s="172"/>
      <c r="UHB29" s="172"/>
      <c r="UHC29" s="172"/>
      <c r="UHD29" s="172"/>
      <c r="UHE29" s="172"/>
      <c r="UHF29" s="172"/>
      <c r="UHG29" s="172"/>
      <c r="UHH29" s="172"/>
      <c r="UHI29" s="172"/>
      <c r="UHJ29" s="172"/>
      <c r="UHK29" s="172"/>
      <c r="UHL29" s="172"/>
      <c r="UHM29" s="172"/>
      <c r="UHN29" s="172"/>
      <c r="UHO29" s="172"/>
      <c r="UHP29" s="172"/>
      <c r="UHQ29" s="172"/>
      <c r="UHR29" s="172"/>
      <c r="UHS29" s="172"/>
      <c r="UHT29" s="172"/>
      <c r="UHU29" s="172"/>
      <c r="UHV29" s="172"/>
      <c r="UHW29" s="172"/>
      <c r="UHX29" s="172"/>
      <c r="UHY29" s="172"/>
      <c r="UHZ29" s="172"/>
      <c r="UIA29" s="172"/>
      <c r="UIB29" s="172"/>
      <c r="UIC29" s="172"/>
      <c r="UID29" s="172"/>
      <c r="UIE29" s="172"/>
      <c r="UIF29" s="172"/>
      <c r="UIG29" s="172"/>
      <c r="UIH29" s="172"/>
      <c r="UII29" s="172"/>
      <c r="UIJ29" s="172"/>
      <c r="UIK29" s="172"/>
      <c r="UIL29" s="172"/>
      <c r="UIM29" s="172"/>
      <c r="UIN29" s="172"/>
      <c r="UIO29" s="172"/>
      <c r="UIP29" s="172"/>
      <c r="UIQ29" s="172"/>
      <c r="UIR29" s="172"/>
      <c r="UIS29" s="172"/>
      <c r="UIT29" s="172"/>
      <c r="UIU29" s="172"/>
      <c r="UIV29" s="172"/>
      <c r="UIW29" s="172"/>
      <c r="UIX29" s="172"/>
      <c r="UIY29" s="172"/>
      <c r="UIZ29" s="172"/>
      <c r="UJA29" s="172"/>
      <c r="UJB29" s="172"/>
      <c r="UJC29" s="172"/>
      <c r="UJD29" s="172"/>
      <c r="UJE29" s="172"/>
      <c r="UJF29" s="172"/>
      <c r="UJG29" s="172"/>
      <c r="UJH29" s="172"/>
      <c r="UJI29" s="172"/>
      <c r="UJJ29" s="172"/>
      <c r="UJK29" s="172"/>
      <c r="UJL29" s="172"/>
      <c r="UJM29" s="172"/>
      <c r="UJN29" s="172"/>
      <c r="UJO29" s="172"/>
      <c r="UJP29" s="172"/>
      <c r="UJQ29" s="172"/>
      <c r="UJR29" s="172"/>
      <c r="UJS29" s="172"/>
      <c r="UJT29" s="172"/>
      <c r="UJU29" s="172"/>
      <c r="UJV29" s="172"/>
      <c r="UJW29" s="172"/>
      <c r="UJX29" s="172"/>
      <c r="UJY29" s="172"/>
      <c r="UJZ29" s="172"/>
      <c r="UKA29" s="172"/>
      <c r="UKB29" s="172"/>
      <c r="UKC29" s="172"/>
      <c r="UKD29" s="172"/>
      <c r="UKE29" s="172"/>
      <c r="UKF29" s="172"/>
      <c r="UKG29" s="172"/>
      <c r="UKH29" s="172"/>
      <c r="UKI29" s="172"/>
      <c r="UKJ29" s="172"/>
      <c r="UKK29" s="172"/>
      <c r="UKL29" s="172"/>
      <c r="UKM29" s="172"/>
      <c r="UKN29" s="172"/>
      <c r="UKO29" s="172"/>
      <c r="UKP29" s="172"/>
      <c r="UKQ29" s="172"/>
      <c r="UKR29" s="172"/>
      <c r="UKS29" s="172"/>
      <c r="UKT29" s="172"/>
      <c r="UKU29" s="172"/>
      <c r="UKV29" s="172"/>
      <c r="UKW29" s="172"/>
      <c r="UKX29" s="172"/>
      <c r="UKY29" s="172"/>
      <c r="UKZ29" s="172"/>
      <c r="ULA29" s="172"/>
      <c r="ULB29" s="172"/>
      <c r="ULC29" s="172"/>
      <c r="ULD29" s="172"/>
      <c r="ULE29" s="172"/>
      <c r="ULF29" s="172"/>
      <c r="ULG29" s="172"/>
      <c r="ULH29" s="172"/>
      <c r="ULI29" s="172"/>
      <c r="ULJ29" s="172"/>
      <c r="ULK29" s="172"/>
      <c r="ULL29" s="172"/>
      <c r="ULM29" s="172"/>
      <c r="ULN29" s="172"/>
      <c r="ULO29" s="172"/>
      <c r="ULP29" s="172"/>
      <c r="ULQ29" s="172"/>
      <c r="ULR29" s="172"/>
      <c r="ULS29" s="172"/>
      <c r="ULT29" s="172"/>
      <c r="ULU29" s="172"/>
      <c r="ULV29" s="172"/>
      <c r="ULW29" s="172"/>
      <c r="ULX29" s="172"/>
      <c r="ULY29" s="172"/>
      <c r="ULZ29" s="172"/>
      <c r="UMA29" s="172"/>
      <c r="UMB29" s="172"/>
      <c r="UMC29" s="172"/>
      <c r="UMD29" s="172"/>
      <c r="UME29" s="172"/>
      <c r="UMF29" s="172"/>
      <c r="UMG29" s="172"/>
      <c r="UMH29" s="172"/>
      <c r="UMI29" s="172"/>
      <c r="UMJ29" s="172"/>
      <c r="UMK29" s="172"/>
      <c r="UML29" s="172"/>
      <c r="UMM29" s="172"/>
      <c r="UMN29" s="172"/>
      <c r="UMO29" s="172"/>
      <c r="UMP29" s="172"/>
      <c r="UMQ29" s="172"/>
      <c r="UMR29" s="172"/>
      <c r="UMS29" s="172"/>
      <c r="UMT29" s="172"/>
      <c r="UMU29" s="172"/>
      <c r="UMV29" s="172"/>
      <c r="UMW29" s="172"/>
      <c r="UMX29" s="172"/>
      <c r="UMY29" s="172"/>
      <c r="UMZ29" s="172"/>
      <c r="UNA29" s="172"/>
      <c r="UNB29" s="172"/>
      <c r="UNC29" s="172"/>
      <c r="UND29" s="172"/>
      <c r="UNE29" s="172"/>
      <c r="UNF29" s="172"/>
      <c r="UNG29" s="172"/>
      <c r="UNH29" s="172"/>
      <c r="UNI29" s="172"/>
      <c r="UNJ29" s="172"/>
      <c r="UNK29" s="172"/>
      <c r="UNL29" s="172"/>
      <c r="UNM29" s="172"/>
      <c r="UNN29" s="172"/>
      <c r="UNO29" s="172"/>
      <c r="UNP29" s="172"/>
      <c r="UNQ29" s="172"/>
      <c r="UNR29" s="172"/>
      <c r="UNS29" s="172"/>
      <c r="UNT29" s="172"/>
      <c r="UNU29" s="172"/>
      <c r="UNV29" s="172"/>
      <c r="UNW29" s="172"/>
      <c r="UNX29" s="172"/>
      <c r="UNY29" s="172"/>
      <c r="UNZ29" s="172"/>
      <c r="UOA29" s="172"/>
      <c r="UOB29" s="172"/>
      <c r="UOC29" s="172"/>
      <c r="UOD29" s="172"/>
      <c r="UOE29" s="172"/>
      <c r="UOF29" s="172"/>
      <c r="UOG29" s="172"/>
      <c r="UOH29" s="172"/>
      <c r="UOI29" s="172"/>
      <c r="UOJ29" s="172"/>
      <c r="UOK29" s="172"/>
      <c r="UOL29" s="172"/>
      <c r="UOM29" s="172"/>
      <c r="UON29" s="172"/>
      <c r="UOO29" s="172"/>
      <c r="UOP29" s="172"/>
      <c r="UOQ29" s="172"/>
      <c r="UOR29" s="172"/>
      <c r="UOS29" s="172"/>
      <c r="UOT29" s="172"/>
      <c r="UOU29" s="172"/>
      <c r="UOV29" s="172"/>
      <c r="UOW29" s="172"/>
      <c r="UOX29" s="172"/>
      <c r="UOY29" s="172"/>
      <c r="UOZ29" s="172"/>
      <c r="UPA29" s="172"/>
      <c r="UPB29" s="172"/>
      <c r="UPC29" s="172"/>
      <c r="UPD29" s="172"/>
      <c r="UPE29" s="172"/>
      <c r="UPF29" s="172"/>
      <c r="UPG29" s="172"/>
      <c r="UPH29" s="172"/>
      <c r="UPI29" s="172"/>
      <c r="UPJ29" s="172"/>
      <c r="UPK29" s="172"/>
      <c r="UPL29" s="172"/>
      <c r="UPM29" s="172"/>
      <c r="UPN29" s="172"/>
      <c r="UPO29" s="172"/>
      <c r="UPP29" s="172"/>
      <c r="UPQ29" s="172"/>
      <c r="UPR29" s="172"/>
      <c r="UPS29" s="172"/>
      <c r="UPT29" s="172"/>
      <c r="UPU29" s="172"/>
      <c r="UPV29" s="172"/>
      <c r="UPW29" s="172"/>
      <c r="UPX29" s="172"/>
      <c r="UPY29" s="172"/>
      <c r="UPZ29" s="172"/>
      <c r="UQA29" s="172"/>
      <c r="UQB29" s="172"/>
      <c r="UQC29" s="172"/>
      <c r="UQD29" s="172"/>
      <c r="UQE29" s="172"/>
      <c r="UQF29" s="172"/>
      <c r="UQG29" s="172"/>
      <c r="UQH29" s="172"/>
      <c r="UQI29" s="172"/>
      <c r="UQJ29" s="172"/>
      <c r="UQK29" s="172"/>
      <c r="UQL29" s="172"/>
      <c r="UQM29" s="172"/>
      <c r="UQN29" s="172"/>
      <c r="UQO29" s="172"/>
      <c r="UQP29" s="172"/>
      <c r="UQQ29" s="172"/>
      <c r="UQR29" s="172"/>
      <c r="UQS29" s="172"/>
      <c r="UQT29" s="172"/>
      <c r="UQU29" s="172"/>
      <c r="UQV29" s="172"/>
      <c r="UQW29" s="172"/>
      <c r="UQX29" s="172"/>
      <c r="UQY29" s="172"/>
      <c r="UQZ29" s="172"/>
      <c r="URA29" s="172"/>
      <c r="URB29" s="172"/>
      <c r="URC29" s="172"/>
      <c r="URD29" s="172"/>
      <c r="URE29" s="172"/>
      <c r="URF29" s="172"/>
      <c r="URG29" s="172"/>
      <c r="URH29" s="172"/>
      <c r="URI29" s="172"/>
      <c r="URJ29" s="172"/>
      <c r="URK29" s="172"/>
      <c r="URL29" s="172"/>
      <c r="URM29" s="172"/>
      <c r="URN29" s="172"/>
      <c r="URO29" s="172"/>
      <c r="URP29" s="172"/>
      <c r="URQ29" s="172"/>
      <c r="URR29" s="172"/>
      <c r="URS29" s="172"/>
      <c r="URT29" s="172"/>
      <c r="URU29" s="172"/>
      <c r="URV29" s="172"/>
      <c r="URW29" s="172"/>
      <c r="URX29" s="172"/>
      <c r="URY29" s="172"/>
      <c r="URZ29" s="172"/>
      <c r="USA29" s="172"/>
      <c r="USB29" s="172"/>
      <c r="USC29" s="172"/>
      <c r="USD29" s="172"/>
      <c r="USE29" s="172"/>
      <c r="USF29" s="172"/>
      <c r="USG29" s="172"/>
      <c r="USH29" s="172"/>
      <c r="USI29" s="172"/>
      <c r="USJ29" s="172"/>
      <c r="USK29" s="172"/>
      <c r="USL29" s="172"/>
      <c r="USM29" s="172"/>
      <c r="USN29" s="172"/>
      <c r="USO29" s="172"/>
      <c r="USP29" s="172"/>
      <c r="USQ29" s="172"/>
      <c r="USR29" s="172"/>
      <c r="USS29" s="172"/>
      <c r="UST29" s="172"/>
      <c r="USU29" s="172"/>
      <c r="USV29" s="172"/>
      <c r="USW29" s="172"/>
      <c r="USX29" s="172"/>
      <c r="USY29" s="172"/>
      <c r="USZ29" s="172"/>
      <c r="UTA29" s="172"/>
      <c r="UTB29" s="172"/>
      <c r="UTC29" s="172"/>
      <c r="UTD29" s="172"/>
      <c r="UTE29" s="172"/>
      <c r="UTF29" s="172"/>
      <c r="UTG29" s="172"/>
      <c r="UTH29" s="172"/>
      <c r="UTI29" s="172"/>
      <c r="UTJ29" s="172"/>
      <c r="UTK29" s="172"/>
      <c r="UTL29" s="172"/>
      <c r="UTM29" s="172"/>
      <c r="UTN29" s="172"/>
      <c r="UTO29" s="172"/>
      <c r="UTP29" s="172"/>
      <c r="UTQ29" s="172"/>
      <c r="UTR29" s="172"/>
      <c r="UTS29" s="172"/>
      <c r="UTT29" s="172"/>
      <c r="UTU29" s="172"/>
      <c r="UTV29" s="172"/>
      <c r="UTW29" s="172"/>
      <c r="UTX29" s="172"/>
      <c r="UTY29" s="172"/>
      <c r="UTZ29" s="172"/>
      <c r="UUA29" s="172"/>
      <c r="UUB29" s="172"/>
      <c r="UUC29" s="172"/>
      <c r="UUD29" s="172"/>
      <c r="UUE29" s="172"/>
      <c r="UUF29" s="172"/>
      <c r="UUG29" s="172"/>
      <c r="UUH29" s="172"/>
      <c r="UUI29" s="172"/>
      <c r="UUJ29" s="172"/>
      <c r="UUK29" s="172"/>
      <c r="UUL29" s="172"/>
      <c r="UUM29" s="172"/>
      <c r="UUN29" s="172"/>
      <c r="UUO29" s="172"/>
      <c r="UUP29" s="172"/>
      <c r="UUQ29" s="172"/>
      <c r="UUR29" s="172"/>
      <c r="UUS29" s="172"/>
      <c r="UUT29" s="172"/>
      <c r="UUU29" s="172"/>
      <c r="UUV29" s="172"/>
      <c r="UUW29" s="172"/>
      <c r="UUX29" s="172"/>
      <c r="UUY29" s="172"/>
      <c r="UUZ29" s="172"/>
      <c r="UVA29" s="172"/>
      <c r="UVB29" s="172"/>
      <c r="UVC29" s="172"/>
      <c r="UVD29" s="172"/>
      <c r="UVE29" s="172"/>
      <c r="UVF29" s="172"/>
      <c r="UVG29" s="172"/>
      <c r="UVH29" s="172"/>
      <c r="UVI29" s="172"/>
      <c r="UVJ29" s="172"/>
      <c r="UVK29" s="172"/>
      <c r="UVL29" s="172"/>
      <c r="UVM29" s="172"/>
      <c r="UVN29" s="172"/>
      <c r="UVO29" s="172"/>
      <c r="UVP29" s="172"/>
      <c r="UVQ29" s="172"/>
      <c r="UVR29" s="172"/>
      <c r="UVS29" s="172"/>
      <c r="UVT29" s="172"/>
      <c r="UVU29" s="172"/>
      <c r="UVV29" s="172"/>
      <c r="UVW29" s="172"/>
      <c r="UVX29" s="172"/>
      <c r="UVY29" s="172"/>
      <c r="UVZ29" s="172"/>
      <c r="UWA29" s="172"/>
      <c r="UWB29" s="172"/>
      <c r="UWC29" s="172"/>
      <c r="UWD29" s="172"/>
      <c r="UWE29" s="172"/>
      <c r="UWF29" s="172"/>
      <c r="UWG29" s="172"/>
      <c r="UWH29" s="172"/>
      <c r="UWI29" s="172"/>
      <c r="UWJ29" s="172"/>
      <c r="UWK29" s="172"/>
      <c r="UWL29" s="172"/>
      <c r="UWM29" s="172"/>
      <c r="UWN29" s="172"/>
      <c r="UWO29" s="172"/>
      <c r="UWP29" s="172"/>
      <c r="UWQ29" s="172"/>
      <c r="UWR29" s="172"/>
      <c r="UWS29" s="172"/>
      <c r="UWT29" s="172"/>
      <c r="UWU29" s="172"/>
      <c r="UWV29" s="172"/>
      <c r="UWW29" s="172"/>
      <c r="UWX29" s="172"/>
      <c r="UWY29" s="172"/>
      <c r="UWZ29" s="172"/>
      <c r="UXA29" s="172"/>
      <c r="UXB29" s="172"/>
      <c r="UXC29" s="172"/>
      <c r="UXD29" s="172"/>
      <c r="UXE29" s="172"/>
      <c r="UXF29" s="172"/>
      <c r="UXG29" s="172"/>
      <c r="UXH29" s="172"/>
      <c r="UXI29" s="172"/>
      <c r="UXJ29" s="172"/>
      <c r="UXK29" s="172"/>
      <c r="UXL29" s="172"/>
      <c r="UXM29" s="172"/>
      <c r="UXN29" s="172"/>
      <c r="UXO29" s="172"/>
      <c r="UXP29" s="172"/>
      <c r="UXQ29" s="172"/>
      <c r="UXR29" s="172"/>
      <c r="UXS29" s="172"/>
      <c r="UXT29" s="172"/>
      <c r="UXU29" s="172"/>
      <c r="UXV29" s="172"/>
      <c r="UXW29" s="172"/>
      <c r="UXX29" s="172"/>
      <c r="UXY29" s="172"/>
      <c r="UXZ29" s="172"/>
      <c r="UYA29" s="172"/>
      <c r="UYB29" s="172"/>
      <c r="UYC29" s="172"/>
      <c r="UYD29" s="172"/>
      <c r="UYE29" s="172"/>
      <c r="UYF29" s="172"/>
      <c r="UYG29" s="172"/>
      <c r="UYH29" s="172"/>
      <c r="UYI29" s="172"/>
      <c r="UYJ29" s="172"/>
      <c r="UYK29" s="172"/>
      <c r="UYL29" s="172"/>
      <c r="UYM29" s="172"/>
      <c r="UYN29" s="172"/>
      <c r="UYO29" s="172"/>
      <c r="UYP29" s="172"/>
      <c r="UYQ29" s="172"/>
      <c r="UYR29" s="172"/>
      <c r="UYS29" s="172"/>
      <c r="UYT29" s="172"/>
      <c r="UYU29" s="172"/>
      <c r="UYV29" s="172"/>
      <c r="UYW29" s="172"/>
      <c r="UYX29" s="172"/>
      <c r="UYY29" s="172"/>
      <c r="UYZ29" s="172"/>
      <c r="UZA29" s="172"/>
      <c r="UZB29" s="172"/>
      <c r="UZC29" s="172"/>
      <c r="UZD29" s="172"/>
      <c r="UZE29" s="172"/>
      <c r="UZF29" s="172"/>
      <c r="UZG29" s="172"/>
      <c r="UZH29" s="172"/>
      <c r="UZI29" s="172"/>
      <c r="UZJ29" s="172"/>
      <c r="UZK29" s="172"/>
      <c r="UZL29" s="172"/>
      <c r="UZM29" s="172"/>
      <c r="UZN29" s="172"/>
      <c r="UZO29" s="172"/>
      <c r="UZP29" s="172"/>
      <c r="UZQ29" s="172"/>
      <c r="UZR29" s="172"/>
      <c r="UZS29" s="172"/>
      <c r="UZT29" s="172"/>
      <c r="UZU29" s="172"/>
      <c r="UZV29" s="172"/>
      <c r="UZW29" s="172"/>
      <c r="UZX29" s="172"/>
      <c r="UZY29" s="172"/>
      <c r="UZZ29" s="172"/>
      <c r="VAA29" s="172"/>
      <c r="VAB29" s="172"/>
      <c r="VAC29" s="172"/>
      <c r="VAD29" s="172"/>
      <c r="VAE29" s="172"/>
      <c r="VAF29" s="172"/>
      <c r="VAG29" s="172"/>
      <c r="VAH29" s="172"/>
      <c r="VAI29" s="172"/>
      <c r="VAJ29" s="172"/>
      <c r="VAK29" s="172"/>
      <c r="VAL29" s="172"/>
      <c r="VAM29" s="172"/>
      <c r="VAN29" s="172"/>
      <c r="VAO29" s="172"/>
      <c r="VAP29" s="172"/>
      <c r="VAQ29" s="172"/>
      <c r="VAR29" s="172"/>
      <c r="VAS29" s="172"/>
      <c r="VAT29" s="172"/>
      <c r="VAU29" s="172"/>
      <c r="VAV29" s="172"/>
      <c r="VAW29" s="172"/>
      <c r="VAX29" s="172"/>
      <c r="VAY29" s="172"/>
      <c r="VAZ29" s="172"/>
      <c r="VBA29" s="172"/>
      <c r="VBB29" s="172"/>
      <c r="VBC29" s="172"/>
      <c r="VBD29" s="172"/>
      <c r="VBE29" s="172"/>
      <c r="VBF29" s="172"/>
      <c r="VBG29" s="172"/>
      <c r="VBH29" s="172"/>
      <c r="VBI29" s="172"/>
      <c r="VBJ29" s="172"/>
      <c r="VBK29" s="172"/>
      <c r="VBL29" s="172"/>
      <c r="VBM29" s="172"/>
      <c r="VBN29" s="172"/>
      <c r="VBO29" s="172"/>
      <c r="VBP29" s="172"/>
      <c r="VBQ29" s="172"/>
      <c r="VBR29" s="172"/>
      <c r="VBS29" s="172"/>
      <c r="VBT29" s="172"/>
      <c r="VBU29" s="172"/>
      <c r="VBV29" s="172"/>
      <c r="VBW29" s="172"/>
      <c r="VBX29" s="172"/>
      <c r="VBY29" s="172"/>
      <c r="VBZ29" s="172"/>
      <c r="VCA29" s="172"/>
      <c r="VCB29" s="172"/>
      <c r="VCC29" s="172"/>
      <c r="VCD29" s="172"/>
      <c r="VCE29" s="172"/>
      <c r="VCF29" s="172"/>
      <c r="VCG29" s="172"/>
      <c r="VCH29" s="172"/>
      <c r="VCI29" s="172"/>
      <c r="VCJ29" s="172"/>
      <c r="VCK29" s="172"/>
      <c r="VCL29" s="172"/>
      <c r="VCM29" s="172"/>
      <c r="VCN29" s="172"/>
      <c r="VCO29" s="172"/>
      <c r="VCP29" s="172"/>
      <c r="VCQ29" s="172"/>
      <c r="VCR29" s="172"/>
      <c r="VCS29" s="172"/>
      <c r="VCT29" s="172"/>
      <c r="VCU29" s="172"/>
      <c r="VCV29" s="172"/>
      <c r="VCW29" s="172"/>
      <c r="VCX29" s="172"/>
      <c r="VCY29" s="172"/>
      <c r="VCZ29" s="172"/>
      <c r="VDA29" s="172"/>
      <c r="VDB29" s="172"/>
      <c r="VDC29" s="172"/>
      <c r="VDD29" s="172"/>
      <c r="VDE29" s="172"/>
      <c r="VDF29" s="172"/>
      <c r="VDG29" s="172"/>
      <c r="VDH29" s="172"/>
      <c r="VDI29" s="172"/>
      <c r="VDJ29" s="172"/>
      <c r="VDK29" s="172"/>
      <c r="VDL29" s="172"/>
      <c r="VDM29" s="172"/>
      <c r="VDN29" s="172"/>
      <c r="VDO29" s="172"/>
      <c r="VDP29" s="172"/>
      <c r="VDQ29" s="172"/>
      <c r="VDR29" s="172"/>
      <c r="VDS29" s="172"/>
      <c r="VDT29" s="172"/>
      <c r="VDU29" s="172"/>
      <c r="VDV29" s="172"/>
      <c r="VDW29" s="172"/>
      <c r="VDX29" s="172"/>
      <c r="VDY29" s="172"/>
      <c r="VDZ29" s="172"/>
      <c r="VEA29" s="172"/>
      <c r="VEB29" s="172"/>
      <c r="VEC29" s="172"/>
      <c r="VED29" s="172"/>
      <c r="VEE29" s="172"/>
      <c r="VEF29" s="172"/>
      <c r="VEG29" s="172"/>
      <c r="VEH29" s="172"/>
      <c r="VEI29" s="172"/>
      <c r="VEJ29" s="172"/>
      <c r="VEK29" s="172"/>
      <c r="VEL29" s="172"/>
      <c r="VEM29" s="172"/>
      <c r="VEN29" s="172"/>
      <c r="VEO29" s="172"/>
      <c r="VEP29" s="172"/>
      <c r="VEQ29" s="172"/>
      <c r="VER29" s="172"/>
      <c r="VES29" s="172"/>
      <c r="VET29" s="172"/>
      <c r="VEU29" s="172"/>
      <c r="VEV29" s="172"/>
      <c r="VEW29" s="172"/>
      <c r="VEX29" s="172"/>
      <c r="VEY29" s="172"/>
      <c r="VEZ29" s="172"/>
      <c r="VFA29" s="172"/>
      <c r="VFB29" s="172"/>
      <c r="VFC29" s="172"/>
      <c r="VFD29" s="172"/>
      <c r="VFE29" s="172"/>
      <c r="VFF29" s="172"/>
      <c r="VFG29" s="172"/>
      <c r="VFH29" s="172"/>
      <c r="VFI29" s="172"/>
      <c r="VFJ29" s="172"/>
      <c r="VFK29" s="172"/>
      <c r="VFL29" s="172"/>
      <c r="VFM29" s="172"/>
      <c r="VFN29" s="172"/>
      <c r="VFO29" s="172"/>
      <c r="VFP29" s="172"/>
      <c r="VFQ29" s="172"/>
      <c r="VFR29" s="172"/>
      <c r="VFS29" s="172"/>
      <c r="VFT29" s="172"/>
      <c r="VFU29" s="172"/>
      <c r="VFV29" s="172"/>
      <c r="VFW29" s="172"/>
      <c r="VFX29" s="172"/>
      <c r="VFY29" s="172"/>
      <c r="VFZ29" s="172"/>
      <c r="VGA29" s="172"/>
      <c r="VGB29" s="172"/>
      <c r="VGC29" s="172"/>
      <c r="VGD29" s="172"/>
      <c r="VGE29" s="172"/>
      <c r="VGF29" s="172"/>
      <c r="VGG29" s="172"/>
      <c r="VGH29" s="172"/>
      <c r="VGI29" s="172"/>
      <c r="VGJ29" s="172"/>
      <c r="VGK29" s="172"/>
      <c r="VGL29" s="172"/>
      <c r="VGM29" s="172"/>
      <c r="VGN29" s="172"/>
      <c r="VGO29" s="172"/>
      <c r="VGP29" s="172"/>
      <c r="VGQ29" s="172"/>
      <c r="VGR29" s="172"/>
      <c r="VGS29" s="172"/>
      <c r="VGT29" s="172"/>
      <c r="VGU29" s="172"/>
      <c r="VGV29" s="172"/>
      <c r="VGW29" s="172"/>
      <c r="VGX29" s="172"/>
      <c r="VGY29" s="172"/>
      <c r="VGZ29" s="172"/>
      <c r="VHA29" s="172"/>
      <c r="VHB29" s="172"/>
      <c r="VHC29" s="172"/>
      <c r="VHD29" s="172"/>
      <c r="VHE29" s="172"/>
      <c r="VHF29" s="172"/>
      <c r="VHG29" s="172"/>
      <c r="VHH29" s="172"/>
      <c r="VHI29" s="172"/>
      <c r="VHJ29" s="172"/>
      <c r="VHK29" s="172"/>
      <c r="VHL29" s="172"/>
      <c r="VHM29" s="172"/>
      <c r="VHN29" s="172"/>
      <c r="VHO29" s="172"/>
      <c r="VHP29" s="172"/>
      <c r="VHQ29" s="172"/>
      <c r="VHR29" s="172"/>
      <c r="VHS29" s="172"/>
      <c r="VHT29" s="172"/>
      <c r="VHU29" s="172"/>
      <c r="VHV29" s="172"/>
      <c r="VHW29" s="172"/>
      <c r="VHX29" s="172"/>
      <c r="VHY29" s="172"/>
      <c r="VHZ29" s="172"/>
      <c r="VIA29" s="172"/>
      <c r="VIB29" s="172"/>
      <c r="VIC29" s="172"/>
      <c r="VID29" s="172"/>
      <c r="VIE29" s="172"/>
      <c r="VIF29" s="172"/>
      <c r="VIG29" s="172"/>
      <c r="VIH29" s="172"/>
      <c r="VII29" s="172"/>
      <c r="VIJ29" s="172"/>
      <c r="VIK29" s="172"/>
      <c r="VIL29" s="172"/>
      <c r="VIM29" s="172"/>
      <c r="VIN29" s="172"/>
      <c r="VIO29" s="172"/>
      <c r="VIP29" s="172"/>
      <c r="VIQ29" s="172"/>
      <c r="VIR29" s="172"/>
      <c r="VIS29" s="172"/>
      <c r="VIT29" s="172"/>
      <c r="VIU29" s="172"/>
      <c r="VIV29" s="172"/>
      <c r="VIW29" s="172"/>
      <c r="VIX29" s="172"/>
      <c r="VIY29" s="172"/>
      <c r="VIZ29" s="172"/>
      <c r="VJA29" s="172"/>
      <c r="VJB29" s="172"/>
      <c r="VJC29" s="172"/>
      <c r="VJD29" s="172"/>
      <c r="VJE29" s="172"/>
      <c r="VJF29" s="172"/>
      <c r="VJG29" s="172"/>
      <c r="VJH29" s="172"/>
      <c r="VJI29" s="172"/>
      <c r="VJJ29" s="172"/>
      <c r="VJK29" s="172"/>
      <c r="VJL29" s="172"/>
      <c r="VJM29" s="172"/>
      <c r="VJN29" s="172"/>
      <c r="VJO29" s="172"/>
      <c r="VJP29" s="172"/>
      <c r="VJQ29" s="172"/>
      <c r="VJR29" s="172"/>
      <c r="VJS29" s="172"/>
      <c r="VJT29" s="172"/>
      <c r="VJU29" s="172"/>
      <c r="VJV29" s="172"/>
      <c r="VJW29" s="172"/>
      <c r="VJX29" s="172"/>
      <c r="VJY29" s="172"/>
      <c r="VJZ29" s="172"/>
      <c r="VKA29" s="172"/>
      <c r="VKB29" s="172"/>
      <c r="VKC29" s="172"/>
      <c r="VKD29" s="172"/>
      <c r="VKE29" s="172"/>
      <c r="VKF29" s="172"/>
      <c r="VKG29" s="172"/>
      <c r="VKH29" s="172"/>
      <c r="VKI29" s="172"/>
      <c r="VKJ29" s="172"/>
      <c r="VKK29" s="172"/>
      <c r="VKL29" s="172"/>
      <c r="VKM29" s="172"/>
      <c r="VKN29" s="172"/>
      <c r="VKO29" s="172"/>
      <c r="VKP29" s="172"/>
      <c r="VKQ29" s="172"/>
      <c r="VKR29" s="172"/>
      <c r="VKS29" s="172"/>
      <c r="VKT29" s="172"/>
      <c r="VKU29" s="172"/>
      <c r="VKV29" s="172"/>
      <c r="VKW29" s="172"/>
      <c r="VKX29" s="172"/>
      <c r="VKY29" s="172"/>
      <c r="VKZ29" s="172"/>
      <c r="VLA29" s="172"/>
      <c r="VLB29" s="172"/>
      <c r="VLC29" s="172"/>
      <c r="VLD29" s="172"/>
      <c r="VLE29" s="172"/>
      <c r="VLF29" s="172"/>
      <c r="VLG29" s="172"/>
      <c r="VLH29" s="172"/>
      <c r="VLI29" s="172"/>
      <c r="VLJ29" s="172"/>
      <c r="VLK29" s="172"/>
      <c r="VLL29" s="172"/>
      <c r="VLM29" s="172"/>
      <c r="VLN29" s="172"/>
      <c r="VLO29" s="172"/>
      <c r="VLP29" s="172"/>
      <c r="VLQ29" s="172"/>
      <c r="VLR29" s="172"/>
      <c r="VLS29" s="172"/>
      <c r="VLT29" s="172"/>
      <c r="VLU29" s="172"/>
      <c r="VLV29" s="172"/>
      <c r="VLW29" s="172"/>
      <c r="VLX29" s="172"/>
      <c r="VLY29" s="172"/>
      <c r="VLZ29" s="172"/>
      <c r="VMA29" s="172"/>
      <c r="VMB29" s="172"/>
      <c r="VMC29" s="172"/>
      <c r="VMD29" s="172"/>
      <c r="VME29" s="172"/>
      <c r="VMF29" s="172"/>
      <c r="VMG29" s="172"/>
      <c r="VMH29" s="172"/>
      <c r="VMI29" s="172"/>
      <c r="VMJ29" s="172"/>
      <c r="VMK29" s="172"/>
      <c r="VML29" s="172"/>
      <c r="VMM29" s="172"/>
      <c r="VMN29" s="172"/>
      <c r="VMO29" s="172"/>
      <c r="VMP29" s="172"/>
      <c r="VMQ29" s="172"/>
      <c r="VMR29" s="172"/>
      <c r="VMS29" s="172"/>
      <c r="VMT29" s="172"/>
      <c r="VMU29" s="172"/>
      <c r="VMV29" s="172"/>
      <c r="VMW29" s="172"/>
      <c r="VMX29" s="172"/>
      <c r="VMY29" s="172"/>
      <c r="VMZ29" s="172"/>
      <c r="VNA29" s="172"/>
      <c r="VNB29" s="172"/>
      <c r="VNC29" s="172"/>
      <c r="VND29" s="172"/>
      <c r="VNE29" s="172"/>
      <c r="VNF29" s="172"/>
      <c r="VNG29" s="172"/>
      <c r="VNH29" s="172"/>
      <c r="VNI29" s="172"/>
      <c r="VNJ29" s="172"/>
      <c r="VNK29" s="172"/>
      <c r="VNL29" s="172"/>
      <c r="VNM29" s="172"/>
      <c r="VNN29" s="172"/>
      <c r="VNO29" s="172"/>
      <c r="VNP29" s="172"/>
      <c r="VNQ29" s="172"/>
      <c r="VNR29" s="172"/>
      <c r="VNS29" s="172"/>
      <c r="VNT29" s="172"/>
      <c r="VNU29" s="172"/>
      <c r="VNV29" s="172"/>
      <c r="VNW29" s="172"/>
      <c r="VNX29" s="172"/>
      <c r="VNY29" s="172"/>
      <c r="VNZ29" s="172"/>
      <c r="VOA29" s="172"/>
      <c r="VOB29" s="172"/>
      <c r="VOC29" s="172"/>
      <c r="VOD29" s="172"/>
      <c r="VOE29" s="172"/>
      <c r="VOF29" s="172"/>
      <c r="VOG29" s="172"/>
      <c r="VOH29" s="172"/>
      <c r="VOI29" s="172"/>
      <c r="VOJ29" s="172"/>
      <c r="VOK29" s="172"/>
      <c r="VOL29" s="172"/>
      <c r="VOM29" s="172"/>
      <c r="VON29" s="172"/>
      <c r="VOO29" s="172"/>
      <c r="VOP29" s="172"/>
      <c r="VOQ29" s="172"/>
      <c r="VOR29" s="172"/>
      <c r="VOS29" s="172"/>
      <c r="VOT29" s="172"/>
      <c r="VOU29" s="172"/>
      <c r="VOV29" s="172"/>
      <c r="VOW29" s="172"/>
      <c r="VOX29" s="172"/>
      <c r="VOY29" s="172"/>
      <c r="VOZ29" s="172"/>
      <c r="VPA29" s="172"/>
      <c r="VPB29" s="172"/>
      <c r="VPC29" s="172"/>
      <c r="VPD29" s="172"/>
      <c r="VPE29" s="172"/>
      <c r="VPF29" s="172"/>
      <c r="VPG29" s="172"/>
      <c r="VPH29" s="172"/>
      <c r="VPI29" s="172"/>
      <c r="VPJ29" s="172"/>
      <c r="VPK29" s="172"/>
      <c r="VPL29" s="172"/>
      <c r="VPM29" s="172"/>
      <c r="VPN29" s="172"/>
      <c r="VPO29" s="172"/>
      <c r="VPP29" s="172"/>
      <c r="VPQ29" s="172"/>
      <c r="VPR29" s="172"/>
      <c r="VPS29" s="172"/>
      <c r="VPT29" s="172"/>
      <c r="VPU29" s="172"/>
      <c r="VPV29" s="172"/>
      <c r="VPW29" s="172"/>
      <c r="VPX29" s="172"/>
      <c r="VPY29" s="172"/>
      <c r="VPZ29" s="172"/>
      <c r="VQA29" s="172"/>
      <c r="VQB29" s="172"/>
      <c r="VQC29" s="172"/>
      <c r="VQD29" s="172"/>
      <c r="VQE29" s="172"/>
      <c r="VQF29" s="172"/>
      <c r="VQG29" s="172"/>
      <c r="VQH29" s="172"/>
      <c r="VQI29" s="172"/>
      <c r="VQJ29" s="172"/>
      <c r="VQK29" s="172"/>
      <c r="VQL29" s="172"/>
      <c r="VQM29" s="172"/>
      <c r="VQN29" s="172"/>
      <c r="VQO29" s="172"/>
      <c r="VQP29" s="172"/>
      <c r="VQQ29" s="172"/>
      <c r="VQR29" s="172"/>
      <c r="VQS29" s="172"/>
      <c r="VQT29" s="172"/>
      <c r="VQU29" s="172"/>
      <c r="VQV29" s="172"/>
      <c r="VQW29" s="172"/>
      <c r="VQX29" s="172"/>
      <c r="VQY29" s="172"/>
      <c r="VQZ29" s="172"/>
      <c r="VRA29" s="172"/>
      <c r="VRB29" s="172"/>
      <c r="VRC29" s="172"/>
      <c r="VRD29" s="172"/>
      <c r="VRE29" s="172"/>
      <c r="VRF29" s="172"/>
      <c r="VRG29" s="172"/>
      <c r="VRH29" s="172"/>
      <c r="VRI29" s="172"/>
      <c r="VRJ29" s="172"/>
      <c r="VRK29" s="172"/>
      <c r="VRL29" s="172"/>
      <c r="VRM29" s="172"/>
      <c r="VRN29" s="172"/>
      <c r="VRO29" s="172"/>
      <c r="VRP29" s="172"/>
      <c r="VRQ29" s="172"/>
      <c r="VRR29" s="172"/>
      <c r="VRS29" s="172"/>
      <c r="VRT29" s="172"/>
      <c r="VRU29" s="172"/>
      <c r="VRV29" s="172"/>
      <c r="VRW29" s="172"/>
      <c r="VRX29" s="172"/>
      <c r="VRY29" s="172"/>
      <c r="VRZ29" s="172"/>
      <c r="VSA29" s="172"/>
      <c r="VSB29" s="172"/>
      <c r="VSC29" s="172"/>
      <c r="VSD29" s="172"/>
      <c r="VSE29" s="172"/>
      <c r="VSF29" s="172"/>
      <c r="VSG29" s="172"/>
      <c r="VSH29" s="172"/>
      <c r="VSI29" s="172"/>
      <c r="VSJ29" s="172"/>
      <c r="VSK29" s="172"/>
      <c r="VSL29" s="172"/>
      <c r="VSM29" s="172"/>
      <c r="VSN29" s="172"/>
      <c r="VSO29" s="172"/>
      <c r="VSP29" s="172"/>
      <c r="VSQ29" s="172"/>
      <c r="VSR29" s="172"/>
      <c r="VSS29" s="172"/>
      <c r="VST29" s="172"/>
      <c r="VSU29" s="172"/>
      <c r="VSV29" s="172"/>
      <c r="VSW29" s="172"/>
      <c r="VSX29" s="172"/>
      <c r="VSY29" s="172"/>
      <c r="VSZ29" s="172"/>
      <c r="VTA29" s="172"/>
      <c r="VTB29" s="172"/>
      <c r="VTC29" s="172"/>
      <c r="VTD29" s="172"/>
      <c r="VTE29" s="172"/>
      <c r="VTF29" s="172"/>
      <c r="VTG29" s="172"/>
      <c r="VTH29" s="172"/>
      <c r="VTI29" s="172"/>
      <c r="VTJ29" s="172"/>
      <c r="VTK29" s="172"/>
      <c r="VTL29" s="172"/>
      <c r="VTM29" s="172"/>
      <c r="VTN29" s="172"/>
      <c r="VTO29" s="172"/>
      <c r="VTP29" s="172"/>
      <c r="VTQ29" s="172"/>
      <c r="VTR29" s="172"/>
      <c r="VTS29" s="172"/>
      <c r="VTT29" s="172"/>
      <c r="VTU29" s="172"/>
      <c r="VTV29" s="172"/>
      <c r="VTW29" s="172"/>
      <c r="VTX29" s="172"/>
      <c r="VTY29" s="172"/>
      <c r="VTZ29" s="172"/>
      <c r="VUA29" s="172"/>
      <c r="VUB29" s="172"/>
      <c r="VUC29" s="172"/>
      <c r="VUD29" s="172"/>
      <c r="VUE29" s="172"/>
      <c r="VUF29" s="172"/>
      <c r="VUG29" s="172"/>
      <c r="VUH29" s="172"/>
      <c r="VUI29" s="172"/>
      <c r="VUJ29" s="172"/>
      <c r="VUK29" s="172"/>
      <c r="VUL29" s="172"/>
      <c r="VUM29" s="172"/>
      <c r="VUN29" s="172"/>
      <c r="VUO29" s="172"/>
      <c r="VUP29" s="172"/>
      <c r="VUQ29" s="172"/>
      <c r="VUR29" s="172"/>
      <c r="VUS29" s="172"/>
      <c r="VUT29" s="172"/>
      <c r="VUU29" s="172"/>
      <c r="VUV29" s="172"/>
      <c r="VUW29" s="172"/>
      <c r="VUX29" s="172"/>
      <c r="VUY29" s="172"/>
      <c r="VUZ29" s="172"/>
      <c r="VVA29" s="172"/>
      <c r="VVB29" s="172"/>
      <c r="VVC29" s="172"/>
      <c r="VVD29" s="172"/>
      <c r="VVE29" s="172"/>
      <c r="VVF29" s="172"/>
      <c r="VVG29" s="172"/>
      <c r="VVH29" s="172"/>
      <c r="VVI29" s="172"/>
      <c r="VVJ29" s="172"/>
      <c r="VVK29" s="172"/>
      <c r="VVL29" s="172"/>
      <c r="VVM29" s="172"/>
      <c r="VVN29" s="172"/>
      <c r="VVO29" s="172"/>
      <c r="VVP29" s="172"/>
      <c r="VVQ29" s="172"/>
      <c r="VVR29" s="172"/>
      <c r="VVS29" s="172"/>
      <c r="VVT29" s="172"/>
      <c r="VVU29" s="172"/>
      <c r="VVV29" s="172"/>
      <c r="VVW29" s="172"/>
      <c r="VVX29" s="172"/>
      <c r="VVY29" s="172"/>
      <c r="VVZ29" s="172"/>
      <c r="VWA29" s="172"/>
      <c r="VWB29" s="172"/>
      <c r="VWC29" s="172"/>
      <c r="VWD29" s="172"/>
      <c r="VWE29" s="172"/>
      <c r="VWF29" s="172"/>
      <c r="VWG29" s="172"/>
      <c r="VWH29" s="172"/>
      <c r="VWI29" s="172"/>
      <c r="VWJ29" s="172"/>
      <c r="VWK29" s="172"/>
      <c r="VWL29" s="172"/>
      <c r="VWM29" s="172"/>
      <c r="VWN29" s="172"/>
      <c r="VWO29" s="172"/>
      <c r="VWP29" s="172"/>
      <c r="VWQ29" s="172"/>
      <c r="VWR29" s="172"/>
      <c r="VWS29" s="172"/>
      <c r="VWT29" s="172"/>
      <c r="VWU29" s="172"/>
      <c r="VWV29" s="172"/>
      <c r="VWW29" s="172"/>
      <c r="VWX29" s="172"/>
      <c r="VWY29" s="172"/>
      <c r="VWZ29" s="172"/>
      <c r="VXA29" s="172"/>
      <c r="VXB29" s="172"/>
      <c r="VXC29" s="172"/>
      <c r="VXD29" s="172"/>
      <c r="VXE29" s="172"/>
      <c r="VXF29" s="172"/>
      <c r="VXG29" s="172"/>
      <c r="VXH29" s="172"/>
      <c r="VXI29" s="172"/>
      <c r="VXJ29" s="172"/>
      <c r="VXK29" s="172"/>
      <c r="VXL29" s="172"/>
      <c r="VXM29" s="172"/>
      <c r="VXN29" s="172"/>
      <c r="VXO29" s="172"/>
      <c r="VXP29" s="172"/>
      <c r="VXQ29" s="172"/>
      <c r="VXR29" s="172"/>
      <c r="VXS29" s="172"/>
      <c r="VXT29" s="172"/>
      <c r="VXU29" s="172"/>
      <c r="VXV29" s="172"/>
      <c r="VXW29" s="172"/>
      <c r="VXX29" s="172"/>
      <c r="VXY29" s="172"/>
      <c r="VXZ29" s="172"/>
      <c r="VYA29" s="172"/>
      <c r="VYB29" s="172"/>
      <c r="VYC29" s="172"/>
      <c r="VYD29" s="172"/>
      <c r="VYE29" s="172"/>
      <c r="VYF29" s="172"/>
      <c r="VYG29" s="172"/>
      <c r="VYH29" s="172"/>
      <c r="VYI29" s="172"/>
      <c r="VYJ29" s="172"/>
      <c r="VYK29" s="172"/>
      <c r="VYL29" s="172"/>
      <c r="VYM29" s="172"/>
      <c r="VYN29" s="172"/>
      <c r="VYO29" s="172"/>
      <c r="VYP29" s="172"/>
      <c r="VYQ29" s="172"/>
      <c r="VYR29" s="172"/>
      <c r="VYS29" s="172"/>
      <c r="VYT29" s="172"/>
      <c r="VYU29" s="172"/>
      <c r="VYV29" s="172"/>
      <c r="VYW29" s="172"/>
      <c r="VYX29" s="172"/>
      <c r="VYY29" s="172"/>
      <c r="VYZ29" s="172"/>
      <c r="VZA29" s="172"/>
      <c r="VZB29" s="172"/>
      <c r="VZC29" s="172"/>
      <c r="VZD29" s="172"/>
      <c r="VZE29" s="172"/>
      <c r="VZF29" s="172"/>
      <c r="VZG29" s="172"/>
      <c r="VZH29" s="172"/>
      <c r="VZI29" s="172"/>
      <c r="VZJ29" s="172"/>
      <c r="VZK29" s="172"/>
      <c r="VZL29" s="172"/>
      <c r="VZM29" s="172"/>
      <c r="VZN29" s="172"/>
      <c r="VZO29" s="172"/>
      <c r="VZP29" s="172"/>
      <c r="VZQ29" s="172"/>
      <c r="VZR29" s="172"/>
      <c r="VZS29" s="172"/>
      <c r="VZT29" s="172"/>
      <c r="VZU29" s="172"/>
      <c r="VZV29" s="172"/>
      <c r="VZW29" s="172"/>
      <c r="VZX29" s="172"/>
      <c r="VZY29" s="172"/>
      <c r="VZZ29" s="172"/>
      <c r="WAA29" s="172"/>
      <c r="WAB29" s="172"/>
      <c r="WAC29" s="172"/>
      <c r="WAD29" s="172"/>
      <c r="WAE29" s="172"/>
      <c r="WAF29" s="172"/>
      <c r="WAG29" s="172"/>
      <c r="WAH29" s="172"/>
      <c r="WAI29" s="172"/>
      <c r="WAJ29" s="172"/>
      <c r="WAK29" s="172"/>
      <c r="WAL29" s="172"/>
      <c r="WAM29" s="172"/>
      <c r="WAN29" s="172"/>
      <c r="WAO29" s="172"/>
      <c r="WAP29" s="172"/>
      <c r="WAQ29" s="172"/>
      <c r="WAR29" s="172"/>
      <c r="WAS29" s="172"/>
      <c r="WAT29" s="172"/>
      <c r="WAU29" s="172"/>
      <c r="WAV29" s="172"/>
      <c r="WAW29" s="172"/>
      <c r="WAX29" s="172"/>
      <c r="WAY29" s="172"/>
      <c r="WAZ29" s="172"/>
      <c r="WBA29" s="172"/>
      <c r="WBB29" s="172"/>
      <c r="WBC29" s="172"/>
      <c r="WBD29" s="172"/>
      <c r="WBE29" s="172"/>
      <c r="WBF29" s="172"/>
      <c r="WBG29" s="172"/>
      <c r="WBH29" s="172"/>
      <c r="WBI29" s="172"/>
      <c r="WBJ29" s="172"/>
      <c r="WBK29" s="172"/>
      <c r="WBL29" s="172"/>
      <c r="WBM29" s="172"/>
      <c r="WBN29" s="172"/>
      <c r="WBO29" s="172"/>
      <c r="WBP29" s="172"/>
      <c r="WBQ29" s="172"/>
      <c r="WBR29" s="172"/>
      <c r="WBS29" s="172"/>
      <c r="WBT29" s="172"/>
      <c r="WBU29" s="172"/>
      <c r="WBV29" s="172"/>
      <c r="WBW29" s="172"/>
      <c r="WBX29" s="172"/>
      <c r="WBY29" s="172"/>
      <c r="WBZ29" s="172"/>
      <c r="WCA29" s="172"/>
      <c r="WCB29" s="172"/>
      <c r="WCC29" s="172"/>
      <c r="WCD29" s="172"/>
      <c r="WCE29" s="172"/>
      <c r="WCF29" s="172"/>
      <c r="WCG29" s="172"/>
      <c r="WCH29" s="172"/>
      <c r="WCI29" s="172"/>
      <c r="WCJ29" s="172"/>
      <c r="WCK29" s="172"/>
      <c r="WCL29" s="172"/>
      <c r="WCM29" s="172"/>
      <c r="WCN29" s="172"/>
      <c r="WCO29" s="172"/>
      <c r="WCP29" s="172"/>
      <c r="WCQ29" s="172"/>
      <c r="WCR29" s="172"/>
      <c r="WCS29" s="172"/>
      <c r="WCT29" s="172"/>
      <c r="WCU29" s="172"/>
      <c r="WCV29" s="172"/>
      <c r="WCW29" s="172"/>
      <c r="WCX29" s="172"/>
      <c r="WCY29" s="172"/>
      <c r="WCZ29" s="172"/>
      <c r="WDA29" s="172"/>
      <c r="WDB29" s="172"/>
      <c r="WDC29" s="172"/>
      <c r="WDD29" s="172"/>
      <c r="WDE29" s="172"/>
      <c r="WDF29" s="172"/>
      <c r="WDG29" s="172"/>
      <c r="WDH29" s="172"/>
      <c r="WDI29" s="172"/>
      <c r="WDJ29" s="172"/>
      <c r="WDK29" s="172"/>
      <c r="WDL29" s="172"/>
      <c r="WDM29" s="172"/>
      <c r="WDN29" s="172"/>
      <c r="WDO29" s="172"/>
      <c r="WDP29" s="172"/>
      <c r="WDQ29" s="172"/>
      <c r="WDR29" s="172"/>
      <c r="WDS29" s="172"/>
      <c r="WDT29" s="172"/>
      <c r="WDU29" s="172"/>
      <c r="WDV29" s="172"/>
      <c r="WDW29" s="172"/>
      <c r="WDX29" s="172"/>
      <c r="WDY29" s="172"/>
      <c r="WDZ29" s="172"/>
      <c r="WEA29" s="172"/>
      <c r="WEB29" s="172"/>
      <c r="WEC29" s="172"/>
      <c r="WED29" s="172"/>
      <c r="WEE29" s="172"/>
      <c r="WEF29" s="172"/>
      <c r="WEG29" s="172"/>
      <c r="WEH29" s="172"/>
      <c r="WEI29" s="172"/>
      <c r="WEJ29" s="172"/>
      <c r="WEK29" s="172"/>
      <c r="WEL29" s="172"/>
      <c r="WEM29" s="172"/>
      <c r="WEN29" s="172"/>
      <c r="WEO29" s="172"/>
      <c r="WEP29" s="172"/>
      <c r="WEQ29" s="172"/>
      <c r="WER29" s="172"/>
      <c r="WES29" s="172"/>
      <c r="WET29" s="172"/>
      <c r="WEU29" s="172"/>
      <c r="WEV29" s="172"/>
      <c r="WEW29" s="172"/>
      <c r="WEX29" s="172"/>
      <c r="WEY29" s="172"/>
      <c r="WEZ29" s="172"/>
      <c r="WFA29" s="172"/>
      <c r="WFB29" s="172"/>
      <c r="WFC29" s="172"/>
      <c r="WFD29" s="172"/>
      <c r="WFE29" s="172"/>
      <c r="WFF29" s="172"/>
      <c r="WFG29" s="172"/>
      <c r="WFH29" s="172"/>
      <c r="WFI29" s="172"/>
      <c r="WFJ29" s="172"/>
      <c r="WFK29" s="172"/>
      <c r="WFL29" s="172"/>
      <c r="WFM29" s="172"/>
      <c r="WFN29" s="172"/>
      <c r="WFO29" s="172"/>
      <c r="WFP29" s="172"/>
      <c r="WFQ29" s="172"/>
      <c r="WFR29" s="172"/>
      <c r="WFS29" s="172"/>
      <c r="WFT29" s="172"/>
      <c r="WFU29" s="172"/>
      <c r="WFV29" s="172"/>
      <c r="WFW29" s="172"/>
      <c r="WFX29" s="172"/>
      <c r="WFY29" s="172"/>
      <c r="WFZ29" s="172"/>
      <c r="WGA29" s="172"/>
      <c r="WGB29" s="172"/>
      <c r="WGC29" s="172"/>
      <c r="WGD29" s="172"/>
      <c r="WGE29" s="172"/>
      <c r="WGF29" s="172"/>
      <c r="WGG29" s="172"/>
      <c r="WGH29" s="172"/>
      <c r="WGI29" s="172"/>
      <c r="WGJ29" s="172"/>
      <c r="WGK29" s="172"/>
      <c r="WGL29" s="172"/>
      <c r="WGM29" s="172"/>
      <c r="WGN29" s="172"/>
      <c r="WGO29" s="172"/>
      <c r="WGP29" s="172"/>
      <c r="WGQ29" s="172"/>
      <c r="WGR29" s="172"/>
      <c r="WGS29" s="172"/>
      <c r="WGT29" s="172"/>
      <c r="WGU29" s="172"/>
      <c r="WGV29" s="172"/>
      <c r="WGW29" s="172"/>
      <c r="WGX29" s="172"/>
      <c r="WGY29" s="172"/>
      <c r="WGZ29" s="172"/>
      <c r="WHA29" s="172"/>
      <c r="WHB29" s="172"/>
      <c r="WHC29" s="172"/>
      <c r="WHD29" s="172"/>
      <c r="WHE29" s="172"/>
      <c r="WHF29" s="172"/>
      <c r="WHG29" s="172"/>
      <c r="WHH29" s="172"/>
      <c r="WHI29" s="172"/>
      <c r="WHJ29" s="172"/>
      <c r="WHK29" s="172"/>
      <c r="WHL29" s="172"/>
      <c r="WHM29" s="172"/>
      <c r="WHN29" s="172"/>
      <c r="WHO29" s="172"/>
      <c r="WHP29" s="172"/>
      <c r="WHQ29" s="172"/>
      <c r="WHR29" s="172"/>
      <c r="WHS29" s="172"/>
      <c r="WHT29" s="172"/>
      <c r="WHU29" s="172"/>
      <c r="WHV29" s="172"/>
      <c r="WHW29" s="172"/>
      <c r="WHX29" s="172"/>
      <c r="WHY29" s="172"/>
      <c r="WHZ29" s="172"/>
      <c r="WIA29" s="172"/>
      <c r="WIB29" s="172"/>
      <c r="WIC29" s="172"/>
      <c r="WID29" s="172"/>
      <c r="WIE29" s="172"/>
      <c r="WIF29" s="172"/>
      <c r="WIG29" s="172"/>
      <c r="WIH29" s="172"/>
      <c r="WII29" s="172"/>
      <c r="WIJ29" s="172"/>
      <c r="WIK29" s="172"/>
      <c r="WIL29" s="172"/>
      <c r="WIM29" s="172"/>
      <c r="WIN29" s="172"/>
      <c r="WIO29" s="172"/>
      <c r="WIP29" s="172"/>
      <c r="WIQ29" s="172"/>
      <c r="WIR29" s="172"/>
      <c r="WIS29" s="172"/>
      <c r="WIT29" s="172"/>
      <c r="WIU29" s="172"/>
      <c r="WIV29" s="172"/>
      <c r="WIW29" s="172"/>
      <c r="WIX29" s="172"/>
      <c r="WIY29" s="172"/>
      <c r="WIZ29" s="172"/>
      <c r="WJA29" s="172"/>
      <c r="WJB29" s="172"/>
      <c r="WJC29" s="172"/>
      <c r="WJD29" s="172"/>
      <c r="WJE29" s="172"/>
      <c r="WJF29" s="172"/>
      <c r="WJG29" s="172"/>
      <c r="WJH29" s="172"/>
      <c r="WJI29" s="172"/>
      <c r="WJJ29" s="172"/>
      <c r="WJK29" s="172"/>
      <c r="WJL29" s="172"/>
      <c r="WJM29" s="172"/>
      <c r="WJN29" s="172"/>
      <c r="WJO29" s="172"/>
      <c r="WJP29" s="172"/>
      <c r="WJQ29" s="172"/>
      <c r="WJR29" s="172"/>
      <c r="WJS29" s="172"/>
      <c r="WJT29" s="172"/>
      <c r="WJU29" s="172"/>
      <c r="WJV29" s="172"/>
      <c r="WJW29" s="172"/>
      <c r="WJX29" s="172"/>
      <c r="WJY29" s="172"/>
      <c r="WJZ29" s="172"/>
      <c r="WKA29" s="172"/>
      <c r="WKB29" s="172"/>
      <c r="WKC29" s="172"/>
      <c r="WKD29" s="172"/>
      <c r="WKE29" s="172"/>
      <c r="WKF29" s="172"/>
      <c r="WKG29" s="172"/>
      <c r="WKH29" s="172"/>
      <c r="WKI29" s="172"/>
      <c r="WKJ29" s="172"/>
      <c r="WKK29" s="172"/>
      <c r="WKL29" s="172"/>
      <c r="WKM29" s="172"/>
      <c r="WKN29" s="172"/>
      <c r="WKO29" s="172"/>
      <c r="WKP29" s="172"/>
      <c r="WKQ29" s="172"/>
      <c r="WKR29" s="172"/>
      <c r="WKS29" s="172"/>
      <c r="WKT29" s="172"/>
      <c r="WKU29" s="172"/>
      <c r="WKV29" s="172"/>
      <c r="WKW29" s="172"/>
      <c r="WKX29" s="172"/>
      <c r="WKY29" s="172"/>
      <c r="WKZ29" s="172"/>
      <c r="WLA29" s="172"/>
      <c r="WLB29" s="172"/>
      <c r="WLC29" s="172"/>
      <c r="WLD29" s="172"/>
      <c r="WLE29" s="172"/>
      <c r="WLF29" s="172"/>
      <c r="WLG29" s="172"/>
      <c r="WLH29" s="172"/>
      <c r="WLI29" s="172"/>
      <c r="WLJ29" s="172"/>
      <c r="WLK29" s="172"/>
      <c r="WLL29" s="172"/>
      <c r="WLM29" s="172"/>
      <c r="WLN29" s="172"/>
      <c r="WLO29" s="172"/>
      <c r="WLP29" s="172"/>
      <c r="WLQ29" s="172"/>
      <c r="WLR29" s="172"/>
      <c r="WLS29" s="172"/>
      <c r="WLT29" s="172"/>
      <c r="WLU29" s="172"/>
      <c r="WLV29" s="172"/>
      <c r="WLW29" s="172"/>
      <c r="WLX29" s="172"/>
      <c r="WLY29" s="172"/>
      <c r="WLZ29" s="172"/>
      <c r="WMA29" s="172"/>
      <c r="WMB29" s="172"/>
      <c r="WMC29" s="172"/>
      <c r="WMD29" s="172"/>
      <c r="WME29" s="172"/>
      <c r="WMF29" s="172"/>
      <c r="WMG29" s="172"/>
      <c r="WMH29" s="172"/>
      <c r="WMI29" s="172"/>
      <c r="WMJ29" s="172"/>
      <c r="WMK29" s="172"/>
      <c r="WML29" s="172"/>
      <c r="WMM29" s="172"/>
      <c r="WMN29" s="172"/>
      <c r="WMO29" s="172"/>
      <c r="WMP29" s="172"/>
      <c r="WMQ29" s="172"/>
      <c r="WMR29" s="172"/>
      <c r="WMS29" s="172"/>
      <c r="WMT29" s="172"/>
      <c r="WMU29" s="172"/>
      <c r="WMV29" s="172"/>
      <c r="WMW29" s="172"/>
      <c r="WMX29" s="172"/>
      <c r="WMY29" s="172"/>
      <c r="WMZ29" s="172"/>
      <c r="WNA29" s="172"/>
      <c r="WNB29" s="172"/>
      <c r="WNC29" s="172"/>
      <c r="WND29" s="172"/>
      <c r="WNE29" s="172"/>
      <c r="WNF29" s="172"/>
      <c r="WNG29" s="172"/>
      <c r="WNH29" s="172"/>
      <c r="WNI29" s="172"/>
      <c r="WNJ29" s="172"/>
      <c r="WNK29" s="172"/>
      <c r="WNL29" s="172"/>
      <c r="WNM29" s="172"/>
      <c r="WNN29" s="172"/>
      <c r="WNO29" s="172"/>
      <c r="WNP29" s="172"/>
      <c r="WNQ29" s="172"/>
      <c r="WNR29" s="172"/>
      <c r="WNS29" s="172"/>
      <c r="WNT29" s="172"/>
      <c r="WNU29" s="172"/>
      <c r="WNV29" s="172"/>
      <c r="WNW29" s="172"/>
      <c r="WNX29" s="172"/>
      <c r="WNY29" s="172"/>
      <c r="WNZ29" s="172"/>
      <c r="WOA29" s="172"/>
      <c r="WOB29" s="172"/>
      <c r="WOC29" s="172"/>
      <c r="WOD29" s="172"/>
      <c r="WOE29" s="172"/>
      <c r="WOF29" s="172"/>
      <c r="WOG29" s="172"/>
      <c r="WOH29" s="172"/>
      <c r="WOI29" s="172"/>
      <c r="WOJ29" s="172"/>
      <c r="WOK29" s="172"/>
      <c r="WOL29" s="172"/>
      <c r="WOM29" s="172"/>
      <c r="WON29" s="172"/>
      <c r="WOO29" s="172"/>
      <c r="WOP29" s="172"/>
      <c r="WOQ29" s="172"/>
      <c r="WOR29" s="172"/>
      <c r="WOS29" s="172"/>
      <c r="WOT29" s="172"/>
      <c r="WOU29" s="172"/>
      <c r="WOV29" s="172"/>
      <c r="WOW29" s="172"/>
      <c r="WOX29" s="172"/>
      <c r="WOY29" s="172"/>
      <c r="WOZ29" s="172"/>
      <c r="WPA29" s="172"/>
      <c r="WPB29" s="172"/>
      <c r="WPC29" s="172"/>
      <c r="WPD29" s="172"/>
      <c r="WPE29" s="172"/>
      <c r="WPF29" s="172"/>
      <c r="WPG29" s="172"/>
      <c r="WPH29" s="172"/>
      <c r="WPI29" s="172"/>
      <c r="WPJ29" s="172"/>
      <c r="WPK29" s="172"/>
      <c r="WPL29" s="172"/>
      <c r="WPM29" s="172"/>
      <c r="WPN29" s="172"/>
      <c r="WPO29" s="172"/>
      <c r="WPP29" s="172"/>
      <c r="WPQ29" s="172"/>
      <c r="WPR29" s="172"/>
      <c r="WPS29" s="172"/>
      <c r="WPT29" s="172"/>
      <c r="WPU29" s="172"/>
      <c r="WPV29" s="172"/>
      <c r="WPW29" s="172"/>
      <c r="WPX29" s="172"/>
      <c r="WPY29" s="172"/>
      <c r="WPZ29" s="172"/>
      <c r="WQA29" s="172"/>
      <c r="WQB29" s="172"/>
      <c r="WQC29" s="172"/>
      <c r="WQD29" s="172"/>
      <c r="WQE29" s="172"/>
      <c r="WQF29" s="172"/>
      <c r="WQG29" s="172"/>
      <c r="WQH29" s="172"/>
      <c r="WQI29" s="172"/>
      <c r="WQJ29" s="172"/>
      <c r="WQK29" s="172"/>
      <c r="WQL29" s="172"/>
      <c r="WQM29" s="172"/>
      <c r="WQN29" s="172"/>
      <c r="WQO29" s="172"/>
      <c r="WQP29" s="172"/>
      <c r="WQQ29" s="172"/>
      <c r="WQR29" s="172"/>
      <c r="WQS29" s="172"/>
      <c r="WQT29" s="172"/>
      <c r="WQU29" s="172"/>
      <c r="WQV29" s="172"/>
      <c r="WQW29" s="172"/>
      <c r="WQX29" s="172"/>
      <c r="WQY29" s="172"/>
      <c r="WQZ29" s="172"/>
      <c r="WRA29" s="172"/>
      <c r="WRB29" s="172"/>
      <c r="WRC29" s="172"/>
      <c r="WRD29" s="172"/>
      <c r="WRE29" s="172"/>
      <c r="WRF29" s="172"/>
      <c r="WRG29" s="172"/>
      <c r="WRH29" s="172"/>
      <c r="WRI29" s="172"/>
      <c r="WRJ29" s="172"/>
      <c r="WRK29" s="172"/>
      <c r="WRL29" s="172"/>
      <c r="WRM29" s="172"/>
      <c r="WRN29" s="172"/>
      <c r="WRO29" s="172"/>
      <c r="WRP29" s="172"/>
      <c r="WRQ29" s="172"/>
      <c r="WRR29" s="172"/>
      <c r="WRS29" s="172"/>
      <c r="WRT29" s="172"/>
      <c r="WRU29" s="172"/>
      <c r="WRV29" s="172"/>
      <c r="WRW29" s="172"/>
      <c r="WRX29" s="172"/>
      <c r="WRY29" s="172"/>
      <c r="WRZ29" s="172"/>
      <c r="WSA29" s="172"/>
      <c r="WSB29" s="172"/>
      <c r="WSC29" s="172"/>
      <c r="WSD29" s="172"/>
      <c r="WSE29" s="172"/>
      <c r="WSF29" s="172"/>
      <c r="WSG29" s="172"/>
      <c r="WSH29" s="172"/>
      <c r="WSI29" s="172"/>
      <c r="WSJ29" s="172"/>
      <c r="WSK29" s="172"/>
      <c r="WSL29" s="172"/>
      <c r="WSM29" s="172"/>
      <c r="WSN29" s="172"/>
      <c r="WSO29" s="172"/>
      <c r="WSP29" s="172"/>
      <c r="WSQ29" s="172"/>
      <c r="WSR29" s="172"/>
      <c r="WSS29" s="172"/>
      <c r="WST29" s="172"/>
      <c r="WSU29" s="172"/>
      <c r="WSV29" s="172"/>
      <c r="WSW29" s="172"/>
      <c r="WSX29" s="172"/>
      <c r="WSY29" s="172"/>
      <c r="WSZ29" s="172"/>
      <c r="WTA29" s="172"/>
      <c r="WTB29" s="172"/>
      <c r="WTC29" s="172"/>
      <c r="WTD29" s="172"/>
      <c r="WTE29" s="172"/>
      <c r="WTF29" s="172"/>
      <c r="WTG29" s="172"/>
      <c r="WTH29" s="172"/>
      <c r="WTI29" s="172"/>
      <c r="WTJ29" s="172"/>
      <c r="WTK29" s="172"/>
      <c r="WTL29" s="172"/>
      <c r="WTM29" s="172"/>
      <c r="WTN29" s="172"/>
      <c r="WTO29" s="172"/>
      <c r="WTP29" s="172"/>
      <c r="WTQ29" s="172"/>
      <c r="WTR29" s="172"/>
      <c r="WTS29" s="172"/>
      <c r="WTT29" s="172"/>
      <c r="WTU29" s="172"/>
      <c r="WTV29" s="172"/>
      <c r="WTW29" s="172"/>
      <c r="WTX29" s="172"/>
      <c r="WTY29" s="172"/>
      <c r="WTZ29" s="172"/>
      <c r="WUA29" s="172"/>
      <c r="WUB29" s="172"/>
      <c r="WUC29" s="172"/>
      <c r="WUD29" s="172"/>
      <c r="WUE29" s="172"/>
      <c r="WUF29" s="172"/>
      <c r="WUG29" s="172"/>
      <c r="WUH29" s="172"/>
      <c r="WUI29" s="172"/>
      <c r="WUJ29" s="172"/>
      <c r="WUK29" s="172"/>
      <c r="WUL29" s="172"/>
      <c r="WUM29" s="172"/>
      <c r="WUN29" s="172"/>
      <c r="WUO29" s="172"/>
      <c r="WUP29" s="172"/>
      <c r="WUQ29" s="172"/>
      <c r="WUR29" s="172"/>
      <c r="WUS29" s="172"/>
      <c r="WUT29" s="172"/>
      <c r="WUU29" s="172"/>
      <c r="WUV29" s="172"/>
      <c r="WUW29" s="172"/>
      <c r="WUX29" s="172"/>
      <c r="WUY29" s="172"/>
      <c r="WUZ29" s="172"/>
      <c r="WVA29" s="172"/>
      <c r="WVB29" s="172"/>
      <c r="WVC29" s="172"/>
      <c r="WVD29" s="172"/>
      <c r="WVE29" s="172"/>
      <c r="WVF29" s="172"/>
      <c r="WVG29" s="172"/>
      <c r="WVH29" s="172"/>
      <c r="WVI29" s="172"/>
      <c r="WVJ29" s="172"/>
      <c r="WVK29" s="172"/>
      <c r="WVL29" s="172"/>
      <c r="WVM29" s="172"/>
      <c r="WVN29" s="172"/>
      <c r="WVO29" s="172"/>
      <c r="WVP29" s="172"/>
      <c r="WVQ29" s="172"/>
      <c r="WVR29" s="172"/>
      <c r="WVS29" s="172"/>
      <c r="WVT29" s="172"/>
      <c r="WVU29" s="172"/>
      <c r="WVV29" s="172"/>
      <c r="WVW29" s="172"/>
      <c r="WVX29" s="172"/>
      <c r="WVY29" s="172"/>
      <c r="WVZ29" s="172"/>
      <c r="WWA29" s="172"/>
      <c r="WWB29" s="172"/>
      <c r="WWC29" s="172"/>
      <c r="WWD29" s="172"/>
      <c r="WWE29" s="172"/>
      <c r="WWF29" s="172"/>
      <c r="WWG29" s="172"/>
      <c r="WWH29" s="172"/>
      <c r="WWI29" s="172"/>
      <c r="WWJ29" s="172"/>
      <c r="WWK29" s="172"/>
      <c r="WWL29" s="172"/>
      <c r="WWM29" s="172"/>
      <c r="WWN29" s="172"/>
      <c r="WWO29" s="172"/>
      <c r="WWP29" s="172"/>
      <c r="WWQ29" s="172"/>
      <c r="WWR29" s="172"/>
      <c r="WWS29" s="172"/>
      <c r="WWT29" s="172"/>
      <c r="WWU29" s="172"/>
      <c r="WWV29" s="172"/>
      <c r="WWW29" s="172"/>
      <c r="WWX29" s="172"/>
      <c r="WWY29" s="172"/>
      <c r="WWZ29" s="172"/>
      <c r="WXA29" s="172"/>
      <c r="WXB29" s="172"/>
      <c r="WXC29" s="172"/>
      <c r="WXD29" s="172"/>
      <c r="WXE29" s="172"/>
      <c r="WXF29" s="172"/>
      <c r="WXG29" s="172"/>
      <c r="WXH29" s="172"/>
      <c r="WXI29" s="172"/>
      <c r="WXJ29" s="172"/>
      <c r="WXK29" s="172"/>
      <c r="WXL29" s="172"/>
      <c r="WXM29" s="172"/>
      <c r="WXN29" s="172"/>
      <c r="WXO29" s="172"/>
      <c r="WXP29" s="172"/>
      <c r="WXQ29" s="172"/>
      <c r="WXR29" s="172"/>
      <c r="WXS29" s="172"/>
      <c r="WXT29" s="172"/>
      <c r="WXU29" s="172"/>
      <c r="WXV29" s="172"/>
      <c r="WXW29" s="172"/>
      <c r="WXX29" s="172"/>
      <c r="WXY29" s="172"/>
      <c r="WXZ29" s="172"/>
      <c r="WYA29" s="172"/>
      <c r="WYB29" s="172"/>
      <c r="WYC29" s="172"/>
      <c r="WYD29" s="172"/>
      <c r="WYE29" s="172"/>
      <c r="WYF29" s="172"/>
      <c r="WYG29" s="172"/>
      <c r="WYH29" s="172"/>
      <c r="WYI29" s="172"/>
      <c r="WYJ29" s="172"/>
      <c r="WYK29" s="172"/>
      <c r="WYL29" s="172"/>
      <c r="WYM29" s="172"/>
      <c r="WYN29" s="172"/>
      <c r="WYO29" s="172"/>
      <c r="WYP29" s="172"/>
      <c r="WYQ29" s="172"/>
      <c r="WYR29" s="172"/>
      <c r="WYS29" s="172"/>
      <c r="WYT29" s="172"/>
      <c r="WYU29" s="172"/>
      <c r="WYV29" s="172"/>
      <c r="WYW29" s="172"/>
      <c r="WYX29" s="172"/>
      <c r="WYY29" s="172"/>
      <c r="WYZ29" s="172"/>
      <c r="WZA29" s="172"/>
      <c r="WZB29" s="172"/>
      <c r="WZC29" s="172"/>
      <c r="WZD29" s="172"/>
      <c r="WZE29" s="172"/>
      <c r="WZF29" s="172"/>
      <c r="WZG29" s="172"/>
      <c r="WZH29" s="172"/>
      <c r="WZI29" s="172"/>
      <c r="WZJ29" s="172"/>
      <c r="WZK29" s="172"/>
      <c r="WZL29" s="172"/>
      <c r="WZM29" s="172"/>
      <c r="WZN29" s="172"/>
      <c r="WZO29" s="172"/>
      <c r="WZP29" s="172"/>
      <c r="WZQ29" s="172"/>
      <c r="WZR29" s="172"/>
      <c r="WZS29" s="172"/>
      <c r="WZT29" s="172"/>
      <c r="WZU29" s="172"/>
      <c r="WZV29" s="172"/>
      <c r="WZW29" s="172"/>
      <c r="WZX29" s="172"/>
      <c r="WZY29" s="172"/>
      <c r="WZZ29" s="172"/>
      <c r="XAA29" s="172"/>
      <c r="XAB29" s="172"/>
      <c r="XAC29" s="172"/>
      <c r="XAD29" s="172"/>
      <c r="XAE29" s="172"/>
      <c r="XAF29" s="172"/>
      <c r="XAG29" s="172"/>
      <c r="XAH29" s="172"/>
      <c r="XAI29" s="172"/>
      <c r="XAJ29" s="172"/>
      <c r="XAK29" s="172"/>
      <c r="XAL29" s="172"/>
      <c r="XAM29" s="172"/>
      <c r="XAN29" s="172"/>
      <c r="XAO29" s="172"/>
      <c r="XAP29" s="172"/>
      <c r="XAQ29" s="172"/>
      <c r="XAR29" s="172"/>
      <c r="XAS29" s="172"/>
      <c r="XAT29" s="172"/>
      <c r="XAU29" s="172"/>
      <c r="XAV29" s="172"/>
      <c r="XAW29" s="172"/>
      <c r="XAX29" s="172"/>
      <c r="XAY29" s="172"/>
      <c r="XAZ29" s="172"/>
      <c r="XBA29" s="172"/>
      <c r="XBB29" s="172"/>
      <c r="XBC29" s="172"/>
      <c r="XBD29" s="172"/>
      <c r="XBE29" s="172"/>
      <c r="XBF29" s="172"/>
      <c r="XBG29" s="172"/>
      <c r="XBH29" s="172"/>
      <c r="XBI29" s="172"/>
      <c r="XBJ29" s="172"/>
      <c r="XBK29" s="172"/>
      <c r="XBL29" s="172"/>
      <c r="XBM29" s="172"/>
      <c r="XBN29" s="172"/>
      <c r="XBO29" s="172"/>
      <c r="XBP29" s="172"/>
      <c r="XBQ29" s="172"/>
      <c r="XBR29" s="172"/>
      <c r="XBS29" s="172"/>
      <c r="XBT29" s="172"/>
      <c r="XBU29" s="172"/>
      <c r="XBV29" s="172"/>
      <c r="XBW29" s="172"/>
      <c r="XBX29" s="172"/>
      <c r="XBY29" s="172"/>
      <c r="XBZ29" s="172"/>
      <c r="XCA29" s="172"/>
      <c r="XCB29" s="172"/>
      <c r="XCC29" s="172"/>
      <c r="XCD29" s="172"/>
      <c r="XCE29" s="172"/>
      <c r="XCF29" s="172"/>
      <c r="XCG29" s="172"/>
      <c r="XCH29" s="172"/>
      <c r="XCI29" s="172"/>
      <c r="XCJ29" s="172"/>
      <c r="XCK29" s="172"/>
      <c r="XCL29" s="172"/>
      <c r="XCM29" s="172"/>
      <c r="XCN29" s="172"/>
      <c r="XCO29" s="172"/>
      <c r="XCP29" s="172"/>
      <c r="XCQ29" s="172"/>
      <c r="XCR29" s="172"/>
      <c r="XCS29" s="172"/>
      <c r="XCT29" s="172"/>
      <c r="XCU29" s="172"/>
      <c r="XCV29" s="172"/>
      <c r="XCW29" s="172"/>
      <c r="XCX29" s="172"/>
      <c r="XCY29" s="172"/>
      <c r="XCZ29" s="172"/>
      <c r="XDA29" s="172"/>
      <c r="XDB29" s="172"/>
      <c r="XDC29" s="172"/>
      <c r="XDD29" s="172"/>
      <c r="XDE29" s="172"/>
      <c r="XDF29" s="172"/>
      <c r="XDG29" s="172"/>
      <c r="XDH29" s="172"/>
      <c r="XDI29" s="172"/>
      <c r="XDJ29" s="172"/>
      <c r="XDK29" s="172"/>
      <c r="XDL29" s="172"/>
      <c r="XDM29" s="172"/>
      <c r="XDN29" s="172"/>
      <c r="XDO29" s="172"/>
      <c r="XDP29" s="172"/>
      <c r="XDQ29" s="172"/>
      <c r="XDR29" s="172"/>
      <c r="XDS29" s="172"/>
      <c r="XDT29" s="172"/>
      <c r="XDU29" s="172"/>
      <c r="XDV29" s="172"/>
      <c r="XDW29" s="172"/>
      <c r="XDX29" s="172"/>
      <c r="XDY29" s="172"/>
      <c r="XDZ29" s="172"/>
      <c r="XEA29" s="172"/>
      <c r="XEB29" s="172"/>
      <c r="XEC29" s="172"/>
      <c r="XED29" s="172"/>
      <c r="XEE29" s="172"/>
      <c r="XEF29" s="172"/>
      <c r="XEG29" s="172"/>
      <c r="XEH29" s="172"/>
      <c r="XEI29" s="172"/>
      <c r="XEJ29" s="172"/>
      <c r="XEK29" s="172"/>
      <c r="XEL29" s="172"/>
      <c r="XEM29" s="172"/>
      <c r="XEN29" s="172"/>
      <c r="XEO29" s="172"/>
      <c r="XEP29" s="172"/>
      <c r="XEQ29" s="172"/>
      <c r="XER29" s="172"/>
      <c r="XES29" s="172"/>
      <c r="XET29" s="172"/>
      <c r="XEU29" s="172"/>
      <c r="XEV29" s="172"/>
      <c r="XEW29" s="172"/>
      <c r="XEX29" s="172"/>
      <c r="XEY29" s="172"/>
      <c r="XEZ29" s="172"/>
      <c r="XFA29" s="172"/>
      <c r="XFB29" s="172"/>
      <c r="XFC29" s="172"/>
      <c r="XFD29" s="172"/>
    </row>
    <row r="30" spans="1:16384" s="528" customFormat="1" ht="18.600000000000001" customHeight="1" x14ac:dyDescent="0.3">
      <c r="A30" s="172" t="s">
        <v>3436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  <c r="DA30" s="172"/>
      <c r="DB30" s="172"/>
      <c r="DC30" s="172"/>
      <c r="DD30" s="172"/>
      <c r="DE30" s="172"/>
      <c r="DF30" s="172"/>
      <c r="DG30" s="172"/>
      <c r="DH30" s="172"/>
      <c r="DI30" s="172"/>
      <c r="DJ30" s="172"/>
      <c r="DK30" s="172"/>
      <c r="DL30" s="172"/>
      <c r="DM30" s="172"/>
      <c r="DN30" s="172"/>
      <c r="DO30" s="172"/>
      <c r="DP30" s="172"/>
      <c r="DQ30" s="172"/>
      <c r="DR30" s="172"/>
      <c r="DS30" s="172"/>
      <c r="DT30" s="172"/>
      <c r="DU30" s="172"/>
      <c r="DV30" s="172"/>
      <c r="DW30" s="172"/>
      <c r="DX30" s="172"/>
      <c r="DY30" s="172"/>
      <c r="DZ30" s="172"/>
      <c r="EA30" s="172"/>
      <c r="EB30" s="172"/>
      <c r="EC30" s="172"/>
      <c r="ED30" s="172"/>
      <c r="EE30" s="172"/>
      <c r="EF30" s="172"/>
      <c r="EG30" s="172"/>
      <c r="EH30" s="172"/>
      <c r="EI30" s="172"/>
      <c r="EJ30" s="172"/>
      <c r="EK30" s="172"/>
      <c r="EL30" s="172"/>
      <c r="EM30" s="172"/>
      <c r="EN30" s="172"/>
      <c r="EO30" s="172"/>
      <c r="EP30" s="172"/>
      <c r="EQ30" s="172"/>
      <c r="ER30" s="172"/>
      <c r="ES30" s="172"/>
      <c r="ET30" s="172"/>
      <c r="EU30" s="172"/>
      <c r="EV30" s="172"/>
      <c r="EW30" s="172"/>
      <c r="EX30" s="172"/>
      <c r="EY30" s="172"/>
      <c r="EZ30" s="172"/>
      <c r="FA30" s="172"/>
      <c r="FB30" s="172"/>
      <c r="FC30" s="172"/>
      <c r="FD30" s="172"/>
      <c r="FE30" s="172"/>
      <c r="FF30" s="172"/>
      <c r="FG30" s="172"/>
      <c r="FH30" s="172"/>
      <c r="FI30" s="172"/>
      <c r="FJ30" s="172"/>
      <c r="FK30" s="172"/>
      <c r="FL30" s="172"/>
      <c r="FM30" s="172"/>
      <c r="FN30" s="172"/>
      <c r="FO30" s="172"/>
      <c r="FP30" s="172"/>
      <c r="FQ30" s="172"/>
      <c r="FR30" s="172"/>
      <c r="FS30" s="172"/>
      <c r="FT30" s="172"/>
      <c r="FU30" s="172"/>
      <c r="FV30" s="172"/>
      <c r="FW30" s="172"/>
      <c r="FX30" s="172"/>
      <c r="FY30" s="172"/>
      <c r="FZ30" s="172"/>
      <c r="GA30" s="172"/>
      <c r="GB30" s="172"/>
      <c r="GC30" s="172"/>
      <c r="GD30" s="172"/>
      <c r="GE30" s="172"/>
      <c r="GF30" s="172"/>
      <c r="GG30" s="172"/>
      <c r="GH30" s="172"/>
      <c r="GI30" s="172"/>
      <c r="GJ30" s="172"/>
      <c r="GK30" s="172"/>
      <c r="GL30" s="172"/>
      <c r="GM30" s="172"/>
      <c r="GN30" s="172"/>
      <c r="GO30" s="172"/>
      <c r="GP30" s="172"/>
      <c r="GQ30" s="172"/>
      <c r="GR30" s="172"/>
      <c r="GS30" s="172"/>
      <c r="GT30" s="172"/>
      <c r="GU30" s="172"/>
      <c r="GV30" s="172"/>
      <c r="GW30" s="172"/>
      <c r="GX30" s="172"/>
      <c r="GY30" s="172"/>
      <c r="GZ30" s="172"/>
      <c r="HA30" s="172"/>
      <c r="HB30" s="172"/>
      <c r="HC30" s="172"/>
      <c r="HD30" s="172"/>
      <c r="HE30" s="172"/>
      <c r="HF30" s="172"/>
      <c r="HG30" s="172"/>
      <c r="HH30" s="172"/>
      <c r="HI30" s="172"/>
      <c r="HJ30" s="172"/>
      <c r="HK30" s="172"/>
      <c r="HL30" s="172"/>
      <c r="HM30" s="172"/>
      <c r="HN30" s="172"/>
      <c r="HO30" s="172"/>
      <c r="HP30" s="172"/>
      <c r="HQ30" s="172"/>
      <c r="HR30" s="172"/>
      <c r="HS30" s="172"/>
      <c r="HT30" s="172"/>
      <c r="HU30" s="172"/>
      <c r="HV30" s="172"/>
      <c r="HW30" s="172"/>
      <c r="HX30" s="172"/>
      <c r="HY30" s="172"/>
      <c r="HZ30" s="172"/>
      <c r="IA30" s="172"/>
      <c r="IB30" s="172"/>
      <c r="IC30" s="172"/>
      <c r="ID30" s="172"/>
      <c r="IE30" s="172"/>
      <c r="IF30" s="172"/>
      <c r="IG30" s="172"/>
      <c r="IH30" s="172"/>
      <c r="II30" s="172"/>
      <c r="IJ30" s="172"/>
      <c r="IK30" s="172"/>
      <c r="IL30" s="172"/>
      <c r="IM30" s="172"/>
      <c r="IN30" s="172"/>
      <c r="IO30" s="172"/>
      <c r="IP30" s="172"/>
      <c r="IQ30" s="172"/>
      <c r="IR30" s="172"/>
      <c r="IS30" s="172"/>
      <c r="IT30" s="172"/>
      <c r="IU30" s="172"/>
      <c r="IV30" s="172"/>
      <c r="IW30" s="172"/>
      <c r="IX30" s="172"/>
      <c r="IY30" s="172"/>
      <c r="IZ30" s="172"/>
      <c r="JA30" s="172"/>
      <c r="JB30" s="172"/>
      <c r="JC30" s="172"/>
      <c r="JD30" s="172"/>
      <c r="JE30" s="172"/>
      <c r="JF30" s="172"/>
      <c r="JG30" s="172"/>
      <c r="JH30" s="172"/>
      <c r="JI30" s="172"/>
      <c r="JJ30" s="172"/>
      <c r="JK30" s="172"/>
      <c r="JL30" s="172"/>
      <c r="JM30" s="172"/>
      <c r="JN30" s="172"/>
      <c r="JO30" s="172"/>
      <c r="JP30" s="172"/>
      <c r="JQ30" s="172"/>
      <c r="JR30" s="172"/>
      <c r="JS30" s="172"/>
      <c r="JT30" s="172"/>
      <c r="JU30" s="172"/>
      <c r="JV30" s="172"/>
      <c r="JW30" s="172"/>
      <c r="JX30" s="172"/>
      <c r="JY30" s="172"/>
      <c r="JZ30" s="172"/>
      <c r="KA30" s="172"/>
      <c r="KB30" s="172"/>
      <c r="KC30" s="172"/>
      <c r="KD30" s="172"/>
      <c r="KE30" s="172"/>
      <c r="KF30" s="172"/>
      <c r="KG30" s="172"/>
      <c r="KH30" s="172"/>
      <c r="KI30" s="172"/>
      <c r="KJ30" s="172"/>
      <c r="KK30" s="172"/>
      <c r="KL30" s="172"/>
      <c r="KM30" s="172"/>
      <c r="KN30" s="172"/>
      <c r="KO30" s="172"/>
      <c r="KP30" s="172"/>
      <c r="KQ30" s="172"/>
      <c r="KR30" s="172"/>
      <c r="KS30" s="172"/>
      <c r="KT30" s="172"/>
      <c r="KU30" s="172"/>
      <c r="KV30" s="172"/>
      <c r="KW30" s="172"/>
      <c r="KX30" s="172"/>
      <c r="KY30" s="172"/>
      <c r="KZ30" s="172"/>
      <c r="LA30" s="172"/>
      <c r="LB30" s="172"/>
      <c r="LC30" s="172"/>
      <c r="LD30" s="172"/>
      <c r="LE30" s="172"/>
      <c r="LF30" s="172"/>
      <c r="LG30" s="172"/>
      <c r="LH30" s="172"/>
      <c r="LI30" s="172"/>
      <c r="LJ30" s="172"/>
      <c r="LK30" s="172"/>
      <c r="LL30" s="172"/>
      <c r="LM30" s="172"/>
      <c r="LN30" s="172"/>
      <c r="LO30" s="172"/>
      <c r="LP30" s="172"/>
      <c r="LQ30" s="172"/>
      <c r="LR30" s="172"/>
      <c r="LS30" s="172"/>
      <c r="LT30" s="172"/>
      <c r="LU30" s="172"/>
      <c r="LV30" s="172"/>
      <c r="LW30" s="172"/>
      <c r="LX30" s="172"/>
      <c r="LY30" s="172"/>
      <c r="LZ30" s="172"/>
      <c r="MA30" s="172"/>
      <c r="MB30" s="172"/>
      <c r="MC30" s="172"/>
      <c r="MD30" s="172"/>
      <c r="ME30" s="172"/>
      <c r="MF30" s="172"/>
      <c r="MG30" s="172"/>
      <c r="MH30" s="172"/>
      <c r="MI30" s="172"/>
      <c r="MJ30" s="172"/>
      <c r="MK30" s="172"/>
      <c r="ML30" s="172"/>
      <c r="MM30" s="172"/>
      <c r="MN30" s="172"/>
      <c r="MO30" s="172"/>
      <c r="MP30" s="172"/>
      <c r="MQ30" s="172"/>
      <c r="MR30" s="172"/>
      <c r="MS30" s="172"/>
      <c r="MT30" s="172"/>
      <c r="MU30" s="172"/>
      <c r="MV30" s="172"/>
      <c r="MW30" s="172"/>
      <c r="MX30" s="172"/>
      <c r="MY30" s="172"/>
      <c r="MZ30" s="172"/>
      <c r="NA30" s="172"/>
      <c r="NB30" s="172"/>
      <c r="NC30" s="172"/>
      <c r="ND30" s="172"/>
      <c r="NE30" s="172"/>
      <c r="NF30" s="172"/>
      <c r="NG30" s="172"/>
      <c r="NH30" s="172"/>
      <c r="NI30" s="172"/>
      <c r="NJ30" s="172"/>
      <c r="NK30" s="172"/>
      <c r="NL30" s="172"/>
      <c r="NM30" s="172"/>
      <c r="NN30" s="172"/>
      <c r="NO30" s="172"/>
      <c r="NP30" s="172"/>
      <c r="NQ30" s="172"/>
      <c r="NR30" s="172"/>
      <c r="NS30" s="172"/>
      <c r="NT30" s="172"/>
      <c r="NU30" s="172"/>
      <c r="NV30" s="172"/>
      <c r="NW30" s="172"/>
      <c r="NX30" s="172"/>
      <c r="NY30" s="172"/>
      <c r="NZ30" s="172"/>
      <c r="OA30" s="172"/>
      <c r="OB30" s="172"/>
      <c r="OC30" s="172"/>
      <c r="OD30" s="172"/>
      <c r="OE30" s="172"/>
      <c r="OF30" s="172"/>
      <c r="OG30" s="172"/>
      <c r="OH30" s="172"/>
      <c r="OI30" s="172"/>
      <c r="OJ30" s="172"/>
      <c r="OK30" s="172"/>
      <c r="OL30" s="172"/>
      <c r="OM30" s="172"/>
      <c r="ON30" s="172"/>
      <c r="OO30" s="172"/>
      <c r="OP30" s="172"/>
      <c r="OQ30" s="172"/>
      <c r="OR30" s="172"/>
      <c r="OS30" s="172"/>
      <c r="OT30" s="172"/>
      <c r="OU30" s="172"/>
      <c r="OV30" s="172"/>
      <c r="OW30" s="172"/>
      <c r="OX30" s="172"/>
      <c r="OY30" s="172"/>
      <c r="OZ30" s="172"/>
      <c r="PA30" s="172"/>
      <c r="PB30" s="172"/>
      <c r="PC30" s="172"/>
      <c r="PD30" s="172"/>
      <c r="PE30" s="172"/>
      <c r="PF30" s="172"/>
      <c r="PG30" s="172"/>
      <c r="PH30" s="172"/>
      <c r="PI30" s="172"/>
      <c r="PJ30" s="172"/>
      <c r="PK30" s="172"/>
      <c r="PL30" s="172"/>
      <c r="PM30" s="172"/>
      <c r="PN30" s="172"/>
      <c r="PO30" s="172"/>
      <c r="PP30" s="172"/>
      <c r="PQ30" s="172"/>
      <c r="PR30" s="172"/>
      <c r="PS30" s="172"/>
      <c r="PT30" s="172"/>
      <c r="PU30" s="172"/>
      <c r="PV30" s="172"/>
      <c r="PW30" s="172"/>
      <c r="PX30" s="172"/>
      <c r="PY30" s="172"/>
      <c r="PZ30" s="172"/>
      <c r="QA30" s="172"/>
      <c r="QB30" s="172"/>
      <c r="QC30" s="172"/>
      <c r="QD30" s="172"/>
      <c r="QE30" s="172"/>
      <c r="QF30" s="172"/>
      <c r="QG30" s="172"/>
      <c r="QH30" s="172"/>
      <c r="QI30" s="172"/>
      <c r="QJ30" s="172"/>
      <c r="QK30" s="172"/>
      <c r="QL30" s="172"/>
      <c r="QM30" s="172"/>
      <c r="QN30" s="172"/>
      <c r="QO30" s="172"/>
      <c r="QP30" s="172"/>
      <c r="QQ30" s="172"/>
      <c r="QR30" s="172"/>
      <c r="QS30" s="172"/>
      <c r="QT30" s="172"/>
      <c r="QU30" s="172"/>
      <c r="QV30" s="172"/>
      <c r="QW30" s="172"/>
      <c r="QX30" s="172"/>
      <c r="QY30" s="172"/>
      <c r="QZ30" s="172"/>
      <c r="RA30" s="172"/>
      <c r="RB30" s="172"/>
      <c r="RC30" s="172"/>
      <c r="RD30" s="172"/>
      <c r="RE30" s="172"/>
      <c r="RF30" s="172"/>
      <c r="RG30" s="172"/>
      <c r="RH30" s="172"/>
      <c r="RI30" s="172"/>
      <c r="RJ30" s="172"/>
      <c r="RK30" s="172"/>
      <c r="RL30" s="172"/>
      <c r="RM30" s="172"/>
      <c r="RN30" s="172"/>
      <c r="RO30" s="172"/>
      <c r="RP30" s="172"/>
      <c r="RQ30" s="172"/>
      <c r="RR30" s="172"/>
      <c r="RS30" s="172"/>
      <c r="RT30" s="172"/>
      <c r="RU30" s="172"/>
      <c r="RV30" s="172"/>
      <c r="RW30" s="172"/>
      <c r="RX30" s="172"/>
      <c r="RY30" s="172"/>
      <c r="RZ30" s="172"/>
      <c r="SA30" s="172"/>
      <c r="SB30" s="172"/>
      <c r="SC30" s="172"/>
      <c r="SD30" s="172"/>
      <c r="SE30" s="172"/>
      <c r="SF30" s="172"/>
      <c r="SG30" s="172"/>
      <c r="SH30" s="172"/>
      <c r="SI30" s="172"/>
      <c r="SJ30" s="172"/>
      <c r="SK30" s="172"/>
      <c r="SL30" s="172"/>
      <c r="SM30" s="172"/>
      <c r="SN30" s="172"/>
      <c r="SO30" s="172"/>
      <c r="SP30" s="172"/>
      <c r="SQ30" s="172"/>
      <c r="SR30" s="172"/>
      <c r="SS30" s="172"/>
      <c r="ST30" s="172"/>
      <c r="SU30" s="172"/>
      <c r="SV30" s="172"/>
      <c r="SW30" s="172"/>
      <c r="SX30" s="172"/>
      <c r="SY30" s="172"/>
      <c r="SZ30" s="172"/>
      <c r="TA30" s="172"/>
      <c r="TB30" s="172"/>
      <c r="TC30" s="172"/>
      <c r="TD30" s="172"/>
      <c r="TE30" s="172"/>
      <c r="TF30" s="172"/>
      <c r="TG30" s="172"/>
      <c r="TH30" s="172"/>
      <c r="TI30" s="172"/>
      <c r="TJ30" s="172"/>
      <c r="TK30" s="172"/>
      <c r="TL30" s="172"/>
      <c r="TM30" s="172"/>
      <c r="TN30" s="172"/>
      <c r="TO30" s="172"/>
      <c r="TP30" s="172"/>
      <c r="TQ30" s="172"/>
      <c r="TR30" s="172"/>
      <c r="TS30" s="172"/>
      <c r="TT30" s="172"/>
      <c r="TU30" s="172"/>
      <c r="TV30" s="172"/>
      <c r="TW30" s="172"/>
      <c r="TX30" s="172"/>
      <c r="TY30" s="172"/>
      <c r="TZ30" s="172"/>
      <c r="UA30" s="172"/>
      <c r="UB30" s="172"/>
      <c r="UC30" s="172"/>
      <c r="UD30" s="172"/>
      <c r="UE30" s="172"/>
      <c r="UF30" s="172"/>
      <c r="UG30" s="172"/>
      <c r="UH30" s="172"/>
      <c r="UI30" s="172"/>
      <c r="UJ30" s="172"/>
      <c r="UK30" s="172"/>
      <c r="UL30" s="172"/>
      <c r="UM30" s="172"/>
      <c r="UN30" s="172"/>
      <c r="UO30" s="172"/>
      <c r="UP30" s="172"/>
      <c r="UQ30" s="172"/>
      <c r="UR30" s="172"/>
      <c r="US30" s="172"/>
      <c r="UT30" s="172"/>
      <c r="UU30" s="172"/>
      <c r="UV30" s="172"/>
      <c r="UW30" s="172"/>
      <c r="UX30" s="172"/>
      <c r="UY30" s="172"/>
      <c r="UZ30" s="172"/>
      <c r="VA30" s="172"/>
      <c r="VB30" s="172"/>
      <c r="VC30" s="172"/>
      <c r="VD30" s="172"/>
      <c r="VE30" s="172"/>
      <c r="VF30" s="172"/>
      <c r="VG30" s="172"/>
      <c r="VH30" s="172"/>
      <c r="VI30" s="172"/>
      <c r="VJ30" s="172"/>
      <c r="VK30" s="172"/>
      <c r="VL30" s="172"/>
      <c r="VM30" s="172"/>
      <c r="VN30" s="172"/>
      <c r="VO30" s="172"/>
      <c r="VP30" s="172"/>
      <c r="VQ30" s="172"/>
      <c r="VR30" s="172"/>
      <c r="VS30" s="172"/>
      <c r="VT30" s="172"/>
      <c r="VU30" s="172"/>
      <c r="VV30" s="172"/>
      <c r="VW30" s="172"/>
      <c r="VX30" s="172"/>
      <c r="VY30" s="172"/>
      <c r="VZ30" s="172"/>
      <c r="WA30" s="172"/>
      <c r="WB30" s="172"/>
      <c r="WC30" s="172"/>
      <c r="WD30" s="172"/>
      <c r="WE30" s="172"/>
      <c r="WF30" s="172"/>
      <c r="WG30" s="172"/>
      <c r="WH30" s="172"/>
      <c r="WI30" s="172"/>
      <c r="WJ30" s="172"/>
      <c r="WK30" s="172"/>
      <c r="WL30" s="172"/>
      <c r="WM30" s="172"/>
      <c r="WN30" s="172"/>
      <c r="WO30" s="172"/>
      <c r="WP30" s="172"/>
      <c r="WQ30" s="172"/>
      <c r="WR30" s="172"/>
      <c r="WS30" s="172"/>
      <c r="WT30" s="172"/>
      <c r="WU30" s="172"/>
      <c r="WV30" s="172"/>
      <c r="WW30" s="172"/>
      <c r="WX30" s="172"/>
      <c r="WY30" s="172"/>
      <c r="WZ30" s="172"/>
      <c r="XA30" s="172"/>
      <c r="XB30" s="172"/>
      <c r="XC30" s="172"/>
      <c r="XD30" s="172"/>
      <c r="XE30" s="172"/>
      <c r="XF30" s="172"/>
      <c r="XG30" s="172"/>
      <c r="XH30" s="172"/>
      <c r="XI30" s="172"/>
      <c r="XJ30" s="172"/>
      <c r="XK30" s="172"/>
      <c r="XL30" s="172"/>
      <c r="XM30" s="172"/>
      <c r="XN30" s="172"/>
      <c r="XO30" s="172"/>
      <c r="XP30" s="172"/>
      <c r="XQ30" s="172"/>
      <c r="XR30" s="172"/>
      <c r="XS30" s="172"/>
      <c r="XT30" s="172"/>
      <c r="XU30" s="172"/>
      <c r="XV30" s="172"/>
      <c r="XW30" s="172"/>
      <c r="XX30" s="172"/>
      <c r="XY30" s="172"/>
      <c r="XZ30" s="172"/>
      <c r="YA30" s="172"/>
      <c r="YB30" s="172"/>
      <c r="YC30" s="172"/>
      <c r="YD30" s="172"/>
      <c r="YE30" s="172"/>
      <c r="YF30" s="172"/>
      <c r="YG30" s="172"/>
      <c r="YH30" s="172"/>
      <c r="YI30" s="172"/>
      <c r="YJ30" s="172"/>
      <c r="YK30" s="172"/>
      <c r="YL30" s="172"/>
      <c r="YM30" s="172"/>
      <c r="YN30" s="172"/>
      <c r="YO30" s="172"/>
      <c r="YP30" s="172"/>
      <c r="YQ30" s="172"/>
      <c r="YR30" s="172"/>
      <c r="YS30" s="172"/>
      <c r="YT30" s="172"/>
      <c r="YU30" s="172"/>
      <c r="YV30" s="172"/>
      <c r="YW30" s="172"/>
      <c r="YX30" s="172"/>
      <c r="YY30" s="172"/>
      <c r="YZ30" s="172"/>
      <c r="ZA30" s="172"/>
      <c r="ZB30" s="172"/>
      <c r="ZC30" s="172"/>
      <c r="ZD30" s="172"/>
      <c r="ZE30" s="172"/>
      <c r="ZF30" s="172"/>
      <c r="ZG30" s="172"/>
      <c r="ZH30" s="172"/>
      <c r="ZI30" s="172"/>
      <c r="ZJ30" s="172"/>
      <c r="ZK30" s="172"/>
      <c r="ZL30" s="172"/>
      <c r="ZM30" s="172"/>
      <c r="ZN30" s="172"/>
      <c r="ZO30" s="172"/>
      <c r="ZP30" s="172"/>
      <c r="ZQ30" s="172"/>
      <c r="ZR30" s="172"/>
      <c r="ZS30" s="172"/>
      <c r="ZT30" s="172"/>
      <c r="ZU30" s="172"/>
      <c r="ZV30" s="172"/>
      <c r="ZW30" s="172"/>
      <c r="ZX30" s="172"/>
      <c r="ZY30" s="172"/>
      <c r="ZZ30" s="172"/>
      <c r="AAA30" s="172"/>
      <c r="AAB30" s="172"/>
      <c r="AAC30" s="172"/>
      <c r="AAD30" s="172"/>
      <c r="AAE30" s="172"/>
      <c r="AAF30" s="172"/>
      <c r="AAG30" s="172"/>
      <c r="AAH30" s="172"/>
      <c r="AAI30" s="172"/>
      <c r="AAJ30" s="172"/>
      <c r="AAK30" s="172"/>
      <c r="AAL30" s="172"/>
      <c r="AAM30" s="172"/>
      <c r="AAN30" s="172"/>
      <c r="AAO30" s="172"/>
      <c r="AAP30" s="172"/>
      <c r="AAQ30" s="172"/>
      <c r="AAR30" s="172"/>
      <c r="AAS30" s="172"/>
      <c r="AAT30" s="172"/>
      <c r="AAU30" s="172"/>
      <c r="AAV30" s="172"/>
      <c r="AAW30" s="172"/>
      <c r="AAX30" s="172"/>
      <c r="AAY30" s="172"/>
      <c r="AAZ30" s="172"/>
      <c r="ABA30" s="172"/>
      <c r="ABB30" s="172"/>
      <c r="ABC30" s="172"/>
      <c r="ABD30" s="172"/>
      <c r="ABE30" s="172"/>
      <c r="ABF30" s="172"/>
      <c r="ABG30" s="172"/>
      <c r="ABH30" s="172"/>
      <c r="ABI30" s="172"/>
      <c r="ABJ30" s="172"/>
      <c r="ABK30" s="172"/>
      <c r="ABL30" s="172"/>
      <c r="ABM30" s="172"/>
      <c r="ABN30" s="172"/>
      <c r="ABO30" s="172"/>
      <c r="ABP30" s="172"/>
      <c r="ABQ30" s="172"/>
      <c r="ABR30" s="172"/>
      <c r="ABS30" s="172"/>
      <c r="ABT30" s="172"/>
      <c r="ABU30" s="172"/>
      <c r="ABV30" s="172"/>
      <c r="ABW30" s="172"/>
      <c r="ABX30" s="172"/>
      <c r="ABY30" s="172"/>
      <c r="ABZ30" s="172"/>
      <c r="ACA30" s="172"/>
      <c r="ACB30" s="172"/>
      <c r="ACC30" s="172"/>
      <c r="ACD30" s="172"/>
      <c r="ACE30" s="172"/>
      <c r="ACF30" s="172"/>
      <c r="ACG30" s="172"/>
      <c r="ACH30" s="172"/>
      <c r="ACI30" s="172"/>
      <c r="ACJ30" s="172"/>
      <c r="ACK30" s="172"/>
      <c r="ACL30" s="172"/>
      <c r="ACM30" s="172"/>
      <c r="ACN30" s="172"/>
      <c r="ACO30" s="172"/>
      <c r="ACP30" s="172"/>
      <c r="ACQ30" s="172"/>
      <c r="ACR30" s="172"/>
      <c r="ACS30" s="172"/>
      <c r="ACT30" s="172"/>
      <c r="ACU30" s="172"/>
      <c r="ACV30" s="172"/>
      <c r="ACW30" s="172"/>
      <c r="ACX30" s="172"/>
      <c r="ACY30" s="172"/>
      <c r="ACZ30" s="172"/>
      <c r="ADA30" s="172"/>
      <c r="ADB30" s="172"/>
      <c r="ADC30" s="172"/>
      <c r="ADD30" s="172"/>
      <c r="ADE30" s="172"/>
      <c r="ADF30" s="172"/>
      <c r="ADG30" s="172"/>
      <c r="ADH30" s="172"/>
      <c r="ADI30" s="172"/>
      <c r="ADJ30" s="172"/>
      <c r="ADK30" s="172"/>
      <c r="ADL30" s="172"/>
      <c r="ADM30" s="172"/>
      <c r="ADN30" s="172"/>
      <c r="ADO30" s="172"/>
      <c r="ADP30" s="172"/>
      <c r="ADQ30" s="172"/>
      <c r="ADR30" s="172"/>
      <c r="ADS30" s="172"/>
      <c r="ADT30" s="172"/>
      <c r="ADU30" s="172"/>
      <c r="ADV30" s="172"/>
      <c r="ADW30" s="172"/>
      <c r="ADX30" s="172"/>
      <c r="ADY30" s="172"/>
      <c r="ADZ30" s="172"/>
      <c r="AEA30" s="172"/>
      <c r="AEB30" s="172"/>
      <c r="AEC30" s="172"/>
      <c r="AED30" s="172"/>
      <c r="AEE30" s="172"/>
      <c r="AEF30" s="172"/>
      <c r="AEG30" s="172"/>
      <c r="AEH30" s="172"/>
      <c r="AEI30" s="172"/>
      <c r="AEJ30" s="172"/>
      <c r="AEK30" s="172"/>
      <c r="AEL30" s="172"/>
      <c r="AEM30" s="172"/>
      <c r="AEN30" s="172"/>
      <c r="AEO30" s="172"/>
      <c r="AEP30" s="172"/>
      <c r="AEQ30" s="172"/>
      <c r="AER30" s="172"/>
      <c r="AES30" s="172"/>
      <c r="AET30" s="172"/>
      <c r="AEU30" s="172"/>
      <c r="AEV30" s="172"/>
      <c r="AEW30" s="172"/>
      <c r="AEX30" s="172"/>
      <c r="AEY30" s="172"/>
      <c r="AEZ30" s="172"/>
      <c r="AFA30" s="172"/>
      <c r="AFB30" s="172"/>
      <c r="AFC30" s="172"/>
      <c r="AFD30" s="172"/>
      <c r="AFE30" s="172"/>
      <c r="AFF30" s="172"/>
      <c r="AFG30" s="172"/>
      <c r="AFH30" s="172"/>
      <c r="AFI30" s="172"/>
      <c r="AFJ30" s="172"/>
      <c r="AFK30" s="172"/>
      <c r="AFL30" s="172"/>
      <c r="AFM30" s="172"/>
      <c r="AFN30" s="172"/>
      <c r="AFO30" s="172"/>
      <c r="AFP30" s="172"/>
      <c r="AFQ30" s="172"/>
      <c r="AFR30" s="172"/>
      <c r="AFS30" s="172"/>
      <c r="AFT30" s="172"/>
      <c r="AFU30" s="172"/>
      <c r="AFV30" s="172"/>
      <c r="AFW30" s="172"/>
      <c r="AFX30" s="172"/>
      <c r="AFY30" s="172"/>
      <c r="AFZ30" s="172"/>
      <c r="AGA30" s="172"/>
      <c r="AGB30" s="172"/>
      <c r="AGC30" s="172"/>
      <c r="AGD30" s="172"/>
      <c r="AGE30" s="172"/>
      <c r="AGF30" s="172"/>
      <c r="AGG30" s="172"/>
      <c r="AGH30" s="172"/>
      <c r="AGI30" s="172"/>
      <c r="AGJ30" s="172"/>
      <c r="AGK30" s="172"/>
      <c r="AGL30" s="172"/>
      <c r="AGM30" s="172"/>
      <c r="AGN30" s="172"/>
      <c r="AGO30" s="172"/>
      <c r="AGP30" s="172"/>
      <c r="AGQ30" s="172"/>
      <c r="AGR30" s="172"/>
      <c r="AGS30" s="172"/>
      <c r="AGT30" s="172"/>
      <c r="AGU30" s="172"/>
      <c r="AGV30" s="172"/>
      <c r="AGW30" s="172"/>
      <c r="AGX30" s="172"/>
      <c r="AGY30" s="172"/>
      <c r="AGZ30" s="172"/>
      <c r="AHA30" s="172"/>
      <c r="AHB30" s="172"/>
      <c r="AHC30" s="172"/>
      <c r="AHD30" s="172"/>
      <c r="AHE30" s="172"/>
      <c r="AHF30" s="172"/>
      <c r="AHG30" s="172"/>
      <c r="AHH30" s="172"/>
      <c r="AHI30" s="172"/>
      <c r="AHJ30" s="172"/>
      <c r="AHK30" s="172"/>
      <c r="AHL30" s="172"/>
      <c r="AHM30" s="172"/>
      <c r="AHN30" s="172"/>
      <c r="AHO30" s="172"/>
      <c r="AHP30" s="172"/>
      <c r="AHQ30" s="172"/>
      <c r="AHR30" s="172"/>
      <c r="AHS30" s="172"/>
      <c r="AHT30" s="172"/>
      <c r="AHU30" s="172"/>
      <c r="AHV30" s="172"/>
      <c r="AHW30" s="172"/>
      <c r="AHX30" s="172"/>
      <c r="AHY30" s="172"/>
      <c r="AHZ30" s="172"/>
      <c r="AIA30" s="172"/>
      <c r="AIB30" s="172"/>
      <c r="AIC30" s="172"/>
      <c r="AID30" s="172"/>
      <c r="AIE30" s="172"/>
      <c r="AIF30" s="172"/>
      <c r="AIG30" s="172"/>
      <c r="AIH30" s="172"/>
      <c r="AII30" s="172"/>
      <c r="AIJ30" s="172"/>
      <c r="AIK30" s="172"/>
      <c r="AIL30" s="172"/>
      <c r="AIM30" s="172"/>
      <c r="AIN30" s="172"/>
      <c r="AIO30" s="172"/>
      <c r="AIP30" s="172"/>
      <c r="AIQ30" s="172"/>
      <c r="AIR30" s="172"/>
      <c r="AIS30" s="172"/>
      <c r="AIT30" s="172"/>
      <c r="AIU30" s="172"/>
      <c r="AIV30" s="172"/>
      <c r="AIW30" s="172"/>
      <c r="AIX30" s="172"/>
      <c r="AIY30" s="172"/>
      <c r="AIZ30" s="172"/>
      <c r="AJA30" s="172"/>
      <c r="AJB30" s="172"/>
      <c r="AJC30" s="172"/>
      <c r="AJD30" s="172"/>
      <c r="AJE30" s="172"/>
      <c r="AJF30" s="172"/>
      <c r="AJG30" s="172"/>
      <c r="AJH30" s="172"/>
      <c r="AJI30" s="172"/>
      <c r="AJJ30" s="172"/>
      <c r="AJK30" s="172"/>
      <c r="AJL30" s="172"/>
      <c r="AJM30" s="172"/>
      <c r="AJN30" s="172"/>
      <c r="AJO30" s="172"/>
      <c r="AJP30" s="172"/>
      <c r="AJQ30" s="172"/>
      <c r="AJR30" s="172"/>
      <c r="AJS30" s="172"/>
      <c r="AJT30" s="172"/>
      <c r="AJU30" s="172"/>
      <c r="AJV30" s="172"/>
      <c r="AJW30" s="172"/>
      <c r="AJX30" s="172"/>
      <c r="AJY30" s="172"/>
      <c r="AJZ30" s="172"/>
      <c r="AKA30" s="172"/>
      <c r="AKB30" s="172"/>
      <c r="AKC30" s="172"/>
      <c r="AKD30" s="172"/>
      <c r="AKE30" s="172"/>
      <c r="AKF30" s="172"/>
      <c r="AKG30" s="172"/>
      <c r="AKH30" s="172"/>
      <c r="AKI30" s="172"/>
      <c r="AKJ30" s="172"/>
      <c r="AKK30" s="172"/>
      <c r="AKL30" s="172"/>
      <c r="AKM30" s="172"/>
      <c r="AKN30" s="172"/>
      <c r="AKO30" s="172"/>
      <c r="AKP30" s="172"/>
      <c r="AKQ30" s="172"/>
      <c r="AKR30" s="172"/>
      <c r="AKS30" s="172"/>
      <c r="AKT30" s="172"/>
      <c r="AKU30" s="172"/>
      <c r="AKV30" s="172"/>
      <c r="AKW30" s="172"/>
      <c r="AKX30" s="172"/>
      <c r="AKY30" s="172"/>
      <c r="AKZ30" s="172"/>
      <c r="ALA30" s="172"/>
      <c r="ALB30" s="172"/>
      <c r="ALC30" s="172"/>
      <c r="ALD30" s="172"/>
      <c r="ALE30" s="172"/>
      <c r="ALF30" s="172"/>
      <c r="ALG30" s="172"/>
      <c r="ALH30" s="172"/>
      <c r="ALI30" s="172"/>
      <c r="ALJ30" s="172"/>
      <c r="ALK30" s="172"/>
      <c r="ALL30" s="172"/>
      <c r="ALM30" s="172"/>
      <c r="ALN30" s="172"/>
      <c r="ALO30" s="172"/>
      <c r="ALP30" s="172"/>
      <c r="ALQ30" s="172"/>
      <c r="ALR30" s="172"/>
      <c r="ALS30" s="172"/>
      <c r="ALT30" s="172"/>
      <c r="ALU30" s="172"/>
      <c r="ALV30" s="172"/>
      <c r="ALW30" s="172"/>
      <c r="ALX30" s="172"/>
      <c r="ALY30" s="172"/>
      <c r="ALZ30" s="172"/>
      <c r="AMA30" s="172"/>
      <c r="AMB30" s="172"/>
      <c r="AMC30" s="172"/>
      <c r="AMD30" s="172"/>
      <c r="AME30" s="172"/>
      <c r="AMF30" s="172"/>
      <c r="AMG30" s="172"/>
      <c r="AMH30" s="172"/>
      <c r="AMI30" s="172"/>
      <c r="AMJ30" s="172"/>
      <c r="AMK30" s="172"/>
      <c r="AML30" s="172"/>
      <c r="AMM30" s="172"/>
      <c r="AMN30" s="172"/>
      <c r="AMO30" s="172"/>
      <c r="AMP30" s="172"/>
      <c r="AMQ30" s="172"/>
      <c r="AMR30" s="172"/>
      <c r="AMS30" s="172"/>
      <c r="AMT30" s="172"/>
      <c r="AMU30" s="172"/>
      <c r="AMV30" s="172"/>
      <c r="AMW30" s="172"/>
      <c r="AMX30" s="172"/>
      <c r="AMY30" s="172"/>
      <c r="AMZ30" s="172"/>
      <c r="ANA30" s="172"/>
      <c r="ANB30" s="172"/>
      <c r="ANC30" s="172"/>
      <c r="AND30" s="172"/>
      <c r="ANE30" s="172"/>
      <c r="ANF30" s="172"/>
      <c r="ANG30" s="172"/>
      <c r="ANH30" s="172"/>
      <c r="ANI30" s="172"/>
      <c r="ANJ30" s="172"/>
      <c r="ANK30" s="172"/>
      <c r="ANL30" s="172"/>
      <c r="ANM30" s="172"/>
      <c r="ANN30" s="172"/>
      <c r="ANO30" s="172"/>
      <c r="ANP30" s="172"/>
      <c r="ANQ30" s="172"/>
      <c r="ANR30" s="172"/>
      <c r="ANS30" s="172"/>
      <c r="ANT30" s="172"/>
      <c r="ANU30" s="172"/>
      <c r="ANV30" s="172"/>
      <c r="ANW30" s="172"/>
      <c r="ANX30" s="172"/>
      <c r="ANY30" s="172"/>
      <c r="ANZ30" s="172"/>
      <c r="AOA30" s="172"/>
      <c r="AOB30" s="172"/>
      <c r="AOC30" s="172"/>
      <c r="AOD30" s="172"/>
      <c r="AOE30" s="172"/>
      <c r="AOF30" s="172"/>
      <c r="AOG30" s="172"/>
      <c r="AOH30" s="172"/>
      <c r="AOI30" s="172"/>
      <c r="AOJ30" s="172"/>
      <c r="AOK30" s="172"/>
      <c r="AOL30" s="172"/>
      <c r="AOM30" s="172"/>
      <c r="AON30" s="172"/>
      <c r="AOO30" s="172"/>
      <c r="AOP30" s="172"/>
      <c r="AOQ30" s="172"/>
      <c r="AOR30" s="172"/>
      <c r="AOS30" s="172"/>
      <c r="AOT30" s="172"/>
      <c r="AOU30" s="172"/>
      <c r="AOV30" s="172"/>
      <c r="AOW30" s="172"/>
      <c r="AOX30" s="172"/>
      <c r="AOY30" s="172"/>
      <c r="AOZ30" s="172"/>
      <c r="APA30" s="172"/>
      <c r="APB30" s="172"/>
      <c r="APC30" s="172"/>
      <c r="APD30" s="172"/>
      <c r="APE30" s="172"/>
      <c r="APF30" s="172"/>
      <c r="APG30" s="172"/>
      <c r="APH30" s="172"/>
      <c r="API30" s="172"/>
      <c r="APJ30" s="172"/>
      <c r="APK30" s="172"/>
      <c r="APL30" s="172"/>
      <c r="APM30" s="172"/>
      <c r="APN30" s="172"/>
      <c r="APO30" s="172"/>
      <c r="APP30" s="172"/>
      <c r="APQ30" s="172"/>
      <c r="APR30" s="172"/>
      <c r="APS30" s="172"/>
      <c r="APT30" s="172"/>
      <c r="APU30" s="172"/>
      <c r="APV30" s="172"/>
      <c r="APW30" s="172"/>
      <c r="APX30" s="172"/>
      <c r="APY30" s="172"/>
      <c r="APZ30" s="172"/>
      <c r="AQA30" s="172"/>
      <c r="AQB30" s="172"/>
      <c r="AQC30" s="172"/>
      <c r="AQD30" s="172"/>
      <c r="AQE30" s="172"/>
      <c r="AQF30" s="172"/>
      <c r="AQG30" s="172"/>
      <c r="AQH30" s="172"/>
      <c r="AQI30" s="172"/>
      <c r="AQJ30" s="172"/>
      <c r="AQK30" s="172"/>
      <c r="AQL30" s="172"/>
      <c r="AQM30" s="172"/>
      <c r="AQN30" s="172"/>
      <c r="AQO30" s="172"/>
      <c r="AQP30" s="172"/>
      <c r="AQQ30" s="172"/>
      <c r="AQR30" s="172"/>
      <c r="AQS30" s="172"/>
      <c r="AQT30" s="172"/>
      <c r="AQU30" s="172"/>
      <c r="AQV30" s="172"/>
      <c r="AQW30" s="172"/>
      <c r="AQX30" s="172"/>
      <c r="AQY30" s="172"/>
      <c r="AQZ30" s="172"/>
      <c r="ARA30" s="172"/>
      <c r="ARB30" s="172"/>
      <c r="ARC30" s="172"/>
      <c r="ARD30" s="172"/>
      <c r="ARE30" s="172"/>
      <c r="ARF30" s="172"/>
      <c r="ARG30" s="172"/>
      <c r="ARH30" s="172"/>
      <c r="ARI30" s="172"/>
      <c r="ARJ30" s="172"/>
      <c r="ARK30" s="172"/>
      <c r="ARL30" s="172"/>
      <c r="ARM30" s="172"/>
      <c r="ARN30" s="172"/>
      <c r="ARO30" s="172"/>
      <c r="ARP30" s="172"/>
      <c r="ARQ30" s="172"/>
      <c r="ARR30" s="172"/>
      <c r="ARS30" s="172"/>
      <c r="ART30" s="172"/>
      <c r="ARU30" s="172"/>
      <c r="ARV30" s="172"/>
      <c r="ARW30" s="172"/>
      <c r="ARX30" s="172"/>
      <c r="ARY30" s="172"/>
      <c r="ARZ30" s="172"/>
      <c r="ASA30" s="172"/>
      <c r="ASB30" s="172"/>
      <c r="ASC30" s="172"/>
      <c r="ASD30" s="172"/>
      <c r="ASE30" s="172"/>
      <c r="ASF30" s="172"/>
      <c r="ASG30" s="172"/>
      <c r="ASH30" s="172"/>
      <c r="ASI30" s="172"/>
      <c r="ASJ30" s="172"/>
      <c r="ASK30" s="172"/>
      <c r="ASL30" s="172"/>
      <c r="ASM30" s="172"/>
      <c r="ASN30" s="172"/>
      <c r="ASO30" s="172"/>
      <c r="ASP30" s="172"/>
      <c r="ASQ30" s="172"/>
      <c r="ASR30" s="172"/>
      <c r="ASS30" s="172"/>
      <c r="AST30" s="172"/>
      <c r="ASU30" s="172"/>
      <c r="ASV30" s="172"/>
      <c r="ASW30" s="172"/>
      <c r="ASX30" s="172"/>
      <c r="ASY30" s="172"/>
      <c r="ASZ30" s="172"/>
      <c r="ATA30" s="172"/>
      <c r="ATB30" s="172"/>
      <c r="ATC30" s="172"/>
      <c r="ATD30" s="172"/>
      <c r="ATE30" s="172"/>
      <c r="ATF30" s="172"/>
      <c r="ATG30" s="172"/>
      <c r="ATH30" s="172"/>
      <c r="ATI30" s="172"/>
      <c r="ATJ30" s="172"/>
      <c r="ATK30" s="172"/>
      <c r="ATL30" s="172"/>
      <c r="ATM30" s="172"/>
      <c r="ATN30" s="172"/>
      <c r="ATO30" s="172"/>
      <c r="ATP30" s="172"/>
      <c r="ATQ30" s="172"/>
      <c r="ATR30" s="172"/>
      <c r="ATS30" s="172"/>
      <c r="ATT30" s="172"/>
      <c r="ATU30" s="172"/>
      <c r="ATV30" s="172"/>
      <c r="ATW30" s="172"/>
      <c r="ATX30" s="172"/>
      <c r="ATY30" s="172"/>
      <c r="ATZ30" s="172"/>
      <c r="AUA30" s="172"/>
      <c r="AUB30" s="172"/>
      <c r="AUC30" s="172"/>
      <c r="AUD30" s="172"/>
      <c r="AUE30" s="172"/>
      <c r="AUF30" s="172"/>
      <c r="AUG30" s="172"/>
      <c r="AUH30" s="172"/>
      <c r="AUI30" s="172"/>
      <c r="AUJ30" s="172"/>
      <c r="AUK30" s="172"/>
      <c r="AUL30" s="172"/>
      <c r="AUM30" s="172"/>
      <c r="AUN30" s="172"/>
      <c r="AUO30" s="172"/>
      <c r="AUP30" s="172"/>
      <c r="AUQ30" s="172"/>
      <c r="AUR30" s="172"/>
      <c r="AUS30" s="172"/>
      <c r="AUT30" s="172"/>
      <c r="AUU30" s="172"/>
      <c r="AUV30" s="172"/>
      <c r="AUW30" s="172"/>
      <c r="AUX30" s="172"/>
      <c r="AUY30" s="172"/>
      <c r="AUZ30" s="172"/>
      <c r="AVA30" s="172"/>
      <c r="AVB30" s="172"/>
      <c r="AVC30" s="172"/>
      <c r="AVD30" s="172"/>
      <c r="AVE30" s="172"/>
      <c r="AVF30" s="172"/>
      <c r="AVG30" s="172"/>
      <c r="AVH30" s="172"/>
      <c r="AVI30" s="172"/>
      <c r="AVJ30" s="172"/>
      <c r="AVK30" s="172"/>
      <c r="AVL30" s="172"/>
      <c r="AVM30" s="172"/>
      <c r="AVN30" s="172"/>
      <c r="AVO30" s="172"/>
      <c r="AVP30" s="172"/>
      <c r="AVQ30" s="172"/>
      <c r="AVR30" s="172"/>
      <c r="AVS30" s="172"/>
      <c r="AVT30" s="172"/>
      <c r="AVU30" s="172"/>
      <c r="AVV30" s="172"/>
      <c r="AVW30" s="172"/>
      <c r="AVX30" s="172"/>
      <c r="AVY30" s="172"/>
      <c r="AVZ30" s="172"/>
      <c r="AWA30" s="172"/>
      <c r="AWB30" s="172"/>
      <c r="AWC30" s="172"/>
      <c r="AWD30" s="172"/>
      <c r="AWE30" s="172"/>
      <c r="AWF30" s="172"/>
      <c r="AWG30" s="172"/>
      <c r="AWH30" s="172"/>
      <c r="AWI30" s="172"/>
      <c r="AWJ30" s="172"/>
      <c r="AWK30" s="172"/>
      <c r="AWL30" s="172"/>
      <c r="AWM30" s="172"/>
      <c r="AWN30" s="172"/>
      <c r="AWO30" s="172"/>
      <c r="AWP30" s="172"/>
      <c r="AWQ30" s="172"/>
      <c r="AWR30" s="172"/>
      <c r="AWS30" s="172"/>
      <c r="AWT30" s="172"/>
      <c r="AWU30" s="172"/>
      <c r="AWV30" s="172"/>
      <c r="AWW30" s="172"/>
      <c r="AWX30" s="172"/>
      <c r="AWY30" s="172"/>
      <c r="AWZ30" s="172"/>
      <c r="AXA30" s="172"/>
      <c r="AXB30" s="172"/>
      <c r="AXC30" s="172"/>
      <c r="AXD30" s="172"/>
      <c r="AXE30" s="172"/>
      <c r="AXF30" s="172"/>
      <c r="AXG30" s="172"/>
      <c r="AXH30" s="172"/>
      <c r="AXI30" s="172"/>
      <c r="AXJ30" s="172"/>
      <c r="AXK30" s="172"/>
      <c r="AXL30" s="172"/>
      <c r="AXM30" s="172"/>
      <c r="AXN30" s="172"/>
      <c r="AXO30" s="172"/>
      <c r="AXP30" s="172"/>
      <c r="AXQ30" s="172"/>
      <c r="AXR30" s="172"/>
      <c r="AXS30" s="172"/>
      <c r="AXT30" s="172"/>
      <c r="AXU30" s="172"/>
      <c r="AXV30" s="172"/>
      <c r="AXW30" s="172"/>
      <c r="AXX30" s="172"/>
      <c r="AXY30" s="172"/>
      <c r="AXZ30" s="172"/>
      <c r="AYA30" s="172"/>
      <c r="AYB30" s="172"/>
      <c r="AYC30" s="172"/>
      <c r="AYD30" s="172"/>
      <c r="AYE30" s="172"/>
      <c r="AYF30" s="172"/>
      <c r="AYG30" s="172"/>
      <c r="AYH30" s="172"/>
      <c r="AYI30" s="172"/>
      <c r="AYJ30" s="172"/>
      <c r="AYK30" s="172"/>
      <c r="AYL30" s="172"/>
      <c r="AYM30" s="172"/>
      <c r="AYN30" s="172"/>
      <c r="AYO30" s="172"/>
      <c r="AYP30" s="172"/>
      <c r="AYQ30" s="172"/>
      <c r="AYR30" s="172"/>
      <c r="AYS30" s="172"/>
      <c r="AYT30" s="172"/>
      <c r="AYU30" s="172"/>
      <c r="AYV30" s="172"/>
      <c r="AYW30" s="172"/>
      <c r="AYX30" s="172"/>
      <c r="AYY30" s="172"/>
      <c r="AYZ30" s="172"/>
      <c r="AZA30" s="172"/>
      <c r="AZB30" s="172"/>
      <c r="AZC30" s="172"/>
      <c r="AZD30" s="172"/>
      <c r="AZE30" s="172"/>
      <c r="AZF30" s="172"/>
      <c r="AZG30" s="172"/>
      <c r="AZH30" s="172"/>
      <c r="AZI30" s="172"/>
      <c r="AZJ30" s="172"/>
      <c r="AZK30" s="172"/>
      <c r="AZL30" s="172"/>
      <c r="AZM30" s="172"/>
      <c r="AZN30" s="172"/>
      <c r="AZO30" s="172"/>
      <c r="AZP30" s="172"/>
      <c r="AZQ30" s="172"/>
      <c r="AZR30" s="172"/>
      <c r="AZS30" s="172"/>
      <c r="AZT30" s="172"/>
      <c r="AZU30" s="172"/>
      <c r="AZV30" s="172"/>
      <c r="AZW30" s="172"/>
      <c r="AZX30" s="172"/>
      <c r="AZY30" s="172"/>
      <c r="AZZ30" s="172"/>
      <c r="BAA30" s="172"/>
      <c r="BAB30" s="172"/>
      <c r="BAC30" s="172"/>
      <c r="BAD30" s="172"/>
      <c r="BAE30" s="172"/>
      <c r="BAF30" s="172"/>
      <c r="BAG30" s="172"/>
      <c r="BAH30" s="172"/>
      <c r="BAI30" s="172"/>
      <c r="BAJ30" s="172"/>
      <c r="BAK30" s="172"/>
      <c r="BAL30" s="172"/>
      <c r="BAM30" s="172"/>
      <c r="BAN30" s="172"/>
      <c r="BAO30" s="172"/>
      <c r="BAP30" s="172"/>
      <c r="BAQ30" s="172"/>
      <c r="BAR30" s="172"/>
      <c r="BAS30" s="172"/>
      <c r="BAT30" s="172"/>
      <c r="BAU30" s="172"/>
      <c r="BAV30" s="172"/>
      <c r="BAW30" s="172"/>
      <c r="BAX30" s="172"/>
      <c r="BAY30" s="172"/>
      <c r="BAZ30" s="172"/>
      <c r="BBA30" s="172"/>
      <c r="BBB30" s="172"/>
      <c r="BBC30" s="172"/>
      <c r="BBD30" s="172"/>
      <c r="BBE30" s="172"/>
      <c r="BBF30" s="172"/>
      <c r="BBG30" s="172"/>
      <c r="BBH30" s="172"/>
      <c r="BBI30" s="172"/>
      <c r="BBJ30" s="172"/>
      <c r="BBK30" s="172"/>
      <c r="BBL30" s="172"/>
      <c r="BBM30" s="172"/>
      <c r="BBN30" s="172"/>
      <c r="BBO30" s="172"/>
      <c r="BBP30" s="172"/>
      <c r="BBQ30" s="172"/>
      <c r="BBR30" s="172"/>
      <c r="BBS30" s="172"/>
      <c r="BBT30" s="172"/>
      <c r="BBU30" s="172"/>
      <c r="BBV30" s="172"/>
      <c r="BBW30" s="172"/>
      <c r="BBX30" s="172"/>
      <c r="BBY30" s="172"/>
      <c r="BBZ30" s="172"/>
      <c r="BCA30" s="172"/>
      <c r="BCB30" s="172"/>
      <c r="BCC30" s="172"/>
      <c r="BCD30" s="172"/>
      <c r="BCE30" s="172"/>
      <c r="BCF30" s="172"/>
      <c r="BCG30" s="172"/>
      <c r="BCH30" s="172"/>
      <c r="BCI30" s="172"/>
      <c r="BCJ30" s="172"/>
      <c r="BCK30" s="172"/>
      <c r="BCL30" s="172"/>
      <c r="BCM30" s="172"/>
      <c r="BCN30" s="172"/>
      <c r="BCO30" s="172"/>
      <c r="BCP30" s="172"/>
      <c r="BCQ30" s="172"/>
      <c r="BCR30" s="172"/>
      <c r="BCS30" s="172"/>
      <c r="BCT30" s="172"/>
      <c r="BCU30" s="172"/>
      <c r="BCV30" s="172"/>
      <c r="BCW30" s="172"/>
      <c r="BCX30" s="172"/>
      <c r="BCY30" s="172"/>
      <c r="BCZ30" s="172"/>
      <c r="BDA30" s="172"/>
      <c r="BDB30" s="172"/>
      <c r="BDC30" s="172"/>
      <c r="BDD30" s="172"/>
      <c r="BDE30" s="172"/>
      <c r="BDF30" s="172"/>
      <c r="BDG30" s="172"/>
      <c r="BDH30" s="172"/>
      <c r="BDI30" s="172"/>
      <c r="BDJ30" s="172"/>
      <c r="BDK30" s="172"/>
      <c r="BDL30" s="172"/>
      <c r="BDM30" s="172"/>
      <c r="BDN30" s="172"/>
      <c r="BDO30" s="172"/>
      <c r="BDP30" s="172"/>
      <c r="BDQ30" s="172"/>
      <c r="BDR30" s="172"/>
      <c r="BDS30" s="172"/>
      <c r="BDT30" s="172"/>
      <c r="BDU30" s="172"/>
      <c r="BDV30" s="172"/>
      <c r="BDW30" s="172"/>
      <c r="BDX30" s="172"/>
      <c r="BDY30" s="172"/>
      <c r="BDZ30" s="172"/>
      <c r="BEA30" s="172"/>
      <c r="BEB30" s="172"/>
      <c r="BEC30" s="172"/>
      <c r="BED30" s="172"/>
      <c r="BEE30" s="172"/>
      <c r="BEF30" s="172"/>
      <c r="BEG30" s="172"/>
      <c r="BEH30" s="172"/>
      <c r="BEI30" s="172"/>
      <c r="BEJ30" s="172"/>
      <c r="BEK30" s="172"/>
      <c r="BEL30" s="172"/>
      <c r="BEM30" s="172"/>
      <c r="BEN30" s="172"/>
      <c r="BEO30" s="172"/>
      <c r="BEP30" s="172"/>
      <c r="BEQ30" s="172"/>
      <c r="BER30" s="172"/>
      <c r="BES30" s="172"/>
      <c r="BET30" s="172"/>
      <c r="BEU30" s="172"/>
      <c r="BEV30" s="172"/>
      <c r="BEW30" s="172"/>
      <c r="BEX30" s="172"/>
      <c r="BEY30" s="172"/>
      <c r="BEZ30" s="172"/>
      <c r="BFA30" s="172"/>
      <c r="BFB30" s="172"/>
      <c r="BFC30" s="172"/>
      <c r="BFD30" s="172"/>
      <c r="BFE30" s="172"/>
      <c r="BFF30" s="172"/>
      <c r="BFG30" s="172"/>
      <c r="BFH30" s="172"/>
      <c r="BFI30" s="172"/>
      <c r="BFJ30" s="172"/>
      <c r="BFK30" s="172"/>
      <c r="BFL30" s="172"/>
      <c r="BFM30" s="172"/>
      <c r="BFN30" s="172"/>
      <c r="BFO30" s="172"/>
      <c r="BFP30" s="172"/>
      <c r="BFQ30" s="172"/>
      <c r="BFR30" s="172"/>
      <c r="BFS30" s="172"/>
      <c r="BFT30" s="172"/>
      <c r="BFU30" s="172"/>
      <c r="BFV30" s="172"/>
      <c r="BFW30" s="172"/>
      <c r="BFX30" s="172"/>
      <c r="BFY30" s="172"/>
      <c r="BFZ30" s="172"/>
      <c r="BGA30" s="172"/>
      <c r="BGB30" s="172"/>
      <c r="BGC30" s="172"/>
      <c r="BGD30" s="172"/>
      <c r="BGE30" s="172"/>
      <c r="BGF30" s="172"/>
      <c r="BGG30" s="172"/>
      <c r="BGH30" s="172"/>
      <c r="BGI30" s="172"/>
      <c r="BGJ30" s="172"/>
      <c r="BGK30" s="172"/>
      <c r="BGL30" s="172"/>
      <c r="BGM30" s="172"/>
      <c r="BGN30" s="172"/>
      <c r="BGO30" s="172"/>
      <c r="BGP30" s="172"/>
      <c r="BGQ30" s="172"/>
      <c r="BGR30" s="172"/>
      <c r="BGS30" s="172"/>
      <c r="BGT30" s="172"/>
      <c r="BGU30" s="172"/>
      <c r="BGV30" s="172"/>
      <c r="BGW30" s="172"/>
      <c r="BGX30" s="172"/>
      <c r="BGY30" s="172"/>
      <c r="BGZ30" s="172"/>
      <c r="BHA30" s="172"/>
      <c r="BHB30" s="172"/>
      <c r="BHC30" s="172"/>
      <c r="BHD30" s="172"/>
      <c r="BHE30" s="172"/>
      <c r="BHF30" s="172"/>
      <c r="BHG30" s="172"/>
      <c r="BHH30" s="172"/>
      <c r="BHI30" s="172"/>
      <c r="BHJ30" s="172"/>
      <c r="BHK30" s="172"/>
      <c r="BHL30" s="172"/>
      <c r="BHM30" s="172"/>
      <c r="BHN30" s="172"/>
      <c r="BHO30" s="172"/>
      <c r="BHP30" s="172"/>
      <c r="BHQ30" s="172"/>
      <c r="BHR30" s="172"/>
      <c r="BHS30" s="172"/>
      <c r="BHT30" s="172"/>
      <c r="BHU30" s="172"/>
      <c r="BHV30" s="172"/>
      <c r="BHW30" s="172"/>
      <c r="BHX30" s="172"/>
      <c r="BHY30" s="172"/>
      <c r="BHZ30" s="172"/>
      <c r="BIA30" s="172"/>
      <c r="BIB30" s="172"/>
      <c r="BIC30" s="172"/>
      <c r="BID30" s="172"/>
      <c r="BIE30" s="172"/>
      <c r="BIF30" s="172"/>
      <c r="BIG30" s="172"/>
      <c r="BIH30" s="172"/>
      <c r="BII30" s="172"/>
      <c r="BIJ30" s="172"/>
      <c r="BIK30" s="172"/>
      <c r="BIL30" s="172"/>
      <c r="BIM30" s="172"/>
      <c r="BIN30" s="172"/>
      <c r="BIO30" s="172"/>
      <c r="BIP30" s="172"/>
      <c r="BIQ30" s="172"/>
      <c r="BIR30" s="172"/>
      <c r="BIS30" s="172"/>
      <c r="BIT30" s="172"/>
      <c r="BIU30" s="172"/>
      <c r="BIV30" s="172"/>
      <c r="BIW30" s="172"/>
      <c r="BIX30" s="172"/>
      <c r="BIY30" s="172"/>
      <c r="BIZ30" s="172"/>
      <c r="BJA30" s="172"/>
      <c r="BJB30" s="172"/>
      <c r="BJC30" s="172"/>
      <c r="BJD30" s="172"/>
      <c r="BJE30" s="172"/>
      <c r="BJF30" s="172"/>
      <c r="BJG30" s="172"/>
      <c r="BJH30" s="172"/>
      <c r="BJI30" s="172"/>
      <c r="BJJ30" s="172"/>
      <c r="BJK30" s="172"/>
      <c r="BJL30" s="172"/>
      <c r="BJM30" s="172"/>
      <c r="BJN30" s="172"/>
      <c r="BJO30" s="172"/>
      <c r="BJP30" s="172"/>
      <c r="BJQ30" s="172"/>
      <c r="BJR30" s="172"/>
      <c r="BJS30" s="172"/>
      <c r="BJT30" s="172"/>
      <c r="BJU30" s="172"/>
      <c r="BJV30" s="172"/>
      <c r="BJW30" s="172"/>
      <c r="BJX30" s="172"/>
      <c r="BJY30" s="172"/>
      <c r="BJZ30" s="172"/>
      <c r="BKA30" s="172"/>
      <c r="BKB30" s="172"/>
      <c r="BKC30" s="172"/>
      <c r="BKD30" s="172"/>
      <c r="BKE30" s="172"/>
      <c r="BKF30" s="172"/>
      <c r="BKG30" s="172"/>
      <c r="BKH30" s="172"/>
      <c r="BKI30" s="172"/>
      <c r="BKJ30" s="172"/>
      <c r="BKK30" s="172"/>
      <c r="BKL30" s="172"/>
      <c r="BKM30" s="172"/>
      <c r="BKN30" s="172"/>
      <c r="BKO30" s="172"/>
      <c r="BKP30" s="172"/>
      <c r="BKQ30" s="172"/>
      <c r="BKR30" s="172"/>
      <c r="BKS30" s="172"/>
      <c r="BKT30" s="172"/>
      <c r="BKU30" s="172"/>
      <c r="BKV30" s="172"/>
      <c r="BKW30" s="172"/>
      <c r="BKX30" s="172"/>
      <c r="BKY30" s="172"/>
      <c r="BKZ30" s="172"/>
      <c r="BLA30" s="172"/>
      <c r="BLB30" s="172"/>
      <c r="BLC30" s="172"/>
      <c r="BLD30" s="172"/>
      <c r="BLE30" s="172"/>
      <c r="BLF30" s="172"/>
      <c r="BLG30" s="172"/>
      <c r="BLH30" s="172"/>
      <c r="BLI30" s="172"/>
      <c r="BLJ30" s="172"/>
      <c r="BLK30" s="172"/>
      <c r="BLL30" s="172"/>
      <c r="BLM30" s="172"/>
      <c r="BLN30" s="172"/>
      <c r="BLO30" s="172"/>
      <c r="BLP30" s="172"/>
      <c r="BLQ30" s="172"/>
      <c r="BLR30" s="172"/>
      <c r="BLS30" s="172"/>
      <c r="BLT30" s="172"/>
      <c r="BLU30" s="172"/>
      <c r="BLV30" s="172"/>
      <c r="BLW30" s="172"/>
      <c r="BLX30" s="172"/>
      <c r="BLY30" s="172"/>
      <c r="BLZ30" s="172"/>
      <c r="BMA30" s="172"/>
      <c r="BMB30" s="172"/>
      <c r="BMC30" s="172"/>
      <c r="BMD30" s="172"/>
      <c r="BME30" s="172"/>
      <c r="BMF30" s="172"/>
      <c r="BMG30" s="172"/>
      <c r="BMH30" s="172"/>
      <c r="BMI30" s="172"/>
      <c r="BMJ30" s="172"/>
      <c r="BMK30" s="172"/>
      <c r="BML30" s="172"/>
      <c r="BMM30" s="172"/>
      <c r="BMN30" s="172"/>
      <c r="BMO30" s="172"/>
      <c r="BMP30" s="172"/>
      <c r="BMQ30" s="172"/>
      <c r="BMR30" s="172"/>
      <c r="BMS30" s="172"/>
      <c r="BMT30" s="172"/>
      <c r="BMU30" s="172"/>
      <c r="BMV30" s="172"/>
      <c r="BMW30" s="172"/>
      <c r="BMX30" s="172"/>
      <c r="BMY30" s="172"/>
      <c r="BMZ30" s="172"/>
      <c r="BNA30" s="172"/>
      <c r="BNB30" s="172"/>
      <c r="BNC30" s="172"/>
      <c r="BND30" s="172"/>
      <c r="BNE30" s="172"/>
      <c r="BNF30" s="172"/>
      <c r="BNG30" s="172"/>
      <c r="BNH30" s="172"/>
      <c r="BNI30" s="172"/>
      <c r="BNJ30" s="172"/>
      <c r="BNK30" s="172"/>
      <c r="BNL30" s="172"/>
      <c r="BNM30" s="172"/>
      <c r="BNN30" s="172"/>
      <c r="BNO30" s="172"/>
      <c r="BNP30" s="172"/>
      <c r="BNQ30" s="172"/>
      <c r="BNR30" s="172"/>
      <c r="BNS30" s="172"/>
      <c r="BNT30" s="172"/>
      <c r="BNU30" s="172"/>
      <c r="BNV30" s="172"/>
      <c r="BNW30" s="172"/>
      <c r="BNX30" s="172"/>
      <c r="BNY30" s="172"/>
      <c r="BNZ30" s="172"/>
      <c r="BOA30" s="172"/>
      <c r="BOB30" s="172"/>
      <c r="BOC30" s="172"/>
      <c r="BOD30" s="172"/>
      <c r="BOE30" s="172"/>
      <c r="BOF30" s="172"/>
      <c r="BOG30" s="172"/>
      <c r="BOH30" s="172"/>
      <c r="BOI30" s="172"/>
      <c r="BOJ30" s="172"/>
      <c r="BOK30" s="172"/>
      <c r="BOL30" s="172"/>
      <c r="BOM30" s="172"/>
      <c r="BON30" s="172"/>
      <c r="BOO30" s="172"/>
      <c r="BOP30" s="172"/>
      <c r="BOQ30" s="172"/>
      <c r="BOR30" s="172"/>
      <c r="BOS30" s="172"/>
      <c r="BOT30" s="172"/>
      <c r="BOU30" s="172"/>
      <c r="BOV30" s="172"/>
      <c r="BOW30" s="172"/>
      <c r="BOX30" s="172"/>
      <c r="BOY30" s="172"/>
      <c r="BOZ30" s="172"/>
      <c r="BPA30" s="172"/>
      <c r="BPB30" s="172"/>
      <c r="BPC30" s="172"/>
      <c r="BPD30" s="172"/>
      <c r="BPE30" s="172"/>
      <c r="BPF30" s="172"/>
      <c r="BPG30" s="172"/>
      <c r="BPH30" s="172"/>
      <c r="BPI30" s="172"/>
      <c r="BPJ30" s="172"/>
      <c r="BPK30" s="172"/>
      <c r="BPL30" s="172"/>
      <c r="BPM30" s="172"/>
      <c r="BPN30" s="172"/>
      <c r="BPO30" s="172"/>
      <c r="BPP30" s="172"/>
      <c r="BPQ30" s="172"/>
      <c r="BPR30" s="172"/>
      <c r="BPS30" s="172"/>
      <c r="BPT30" s="172"/>
      <c r="BPU30" s="172"/>
      <c r="BPV30" s="172"/>
      <c r="BPW30" s="172"/>
      <c r="BPX30" s="172"/>
      <c r="BPY30" s="172"/>
      <c r="BPZ30" s="172"/>
      <c r="BQA30" s="172"/>
      <c r="BQB30" s="172"/>
      <c r="BQC30" s="172"/>
      <c r="BQD30" s="172"/>
      <c r="BQE30" s="172"/>
      <c r="BQF30" s="172"/>
      <c r="BQG30" s="172"/>
      <c r="BQH30" s="172"/>
      <c r="BQI30" s="172"/>
      <c r="BQJ30" s="172"/>
      <c r="BQK30" s="172"/>
      <c r="BQL30" s="172"/>
      <c r="BQM30" s="172"/>
      <c r="BQN30" s="172"/>
      <c r="BQO30" s="172"/>
      <c r="BQP30" s="172"/>
      <c r="BQQ30" s="172"/>
      <c r="BQR30" s="172"/>
      <c r="BQS30" s="172"/>
      <c r="BQT30" s="172"/>
      <c r="BQU30" s="172"/>
      <c r="BQV30" s="172"/>
      <c r="BQW30" s="172"/>
      <c r="BQX30" s="172"/>
      <c r="BQY30" s="172"/>
      <c r="BQZ30" s="172"/>
      <c r="BRA30" s="172"/>
      <c r="BRB30" s="172"/>
      <c r="BRC30" s="172"/>
      <c r="BRD30" s="172"/>
      <c r="BRE30" s="172"/>
      <c r="BRF30" s="172"/>
      <c r="BRG30" s="172"/>
      <c r="BRH30" s="172"/>
      <c r="BRI30" s="172"/>
      <c r="BRJ30" s="172"/>
      <c r="BRK30" s="172"/>
      <c r="BRL30" s="172"/>
      <c r="BRM30" s="172"/>
      <c r="BRN30" s="172"/>
      <c r="BRO30" s="172"/>
      <c r="BRP30" s="172"/>
      <c r="BRQ30" s="172"/>
      <c r="BRR30" s="172"/>
      <c r="BRS30" s="172"/>
      <c r="BRT30" s="172"/>
      <c r="BRU30" s="172"/>
      <c r="BRV30" s="172"/>
      <c r="BRW30" s="172"/>
      <c r="BRX30" s="172"/>
      <c r="BRY30" s="172"/>
      <c r="BRZ30" s="172"/>
      <c r="BSA30" s="172"/>
      <c r="BSB30" s="172"/>
      <c r="BSC30" s="172"/>
      <c r="BSD30" s="172"/>
      <c r="BSE30" s="172"/>
      <c r="BSF30" s="172"/>
      <c r="BSG30" s="172"/>
      <c r="BSH30" s="172"/>
      <c r="BSI30" s="172"/>
      <c r="BSJ30" s="172"/>
      <c r="BSK30" s="172"/>
      <c r="BSL30" s="172"/>
      <c r="BSM30" s="172"/>
      <c r="BSN30" s="172"/>
      <c r="BSO30" s="172"/>
      <c r="BSP30" s="172"/>
      <c r="BSQ30" s="172"/>
      <c r="BSR30" s="172"/>
      <c r="BSS30" s="172"/>
      <c r="BST30" s="172"/>
      <c r="BSU30" s="172"/>
      <c r="BSV30" s="172"/>
      <c r="BSW30" s="172"/>
      <c r="BSX30" s="172"/>
      <c r="BSY30" s="172"/>
      <c r="BSZ30" s="172"/>
      <c r="BTA30" s="172"/>
      <c r="BTB30" s="172"/>
      <c r="BTC30" s="172"/>
      <c r="BTD30" s="172"/>
      <c r="BTE30" s="172"/>
      <c r="BTF30" s="172"/>
      <c r="BTG30" s="172"/>
      <c r="BTH30" s="172"/>
      <c r="BTI30" s="172"/>
      <c r="BTJ30" s="172"/>
      <c r="BTK30" s="172"/>
      <c r="BTL30" s="172"/>
      <c r="BTM30" s="172"/>
      <c r="BTN30" s="172"/>
      <c r="BTO30" s="172"/>
      <c r="BTP30" s="172"/>
      <c r="BTQ30" s="172"/>
      <c r="BTR30" s="172"/>
      <c r="BTS30" s="172"/>
      <c r="BTT30" s="172"/>
      <c r="BTU30" s="172"/>
      <c r="BTV30" s="172"/>
      <c r="BTW30" s="172"/>
      <c r="BTX30" s="172"/>
      <c r="BTY30" s="172"/>
      <c r="BTZ30" s="172"/>
      <c r="BUA30" s="172"/>
      <c r="BUB30" s="172"/>
      <c r="BUC30" s="172"/>
      <c r="BUD30" s="172"/>
      <c r="BUE30" s="172"/>
      <c r="BUF30" s="172"/>
      <c r="BUG30" s="172"/>
      <c r="BUH30" s="172"/>
      <c r="BUI30" s="172"/>
      <c r="BUJ30" s="172"/>
      <c r="BUK30" s="172"/>
      <c r="BUL30" s="172"/>
      <c r="BUM30" s="172"/>
      <c r="BUN30" s="172"/>
      <c r="BUO30" s="172"/>
      <c r="BUP30" s="172"/>
      <c r="BUQ30" s="172"/>
      <c r="BUR30" s="172"/>
      <c r="BUS30" s="172"/>
      <c r="BUT30" s="172"/>
      <c r="BUU30" s="172"/>
      <c r="BUV30" s="172"/>
      <c r="BUW30" s="172"/>
      <c r="BUX30" s="172"/>
      <c r="BUY30" s="172"/>
      <c r="BUZ30" s="172"/>
      <c r="BVA30" s="172"/>
      <c r="BVB30" s="172"/>
      <c r="BVC30" s="172"/>
      <c r="BVD30" s="172"/>
      <c r="BVE30" s="172"/>
      <c r="BVF30" s="172"/>
      <c r="BVG30" s="172"/>
      <c r="BVH30" s="172"/>
      <c r="BVI30" s="172"/>
      <c r="BVJ30" s="172"/>
      <c r="BVK30" s="172"/>
      <c r="BVL30" s="172"/>
      <c r="BVM30" s="172"/>
      <c r="BVN30" s="172"/>
      <c r="BVO30" s="172"/>
      <c r="BVP30" s="172"/>
      <c r="BVQ30" s="172"/>
      <c r="BVR30" s="172"/>
      <c r="BVS30" s="172"/>
      <c r="BVT30" s="172"/>
      <c r="BVU30" s="172"/>
      <c r="BVV30" s="172"/>
      <c r="BVW30" s="172"/>
      <c r="BVX30" s="172"/>
      <c r="BVY30" s="172"/>
      <c r="BVZ30" s="172"/>
      <c r="BWA30" s="172"/>
      <c r="BWB30" s="172"/>
      <c r="BWC30" s="172"/>
      <c r="BWD30" s="172"/>
      <c r="BWE30" s="172"/>
      <c r="BWF30" s="172"/>
      <c r="BWG30" s="172"/>
      <c r="BWH30" s="172"/>
      <c r="BWI30" s="172"/>
      <c r="BWJ30" s="172"/>
      <c r="BWK30" s="172"/>
      <c r="BWL30" s="172"/>
      <c r="BWM30" s="172"/>
      <c r="BWN30" s="172"/>
      <c r="BWO30" s="172"/>
      <c r="BWP30" s="172"/>
      <c r="BWQ30" s="172"/>
      <c r="BWR30" s="172"/>
      <c r="BWS30" s="172"/>
      <c r="BWT30" s="172"/>
      <c r="BWU30" s="172"/>
      <c r="BWV30" s="172"/>
      <c r="BWW30" s="172"/>
      <c r="BWX30" s="172"/>
      <c r="BWY30" s="172"/>
      <c r="BWZ30" s="172"/>
      <c r="BXA30" s="172"/>
      <c r="BXB30" s="172"/>
      <c r="BXC30" s="172"/>
      <c r="BXD30" s="172"/>
      <c r="BXE30" s="172"/>
      <c r="BXF30" s="172"/>
      <c r="BXG30" s="172"/>
      <c r="BXH30" s="172"/>
      <c r="BXI30" s="172"/>
      <c r="BXJ30" s="172"/>
      <c r="BXK30" s="172"/>
      <c r="BXL30" s="172"/>
      <c r="BXM30" s="172"/>
      <c r="BXN30" s="172"/>
      <c r="BXO30" s="172"/>
      <c r="BXP30" s="172"/>
      <c r="BXQ30" s="172"/>
      <c r="BXR30" s="172"/>
      <c r="BXS30" s="172"/>
      <c r="BXT30" s="172"/>
      <c r="BXU30" s="172"/>
      <c r="BXV30" s="172"/>
      <c r="BXW30" s="172"/>
      <c r="BXX30" s="172"/>
      <c r="BXY30" s="172"/>
      <c r="BXZ30" s="172"/>
      <c r="BYA30" s="172"/>
      <c r="BYB30" s="172"/>
      <c r="BYC30" s="172"/>
      <c r="BYD30" s="172"/>
      <c r="BYE30" s="172"/>
      <c r="BYF30" s="172"/>
      <c r="BYG30" s="172"/>
      <c r="BYH30" s="172"/>
      <c r="BYI30" s="172"/>
      <c r="BYJ30" s="172"/>
      <c r="BYK30" s="172"/>
      <c r="BYL30" s="172"/>
      <c r="BYM30" s="172"/>
      <c r="BYN30" s="172"/>
      <c r="BYO30" s="172"/>
      <c r="BYP30" s="172"/>
      <c r="BYQ30" s="172"/>
      <c r="BYR30" s="172"/>
      <c r="BYS30" s="172"/>
      <c r="BYT30" s="172"/>
      <c r="BYU30" s="172"/>
      <c r="BYV30" s="172"/>
      <c r="BYW30" s="172"/>
      <c r="BYX30" s="172"/>
      <c r="BYY30" s="172"/>
      <c r="BYZ30" s="172"/>
      <c r="BZA30" s="172"/>
      <c r="BZB30" s="172"/>
      <c r="BZC30" s="172"/>
      <c r="BZD30" s="172"/>
      <c r="BZE30" s="172"/>
      <c r="BZF30" s="172"/>
      <c r="BZG30" s="172"/>
      <c r="BZH30" s="172"/>
      <c r="BZI30" s="172"/>
      <c r="BZJ30" s="172"/>
      <c r="BZK30" s="172"/>
      <c r="BZL30" s="172"/>
      <c r="BZM30" s="172"/>
      <c r="BZN30" s="172"/>
      <c r="BZO30" s="172"/>
      <c r="BZP30" s="172"/>
      <c r="BZQ30" s="172"/>
      <c r="BZR30" s="172"/>
      <c r="BZS30" s="172"/>
      <c r="BZT30" s="172"/>
      <c r="BZU30" s="172"/>
      <c r="BZV30" s="172"/>
      <c r="BZW30" s="172"/>
      <c r="BZX30" s="172"/>
      <c r="BZY30" s="172"/>
      <c r="BZZ30" s="172"/>
      <c r="CAA30" s="172"/>
      <c r="CAB30" s="172"/>
      <c r="CAC30" s="172"/>
      <c r="CAD30" s="172"/>
      <c r="CAE30" s="172"/>
      <c r="CAF30" s="172"/>
      <c r="CAG30" s="172"/>
      <c r="CAH30" s="172"/>
      <c r="CAI30" s="172"/>
      <c r="CAJ30" s="172"/>
      <c r="CAK30" s="172"/>
      <c r="CAL30" s="172"/>
      <c r="CAM30" s="172"/>
      <c r="CAN30" s="172"/>
      <c r="CAO30" s="172"/>
      <c r="CAP30" s="172"/>
      <c r="CAQ30" s="172"/>
      <c r="CAR30" s="172"/>
      <c r="CAS30" s="172"/>
      <c r="CAT30" s="172"/>
      <c r="CAU30" s="172"/>
      <c r="CAV30" s="172"/>
      <c r="CAW30" s="172"/>
      <c r="CAX30" s="172"/>
      <c r="CAY30" s="172"/>
      <c r="CAZ30" s="172"/>
      <c r="CBA30" s="172"/>
      <c r="CBB30" s="172"/>
      <c r="CBC30" s="172"/>
      <c r="CBD30" s="172"/>
      <c r="CBE30" s="172"/>
      <c r="CBF30" s="172"/>
      <c r="CBG30" s="172"/>
      <c r="CBH30" s="172"/>
      <c r="CBI30" s="172"/>
      <c r="CBJ30" s="172"/>
      <c r="CBK30" s="172"/>
      <c r="CBL30" s="172"/>
      <c r="CBM30" s="172"/>
      <c r="CBN30" s="172"/>
      <c r="CBO30" s="172"/>
      <c r="CBP30" s="172"/>
      <c r="CBQ30" s="172"/>
      <c r="CBR30" s="172"/>
      <c r="CBS30" s="172"/>
      <c r="CBT30" s="172"/>
      <c r="CBU30" s="172"/>
      <c r="CBV30" s="172"/>
      <c r="CBW30" s="172"/>
      <c r="CBX30" s="172"/>
      <c r="CBY30" s="172"/>
      <c r="CBZ30" s="172"/>
      <c r="CCA30" s="172"/>
      <c r="CCB30" s="172"/>
      <c r="CCC30" s="172"/>
      <c r="CCD30" s="172"/>
      <c r="CCE30" s="172"/>
      <c r="CCF30" s="172"/>
      <c r="CCG30" s="172"/>
      <c r="CCH30" s="172"/>
      <c r="CCI30" s="172"/>
      <c r="CCJ30" s="172"/>
      <c r="CCK30" s="172"/>
      <c r="CCL30" s="172"/>
      <c r="CCM30" s="172"/>
      <c r="CCN30" s="172"/>
      <c r="CCO30" s="172"/>
      <c r="CCP30" s="172"/>
      <c r="CCQ30" s="172"/>
      <c r="CCR30" s="172"/>
      <c r="CCS30" s="172"/>
      <c r="CCT30" s="172"/>
      <c r="CCU30" s="172"/>
      <c r="CCV30" s="172"/>
      <c r="CCW30" s="172"/>
      <c r="CCX30" s="172"/>
      <c r="CCY30" s="172"/>
      <c r="CCZ30" s="172"/>
      <c r="CDA30" s="172"/>
      <c r="CDB30" s="172"/>
      <c r="CDC30" s="172"/>
      <c r="CDD30" s="172"/>
      <c r="CDE30" s="172"/>
      <c r="CDF30" s="172"/>
      <c r="CDG30" s="172"/>
      <c r="CDH30" s="172"/>
      <c r="CDI30" s="172"/>
      <c r="CDJ30" s="172"/>
      <c r="CDK30" s="172"/>
      <c r="CDL30" s="172"/>
      <c r="CDM30" s="172"/>
      <c r="CDN30" s="172"/>
      <c r="CDO30" s="172"/>
      <c r="CDP30" s="172"/>
      <c r="CDQ30" s="172"/>
      <c r="CDR30" s="172"/>
      <c r="CDS30" s="172"/>
      <c r="CDT30" s="172"/>
      <c r="CDU30" s="172"/>
      <c r="CDV30" s="172"/>
      <c r="CDW30" s="172"/>
      <c r="CDX30" s="172"/>
      <c r="CDY30" s="172"/>
      <c r="CDZ30" s="172"/>
      <c r="CEA30" s="172"/>
      <c r="CEB30" s="172"/>
      <c r="CEC30" s="172"/>
      <c r="CED30" s="172"/>
      <c r="CEE30" s="172"/>
      <c r="CEF30" s="172"/>
      <c r="CEG30" s="172"/>
      <c r="CEH30" s="172"/>
      <c r="CEI30" s="172"/>
      <c r="CEJ30" s="172"/>
      <c r="CEK30" s="172"/>
      <c r="CEL30" s="172"/>
      <c r="CEM30" s="172"/>
      <c r="CEN30" s="172"/>
      <c r="CEO30" s="172"/>
      <c r="CEP30" s="172"/>
      <c r="CEQ30" s="172"/>
      <c r="CER30" s="172"/>
      <c r="CES30" s="172"/>
      <c r="CET30" s="172"/>
      <c r="CEU30" s="172"/>
      <c r="CEV30" s="172"/>
      <c r="CEW30" s="172"/>
      <c r="CEX30" s="172"/>
      <c r="CEY30" s="172"/>
      <c r="CEZ30" s="172"/>
      <c r="CFA30" s="172"/>
      <c r="CFB30" s="172"/>
      <c r="CFC30" s="172"/>
      <c r="CFD30" s="172"/>
      <c r="CFE30" s="172"/>
      <c r="CFF30" s="172"/>
      <c r="CFG30" s="172"/>
      <c r="CFH30" s="172"/>
      <c r="CFI30" s="172"/>
      <c r="CFJ30" s="172"/>
      <c r="CFK30" s="172"/>
      <c r="CFL30" s="172"/>
      <c r="CFM30" s="172"/>
      <c r="CFN30" s="172"/>
      <c r="CFO30" s="172"/>
      <c r="CFP30" s="172"/>
      <c r="CFQ30" s="172"/>
      <c r="CFR30" s="172"/>
      <c r="CFS30" s="172"/>
      <c r="CFT30" s="172"/>
      <c r="CFU30" s="172"/>
      <c r="CFV30" s="172"/>
      <c r="CFW30" s="172"/>
      <c r="CFX30" s="172"/>
      <c r="CFY30" s="172"/>
      <c r="CFZ30" s="172"/>
      <c r="CGA30" s="172"/>
      <c r="CGB30" s="172"/>
      <c r="CGC30" s="172"/>
      <c r="CGD30" s="172"/>
      <c r="CGE30" s="172"/>
      <c r="CGF30" s="172"/>
      <c r="CGG30" s="172"/>
      <c r="CGH30" s="172"/>
      <c r="CGI30" s="172"/>
      <c r="CGJ30" s="172"/>
      <c r="CGK30" s="172"/>
      <c r="CGL30" s="172"/>
      <c r="CGM30" s="172"/>
      <c r="CGN30" s="172"/>
      <c r="CGO30" s="172"/>
      <c r="CGP30" s="172"/>
      <c r="CGQ30" s="172"/>
      <c r="CGR30" s="172"/>
      <c r="CGS30" s="172"/>
      <c r="CGT30" s="172"/>
      <c r="CGU30" s="172"/>
      <c r="CGV30" s="172"/>
      <c r="CGW30" s="172"/>
      <c r="CGX30" s="172"/>
      <c r="CGY30" s="172"/>
      <c r="CGZ30" s="172"/>
      <c r="CHA30" s="172"/>
      <c r="CHB30" s="172"/>
      <c r="CHC30" s="172"/>
      <c r="CHD30" s="172"/>
      <c r="CHE30" s="172"/>
      <c r="CHF30" s="172"/>
      <c r="CHG30" s="172"/>
      <c r="CHH30" s="172"/>
      <c r="CHI30" s="172"/>
      <c r="CHJ30" s="172"/>
      <c r="CHK30" s="172"/>
      <c r="CHL30" s="172"/>
      <c r="CHM30" s="172"/>
      <c r="CHN30" s="172"/>
      <c r="CHO30" s="172"/>
      <c r="CHP30" s="172"/>
      <c r="CHQ30" s="172"/>
      <c r="CHR30" s="172"/>
      <c r="CHS30" s="172"/>
      <c r="CHT30" s="172"/>
      <c r="CHU30" s="172"/>
      <c r="CHV30" s="172"/>
      <c r="CHW30" s="172"/>
      <c r="CHX30" s="172"/>
      <c r="CHY30" s="172"/>
      <c r="CHZ30" s="172"/>
      <c r="CIA30" s="172"/>
      <c r="CIB30" s="172"/>
      <c r="CIC30" s="172"/>
      <c r="CID30" s="172"/>
      <c r="CIE30" s="172"/>
      <c r="CIF30" s="172"/>
      <c r="CIG30" s="172"/>
      <c r="CIH30" s="172"/>
      <c r="CII30" s="172"/>
      <c r="CIJ30" s="172"/>
      <c r="CIK30" s="172"/>
      <c r="CIL30" s="172"/>
      <c r="CIM30" s="172"/>
      <c r="CIN30" s="172"/>
      <c r="CIO30" s="172"/>
      <c r="CIP30" s="172"/>
      <c r="CIQ30" s="172"/>
      <c r="CIR30" s="172"/>
      <c r="CIS30" s="172"/>
      <c r="CIT30" s="172"/>
      <c r="CIU30" s="172"/>
      <c r="CIV30" s="172"/>
      <c r="CIW30" s="172"/>
      <c r="CIX30" s="172"/>
      <c r="CIY30" s="172"/>
      <c r="CIZ30" s="172"/>
      <c r="CJA30" s="172"/>
      <c r="CJB30" s="172"/>
      <c r="CJC30" s="172"/>
      <c r="CJD30" s="172"/>
      <c r="CJE30" s="172"/>
      <c r="CJF30" s="172"/>
      <c r="CJG30" s="172"/>
      <c r="CJH30" s="172"/>
      <c r="CJI30" s="172"/>
      <c r="CJJ30" s="172"/>
      <c r="CJK30" s="172"/>
      <c r="CJL30" s="172"/>
      <c r="CJM30" s="172"/>
      <c r="CJN30" s="172"/>
      <c r="CJO30" s="172"/>
      <c r="CJP30" s="172"/>
      <c r="CJQ30" s="172"/>
      <c r="CJR30" s="172"/>
      <c r="CJS30" s="172"/>
      <c r="CJT30" s="172"/>
      <c r="CJU30" s="172"/>
      <c r="CJV30" s="172"/>
      <c r="CJW30" s="172"/>
      <c r="CJX30" s="172"/>
      <c r="CJY30" s="172"/>
      <c r="CJZ30" s="172"/>
      <c r="CKA30" s="172"/>
      <c r="CKB30" s="172"/>
      <c r="CKC30" s="172"/>
      <c r="CKD30" s="172"/>
      <c r="CKE30" s="172"/>
      <c r="CKF30" s="172"/>
      <c r="CKG30" s="172"/>
      <c r="CKH30" s="172"/>
      <c r="CKI30" s="172"/>
      <c r="CKJ30" s="172"/>
      <c r="CKK30" s="172"/>
      <c r="CKL30" s="172"/>
      <c r="CKM30" s="172"/>
      <c r="CKN30" s="172"/>
      <c r="CKO30" s="172"/>
      <c r="CKP30" s="172"/>
      <c r="CKQ30" s="172"/>
      <c r="CKR30" s="172"/>
      <c r="CKS30" s="172"/>
      <c r="CKT30" s="172"/>
      <c r="CKU30" s="172"/>
      <c r="CKV30" s="172"/>
      <c r="CKW30" s="172"/>
      <c r="CKX30" s="172"/>
      <c r="CKY30" s="172"/>
      <c r="CKZ30" s="172"/>
      <c r="CLA30" s="172"/>
      <c r="CLB30" s="172"/>
      <c r="CLC30" s="172"/>
      <c r="CLD30" s="172"/>
      <c r="CLE30" s="172"/>
      <c r="CLF30" s="172"/>
      <c r="CLG30" s="172"/>
      <c r="CLH30" s="172"/>
      <c r="CLI30" s="172"/>
      <c r="CLJ30" s="172"/>
      <c r="CLK30" s="172"/>
      <c r="CLL30" s="172"/>
      <c r="CLM30" s="172"/>
      <c r="CLN30" s="172"/>
      <c r="CLO30" s="172"/>
      <c r="CLP30" s="172"/>
      <c r="CLQ30" s="172"/>
      <c r="CLR30" s="172"/>
      <c r="CLS30" s="172"/>
      <c r="CLT30" s="172"/>
      <c r="CLU30" s="172"/>
      <c r="CLV30" s="172"/>
      <c r="CLW30" s="172"/>
      <c r="CLX30" s="172"/>
      <c r="CLY30" s="172"/>
      <c r="CLZ30" s="172"/>
      <c r="CMA30" s="172"/>
      <c r="CMB30" s="172"/>
      <c r="CMC30" s="172"/>
      <c r="CMD30" s="172"/>
      <c r="CME30" s="172"/>
      <c r="CMF30" s="172"/>
      <c r="CMG30" s="172"/>
      <c r="CMH30" s="172"/>
      <c r="CMI30" s="172"/>
      <c r="CMJ30" s="172"/>
      <c r="CMK30" s="172"/>
      <c r="CML30" s="172"/>
      <c r="CMM30" s="172"/>
      <c r="CMN30" s="172"/>
      <c r="CMO30" s="172"/>
      <c r="CMP30" s="172"/>
      <c r="CMQ30" s="172"/>
      <c r="CMR30" s="172"/>
      <c r="CMS30" s="172"/>
      <c r="CMT30" s="172"/>
      <c r="CMU30" s="172"/>
      <c r="CMV30" s="172"/>
      <c r="CMW30" s="172"/>
      <c r="CMX30" s="172"/>
      <c r="CMY30" s="172"/>
      <c r="CMZ30" s="172"/>
      <c r="CNA30" s="172"/>
      <c r="CNB30" s="172"/>
      <c r="CNC30" s="172"/>
      <c r="CND30" s="172"/>
      <c r="CNE30" s="172"/>
      <c r="CNF30" s="172"/>
      <c r="CNG30" s="172"/>
      <c r="CNH30" s="172"/>
      <c r="CNI30" s="172"/>
      <c r="CNJ30" s="172"/>
      <c r="CNK30" s="172"/>
      <c r="CNL30" s="172"/>
      <c r="CNM30" s="172"/>
      <c r="CNN30" s="172"/>
      <c r="CNO30" s="172"/>
      <c r="CNP30" s="172"/>
      <c r="CNQ30" s="172"/>
      <c r="CNR30" s="172"/>
      <c r="CNS30" s="172"/>
      <c r="CNT30" s="172"/>
      <c r="CNU30" s="172"/>
      <c r="CNV30" s="172"/>
      <c r="CNW30" s="172"/>
      <c r="CNX30" s="172"/>
      <c r="CNY30" s="172"/>
      <c r="CNZ30" s="172"/>
      <c r="COA30" s="172"/>
      <c r="COB30" s="172"/>
      <c r="COC30" s="172"/>
      <c r="COD30" s="172"/>
      <c r="COE30" s="172"/>
      <c r="COF30" s="172"/>
      <c r="COG30" s="172"/>
      <c r="COH30" s="172"/>
      <c r="COI30" s="172"/>
      <c r="COJ30" s="172"/>
      <c r="COK30" s="172"/>
      <c r="COL30" s="172"/>
      <c r="COM30" s="172"/>
      <c r="CON30" s="172"/>
      <c r="COO30" s="172"/>
      <c r="COP30" s="172"/>
      <c r="COQ30" s="172"/>
      <c r="COR30" s="172"/>
      <c r="COS30" s="172"/>
      <c r="COT30" s="172"/>
      <c r="COU30" s="172"/>
      <c r="COV30" s="172"/>
      <c r="COW30" s="172"/>
      <c r="COX30" s="172"/>
      <c r="COY30" s="172"/>
      <c r="COZ30" s="172"/>
      <c r="CPA30" s="172"/>
      <c r="CPB30" s="172"/>
      <c r="CPC30" s="172"/>
      <c r="CPD30" s="172"/>
      <c r="CPE30" s="172"/>
      <c r="CPF30" s="172"/>
      <c r="CPG30" s="172"/>
      <c r="CPH30" s="172"/>
      <c r="CPI30" s="172"/>
      <c r="CPJ30" s="172"/>
      <c r="CPK30" s="172"/>
      <c r="CPL30" s="172"/>
      <c r="CPM30" s="172"/>
      <c r="CPN30" s="172"/>
      <c r="CPO30" s="172"/>
      <c r="CPP30" s="172"/>
      <c r="CPQ30" s="172"/>
      <c r="CPR30" s="172"/>
      <c r="CPS30" s="172"/>
      <c r="CPT30" s="172"/>
      <c r="CPU30" s="172"/>
      <c r="CPV30" s="172"/>
      <c r="CPW30" s="172"/>
      <c r="CPX30" s="172"/>
      <c r="CPY30" s="172"/>
      <c r="CPZ30" s="172"/>
      <c r="CQA30" s="172"/>
      <c r="CQB30" s="172"/>
      <c r="CQC30" s="172"/>
      <c r="CQD30" s="172"/>
      <c r="CQE30" s="172"/>
      <c r="CQF30" s="172"/>
      <c r="CQG30" s="172"/>
      <c r="CQH30" s="172"/>
      <c r="CQI30" s="172"/>
      <c r="CQJ30" s="172"/>
      <c r="CQK30" s="172"/>
      <c r="CQL30" s="172"/>
      <c r="CQM30" s="172"/>
      <c r="CQN30" s="172"/>
      <c r="CQO30" s="172"/>
      <c r="CQP30" s="172"/>
      <c r="CQQ30" s="172"/>
      <c r="CQR30" s="172"/>
      <c r="CQS30" s="172"/>
      <c r="CQT30" s="172"/>
      <c r="CQU30" s="172"/>
      <c r="CQV30" s="172"/>
      <c r="CQW30" s="172"/>
      <c r="CQX30" s="172"/>
      <c r="CQY30" s="172"/>
      <c r="CQZ30" s="172"/>
      <c r="CRA30" s="172"/>
      <c r="CRB30" s="172"/>
      <c r="CRC30" s="172"/>
      <c r="CRD30" s="172"/>
      <c r="CRE30" s="172"/>
      <c r="CRF30" s="172"/>
      <c r="CRG30" s="172"/>
      <c r="CRH30" s="172"/>
      <c r="CRI30" s="172"/>
      <c r="CRJ30" s="172"/>
      <c r="CRK30" s="172"/>
      <c r="CRL30" s="172"/>
      <c r="CRM30" s="172"/>
      <c r="CRN30" s="172"/>
      <c r="CRO30" s="172"/>
      <c r="CRP30" s="172"/>
      <c r="CRQ30" s="172"/>
      <c r="CRR30" s="172"/>
      <c r="CRS30" s="172"/>
      <c r="CRT30" s="172"/>
      <c r="CRU30" s="172"/>
      <c r="CRV30" s="172"/>
      <c r="CRW30" s="172"/>
      <c r="CRX30" s="172"/>
      <c r="CRY30" s="172"/>
      <c r="CRZ30" s="172"/>
      <c r="CSA30" s="172"/>
      <c r="CSB30" s="172"/>
      <c r="CSC30" s="172"/>
      <c r="CSD30" s="172"/>
      <c r="CSE30" s="172"/>
      <c r="CSF30" s="172"/>
      <c r="CSG30" s="172"/>
      <c r="CSH30" s="172"/>
      <c r="CSI30" s="172"/>
      <c r="CSJ30" s="172"/>
      <c r="CSK30" s="172"/>
      <c r="CSL30" s="172"/>
      <c r="CSM30" s="172"/>
      <c r="CSN30" s="172"/>
      <c r="CSO30" s="172"/>
      <c r="CSP30" s="172"/>
      <c r="CSQ30" s="172"/>
      <c r="CSR30" s="172"/>
      <c r="CSS30" s="172"/>
      <c r="CST30" s="172"/>
      <c r="CSU30" s="172"/>
      <c r="CSV30" s="172"/>
      <c r="CSW30" s="172"/>
      <c r="CSX30" s="172"/>
      <c r="CSY30" s="172"/>
      <c r="CSZ30" s="172"/>
      <c r="CTA30" s="172"/>
      <c r="CTB30" s="172"/>
      <c r="CTC30" s="172"/>
      <c r="CTD30" s="172"/>
      <c r="CTE30" s="172"/>
      <c r="CTF30" s="172"/>
      <c r="CTG30" s="172"/>
      <c r="CTH30" s="172"/>
      <c r="CTI30" s="172"/>
      <c r="CTJ30" s="172"/>
      <c r="CTK30" s="172"/>
      <c r="CTL30" s="172"/>
      <c r="CTM30" s="172"/>
      <c r="CTN30" s="172"/>
      <c r="CTO30" s="172"/>
      <c r="CTP30" s="172"/>
      <c r="CTQ30" s="172"/>
      <c r="CTR30" s="172"/>
      <c r="CTS30" s="172"/>
      <c r="CTT30" s="172"/>
      <c r="CTU30" s="172"/>
      <c r="CTV30" s="172"/>
      <c r="CTW30" s="172"/>
      <c r="CTX30" s="172"/>
      <c r="CTY30" s="172"/>
      <c r="CTZ30" s="172"/>
      <c r="CUA30" s="172"/>
      <c r="CUB30" s="172"/>
      <c r="CUC30" s="172"/>
      <c r="CUD30" s="172"/>
      <c r="CUE30" s="172"/>
      <c r="CUF30" s="172"/>
      <c r="CUG30" s="172"/>
      <c r="CUH30" s="172"/>
      <c r="CUI30" s="172"/>
      <c r="CUJ30" s="172"/>
      <c r="CUK30" s="172"/>
      <c r="CUL30" s="172"/>
      <c r="CUM30" s="172"/>
      <c r="CUN30" s="172"/>
      <c r="CUO30" s="172"/>
      <c r="CUP30" s="172"/>
      <c r="CUQ30" s="172"/>
      <c r="CUR30" s="172"/>
      <c r="CUS30" s="172"/>
      <c r="CUT30" s="172"/>
      <c r="CUU30" s="172"/>
      <c r="CUV30" s="172"/>
      <c r="CUW30" s="172"/>
      <c r="CUX30" s="172"/>
      <c r="CUY30" s="172"/>
      <c r="CUZ30" s="172"/>
      <c r="CVA30" s="172"/>
      <c r="CVB30" s="172"/>
      <c r="CVC30" s="172"/>
      <c r="CVD30" s="172"/>
      <c r="CVE30" s="172"/>
      <c r="CVF30" s="172"/>
      <c r="CVG30" s="172"/>
      <c r="CVH30" s="172"/>
      <c r="CVI30" s="172"/>
      <c r="CVJ30" s="172"/>
      <c r="CVK30" s="172"/>
      <c r="CVL30" s="172"/>
      <c r="CVM30" s="172"/>
      <c r="CVN30" s="172"/>
      <c r="CVO30" s="172"/>
      <c r="CVP30" s="172"/>
      <c r="CVQ30" s="172"/>
      <c r="CVR30" s="172"/>
      <c r="CVS30" s="172"/>
      <c r="CVT30" s="172"/>
      <c r="CVU30" s="172"/>
      <c r="CVV30" s="172"/>
      <c r="CVW30" s="172"/>
      <c r="CVX30" s="172"/>
      <c r="CVY30" s="172"/>
      <c r="CVZ30" s="172"/>
      <c r="CWA30" s="172"/>
      <c r="CWB30" s="172"/>
      <c r="CWC30" s="172"/>
      <c r="CWD30" s="172"/>
      <c r="CWE30" s="172"/>
      <c r="CWF30" s="172"/>
      <c r="CWG30" s="172"/>
      <c r="CWH30" s="172"/>
      <c r="CWI30" s="172"/>
      <c r="CWJ30" s="172"/>
      <c r="CWK30" s="172"/>
      <c r="CWL30" s="172"/>
      <c r="CWM30" s="172"/>
      <c r="CWN30" s="172"/>
      <c r="CWO30" s="172"/>
      <c r="CWP30" s="172"/>
      <c r="CWQ30" s="172"/>
      <c r="CWR30" s="172"/>
      <c r="CWS30" s="172"/>
      <c r="CWT30" s="172"/>
      <c r="CWU30" s="172"/>
      <c r="CWV30" s="172"/>
      <c r="CWW30" s="172"/>
      <c r="CWX30" s="172"/>
      <c r="CWY30" s="172"/>
      <c r="CWZ30" s="172"/>
      <c r="CXA30" s="172"/>
      <c r="CXB30" s="172"/>
      <c r="CXC30" s="172"/>
      <c r="CXD30" s="172"/>
      <c r="CXE30" s="172"/>
      <c r="CXF30" s="172"/>
      <c r="CXG30" s="172"/>
      <c r="CXH30" s="172"/>
      <c r="CXI30" s="172"/>
      <c r="CXJ30" s="172"/>
      <c r="CXK30" s="172"/>
      <c r="CXL30" s="172"/>
      <c r="CXM30" s="172"/>
      <c r="CXN30" s="172"/>
      <c r="CXO30" s="172"/>
      <c r="CXP30" s="172"/>
      <c r="CXQ30" s="172"/>
      <c r="CXR30" s="172"/>
      <c r="CXS30" s="172"/>
      <c r="CXT30" s="172"/>
      <c r="CXU30" s="172"/>
      <c r="CXV30" s="172"/>
      <c r="CXW30" s="172"/>
      <c r="CXX30" s="172"/>
      <c r="CXY30" s="172"/>
      <c r="CXZ30" s="172"/>
      <c r="CYA30" s="172"/>
      <c r="CYB30" s="172"/>
      <c r="CYC30" s="172"/>
      <c r="CYD30" s="172"/>
      <c r="CYE30" s="172"/>
      <c r="CYF30" s="172"/>
      <c r="CYG30" s="172"/>
      <c r="CYH30" s="172"/>
      <c r="CYI30" s="172"/>
      <c r="CYJ30" s="172"/>
      <c r="CYK30" s="172"/>
      <c r="CYL30" s="172"/>
      <c r="CYM30" s="172"/>
      <c r="CYN30" s="172"/>
      <c r="CYO30" s="172"/>
      <c r="CYP30" s="172"/>
      <c r="CYQ30" s="172"/>
      <c r="CYR30" s="172"/>
      <c r="CYS30" s="172"/>
      <c r="CYT30" s="172"/>
      <c r="CYU30" s="172"/>
      <c r="CYV30" s="172"/>
      <c r="CYW30" s="172"/>
      <c r="CYX30" s="172"/>
      <c r="CYY30" s="172"/>
      <c r="CYZ30" s="172"/>
      <c r="CZA30" s="172"/>
      <c r="CZB30" s="172"/>
      <c r="CZC30" s="172"/>
      <c r="CZD30" s="172"/>
      <c r="CZE30" s="172"/>
      <c r="CZF30" s="172"/>
      <c r="CZG30" s="172"/>
      <c r="CZH30" s="172"/>
      <c r="CZI30" s="172"/>
      <c r="CZJ30" s="172"/>
      <c r="CZK30" s="172"/>
      <c r="CZL30" s="172"/>
      <c r="CZM30" s="172"/>
      <c r="CZN30" s="172"/>
      <c r="CZO30" s="172"/>
      <c r="CZP30" s="172"/>
      <c r="CZQ30" s="172"/>
      <c r="CZR30" s="172"/>
      <c r="CZS30" s="172"/>
      <c r="CZT30" s="172"/>
      <c r="CZU30" s="172"/>
      <c r="CZV30" s="172"/>
      <c r="CZW30" s="172"/>
      <c r="CZX30" s="172"/>
      <c r="CZY30" s="172"/>
      <c r="CZZ30" s="172"/>
      <c r="DAA30" s="172"/>
      <c r="DAB30" s="172"/>
      <c r="DAC30" s="172"/>
      <c r="DAD30" s="172"/>
      <c r="DAE30" s="172"/>
      <c r="DAF30" s="172"/>
      <c r="DAG30" s="172"/>
      <c r="DAH30" s="172"/>
      <c r="DAI30" s="172"/>
      <c r="DAJ30" s="172"/>
      <c r="DAK30" s="172"/>
      <c r="DAL30" s="172"/>
      <c r="DAM30" s="172"/>
      <c r="DAN30" s="172"/>
      <c r="DAO30" s="172"/>
      <c r="DAP30" s="172"/>
      <c r="DAQ30" s="172"/>
      <c r="DAR30" s="172"/>
      <c r="DAS30" s="172"/>
      <c r="DAT30" s="172"/>
      <c r="DAU30" s="172"/>
      <c r="DAV30" s="172"/>
      <c r="DAW30" s="172"/>
      <c r="DAX30" s="172"/>
      <c r="DAY30" s="172"/>
      <c r="DAZ30" s="172"/>
      <c r="DBA30" s="172"/>
      <c r="DBB30" s="172"/>
      <c r="DBC30" s="172"/>
      <c r="DBD30" s="172"/>
      <c r="DBE30" s="172"/>
      <c r="DBF30" s="172"/>
      <c r="DBG30" s="172"/>
      <c r="DBH30" s="172"/>
      <c r="DBI30" s="172"/>
      <c r="DBJ30" s="172"/>
      <c r="DBK30" s="172"/>
      <c r="DBL30" s="172"/>
      <c r="DBM30" s="172"/>
      <c r="DBN30" s="172"/>
      <c r="DBO30" s="172"/>
      <c r="DBP30" s="172"/>
      <c r="DBQ30" s="172"/>
      <c r="DBR30" s="172"/>
      <c r="DBS30" s="172"/>
      <c r="DBT30" s="172"/>
      <c r="DBU30" s="172"/>
      <c r="DBV30" s="172"/>
      <c r="DBW30" s="172"/>
      <c r="DBX30" s="172"/>
      <c r="DBY30" s="172"/>
      <c r="DBZ30" s="172"/>
      <c r="DCA30" s="172"/>
      <c r="DCB30" s="172"/>
      <c r="DCC30" s="172"/>
      <c r="DCD30" s="172"/>
      <c r="DCE30" s="172"/>
      <c r="DCF30" s="172"/>
      <c r="DCG30" s="172"/>
      <c r="DCH30" s="172"/>
      <c r="DCI30" s="172"/>
      <c r="DCJ30" s="172"/>
      <c r="DCK30" s="172"/>
      <c r="DCL30" s="172"/>
      <c r="DCM30" s="172"/>
      <c r="DCN30" s="172"/>
      <c r="DCO30" s="172"/>
      <c r="DCP30" s="172"/>
      <c r="DCQ30" s="172"/>
      <c r="DCR30" s="172"/>
      <c r="DCS30" s="172"/>
      <c r="DCT30" s="172"/>
      <c r="DCU30" s="172"/>
      <c r="DCV30" s="172"/>
      <c r="DCW30" s="172"/>
      <c r="DCX30" s="172"/>
      <c r="DCY30" s="172"/>
      <c r="DCZ30" s="172"/>
      <c r="DDA30" s="172"/>
      <c r="DDB30" s="172"/>
      <c r="DDC30" s="172"/>
      <c r="DDD30" s="172"/>
      <c r="DDE30" s="172"/>
      <c r="DDF30" s="172"/>
      <c r="DDG30" s="172"/>
      <c r="DDH30" s="172"/>
      <c r="DDI30" s="172"/>
      <c r="DDJ30" s="172"/>
      <c r="DDK30" s="172"/>
      <c r="DDL30" s="172"/>
      <c r="DDM30" s="172"/>
      <c r="DDN30" s="172"/>
      <c r="DDO30" s="172"/>
      <c r="DDP30" s="172"/>
      <c r="DDQ30" s="172"/>
      <c r="DDR30" s="172"/>
      <c r="DDS30" s="172"/>
      <c r="DDT30" s="172"/>
      <c r="DDU30" s="172"/>
      <c r="DDV30" s="172"/>
      <c r="DDW30" s="172"/>
      <c r="DDX30" s="172"/>
      <c r="DDY30" s="172"/>
      <c r="DDZ30" s="172"/>
      <c r="DEA30" s="172"/>
      <c r="DEB30" s="172"/>
      <c r="DEC30" s="172"/>
      <c r="DED30" s="172"/>
      <c r="DEE30" s="172"/>
      <c r="DEF30" s="172"/>
      <c r="DEG30" s="172"/>
      <c r="DEH30" s="172"/>
      <c r="DEI30" s="172"/>
      <c r="DEJ30" s="172"/>
      <c r="DEK30" s="172"/>
      <c r="DEL30" s="172"/>
      <c r="DEM30" s="172"/>
      <c r="DEN30" s="172"/>
      <c r="DEO30" s="172"/>
      <c r="DEP30" s="172"/>
      <c r="DEQ30" s="172"/>
      <c r="DER30" s="172"/>
      <c r="DES30" s="172"/>
      <c r="DET30" s="172"/>
      <c r="DEU30" s="172"/>
      <c r="DEV30" s="172"/>
      <c r="DEW30" s="172"/>
      <c r="DEX30" s="172"/>
      <c r="DEY30" s="172"/>
      <c r="DEZ30" s="172"/>
      <c r="DFA30" s="172"/>
      <c r="DFB30" s="172"/>
      <c r="DFC30" s="172"/>
      <c r="DFD30" s="172"/>
      <c r="DFE30" s="172"/>
      <c r="DFF30" s="172"/>
      <c r="DFG30" s="172"/>
      <c r="DFH30" s="172"/>
      <c r="DFI30" s="172"/>
      <c r="DFJ30" s="172"/>
      <c r="DFK30" s="172"/>
      <c r="DFL30" s="172"/>
      <c r="DFM30" s="172"/>
      <c r="DFN30" s="172"/>
      <c r="DFO30" s="172"/>
      <c r="DFP30" s="172"/>
      <c r="DFQ30" s="172"/>
      <c r="DFR30" s="172"/>
      <c r="DFS30" s="172"/>
      <c r="DFT30" s="172"/>
      <c r="DFU30" s="172"/>
      <c r="DFV30" s="172"/>
      <c r="DFW30" s="172"/>
      <c r="DFX30" s="172"/>
      <c r="DFY30" s="172"/>
      <c r="DFZ30" s="172"/>
      <c r="DGA30" s="172"/>
      <c r="DGB30" s="172"/>
      <c r="DGC30" s="172"/>
      <c r="DGD30" s="172"/>
      <c r="DGE30" s="172"/>
      <c r="DGF30" s="172"/>
      <c r="DGG30" s="172"/>
      <c r="DGH30" s="172"/>
      <c r="DGI30" s="172"/>
      <c r="DGJ30" s="172"/>
      <c r="DGK30" s="172"/>
      <c r="DGL30" s="172"/>
      <c r="DGM30" s="172"/>
      <c r="DGN30" s="172"/>
      <c r="DGO30" s="172"/>
      <c r="DGP30" s="172"/>
      <c r="DGQ30" s="172"/>
      <c r="DGR30" s="172"/>
      <c r="DGS30" s="172"/>
      <c r="DGT30" s="172"/>
      <c r="DGU30" s="172"/>
      <c r="DGV30" s="172"/>
      <c r="DGW30" s="172"/>
      <c r="DGX30" s="172"/>
      <c r="DGY30" s="172"/>
      <c r="DGZ30" s="172"/>
      <c r="DHA30" s="172"/>
      <c r="DHB30" s="172"/>
      <c r="DHC30" s="172"/>
      <c r="DHD30" s="172"/>
      <c r="DHE30" s="172"/>
      <c r="DHF30" s="172"/>
      <c r="DHG30" s="172"/>
      <c r="DHH30" s="172"/>
      <c r="DHI30" s="172"/>
      <c r="DHJ30" s="172"/>
      <c r="DHK30" s="172"/>
      <c r="DHL30" s="172"/>
      <c r="DHM30" s="172"/>
      <c r="DHN30" s="172"/>
      <c r="DHO30" s="172"/>
      <c r="DHP30" s="172"/>
      <c r="DHQ30" s="172"/>
      <c r="DHR30" s="172"/>
      <c r="DHS30" s="172"/>
      <c r="DHT30" s="172"/>
      <c r="DHU30" s="172"/>
      <c r="DHV30" s="172"/>
      <c r="DHW30" s="172"/>
      <c r="DHX30" s="172"/>
      <c r="DHY30" s="172"/>
      <c r="DHZ30" s="172"/>
      <c r="DIA30" s="172"/>
      <c r="DIB30" s="172"/>
      <c r="DIC30" s="172"/>
      <c r="DID30" s="172"/>
      <c r="DIE30" s="172"/>
      <c r="DIF30" s="172"/>
      <c r="DIG30" s="172"/>
      <c r="DIH30" s="172"/>
      <c r="DII30" s="172"/>
      <c r="DIJ30" s="172"/>
      <c r="DIK30" s="172"/>
      <c r="DIL30" s="172"/>
      <c r="DIM30" s="172"/>
      <c r="DIN30" s="172"/>
      <c r="DIO30" s="172"/>
      <c r="DIP30" s="172"/>
      <c r="DIQ30" s="172"/>
      <c r="DIR30" s="172"/>
      <c r="DIS30" s="172"/>
      <c r="DIT30" s="172"/>
      <c r="DIU30" s="172"/>
      <c r="DIV30" s="172"/>
      <c r="DIW30" s="172"/>
      <c r="DIX30" s="172"/>
      <c r="DIY30" s="172"/>
      <c r="DIZ30" s="172"/>
      <c r="DJA30" s="172"/>
      <c r="DJB30" s="172"/>
      <c r="DJC30" s="172"/>
      <c r="DJD30" s="172"/>
      <c r="DJE30" s="172"/>
      <c r="DJF30" s="172"/>
      <c r="DJG30" s="172"/>
      <c r="DJH30" s="172"/>
      <c r="DJI30" s="172"/>
      <c r="DJJ30" s="172"/>
      <c r="DJK30" s="172"/>
      <c r="DJL30" s="172"/>
      <c r="DJM30" s="172"/>
      <c r="DJN30" s="172"/>
      <c r="DJO30" s="172"/>
      <c r="DJP30" s="172"/>
      <c r="DJQ30" s="172"/>
      <c r="DJR30" s="172"/>
      <c r="DJS30" s="172"/>
      <c r="DJT30" s="172"/>
      <c r="DJU30" s="172"/>
      <c r="DJV30" s="172"/>
      <c r="DJW30" s="172"/>
      <c r="DJX30" s="172"/>
      <c r="DJY30" s="172"/>
      <c r="DJZ30" s="172"/>
      <c r="DKA30" s="172"/>
      <c r="DKB30" s="172"/>
      <c r="DKC30" s="172"/>
      <c r="DKD30" s="172"/>
      <c r="DKE30" s="172"/>
      <c r="DKF30" s="172"/>
      <c r="DKG30" s="172"/>
      <c r="DKH30" s="172"/>
      <c r="DKI30" s="172"/>
      <c r="DKJ30" s="172"/>
      <c r="DKK30" s="172"/>
      <c r="DKL30" s="172"/>
      <c r="DKM30" s="172"/>
      <c r="DKN30" s="172"/>
      <c r="DKO30" s="172"/>
      <c r="DKP30" s="172"/>
      <c r="DKQ30" s="172"/>
      <c r="DKR30" s="172"/>
      <c r="DKS30" s="172"/>
      <c r="DKT30" s="172"/>
      <c r="DKU30" s="172"/>
      <c r="DKV30" s="172"/>
      <c r="DKW30" s="172"/>
      <c r="DKX30" s="172"/>
      <c r="DKY30" s="172"/>
      <c r="DKZ30" s="172"/>
      <c r="DLA30" s="172"/>
      <c r="DLB30" s="172"/>
      <c r="DLC30" s="172"/>
      <c r="DLD30" s="172"/>
      <c r="DLE30" s="172"/>
      <c r="DLF30" s="172"/>
      <c r="DLG30" s="172"/>
      <c r="DLH30" s="172"/>
      <c r="DLI30" s="172"/>
      <c r="DLJ30" s="172"/>
      <c r="DLK30" s="172"/>
      <c r="DLL30" s="172"/>
      <c r="DLM30" s="172"/>
      <c r="DLN30" s="172"/>
      <c r="DLO30" s="172"/>
      <c r="DLP30" s="172"/>
      <c r="DLQ30" s="172"/>
      <c r="DLR30" s="172"/>
      <c r="DLS30" s="172"/>
      <c r="DLT30" s="172"/>
      <c r="DLU30" s="172"/>
      <c r="DLV30" s="172"/>
      <c r="DLW30" s="172"/>
      <c r="DLX30" s="172"/>
      <c r="DLY30" s="172"/>
      <c r="DLZ30" s="172"/>
      <c r="DMA30" s="172"/>
      <c r="DMB30" s="172"/>
      <c r="DMC30" s="172"/>
      <c r="DMD30" s="172"/>
      <c r="DME30" s="172"/>
      <c r="DMF30" s="172"/>
      <c r="DMG30" s="172"/>
      <c r="DMH30" s="172"/>
      <c r="DMI30" s="172"/>
      <c r="DMJ30" s="172"/>
      <c r="DMK30" s="172"/>
      <c r="DML30" s="172"/>
      <c r="DMM30" s="172"/>
      <c r="DMN30" s="172"/>
      <c r="DMO30" s="172"/>
      <c r="DMP30" s="172"/>
      <c r="DMQ30" s="172"/>
      <c r="DMR30" s="172"/>
      <c r="DMS30" s="172"/>
      <c r="DMT30" s="172"/>
      <c r="DMU30" s="172"/>
      <c r="DMV30" s="172"/>
      <c r="DMW30" s="172"/>
      <c r="DMX30" s="172"/>
      <c r="DMY30" s="172"/>
      <c r="DMZ30" s="172"/>
      <c r="DNA30" s="172"/>
      <c r="DNB30" s="172"/>
      <c r="DNC30" s="172"/>
      <c r="DND30" s="172"/>
      <c r="DNE30" s="172"/>
      <c r="DNF30" s="172"/>
      <c r="DNG30" s="172"/>
      <c r="DNH30" s="172"/>
      <c r="DNI30" s="172"/>
      <c r="DNJ30" s="172"/>
      <c r="DNK30" s="172"/>
      <c r="DNL30" s="172"/>
      <c r="DNM30" s="172"/>
      <c r="DNN30" s="172"/>
      <c r="DNO30" s="172"/>
      <c r="DNP30" s="172"/>
      <c r="DNQ30" s="172"/>
      <c r="DNR30" s="172"/>
      <c r="DNS30" s="172"/>
      <c r="DNT30" s="172"/>
      <c r="DNU30" s="172"/>
      <c r="DNV30" s="172"/>
      <c r="DNW30" s="172"/>
      <c r="DNX30" s="172"/>
      <c r="DNY30" s="172"/>
      <c r="DNZ30" s="172"/>
      <c r="DOA30" s="172"/>
      <c r="DOB30" s="172"/>
      <c r="DOC30" s="172"/>
      <c r="DOD30" s="172"/>
      <c r="DOE30" s="172"/>
      <c r="DOF30" s="172"/>
      <c r="DOG30" s="172"/>
      <c r="DOH30" s="172"/>
      <c r="DOI30" s="172"/>
      <c r="DOJ30" s="172"/>
      <c r="DOK30" s="172"/>
      <c r="DOL30" s="172"/>
      <c r="DOM30" s="172"/>
      <c r="DON30" s="172"/>
      <c r="DOO30" s="172"/>
      <c r="DOP30" s="172"/>
      <c r="DOQ30" s="172"/>
      <c r="DOR30" s="172"/>
      <c r="DOS30" s="172"/>
      <c r="DOT30" s="172"/>
      <c r="DOU30" s="172"/>
      <c r="DOV30" s="172"/>
      <c r="DOW30" s="172"/>
      <c r="DOX30" s="172"/>
      <c r="DOY30" s="172"/>
      <c r="DOZ30" s="172"/>
      <c r="DPA30" s="172"/>
      <c r="DPB30" s="172"/>
      <c r="DPC30" s="172"/>
      <c r="DPD30" s="172"/>
      <c r="DPE30" s="172"/>
      <c r="DPF30" s="172"/>
      <c r="DPG30" s="172"/>
      <c r="DPH30" s="172"/>
      <c r="DPI30" s="172"/>
      <c r="DPJ30" s="172"/>
      <c r="DPK30" s="172"/>
      <c r="DPL30" s="172"/>
      <c r="DPM30" s="172"/>
      <c r="DPN30" s="172"/>
      <c r="DPO30" s="172"/>
      <c r="DPP30" s="172"/>
      <c r="DPQ30" s="172"/>
      <c r="DPR30" s="172"/>
      <c r="DPS30" s="172"/>
      <c r="DPT30" s="172"/>
      <c r="DPU30" s="172"/>
      <c r="DPV30" s="172"/>
      <c r="DPW30" s="172"/>
      <c r="DPX30" s="172"/>
      <c r="DPY30" s="172"/>
      <c r="DPZ30" s="172"/>
      <c r="DQA30" s="172"/>
      <c r="DQB30" s="172"/>
      <c r="DQC30" s="172"/>
      <c r="DQD30" s="172"/>
      <c r="DQE30" s="172"/>
      <c r="DQF30" s="172"/>
      <c r="DQG30" s="172"/>
      <c r="DQH30" s="172"/>
      <c r="DQI30" s="172"/>
      <c r="DQJ30" s="172"/>
      <c r="DQK30" s="172"/>
      <c r="DQL30" s="172"/>
      <c r="DQM30" s="172"/>
      <c r="DQN30" s="172"/>
      <c r="DQO30" s="172"/>
      <c r="DQP30" s="172"/>
      <c r="DQQ30" s="172"/>
      <c r="DQR30" s="172"/>
      <c r="DQS30" s="172"/>
      <c r="DQT30" s="172"/>
      <c r="DQU30" s="172"/>
      <c r="DQV30" s="172"/>
      <c r="DQW30" s="172"/>
      <c r="DQX30" s="172"/>
      <c r="DQY30" s="172"/>
      <c r="DQZ30" s="172"/>
      <c r="DRA30" s="172"/>
      <c r="DRB30" s="172"/>
      <c r="DRC30" s="172"/>
      <c r="DRD30" s="172"/>
      <c r="DRE30" s="172"/>
      <c r="DRF30" s="172"/>
      <c r="DRG30" s="172"/>
      <c r="DRH30" s="172"/>
      <c r="DRI30" s="172"/>
      <c r="DRJ30" s="172"/>
      <c r="DRK30" s="172"/>
      <c r="DRL30" s="172"/>
      <c r="DRM30" s="172"/>
      <c r="DRN30" s="172"/>
      <c r="DRO30" s="172"/>
      <c r="DRP30" s="172"/>
      <c r="DRQ30" s="172"/>
      <c r="DRR30" s="172"/>
      <c r="DRS30" s="172"/>
      <c r="DRT30" s="172"/>
      <c r="DRU30" s="172"/>
      <c r="DRV30" s="172"/>
      <c r="DRW30" s="172"/>
      <c r="DRX30" s="172"/>
      <c r="DRY30" s="172"/>
      <c r="DRZ30" s="172"/>
      <c r="DSA30" s="172"/>
      <c r="DSB30" s="172"/>
      <c r="DSC30" s="172"/>
      <c r="DSD30" s="172"/>
      <c r="DSE30" s="172"/>
      <c r="DSF30" s="172"/>
      <c r="DSG30" s="172"/>
      <c r="DSH30" s="172"/>
      <c r="DSI30" s="172"/>
      <c r="DSJ30" s="172"/>
      <c r="DSK30" s="172"/>
      <c r="DSL30" s="172"/>
      <c r="DSM30" s="172"/>
      <c r="DSN30" s="172"/>
      <c r="DSO30" s="172"/>
      <c r="DSP30" s="172"/>
      <c r="DSQ30" s="172"/>
      <c r="DSR30" s="172"/>
      <c r="DSS30" s="172"/>
      <c r="DST30" s="172"/>
      <c r="DSU30" s="172"/>
      <c r="DSV30" s="172"/>
      <c r="DSW30" s="172"/>
      <c r="DSX30" s="172"/>
      <c r="DSY30" s="172"/>
      <c r="DSZ30" s="172"/>
      <c r="DTA30" s="172"/>
      <c r="DTB30" s="172"/>
      <c r="DTC30" s="172"/>
      <c r="DTD30" s="172"/>
      <c r="DTE30" s="172"/>
      <c r="DTF30" s="172"/>
      <c r="DTG30" s="172"/>
      <c r="DTH30" s="172"/>
      <c r="DTI30" s="172"/>
      <c r="DTJ30" s="172"/>
      <c r="DTK30" s="172"/>
      <c r="DTL30" s="172"/>
      <c r="DTM30" s="172"/>
      <c r="DTN30" s="172"/>
      <c r="DTO30" s="172"/>
      <c r="DTP30" s="172"/>
      <c r="DTQ30" s="172"/>
      <c r="DTR30" s="172"/>
      <c r="DTS30" s="172"/>
      <c r="DTT30" s="172"/>
      <c r="DTU30" s="172"/>
      <c r="DTV30" s="172"/>
      <c r="DTW30" s="172"/>
      <c r="DTX30" s="172"/>
      <c r="DTY30" s="172"/>
      <c r="DTZ30" s="172"/>
      <c r="DUA30" s="172"/>
      <c r="DUB30" s="172"/>
      <c r="DUC30" s="172"/>
      <c r="DUD30" s="172"/>
      <c r="DUE30" s="172"/>
      <c r="DUF30" s="172"/>
      <c r="DUG30" s="172"/>
      <c r="DUH30" s="172"/>
      <c r="DUI30" s="172"/>
      <c r="DUJ30" s="172"/>
      <c r="DUK30" s="172"/>
      <c r="DUL30" s="172"/>
      <c r="DUM30" s="172"/>
      <c r="DUN30" s="172"/>
      <c r="DUO30" s="172"/>
      <c r="DUP30" s="172"/>
      <c r="DUQ30" s="172"/>
      <c r="DUR30" s="172"/>
      <c r="DUS30" s="172"/>
      <c r="DUT30" s="172"/>
      <c r="DUU30" s="172"/>
      <c r="DUV30" s="172"/>
      <c r="DUW30" s="172"/>
      <c r="DUX30" s="172"/>
      <c r="DUY30" s="172"/>
      <c r="DUZ30" s="172"/>
      <c r="DVA30" s="172"/>
      <c r="DVB30" s="172"/>
      <c r="DVC30" s="172"/>
      <c r="DVD30" s="172"/>
      <c r="DVE30" s="172"/>
      <c r="DVF30" s="172"/>
      <c r="DVG30" s="172"/>
      <c r="DVH30" s="172"/>
      <c r="DVI30" s="172"/>
      <c r="DVJ30" s="172"/>
      <c r="DVK30" s="172"/>
      <c r="DVL30" s="172"/>
      <c r="DVM30" s="172"/>
      <c r="DVN30" s="172"/>
      <c r="DVO30" s="172"/>
      <c r="DVP30" s="172"/>
      <c r="DVQ30" s="172"/>
      <c r="DVR30" s="172"/>
      <c r="DVS30" s="172"/>
      <c r="DVT30" s="172"/>
      <c r="DVU30" s="172"/>
      <c r="DVV30" s="172"/>
      <c r="DVW30" s="172"/>
      <c r="DVX30" s="172"/>
      <c r="DVY30" s="172"/>
      <c r="DVZ30" s="172"/>
      <c r="DWA30" s="172"/>
      <c r="DWB30" s="172"/>
      <c r="DWC30" s="172"/>
      <c r="DWD30" s="172"/>
      <c r="DWE30" s="172"/>
      <c r="DWF30" s="172"/>
      <c r="DWG30" s="172"/>
      <c r="DWH30" s="172"/>
      <c r="DWI30" s="172"/>
      <c r="DWJ30" s="172"/>
      <c r="DWK30" s="172"/>
      <c r="DWL30" s="172"/>
      <c r="DWM30" s="172"/>
      <c r="DWN30" s="172"/>
      <c r="DWO30" s="172"/>
      <c r="DWP30" s="172"/>
      <c r="DWQ30" s="172"/>
      <c r="DWR30" s="172"/>
      <c r="DWS30" s="172"/>
      <c r="DWT30" s="172"/>
      <c r="DWU30" s="172"/>
      <c r="DWV30" s="172"/>
      <c r="DWW30" s="172"/>
      <c r="DWX30" s="172"/>
      <c r="DWY30" s="172"/>
      <c r="DWZ30" s="172"/>
      <c r="DXA30" s="172"/>
      <c r="DXB30" s="172"/>
      <c r="DXC30" s="172"/>
      <c r="DXD30" s="172"/>
      <c r="DXE30" s="172"/>
      <c r="DXF30" s="172"/>
      <c r="DXG30" s="172"/>
      <c r="DXH30" s="172"/>
      <c r="DXI30" s="172"/>
      <c r="DXJ30" s="172"/>
      <c r="DXK30" s="172"/>
      <c r="DXL30" s="172"/>
      <c r="DXM30" s="172"/>
      <c r="DXN30" s="172"/>
      <c r="DXO30" s="172"/>
      <c r="DXP30" s="172"/>
      <c r="DXQ30" s="172"/>
      <c r="DXR30" s="172"/>
      <c r="DXS30" s="172"/>
      <c r="DXT30" s="172"/>
      <c r="DXU30" s="172"/>
      <c r="DXV30" s="172"/>
      <c r="DXW30" s="172"/>
      <c r="DXX30" s="172"/>
      <c r="DXY30" s="172"/>
      <c r="DXZ30" s="172"/>
      <c r="DYA30" s="172"/>
      <c r="DYB30" s="172"/>
      <c r="DYC30" s="172"/>
      <c r="DYD30" s="172"/>
      <c r="DYE30" s="172"/>
      <c r="DYF30" s="172"/>
      <c r="DYG30" s="172"/>
      <c r="DYH30" s="172"/>
      <c r="DYI30" s="172"/>
      <c r="DYJ30" s="172"/>
      <c r="DYK30" s="172"/>
      <c r="DYL30" s="172"/>
      <c r="DYM30" s="172"/>
      <c r="DYN30" s="172"/>
      <c r="DYO30" s="172"/>
      <c r="DYP30" s="172"/>
      <c r="DYQ30" s="172"/>
      <c r="DYR30" s="172"/>
      <c r="DYS30" s="172"/>
      <c r="DYT30" s="172"/>
      <c r="DYU30" s="172"/>
      <c r="DYV30" s="172"/>
      <c r="DYW30" s="172"/>
      <c r="DYX30" s="172"/>
      <c r="DYY30" s="172"/>
      <c r="DYZ30" s="172"/>
      <c r="DZA30" s="172"/>
      <c r="DZB30" s="172"/>
      <c r="DZC30" s="172"/>
      <c r="DZD30" s="172"/>
      <c r="DZE30" s="172"/>
      <c r="DZF30" s="172"/>
      <c r="DZG30" s="172"/>
      <c r="DZH30" s="172"/>
      <c r="DZI30" s="172"/>
      <c r="DZJ30" s="172"/>
      <c r="DZK30" s="172"/>
      <c r="DZL30" s="172"/>
      <c r="DZM30" s="172"/>
      <c r="DZN30" s="172"/>
      <c r="DZO30" s="172"/>
      <c r="DZP30" s="172"/>
      <c r="DZQ30" s="172"/>
      <c r="DZR30" s="172"/>
      <c r="DZS30" s="172"/>
      <c r="DZT30" s="172"/>
      <c r="DZU30" s="172"/>
      <c r="DZV30" s="172"/>
      <c r="DZW30" s="172"/>
      <c r="DZX30" s="172"/>
      <c r="DZY30" s="172"/>
      <c r="DZZ30" s="172"/>
      <c r="EAA30" s="172"/>
      <c r="EAB30" s="172"/>
      <c r="EAC30" s="172"/>
      <c r="EAD30" s="172"/>
      <c r="EAE30" s="172"/>
      <c r="EAF30" s="172"/>
      <c r="EAG30" s="172"/>
      <c r="EAH30" s="172"/>
      <c r="EAI30" s="172"/>
      <c r="EAJ30" s="172"/>
      <c r="EAK30" s="172"/>
      <c r="EAL30" s="172"/>
      <c r="EAM30" s="172"/>
      <c r="EAN30" s="172"/>
      <c r="EAO30" s="172"/>
      <c r="EAP30" s="172"/>
      <c r="EAQ30" s="172"/>
      <c r="EAR30" s="172"/>
      <c r="EAS30" s="172"/>
      <c r="EAT30" s="172"/>
      <c r="EAU30" s="172"/>
      <c r="EAV30" s="172"/>
      <c r="EAW30" s="172"/>
      <c r="EAX30" s="172"/>
      <c r="EAY30" s="172"/>
      <c r="EAZ30" s="172"/>
      <c r="EBA30" s="172"/>
      <c r="EBB30" s="172"/>
      <c r="EBC30" s="172"/>
      <c r="EBD30" s="172"/>
      <c r="EBE30" s="172"/>
      <c r="EBF30" s="172"/>
      <c r="EBG30" s="172"/>
      <c r="EBH30" s="172"/>
      <c r="EBI30" s="172"/>
      <c r="EBJ30" s="172"/>
      <c r="EBK30" s="172"/>
      <c r="EBL30" s="172"/>
      <c r="EBM30" s="172"/>
      <c r="EBN30" s="172"/>
      <c r="EBO30" s="172"/>
      <c r="EBP30" s="172"/>
      <c r="EBQ30" s="172"/>
      <c r="EBR30" s="172"/>
      <c r="EBS30" s="172"/>
      <c r="EBT30" s="172"/>
      <c r="EBU30" s="172"/>
      <c r="EBV30" s="172"/>
      <c r="EBW30" s="172"/>
      <c r="EBX30" s="172"/>
      <c r="EBY30" s="172"/>
      <c r="EBZ30" s="172"/>
      <c r="ECA30" s="172"/>
      <c r="ECB30" s="172"/>
      <c r="ECC30" s="172"/>
      <c r="ECD30" s="172"/>
      <c r="ECE30" s="172"/>
      <c r="ECF30" s="172"/>
      <c r="ECG30" s="172"/>
      <c r="ECH30" s="172"/>
      <c r="ECI30" s="172"/>
      <c r="ECJ30" s="172"/>
      <c r="ECK30" s="172"/>
      <c r="ECL30" s="172"/>
      <c r="ECM30" s="172"/>
      <c r="ECN30" s="172"/>
      <c r="ECO30" s="172"/>
      <c r="ECP30" s="172"/>
      <c r="ECQ30" s="172"/>
      <c r="ECR30" s="172"/>
      <c r="ECS30" s="172"/>
      <c r="ECT30" s="172"/>
      <c r="ECU30" s="172"/>
      <c r="ECV30" s="172"/>
      <c r="ECW30" s="172"/>
      <c r="ECX30" s="172"/>
      <c r="ECY30" s="172"/>
      <c r="ECZ30" s="172"/>
      <c r="EDA30" s="172"/>
      <c r="EDB30" s="172"/>
      <c r="EDC30" s="172"/>
      <c r="EDD30" s="172"/>
      <c r="EDE30" s="172"/>
      <c r="EDF30" s="172"/>
      <c r="EDG30" s="172"/>
      <c r="EDH30" s="172"/>
      <c r="EDI30" s="172"/>
      <c r="EDJ30" s="172"/>
      <c r="EDK30" s="172"/>
      <c r="EDL30" s="172"/>
      <c r="EDM30" s="172"/>
      <c r="EDN30" s="172"/>
      <c r="EDO30" s="172"/>
      <c r="EDP30" s="172"/>
      <c r="EDQ30" s="172"/>
      <c r="EDR30" s="172"/>
      <c r="EDS30" s="172"/>
      <c r="EDT30" s="172"/>
      <c r="EDU30" s="172"/>
      <c r="EDV30" s="172"/>
      <c r="EDW30" s="172"/>
      <c r="EDX30" s="172"/>
      <c r="EDY30" s="172"/>
      <c r="EDZ30" s="172"/>
      <c r="EEA30" s="172"/>
      <c r="EEB30" s="172"/>
      <c r="EEC30" s="172"/>
      <c r="EED30" s="172"/>
      <c r="EEE30" s="172"/>
      <c r="EEF30" s="172"/>
      <c r="EEG30" s="172"/>
      <c r="EEH30" s="172"/>
      <c r="EEI30" s="172"/>
      <c r="EEJ30" s="172"/>
      <c r="EEK30" s="172"/>
      <c r="EEL30" s="172"/>
      <c r="EEM30" s="172"/>
      <c r="EEN30" s="172"/>
      <c r="EEO30" s="172"/>
      <c r="EEP30" s="172"/>
      <c r="EEQ30" s="172"/>
      <c r="EER30" s="172"/>
      <c r="EES30" s="172"/>
      <c r="EET30" s="172"/>
      <c r="EEU30" s="172"/>
      <c r="EEV30" s="172"/>
      <c r="EEW30" s="172"/>
      <c r="EEX30" s="172"/>
      <c r="EEY30" s="172"/>
      <c r="EEZ30" s="172"/>
      <c r="EFA30" s="172"/>
      <c r="EFB30" s="172"/>
      <c r="EFC30" s="172"/>
      <c r="EFD30" s="172"/>
      <c r="EFE30" s="172"/>
      <c r="EFF30" s="172"/>
      <c r="EFG30" s="172"/>
      <c r="EFH30" s="172"/>
      <c r="EFI30" s="172"/>
      <c r="EFJ30" s="172"/>
      <c r="EFK30" s="172"/>
      <c r="EFL30" s="172"/>
      <c r="EFM30" s="172"/>
      <c r="EFN30" s="172"/>
      <c r="EFO30" s="172"/>
      <c r="EFP30" s="172"/>
      <c r="EFQ30" s="172"/>
      <c r="EFR30" s="172"/>
      <c r="EFS30" s="172"/>
      <c r="EFT30" s="172"/>
      <c r="EFU30" s="172"/>
      <c r="EFV30" s="172"/>
      <c r="EFW30" s="172"/>
      <c r="EFX30" s="172"/>
      <c r="EFY30" s="172"/>
      <c r="EFZ30" s="172"/>
      <c r="EGA30" s="172"/>
      <c r="EGB30" s="172"/>
      <c r="EGC30" s="172"/>
      <c r="EGD30" s="172"/>
      <c r="EGE30" s="172"/>
      <c r="EGF30" s="172"/>
      <c r="EGG30" s="172"/>
      <c r="EGH30" s="172"/>
      <c r="EGI30" s="172"/>
      <c r="EGJ30" s="172"/>
      <c r="EGK30" s="172"/>
      <c r="EGL30" s="172"/>
      <c r="EGM30" s="172"/>
      <c r="EGN30" s="172"/>
      <c r="EGO30" s="172"/>
      <c r="EGP30" s="172"/>
      <c r="EGQ30" s="172"/>
      <c r="EGR30" s="172"/>
      <c r="EGS30" s="172"/>
      <c r="EGT30" s="172"/>
      <c r="EGU30" s="172"/>
      <c r="EGV30" s="172"/>
      <c r="EGW30" s="172"/>
      <c r="EGX30" s="172"/>
      <c r="EGY30" s="172"/>
      <c r="EGZ30" s="172"/>
      <c r="EHA30" s="172"/>
      <c r="EHB30" s="172"/>
      <c r="EHC30" s="172"/>
      <c r="EHD30" s="172"/>
      <c r="EHE30" s="172"/>
      <c r="EHF30" s="172"/>
      <c r="EHG30" s="172"/>
      <c r="EHH30" s="172"/>
      <c r="EHI30" s="172"/>
      <c r="EHJ30" s="172"/>
      <c r="EHK30" s="172"/>
      <c r="EHL30" s="172"/>
      <c r="EHM30" s="172"/>
      <c r="EHN30" s="172"/>
      <c r="EHO30" s="172"/>
      <c r="EHP30" s="172"/>
      <c r="EHQ30" s="172"/>
      <c r="EHR30" s="172"/>
      <c r="EHS30" s="172"/>
      <c r="EHT30" s="172"/>
      <c r="EHU30" s="172"/>
      <c r="EHV30" s="172"/>
      <c r="EHW30" s="172"/>
      <c r="EHX30" s="172"/>
      <c r="EHY30" s="172"/>
      <c r="EHZ30" s="172"/>
      <c r="EIA30" s="172"/>
      <c r="EIB30" s="172"/>
      <c r="EIC30" s="172"/>
      <c r="EID30" s="172"/>
      <c r="EIE30" s="172"/>
      <c r="EIF30" s="172"/>
      <c r="EIG30" s="172"/>
      <c r="EIH30" s="172"/>
      <c r="EII30" s="172"/>
      <c r="EIJ30" s="172"/>
      <c r="EIK30" s="172"/>
      <c r="EIL30" s="172"/>
      <c r="EIM30" s="172"/>
      <c r="EIN30" s="172"/>
      <c r="EIO30" s="172"/>
      <c r="EIP30" s="172"/>
      <c r="EIQ30" s="172"/>
      <c r="EIR30" s="172"/>
      <c r="EIS30" s="172"/>
      <c r="EIT30" s="172"/>
      <c r="EIU30" s="172"/>
      <c r="EIV30" s="172"/>
      <c r="EIW30" s="172"/>
      <c r="EIX30" s="172"/>
      <c r="EIY30" s="172"/>
      <c r="EIZ30" s="172"/>
      <c r="EJA30" s="172"/>
      <c r="EJB30" s="172"/>
      <c r="EJC30" s="172"/>
      <c r="EJD30" s="172"/>
      <c r="EJE30" s="172"/>
      <c r="EJF30" s="172"/>
      <c r="EJG30" s="172"/>
      <c r="EJH30" s="172"/>
      <c r="EJI30" s="172"/>
      <c r="EJJ30" s="172"/>
      <c r="EJK30" s="172"/>
      <c r="EJL30" s="172"/>
      <c r="EJM30" s="172"/>
      <c r="EJN30" s="172"/>
      <c r="EJO30" s="172"/>
      <c r="EJP30" s="172"/>
      <c r="EJQ30" s="172"/>
      <c r="EJR30" s="172"/>
      <c r="EJS30" s="172"/>
      <c r="EJT30" s="172"/>
      <c r="EJU30" s="172"/>
      <c r="EJV30" s="172"/>
      <c r="EJW30" s="172"/>
      <c r="EJX30" s="172"/>
      <c r="EJY30" s="172"/>
      <c r="EJZ30" s="172"/>
      <c r="EKA30" s="172"/>
      <c r="EKB30" s="172"/>
      <c r="EKC30" s="172"/>
      <c r="EKD30" s="172"/>
      <c r="EKE30" s="172"/>
      <c r="EKF30" s="172"/>
      <c r="EKG30" s="172"/>
      <c r="EKH30" s="172"/>
      <c r="EKI30" s="172"/>
      <c r="EKJ30" s="172"/>
      <c r="EKK30" s="172"/>
      <c r="EKL30" s="172"/>
      <c r="EKM30" s="172"/>
      <c r="EKN30" s="172"/>
      <c r="EKO30" s="172"/>
      <c r="EKP30" s="172"/>
      <c r="EKQ30" s="172"/>
      <c r="EKR30" s="172"/>
      <c r="EKS30" s="172"/>
      <c r="EKT30" s="172"/>
      <c r="EKU30" s="172"/>
      <c r="EKV30" s="172"/>
      <c r="EKW30" s="172"/>
      <c r="EKX30" s="172"/>
      <c r="EKY30" s="172"/>
      <c r="EKZ30" s="172"/>
      <c r="ELA30" s="172"/>
      <c r="ELB30" s="172"/>
      <c r="ELC30" s="172"/>
      <c r="ELD30" s="172"/>
      <c r="ELE30" s="172"/>
      <c r="ELF30" s="172"/>
      <c r="ELG30" s="172"/>
      <c r="ELH30" s="172"/>
      <c r="ELI30" s="172"/>
      <c r="ELJ30" s="172"/>
      <c r="ELK30" s="172"/>
      <c r="ELL30" s="172"/>
      <c r="ELM30" s="172"/>
      <c r="ELN30" s="172"/>
      <c r="ELO30" s="172"/>
      <c r="ELP30" s="172"/>
      <c r="ELQ30" s="172"/>
      <c r="ELR30" s="172"/>
      <c r="ELS30" s="172"/>
      <c r="ELT30" s="172"/>
      <c r="ELU30" s="172"/>
      <c r="ELV30" s="172"/>
      <c r="ELW30" s="172"/>
      <c r="ELX30" s="172"/>
      <c r="ELY30" s="172"/>
      <c r="ELZ30" s="172"/>
      <c r="EMA30" s="172"/>
      <c r="EMB30" s="172"/>
      <c r="EMC30" s="172"/>
      <c r="EMD30" s="172"/>
      <c r="EME30" s="172"/>
      <c r="EMF30" s="172"/>
      <c r="EMG30" s="172"/>
      <c r="EMH30" s="172"/>
      <c r="EMI30" s="172"/>
      <c r="EMJ30" s="172"/>
      <c r="EMK30" s="172"/>
      <c r="EML30" s="172"/>
      <c r="EMM30" s="172"/>
      <c r="EMN30" s="172"/>
      <c r="EMO30" s="172"/>
      <c r="EMP30" s="172"/>
      <c r="EMQ30" s="172"/>
      <c r="EMR30" s="172"/>
      <c r="EMS30" s="172"/>
      <c r="EMT30" s="172"/>
      <c r="EMU30" s="172"/>
      <c r="EMV30" s="172"/>
      <c r="EMW30" s="172"/>
      <c r="EMX30" s="172"/>
      <c r="EMY30" s="172"/>
      <c r="EMZ30" s="172"/>
      <c r="ENA30" s="172"/>
      <c r="ENB30" s="172"/>
      <c r="ENC30" s="172"/>
      <c r="END30" s="172"/>
      <c r="ENE30" s="172"/>
      <c r="ENF30" s="172"/>
      <c r="ENG30" s="172"/>
      <c r="ENH30" s="172"/>
      <c r="ENI30" s="172"/>
      <c r="ENJ30" s="172"/>
      <c r="ENK30" s="172"/>
      <c r="ENL30" s="172"/>
      <c r="ENM30" s="172"/>
      <c r="ENN30" s="172"/>
      <c r="ENO30" s="172"/>
      <c r="ENP30" s="172"/>
      <c r="ENQ30" s="172"/>
      <c r="ENR30" s="172"/>
      <c r="ENS30" s="172"/>
      <c r="ENT30" s="172"/>
      <c r="ENU30" s="172"/>
      <c r="ENV30" s="172"/>
      <c r="ENW30" s="172"/>
      <c r="ENX30" s="172"/>
      <c r="ENY30" s="172"/>
      <c r="ENZ30" s="172"/>
      <c r="EOA30" s="172"/>
      <c r="EOB30" s="172"/>
      <c r="EOC30" s="172"/>
      <c r="EOD30" s="172"/>
      <c r="EOE30" s="172"/>
      <c r="EOF30" s="172"/>
      <c r="EOG30" s="172"/>
      <c r="EOH30" s="172"/>
      <c r="EOI30" s="172"/>
      <c r="EOJ30" s="172"/>
      <c r="EOK30" s="172"/>
      <c r="EOL30" s="172"/>
      <c r="EOM30" s="172"/>
      <c r="EON30" s="172"/>
      <c r="EOO30" s="172"/>
      <c r="EOP30" s="172"/>
      <c r="EOQ30" s="172"/>
      <c r="EOR30" s="172"/>
      <c r="EOS30" s="172"/>
      <c r="EOT30" s="172"/>
      <c r="EOU30" s="172"/>
      <c r="EOV30" s="172"/>
      <c r="EOW30" s="172"/>
      <c r="EOX30" s="172"/>
      <c r="EOY30" s="172"/>
      <c r="EOZ30" s="172"/>
      <c r="EPA30" s="172"/>
      <c r="EPB30" s="172"/>
      <c r="EPC30" s="172"/>
      <c r="EPD30" s="172"/>
      <c r="EPE30" s="172"/>
      <c r="EPF30" s="172"/>
      <c r="EPG30" s="172"/>
      <c r="EPH30" s="172"/>
      <c r="EPI30" s="172"/>
      <c r="EPJ30" s="172"/>
      <c r="EPK30" s="172"/>
      <c r="EPL30" s="172"/>
      <c r="EPM30" s="172"/>
      <c r="EPN30" s="172"/>
      <c r="EPO30" s="172"/>
      <c r="EPP30" s="172"/>
      <c r="EPQ30" s="172"/>
      <c r="EPR30" s="172"/>
      <c r="EPS30" s="172"/>
      <c r="EPT30" s="172"/>
      <c r="EPU30" s="172"/>
      <c r="EPV30" s="172"/>
      <c r="EPW30" s="172"/>
      <c r="EPX30" s="172"/>
      <c r="EPY30" s="172"/>
      <c r="EPZ30" s="172"/>
      <c r="EQA30" s="172"/>
      <c r="EQB30" s="172"/>
      <c r="EQC30" s="172"/>
      <c r="EQD30" s="172"/>
      <c r="EQE30" s="172"/>
      <c r="EQF30" s="172"/>
      <c r="EQG30" s="172"/>
      <c r="EQH30" s="172"/>
      <c r="EQI30" s="172"/>
      <c r="EQJ30" s="172"/>
      <c r="EQK30" s="172"/>
      <c r="EQL30" s="172"/>
      <c r="EQM30" s="172"/>
      <c r="EQN30" s="172"/>
      <c r="EQO30" s="172"/>
      <c r="EQP30" s="172"/>
      <c r="EQQ30" s="172"/>
      <c r="EQR30" s="172"/>
      <c r="EQS30" s="172"/>
      <c r="EQT30" s="172"/>
      <c r="EQU30" s="172"/>
      <c r="EQV30" s="172"/>
      <c r="EQW30" s="172"/>
      <c r="EQX30" s="172"/>
      <c r="EQY30" s="172"/>
      <c r="EQZ30" s="172"/>
      <c r="ERA30" s="172"/>
      <c r="ERB30" s="172"/>
      <c r="ERC30" s="172"/>
      <c r="ERD30" s="172"/>
      <c r="ERE30" s="172"/>
      <c r="ERF30" s="172"/>
      <c r="ERG30" s="172"/>
      <c r="ERH30" s="172"/>
      <c r="ERI30" s="172"/>
      <c r="ERJ30" s="172"/>
      <c r="ERK30" s="172"/>
      <c r="ERL30" s="172"/>
      <c r="ERM30" s="172"/>
      <c r="ERN30" s="172"/>
      <c r="ERO30" s="172"/>
      <c r="ERP30" s="172"/>
      <c r="ERQ30" s="172"/>
      <c r="ERR30" s="172"/>
      <c r="ERS30" s="172"/>
      <c r="ERT30" s="172"/>
      <c r="ERU30" s="172"/>
      <c r="ERV30" s="172"/>
      <c r="ERW30" s="172"/>
      <c r="ERX30" s="172"/>
      <c r="ERY30" s="172"/>
      <c r="ERZ30" s="172"/>
      <c r="ESA30" s="172"/>
      <c r="ESB30" s="172"/>
      <c r="ESC30" s="172"/>
      <c r="ESD30" s="172"/>
      <c r="ESE30" s="172"/>
      <c r="ESF30" s="172"/>
      <c r="ESG30" s="172"/>
      <c r="ESH30" s="172"/>
      <c r="ESI30" s="172"/>
      <c r="ESJ30" s="172"/>
      <c r="ESK30" s="172"/>
      <c r="ESL30" s="172"/>
      <c r="ESM30" s="172"/>
      <c r="ESN30" s="172"/>
      <c r="ESO30" s="172"/>
      <c r="ESP30" s="172"/>
      <c r="ESQ30" s="172"/>
      <c r="ESR30" s="172"/>
      <c r="ESS30" s="172"/>
      <c r="EST30" s="172"/>
      <c r="ESU30" s="172"/>
      <c r="ESV30" s="172"/>
      <c r="ESW30" s="172"/>
      <c r="ESX30" s="172"/>
      <c r="ESY30" s="172"/>
      <c r="ESZ30" s="172"/>
      <c r="ETA30" s="172"/>
      <c r="ETB30" s="172"/>
      <c r="ETC30" s="172"/>
      <c r="ETD30" s="172"/>
      <c r="ETE30" s="172"/>
      <c r="ETF30" s="172"/>
      <c r="ETG30" s="172"/>
      <c r="ETH30" s="172"/>
      <c r="ETI30" s="172"/>
      <c r="ETJ30" s="172"/>
      <c r="ETK30" s="172"/>
      <c r="ETL30" s="172"/>
      <c r="ETM30" s="172"/>
      <c r="ETN30" s="172"/>
      <c r="ETO30" s="172"/>
      <c r="ETP30" s="172"/>
      <c r="ETQ30" s="172"/>
      <c r="ETR30" s="172"/>
      <c r="ETS30" s="172"/>
      <c r="ETT30" s="172"/>
      <c r="ETU30" s="172"/>
      <c r="ETV30" s="172"/>
      <c r="ETW30" s="172"/>
      <c r="ETX30" s="172"/>
      <c r="ETY30" s="172"/>
      <c r="ETZ30" s="172"/>
      <c r="EUA30" s="172"/>
      <c r="EUB30" s="172"/>
      <c r="EUC30" s="172"/>
      <c r="EUD30" s="172"/>
      <c r="EUE30" s="172"/>
      <c r="EUF30" s="172"/>
      <c r="EUG30" s="172"/>
      <c r="EUH30" s="172"/>
      <c r="EUI30" s="172"/>
      <c r="EUJ30" s="172"/>
      <c r="EUK30" s="172"/>
      <c r="EUL30" s="172"/>
      <c r="EUM30" s="172"/>
      <c r="EUN30" s="172"/>
      <c r="EUO30" s="172"/>
      <c r="EUP30" s="172"/>
      <c r="EUQ30" s="172"/>
      <c r="EUR30" s="172"/>
      <c r="EUS30" s="172"/>
      <c r="EUT30" s="172"/>
      <c r="EUU30" s="172"/>
      <c r="EUV30" s="172"/>
      <c r="EUW30" s="172"/>
      <c r="EUX30" s="172"/>
      <c r="EUY30" s="172"/>
      <c r="EUZ30" s="172"/>
      <c r="EVA30" s="172"/>
      <c r="EVB30" s="172"/>
      <c r="EVC30" s="172"/>
      <c r="EVD30" s="172"/>
      <c r="EVE30" s="172"/>
      <c r="EVF30" s="172"/>
      <c r="EVG30" s="172"/>
      <c r="EVH30" s="172"/>
      <c r="EVI30" s="172"/>
      <c r="EVJ30" s="172"/>
      <c r="EVK30" s="172"/>
      <c r="EVL30" s="172"/>
      <c r="EVM30" s="172"/>
      <c r="EVN30" s="172"/>
      <c r="EVO30" s="172"/>
      <c r="EVP30" s="172"/>
      <c r="EVQ30" s="172"/>
      <c r="EVR30" s="172"/>
      <c r="EVS30" s="172"/>
      <c r="EVT30" s="172"/>
      <c r="EVU30" s="172"/>
      <c r="EVV30" s="172"/>
      <c r="EVW30" s="172"/>
      <c r="EVX30" s="172"/>
      <c r="EVY30" s="172"/>
      <c r="EVZ30" s="172"/>
      <c r="EWA30" s="172"/>
      <c r="EWB30" s="172"/>
      <c r="EWC30" s="172"/>
      <c r="EWD30" s="172"/>
      <c r="EWE30" s="172"/>
      <c r="EWF30" s="172"/>
      <c r="EWG30" s="172"/>
      <c r="EWH30" s="172"/>
      <c r="EWI30" s="172"/>
      <c r="EWJ30" s="172"/>
      <c r="EWK30" s="172"/>
      <c r="EWL30" s="172"/>
      <c r="EWM30" s="172"/>
      <c r="EWN30" s="172"/>
      <c r="EWO30" s="172"/>
      <c r="EWP30" s="172"/>
      <c r="EWQ30" s="172"/>
      <c r="EWR30" s="172"/>
      <c r="EWS30" s="172"/>
      <c r="EWT30" s="172"/>
      <c r="EWU30" s="172"/>
      <c r="EWV30" s="172"/>
      <c r="EWW30" s="172"/>
      <c r="EWX30" s="172"/>
      <c r="EWY30" s="172"/>
      <c r="EWZ30" s="172"/>
      <c r="EXA30" s="172"/>
      <c r="EXB30" s="172"/>
      <c r="EXC30" s="172"/>
      <c r="EXD30" s="172"/>
      <c r="EXE30" s="172"/>
      <c r="EXF30" s="172"/>
      <c r="EXG30" s="172"/>
      <c r="EXH30" s="172"/>
      <c r="EXI30" s="172"/>
      <c r="EXJ30" s="172"/>
      <c r="EXK30" s="172"/>
      <c r="EXL30" s="172"/>
      <c r="EXM30" s="172"/>
      <c r="EXN30" s="172"/>
      <c r="EXO30" s="172"/>
      <c r="EXP30" s="172"/>
      <c r="EXQ30" s="172"/>
      <c r="EXR30" s="172"/>
      <c r="EXS30" s="172"/>
      <c r="EXT30" s="172"/>
      <c r="EXU30" s="172"/>
      <c r="EXV30" s="172"/>
      <c r="EXW30" s="172"/>
      <c r="EXX30" s="172"/>
      <c r="EXY30" s="172"/>
      <c r="EXZ30" s="172"/>
      <c r="EYA30" s="172"/>
      <c r="EYB30" s="172"/>
      <c r="EYC30" s="172"/>
      <c r="EYD30" s="172"/>
      <c r="EYE30" s="172"/>
      <c r="EYF30" s="172"/>
      <c r="EYG30" s="172"/>
      <c r="EYH30" s="172"/>
      <c r="EYI30" s="172"/>
      <c r="EYJ30" s="172"/>
      <c r="EYK30" s="172"/>
      <c r="EYL30" s="172"/>
      <c r="EYM30" s="172"/>
      <c r="EYN30" s="172"/>
      <c r="EYO30" s="172"/>
      <c r="EYP30" s="172"/>
      <c r="EYQ30" s="172"/>
      <c r="EYR30" s="172"/>
      <c r="EYS30" s="172"/>
      <c r="EYT30" s="172"/>
      <c r="EYU30" s="172"/>
      <c r="EYV30" s="172"/>
      <c r="EYW30" s="172"/>
      <c r="EYX30" s="172"/>
      <c r="EYY30" s="172"/>
      <c r="EYZ30" s="172"/>
      <c r="EZA30" s="172"/>
      <c r="EZB30" s="172"/>
      <c r="EZC30" s="172"/>
      <c r="EZD30" s="172"/>
      <c r="EZE30" s="172"/>
      <c r="EZF30" s="172"/>
      <c r="EZG30" s="172"/>
      <c r="EZH30" s="172"/>
      <c r="EZI30" s="172"/>
      <c r="EZJ30" s="172"/>
      <c r="EZK30" s="172"/>
      <c r="EZL30" s="172"/>
      <c r="EZM30" s="172"/>
      <c r="EZN30" s="172"/>
      <c r="EZO30" s="172"/>
      <c r="EZP30" s="172"/>
      <c r="EZQ30" s="172"/>
      <c r="EZR30" s="172"/>
      <c r="EZS30" s="172"/>
      <c r="EZT30" s="172"/>
      <c r="EZU30" s="172"/>
      <c r="EZV30" s="172"/>
      <c r="EZW30" s="172"/>
      <c r="EZX30" s="172"/>
      <c r="EZY30" s="172"/>
      <c r="EZZ30" s="172"/>
      <c r="FAA30" s="172"/>
      <c r="FAB30" s="172"/>
      <c r="FAC30" s="172"/>
      <c r="FAD30" s="172"/>
      <c r="FAE30" s="172"/>
      <c r="FAF30" s="172"/>
      <c r="FAG30" s="172"/>
      <c r="FAH30" s="172"/>
      <c r="FAI30" s="172"/>
      <c r="FAJ30" s="172"/>
      <c r="FAK30" s="172"/>
      <c r="FAL30" s="172"/>
      <c r="FAM30" s="172"/>
      <c r="FAN30" s="172"/>
      <c r="FAO30" s="172"/>
      <c r="FAP30" s="172"/>
      <c r="FAQ30" s="172"/>
      <c r="FAR30" s="172"/>
      <c r="FAS30" s="172"/>
      <c r="FAT30" s="172"/>
      <c r="FAU30" s="172"/>
      <c r="FAV30" s="172"/>
      <c r="FAW30" s="172"/>
      <c r="FAX30" s="172"/>
      <c r="FAY30" s="172"/>
      <c r="FAZ30" s="172"/>
      <c r="FBA30" s="172"/>
      <c r="FBB30" s="172"/>
      <c r="FBC30" s="172"/>
      <c r="FBD30" s="172"/>
      <c r="FBE30" s="172"/>
      <c r="FBF30" s="172"/>
      <c r="FBG30" s="172"/>
      <c r="FBH30" s="172"/>
      <c r="FBI30" s="172"/>
      <c r="FBJ30" s="172"/>
      <c r="FBK30" s="172"/>
      <c r="FBL30" s="172"/>
      <c r="FBM30" s="172"/>
      <c r="FBN30" s="172"/>
      <c r="FBO30" s="172"/>
      <c r="FBP30" s="172"/>
      <c r="FBQ30" s="172"/>
      <c r="FBR30" s="172"/>
      <c r="FBS30" s="172"/>
      <c r="FBT30" s="172"/>
      <c r="FBU30" s="172"/>
      <c r="FBV30" s="172"/>
      <c r="FBW30" s="172"/>
      <c r="FBX30" s="172"/>
      <c r="FBY30" s="172"/>
      <c r="FBZ30" s="172"/>
      <c r="FCA30" s="172"/>
      <c r="FCB30" s="172"/>
      <c r="FCC30" s="172"/>
      <c r="FCD30" s="172"/>
      <c r="FCE30" s="172"/>
      <c r="FCF30" s="172"/>
      <c r="FCG30" s="172"/>
      <c r="FCH30" s="172"/>
      <c r="FCI30" s="172"/>
      <c r="FCJ30" s="172"/>
      <c r="FCK30" s="172"/>
      <c r="FCL30" s="172"/>
      <c r="FCM30" s="172"/>
      <c r="FCN30" s="172"/>
      <c r="FCO30" s="172"/>
      <c r="FCP30" s="172"/>
      <c r="FCQ30" s="172"/>
      <c r="FCR30" s="172"/>
      <c r="FCS30" s="172"/>
      <c r="FCT30" s="172"/>
      <c r="FCU30" s="172"/>
      <c r="FCV30" s="172"/>
      <c r="FCW30" s="172"/>
      <c r="FCX30" s="172"/>
      <c r="FCY30" s="172"/>
      <c r="FCZ30" s="172"/>
      <c r="FDA30" s="172"/>
      <c r="FDB30" s="172"/>
      <c r="FDC30" s="172"/>
      <c r="FDD30" s="172"/>
      <c r="FDE30" s="172"/>
      <c r="FDF30" s="172"/>
      <c r="FDG30" s="172"/>
      <c r="FDH30" s="172"/>
      <c r="FDI30" s="172"/>
      <c r="FDJ30" s="172"/>
      <c r="FDK30" s="172"/>
      <c r="FDL30" s="172"/>
      <c r="FDM30" s="172"/>
      <c r="FDN30" s="172"/>
      <c r="FDO30" s="172"/>
      <c r="FDP30" s="172"/>
      <c r="FDQ30" s="172"/>
      <c r="FDR30" s="172"/>
      <c r="FDS30" s="172"/>
      <c r="FDT30" s="172"/>
      <c r="FDU30" s="172"/>
      <c r="FDV30" s="172"/>
      <c r="FDW30" s="172"/>
      <c r="FDX30" s="172"/>
      <c r="FDY30" s="172"/>
      <c r="FDZ30" s="172"/>
      <c r="FEA30" s="172"/>
      <c r="FEB30" s="172"/>
      <c r="FEC30" s="172"/>
      <c r="FED30" s="172"/>
      <c r="FEE30" s="172"/>
      <c r="FEF30" s="172"/>
      <c r="FEG30" s="172"/>
      <c r="FEH30" s="172"/>
      <c r="FEI30" s="172"/>
      <c r="FEJ30" s="172"/>
      <c r="FEK30" s="172"/>
      <c r="FEL30" s="172"/>
      <c r="FEM30" s="172"/>
      <c r="FEN30" s="172"/>
      <c r="FEO30" s="172"/>
      <c r="FEP30" s="172"/>
      <c r="FEQ30" s="172"/>
      <c r="FER30" s="172"/>
      <c r="FES30" s="172"/>
      <c r="FET30" s="172"/>
      <c r="FEU30" s="172"/>
      <c r="FEV30" s="172"/>
      <c r="FEW30" s="172"/>
      <c r="FEX30" s="172"/>
      <c r="FEY30" s="172"/>
      <c r="FEZ30" s="172"/>
      <c r="FFA30" s="172"/>
      <c r="FFB30" s="172"/>
      <c r="FFC30" s="172"/>
      <c r="FFD30" s="172"/>
      <c r="FFE30" s="172"/>
      <c r="FFF30" s="172"/>
      <c r="FFG30" s="172"/>
      <c r="FFH30" s="172"/>
      <c r="FFI30" s="172"/>
      <c r="FFJ30" s="172"/>
      <c r="FFK30" s="172"/>
      <c r="FFL30" s="172"/>
      <c r="FFM30" s="172"/>
      <c r="FFN30" s="172"/>
      <c r="FFO30" s="172"/>
      <c r="FFP30" s="172"/>
      <c r="FFQ30" s="172"/>
      <c r="FFR30" s="172"/>
      <c r="FFS30" s="172"/>
      <c r="FFT30" s="172"/>
      <c r="FFU30" s="172"/>
      <c r="FFV30" s="172"/>
      <c r="FFW30" s="172"/>
      <c r="FFX30" s="172"/>
      <c r="FFY30" s="172"/>
      <c r="FFZ30" s="172"/>
      <c r="FGA30" s="172"/>
      <c r="FGB30" s="172"/>
      <c r="FGC30" s="172"/>
      <c r="FGD30" s="172"/>
      <c r="FGE30" s="172"/>
      <c r="FGF30" s="172"/>
      <c r="FGG30" s="172"/>
      <c r="FGH30" s="172"/>
      <c r="FGI30" s="172"/>
      <c r="FGJ30" s="172"/>
      <c r="FGK30" s="172"/>
      <c r="FGL30" s="172"/>
      <c r="FGM30" s="172"/>
      <c r="FGN30" s="172"/>
      <c r="FGO30" s="172"/>
      <c r="FGP30" s="172"/>
      <c r="FGQ30" s="172"/>
      <c r="FGR30" s="172"/>
      <c r="FGS30" s="172"/>
      <c r="FGT30" s="172"/>
      <c r="FGU30" s="172"/>
      <c r="FGV30" s="172"/>
      <c r="FGW30" s="172"/>
      <c r="FGX30" s="172"/>
      <c r="FGY30" s="172"/>
      <c r="FGZ30" s="172"/>
      <c r="FHA30" s="172"/>
      <c r="FHB30" s="172"/>
      <c r="FHC30" s="172"/>
      <c r="FHD30" s="172"/>
      <c r="FHE30" s="172"/>
      <c r="FHF30" s="172"/>
      <c r="FHG30" s="172"/>
      <c r="FHH30" s="172"/>
      <c r="FHI30" s="172"/>
      <c r="FHJ30" s="172"/>
      <c r="FHK30" s="172"/>
      <c r="FHL30" s="172"/>
      <c r="FHM30" s="172"/>
      <c r="FHN30" s="172"/>
      <c r="FHO30" s="172"/>
      <c r="FHP30" s="172"/>
      <c r="FHQ30" s="172"/>
      <c r="FHR30" s="172"/>
      <c r="FHS30" s="172"/>
      <c r="FHT30" s="172"/>
      <c r="FHU30" s="172"/>
      <c r="FHV30" s="172"/>
      <c r="FHW30" s="172"/>
      <c r="FHX30" s="172"/>
      <c r="FHY30" s="172"/>
      <c r="FHZ30" s="172"/>
      <c r="FIA30" s="172"/>
      <c r="FIB30" s="172"/>
      <c r="FIC30" s="172"/>
      <c r="FID30" s="172"/>
      <c r="FIE30" s="172"/>
      <c r="FIF30" s="172"/>
      <c r="FIG30" s="172"/>
      <c r="FIH30" s="172"/>
      <c r="FII30" s="172"/>
      <c r="FIJ30" s="172"/>
      <c r="FIK30" s="172"/>
      <c r="FIL30" s="172"/>
      <c r="FIM30" s="172"/>
      <c r="FIN30" s="172"/>
      <c r="FIO30" s="172"/>
      <c r="FIP30" s="172"/>
      <c r="FIQ30" s="172"/>
      <c r="FIR30" s="172"/>
      <c r="FIS30" s="172"/>
      <c r="FIT30" s="172"/>
      <c r="FIU30" s="172"/>
      <c r="FIV30" s="172"/>
      <c r="FIW30" s="172"/>
      <c r="FIX30" s="172"/>
      <c r="FIY30" s="172"/>
      <c r="FIZ30" s="172"/>
      <c r="FJA30" s="172"/>
      <c r="FJB30" s="172"/>
      <c r="FJC30" s="172"/>
      <c r="FJD30" s="172"/>
      <c r="FJE30" s="172"/>
      <c r="FJF30" s="172"/>
      <c r="FJG30" s="172"/>
      <c r="FJH30" s="172"/>
      <c r="FJI30" s="172"/>
      <c r="FJJ30" s="172"/>
      <c r="FJK30" s="172"/>
      <c r="FJL30" s="172"/>
      <c r="FJM30" s="172"/>
      <c r="FJN30" s="172"/>
      <c r="FJO30" s="172"/>
      <c r="FJP30" s="172"/>
      <c r="FJQ30" s="172"/>
      <c r="FJR30" s="172"/>
      <c r="FJS30" s="172"/>
      <c r="FJT30" s="172"/>
      <c r="FJU30" s="172"/>
      <c r="FJV30" s="172"/>
      <c r="FJW30" s="172"/>
      <c r="FJX30" s="172"/>
      <c r="FJY30" s="172"/>
      <c r="FJZ30" s="172"/>
      <c r="FKA30" s="172"/>
      <c r="FKB30" s="172"/>
      <c r="FKC30" s="172"/>
      <c r="FKD30" s="172"/>
      <c r="FKE30" s="172"/>
      <c r="FKF30" s="172"/>
      <c r="FKG30" s="172"/>
      <c r="FKH30" s="172"/>
      <c r="FKI30" s="172"/>
      <c r="FKJ30" s="172"/>
      <c r="FKK30" s="172"/>
      <c r="FKL30" s="172"/>
      <c r="FKM30" s="172"/>
      <c r="FKN30" s="172"/>
      <c r="FKO30" s="172"/>
      <c r="FKP30" s="172"/>
      <c r="FKQ30" s="172"/>
      <c r="FKR30" s="172"/>
      <c r="FKS30" s="172"/>
      <c r="FKT30" s="172"/>
      <c r="FKU30" s="172"/>
      <c r="FKV30" s="172"/>
      <c r="FKW30" s="172"/>
      <c r="FKX30" s="172"/>
      <c r="FKY30" s="172"/>
      <c r="FKZ30" s="172"/>
      <c r="FLA30" s="172"/>
      <c r="FLB30" s="172"/>
      <c r="FLC30" s="172"/>
      <c r="FLD30" s="172"/>
      <c r="FLE30" s="172"/>
      <c r="FLF30" s="172"/>
      <c r="FLG30" s="172"/>
      <c r="FLH30" s="172"/>
      <c r="FLI30" s="172"/>
      <c r="FLJ30" s="172"/>
      <c r="FLK30" s="172"/>
      <c r="FLL30" s="172"/>
      <c r="FLM30" s="172"/>
      <c r="FLN30" s="172"/>
      <c r="FLO30" s="172"/>
      <c r="FLP30" s="172"/>
      <c r="FLQ30" s="172"/>
      <c r="FLR30" s="172"/>
      <c r="FLS30" s="172"/>
      <c r="FLT30" s="172"/>
      <c r="FLU30" s="172"/>
      <c r="FLV30" s="172"/>
      <c r="FLW30" s="172"/>
      <c r="FLX30" s="172"/>
      <c r="FLY30" s="172"/>
      <c r="FLZ30" s="172"/>
      <c r="FMA30" s="172"/>
      <c r="FMB30" s="172"/>
      <c r="FMC30" s="172"/>
      <c r="FMD30" s="172"/>
      <c r="FME30" s="172"/>
      <c r="FMF30" s="172"/>
      <c r="FMG30" s="172"/>
      <c r="FMH30" s="172"/>
      <c r="FMI30" s="172"/>
      <c r="FMJ30" s="172"/>
      <c r="FMK30" s="172"/>
      <c r="FML30" s="172"/>
      <c r="FMM30" s="172"/>
      <c r="FMN30" s="172"/>
      <c r="FMO30" s="172"/>
      <c r="FMP30" s="172"/>
      <c r="FMQ30" s="172"/>
      <c r="FMR30" s="172"/>
      <c r="FMS30" s="172"/>
      <c r="FMT30" s="172"/>
      <c r="FMU30" s="172"/>
      <c r="FMV30" s="172"/>
      <c r="FMW30" s="172"/>
      <c r="FMX30" s="172"/>
      <c r="FMY30" s="172"/>
      <c r="FMZ30" s="172"/>
      <c r="FNA30" s="172"/>
      <c r="FNB30" s="172"/>
      <c r="FNC30" s="172"/>
      <c r="FND30" s="172"/>
      <c r="FNE30" s="172"/>
      <c r="FNF30" s="172"/>
      <c r="FNG30" s="172"/>
      <c r="FNH30" s="172"/>
      <c r="FNI30" s="172"/>
      <c r="FNJ30" s="172"/>
      <c r="FNK30" s="172"/>
      <c r="FNL30" s="172"/>
      <c r="FNM30" s="172"/>
      <c r="FNN30" s="172"/>
      <c r="FNO30" s="172"/>
      <c r="FNP30" s="172"/>
      <c r="FNQ30" s="172"/>
      <c r="FNR30" s="172"/>
      <c r="FNS30" s="172"/>
      <c r="FNT30" s="172"/>
      <c r="FNU30" s="172"/>
      <c r="FNV30" s="172"/>
      <c r="FNW30" s="172"/>
      <c r="FNX30" s="172"/>
      <c r="FNY30" s="172"/>
      <c r="FNZ30" s="172"/>
      <c r="FOA30" s="172"/>
      <c r="FOB30" s="172"/>
      <c r="FOC30" s="172"/>
      <c r="FOD30" s="172"/>
      <c r="FOE30" s="172"/>
      <c r="FOF30" s="172"/>
      <c r="FOG30" s="172"/>
      <c r="FOH30" s="172"/>
      <c r="FOI30" s="172"/>
      <c r="FOJ30" s="172"/>
      <c r="FOK30" s="172"/>
      <c r="FOL30" s="172"/>
      <c r="FOM30" s="172"/>
      <c r="FON30" s="172"/>
      <c r="FOO30" s="172"/>
      <c r="FOP30" s="172"/>
      <c r="FOQ30" s="172"/>
      <c r="FOR30" s="172"/>
      <c r="FOS30" s="172"/>
      <c r="FOT30" s="172"/>
      <c r="FOU30" s="172"/>
      <c r="FOV30" s="172"/>
      <c r="FOW30" s="172"/>
      <c r="FOX30" s="172"/>
      <c r="FOY30" s="172"/>
      <c r="FOZ30" s="172"/>
      <c r="FPA30" s="172"/>
      <c r="FPB30" s="172"/>
      <c r="FPC30" s="172"/>
      <c r="FPD30" s="172"/>
      <c r="FPE30" s="172"/>
      <c r="FPF30" s="172"/>
      <c r="FPG30" s="172"/>
      <c r="FPH30" s="172"/>
      <c r="FPI30" s="172"/>
      <c r="FPJ30" s="172"/>
      <c r="FPK30" s="172"/>
      <c r="FPL30" s="172"/>
      <c r="FPM30" s="172"/>
      <c r="FPN30" s="172"/>
      <c r="FPO30" s="172"/>
      <c r="FPP30" s="172"/>
      <c r="FPQ30" s="172"/>
      <c r="FPR30" s="172"/>
      <c r="FPS30" s="172"/>
      <c r="FPT30" s="172"/>
      <c r="FPU30" s="172"/>
      <c r="FPV30" s="172"/>
      <c r="FPW30" s="172"/>
      <c r="FPX30" s="172"/>
      <c r="FPY30" s="172"/>
      <c r="FPZ30" s="172"/>
      <c r="FQA30" s="172"/>
      <c r="FQB30" s="172"/>
      <c r="FQC30" s="172"/>
      <c r="FQD30" s="172"/>
      <c r="FQE30" s="172"/>
      <c r="FQF30" s="172"/>
      <c r="FQG30" s="172"/>
      <c r="FQH30" s="172"/>
      <c r="FQI30" s="172"/>
      <c r="FQJ30" s="172"/>
      <c r="FQK30" s="172"/>
      <c r="FQL30" s="172"/>
      <c r="FQM30" s="172"/>
      <c r="FQN30" s="172"/>
      <c r="FQO30" s="172"/>
      <c r="FQP30" s="172"/>
      <c r="FQQ30" s="172"/>
      <c r="FQR30" s="172"/>
      <c r="FQS30" s="172"/>
      <c r="FQT30" s="172"/>
      <c r="FQU30" s="172"/>
      <c r="FQV30" s="172"/>
      <c r="FQW30" s="172"/>
      <c r="FQX30" s="172"/>
      <c r="FQY30" s="172"/>
      <c r="FQZ30" s="172"/>
      <c r="FRA30" s="172"/>
      <c r="FRB30" s="172"/>
      <c r="FRC30" s="172"/>
      <c r="FRD30" s="172"/>
      <c r="FRE30" s="172"/>
      <c r="FRF30" s="172"/>
      <c r="FRG30" s="172"/>
      <c r="FRH30" s="172"/>
      <c r="FRI30" s="172"/>
      <c r="FRJ30" s="172"/>
      <c r="FRK30" s="172"/>
      <c r="FRL30" s="172"/>
      <c r="FRM30" s="172"/>
      <c r="FRN30" s="172"/>
      <c r="FRO30" s="172"/>
      <c r="FRP30" s="172"/>
      <c r="FRQ30" s="172"/>
      <c r="FRR30" s="172"/>
      <c r="FRS30" s="172"/>
      <c r="FRT30" s="172"/>
      <c r="FRU30" s="172"/>
      <c r="FRV30" s="172"/>
      <c r="FRW30" s="172"/>
      <c r="FRX30" s="172"/>
      <c r="FRY30" s="172"/>
      <c r="FRZ30" s="172"/>
      <c r="FSA30" s="172"/>
      <c r="FSB30" s="172"/>
      <c r="FSC30" s="172"/>
      <c r="FSD30" s="172"/>
      <c r="FSE30" s="172"/>
      <c r="FSF30" s="172"/>
      <c r="FSG30" s="172"/>
      <c r="FSH30" s="172"/>
      <c r="FSI30" s="172"/>
      <c r="FSJ30" s="172"/>
      <c r="FSK30" s="172"/>
      <c r="FSL30" s="172"/>
      <c r="FSM30" s="172"/>
      <c r="FSN30" s="172"/>
      <c r="FSO30" s="172"/>
      <c r="FSP30" s="172"/>
      <c r="FSQ30" s="172"/>
      <c r="FSR30" s="172"/>
      <c r="FSS30" s="172"/>
      <c r="FST30" s="172"/>
      <c r="FSU30" s="172"/>
      <c r="FSV30" s="172"/>
      <c r="FSW30" s="172"/>
      <c r="FSX30" s="172"/>
      <c r="FSY30" s="172"/>
      <c r="FSZ30" s="172"/>
      <c r="FTA30" s="172"/>
      <c r="FTB30" s="172"/>
      <c r="FTC30" s="172"/>
      <c r="FTD30" s="172"/>
      <c r="FTE30" s="172"/>
      <c r="FTF30" s="172"/>
      <c r="FTG30" s="172"/>
      <c r="FTH30" s="172"/>
      <c r="FTI30" s="172"/>
      <c r="FTJ30" s="172"/>
      <c r="FTK30" s="172"/>
      <c r="FTL30" s="172"/>
      <c r="FTM30" s="172"/>
      <c r="FTN30" s="172"/>
      <c r="FTO30" s="172"/>
      <c r="FTP30" s="172"/>
      <c r="FTQ30" s="172"/>
      <c r="FTR30" s="172"/>
      <c r="FTS30" s="172"/>
      <c r="FTT30" s="172"/>
      <c r="FTU30" s="172"/>
      <c r="FTV30" s="172"/>
      <c r="FTW30" s="172"/>
      <c r="FTX30" s="172"/>
      <c r="FTY30" s="172"/>
      <c r="FTZ30" s="172"/>
      <c r="FUA30" s="172"/>
      <c r="FUB30" s="172"/>
      <c r="FUC30" s="172"/>
      <c r="FUD30" s="172"/>
      <c r="FUE30" s="172"/>
      <c r="FUF30" s="172"/>
      <c r="FUG30" s="172"/>
      <c r="FUH30" s="172"/>
      <c r="FUI30" s="172"/>
      <c r="FUJ30" s="172"/>
      <c r="FUK30" s="172"/>
      <c r="FUL30" s="172"/>
      <c r="FUM30" s="172"/>
      <c r="FUN30" s="172"/>
      <c r="FUO30" s="172"/>
      <c r="FUP30" s="172"/>
      <c r="FUQ30" s="172"/>
      <c r="FUR30" s="172"/>
      <c r="FUS30" s="172"/>
      <c r="FUT30" s="172"/>
      <c r="FUU30" s="172"/>
      <c r="FUV30" s="172"/>
      <c r="FUW30" s="172"/>
      <c r="FUX30" s="172"/>
      <c r="FUY30" s="172"/>
      <c r="FUZ30" s="172"/>
      <c r="FVA30" s="172"/>
      <c r="FVB30" s="172"/>
      <c r="FVC30" s="172"/>
      <c r="FVD30" s="172"/>
      <c r="FVE30" s="172"/>
      <c r="FVF30" s="172"/>
      <c r="FVG30" s="172"/>
      <c r="FVH30" s="172"/>
      <c r="FVI30" s="172"/>
      <c r="FVJ30" s="172"/>
      <c r="FVK30" s="172"/>
      <c r="FVL30" s="172"/>
      <c r="FVM30" s="172"/>
      <c r="FVN30" s="172"/>
      <c r="FVO30" s="172"/>
      <c r="FVP30" s="172"/>
      <c r="FVQ30" s="172"/>
      <c r="FVR30" s="172"/>
      <c r="FVS30" s="172"/>
      <c r="FVT30" s="172"/>
      <c r="FVU30" s="172"/>
      <c r="FVV30" s="172"/>
      <c r="FVW30" s="172"/>
      <c r="FVX30" s="172"/>
      <c r="FVY30" s="172"/>
      <c r="FVZ30" s="172"/>
      <c r="FWA30" s="172"/>
      <c r="FWB30" s="172"/>
      <c r="FWC30" s="172"/>
      <c r="FWD30" s="172"/>
      <c r="FWE30" s="172"/>
      <c r="FWF30" s="172"/>
      <c r="FWG30" s="172"/>
      <c r="FWH30" s="172"/>
      <c r="FWI30" s="172"/>
      <c r="FWJ30" s="172"/>
      <c r="FWK30" s="172"/>
      <c r="FWL30" s="172"/>
      <c r="FWM30" s="172"/>
      <c r="FWN30" s="172"/>
      <c r="FWO30" s="172"/>
      <c r="FWP30" s="172"/>
      <c r="FWQ30" s="172"/>
      <c r="FWR30" s="172"/>
      <c r="FWS30" s="172"/>
      <c r="FWT30" s="172"/>
      <c r="FWU30" s="172"/>
      <c r="FWV30" s="172"/>
      <c r="FWW30" s="172"/>
      <c r="FWX30" s="172"/>
      <c r="FWY30" s="172"/>
      <c r="FWZ30" s="172"/>
      <c r="FXA30" s="172"/>
      <c r="FXB30" s="172"/>
      <c r="FXC30" s="172"/>
      <c r="FXD30" s="172"/>
      <c r="FXE30" s="172"/>
      <c r="FXF30" s="172"/>
      <c r="FXG30" s="172"/>
      <c r="FXH30" s="172"/>
      <c r="FXI30" s="172"/>
      <c r="FXJ30" s="172"/>
      <c r="FXK30" s="172"/>
      <c r="FXL30" s="172"/>
      <c r="FXM30" s="172"/>
      <c r="FXN30" s="172"/>
      <c r="FXO30" s="172"/>
      <c r="FXP30" s="172"/>
      <c r="FXQ30" s="172"/>
      <c r="FXR30" s="172"/>
      <c r="FXS30" s="172"/>
      <c r="FXT30" s="172"/>
      <c r="FXU30" s="172"/>
      <c r="FXV30" s="172"/>
      <c r="FXW30" s="172"/>
      <c r="FXX30" s="172"/>
      <c r="FXY30" s="172"/>
      <c r="FXZ30" s="172"/>
      <c r="FYA30" s="172"/>
      <c r="FYB30" s="172"/>
      <c r="FYC30" s="172"/>
      <c r="FYD30" s="172"/>
      <c r="FYE30" s="172"/>
      <c r="FYF30" s="172"/>
      <c r="FYG30" s="172"/>
      <c r="FYH30" s="172"/>
      <c r="FYI30" s="172"/>
      <c r="FYJ30" s="172"/>
      <c r="FYK30" s="172"/>
      <c r="FYL30" s="172"/>
      <c r="FYM30" s="172"/>
      <c r="FYN30" s="172"/>
      <c r="FYO30" s="172"/>
      <c r="FYP30" s="172"/>
      <c r="FYQ30" s="172"/>
      <c r="FYR30" s="172"/>
      <c r="FYS30" s="172"/>
      <c r="FYT30" s="172"/>
      <c r="FYU30" s="172"/>
      <c r="FYV30" s="172"/>
      <c r="FYW30" s="172"/>
      <c r="FYX30" s="172"/>
      <c r="FYY30" s="172"/>
      <c r="FYZ30" s="172"/>
      <c r="FZA30" s="172"/>
      <c r="FZB30" s="172"/>
      <c r="FZC30" s="172"/>
      <c r="FZD30" s="172"/>
      <c r="FZE30" s="172"/>
      <c r="FZF30" s="172"/>
      <c r="FZG30" s="172"/>
      <c r="FZH30" s="172"/>
      <c r="FZI30" s="172"/>
      <c r="FZJ30" s="172"/>
      <c r="FZK30" s="172"/>
      <c r="FZL30" s="172"/>
      <c r="FZM30" s="172"/>
      <c r="FZN30" s="172"/>
      <c r="FZO30" s="172"/>
      <c r="FZP30" s="172"/>
      <c r="FZQ30" s="172"/>
      <c r="FZR30" s="172"/>
      <c r="FZS30" s="172"/>
      <c r="FZT30" s="172"/>
      <c r="FZU30" s="172"/>
      <c r="FZV30" s="172"/>
      <c r="FZW30" s="172"/>
      <c r="FZX30" s="172"/>
      <c r="FZY30" s="172"/>
      <c r="FZZ30" s="172"/>
      <c r="GAA30" s="172"/>
      <c r="GAB30" s="172"/>
      <c r="GAC30" s="172"/>
      <c r="GAD30" s="172"/>
      <c r="GAE30" s="172"/>
      <c r="GAF30" s="172"/>
      <c r="GAG30" s="172"/>
      <c r="GAH30" s="172"/>
      <c r="GAI30" s="172"/>
      <c r="GAJ30" s="172"/>
      <c r="GAK30" s="172"/>
      <c r="GAL30" s="172"/>
      <c r="GAM30" s="172"/>
      <c r="GAN30" s="172"/>
      <c r="GAO30" s="172"/>
      <c r="GAP30" s="172"/>
      <c r="GAQ30" s="172"/>
      <c r="GAR30" s="172"/>
      <c r="GAS30" s="172"/>
      <c r="GAT30" s="172"/>
      <c r="GAU30" s="172"/>
      <c r="GAV30" s="172"/>
      <c r="GAW30" s="172"/>
      <c r="GAX30" s="172"/>
      <c r="GAY30" s="172"/>
      <c r="GAZ30" s="172"/>
      <c r="GBA30" s="172"/>
      <c r="GBB30" s="172"/>
      <c r="GBC30" s="172"/>
      <c r="GBD30" s="172"/>
      <c r="GBE30" s="172"/>
      <c r="GBF30" s="172"/>
      <c r="GBG30" s="172"/>
      <c r="GBH30" s="172"/>
      <c r="GBI30" s="172"/>
      <c r="GBJ30" s="172"/>
      <c r="GBK30" s="172"/>
      <c r="GBL30" s="172"/>
      <c r="GBM30" s="172"/>
      <c r="GBN30" s="172"/>
      <c r="GBO30" s="172"/>
      <c r="GBP30" s="172"/>
      <c r="GBQ30" s="172"/>
      <c r="GBR30" s="172"/>
      <c r="GBS30" s="172"/>
      <c r="GBT30" s="172"/>
      <c r="GBU30" s="172"/>
      <c r="GBV30" s="172"/>
      <c r="GBW30" s="172"/>
      <c r="GBX30" s="172"/>
      <c r="GBY30" s="172"/>
      <c r="GBZ30" s="172"/>
      <c r="GCA30" s="172"/>
      <c r="GCB30" s="172"/>
      <c r="GCC30" s="172"/>
      <c r="GCD30" s="172"/>
      <c r="GCE30" s="172"/>
      <c r="GCF30" s="172"/>
      <c r="GCG30" s="172"/>
      <c r="GCH30" s="172"/>
      <c r="GCI30" s="172"/>
      <c r="GCJ30" s="172"/>
      <c r="GCK30" s="172"/>
      <c r="GCL30" s="172"/>
      <c r="GCM30" s="172"/>
      <c r="GCN30" s="172"/>
      <c r="GCO30" s="172"/>
      <c r="GCP30" s="172"/>
      <c r="GCQ30" s="172"/>
      <c r="GCR30" s="172"/>
      <c r="GCS30" s="172"/>
      <c r="GCT30" s="172"/>
      <c r="GCU30" s="172"/>
      <c r="GCV30" s="172"/>
      <c r="GCW30" s="172"/>
      <c r="GCX30" s="172"/>
      <c r="GCY30" s="172"/>
      <c r="GCZ30" s="172"/>
      <c r="GDA30" s="172"/>
      <c r="GDB30" s="172"/>
      <c r="GDC30" s="172"/>
      <c r="GDD30" s="172"/>
      <c r="GDE30" s="172"/>
      <c r="GDF30" s="172"/>
      <c r="GDG30" s="172"/>
      <c r="GDH30" s="172"/>
      <c r="GDI30" s="172"/>
      <c r="GDJ30" s="172"/>
      <c r="GDK30" s="172"/>
      <c r="GDL30" s="172"/>
      <c r="GDM30" s="172"/>
      <c r="GDN30" s="172"/>
      <c r="GDO30" s="172"/>
      <c r="GDP30" s="172"/>
      <c r="GDQ30" s="172"/>
      <c r="GDR30" s="172"/>
      <c r="GDS30" s="172"/>
      <c r="GDT30" s="172"/>
      <c r="GDU30" s="172"/>
      <c r="GDV30" s="172"/>
      <c r="GDW30" s="172"/>
      <c r="GDX30" s="172"/>
      <c r="GDY30" s="172"/>
      <c r="GDZ30" s="172"/>
      <c r="GEA30" s="172"/>
      <c r="GEB30" s="172"/>
      <c r="GEC30" s="172"/>
      <c r="GED30" s="172"/>
      <c r="GEE30" s="172"/>
      <c r="GEF30" s="172"/>
      <c r="GEG30" s="172"/>
      <c r="GEH30" s="172"/>
      <c r="GEI30" s="172"/>
      <c r="GEJ30" s="172"/>
      <c r="GEK30" s="172"/>
      <c r="GEL30" s="172"/>
      <c r="GEM30" s="172"/>
      <c r="GEN30" s="172"/>
      <c r="GEO30" s="172"/>
      <c r="GEP30" s="172"/>
      <c r="GEQ30" s="172"/>
      <c r="GER30" s="172"/>
      <c r="GES30" s="172"/>
      <c r="GET30" s="172"/>
      <c r="GEU30" s="172"/>
      <c r="GEV30" s="172"/>
      <c r="GEW30" s="172"/>
      <c r="GEX30" s="172"/>
      <c r="GEY30" s="172"/>
      <c r="GEZ30" s="172"/>
      <c r="GFA30" s="172"/>
      <c r="GFB30" s="172"/>
      <c r="GFC30" s="172"/>
      <c r="GFD30" s="172"/>
      <c r="GFE30" s="172"/>
      <c r="GFF30" s="172"/>
      <c r="GFG30" s="172"/>
      <c r="GFH30" s="172"/>
      <c r="GFI30" s="172"/>
      <c r="GFJ30" s="172"/>
      <c r="GFK30" s="172"/>
      <c r="GFL30" s="172"/>
      <c r="GFM30" s="172"/>
      <c r="GFN30" s="172"/>
      <c r="GFO30" s="172"/>
      <c r="GFP30" s="172"/>
      <c r="GFQ30" s="172"/>
      <c r="GFR30" s="172"/>
      <c r="GFS30" s="172"/>
      <c r="GFT30" s="172"/>
      <c r="GFU30" s="172"/>
      <c r="GFV30" s="172"/>
      <c r="GFW30" s="172"/>
      <c r="GFX30" s="172"/>
      <c r="GFY30" s="172"/>
      <c r="GFZ30" s="172"/>
      <c r="GGA30" s="172"/>
      <c r="GGB30" s="172"/>
      <c r="GGC30" s="172"/>
      <c r="GGD30" s="172"/>
      <c r="GGE30" s="172"/>
      <c r="GGF30" s="172"/>
      <c r="GGG30" s="172"/>
      <c r="GGH30" s="172"/>
      <c r="GGI30" s="172"/>
      <c r="GGJ30" s="172"/>
      <c r="GGK30" s="172"/>
      <c r="GGL30" s="172"/>
      <c r="GGM30" s="172"/>
      <c r="GGN30" s="172"/>
      <c r="GGO30" s="172"/>
      <c r="GGP30" s="172"/>
      <c r="GGQ30" s="172"/>
      <c r="GGR30" s="172"/>
      <c r="GGS30" s="172"/>
      <c r="GGT30" s="172"/>
      <c r="GGU30" s="172"/>
      <c r="GGV30" s="172"/>
      <c r="GGW30" s="172"/>
      <c r="GGX30" s="172"/>
      <c r="GGY30" s="172"/>
      <c r="GGZ30" s="172"/>
      <c r="GHA30" s="172"/>
      <c r="GHB30" s="172"/>
      <c r="GHC30" s="172"/>
      <c r="GHD30" s="172"/>
      <c r="GHE30" s="172"/>
      <c r="GHF30" s="172"/>
      <c r="GHG30" s="172"/>
      <c r="GHH30" s="172"/>
      <c r="GHI30" s="172"/>
      <c r="GHJ30" s="172"/>
      <c r="GHK30" s="172"/>
      <c r="GHL30" s="172"/>
      <c r="GHM30" s="172"/>
      <c r="GHN30" s="172"/>
      <c r="GHO30" s="172"/>
      <c r="GHP30" s="172"/>
      <c r="GHQ30" s="172"/>
      <c r="GHR30" s="172"/>
      <c r="GHS30" s="172"/>
      <c r="GHT30" s="172"/>
      <c r="GHU30" s="172"/>
      <c r="GHV30" s="172"/>
      <c r="GHW30" s="172"/>
      <c r="GHX30" s="172"/>
      <c r="GHY30" s="172"/>
      <c r="GHZ30" s="172"/>
      <c r="GIA30" s="172"/>
      <c r="GIB30" s="172"/>
      <c r="GIC30" s="172"/>
      <c r="GID30" s="172"/>
      <c r="GIE30" s="172"/>
      <c r="GIF30" s="172"/>
      <c r="GIG30" s="172"/>
      <c r="GIH30" s="172"/>
      <c r="GII30" s="172"/>
      <c r="GIJ30" s="172"/>
      <c r="GIK30" s="172"/>
      <c r="GIL30" s="172"/>
      <c r="GIM30" s="172"/>
      <c r="GIN30" s="172"/>
      <c r="GIO30" s="172"/>
      <c r="GIP30" s="172"/>
      <c r="GIQ30" s="172"/>
      <c r="GIR30" s="172"/>
      <c r="GIS30" s="172"/>
      <c r="GIT30" s="172"/>
      <c r="GIU30" s="172"/>
      <c r="GIV30" s="172"/>
      <c r="GIW30" s="172"/>
      <c r="GIX30" s="172"/>
      <c r="GIY30" s="172"/>
      <c r="GIZ30" s="172"/>
      <c r="GJA30" s="172"/>
      <c r="GJB30" s="172"/>
      <c r="GJC30" s="172"/>
      <c r="GJD30" s="172"/>
      <c r="GJE30" s="172"/>
      <c r="GJF30" s="172"/>
      <c r="GJG30" s="172"/>
      <c r="GJH30" s="172"/>
      <c r="GJI30" s="172"/>
      <c r="GJJ30" s="172"/>
      <c r="GJK30" s="172"/>
      <c r="GJL30" s="172"/>
      <c r="GJM30" s="172"/>
      <c r="GJN30" s="172"/>
      <c r="GJO30" s="172"/>
      <c r="GJP30" s="172"/>
      <c r="GJQ30" s="172"/>
      <c r="GJR30" s="172"/>
      <c r="GJS30" s="172"/>
      <c r="GJT30" s="172"/>
      <c r="GJU30" s="172"/>
      <c r="GJV30" s="172"/>
      <c r="GJW30" s="172"/>
      <c r="GJX30" s="172"/>
      <c r="GJY30" s="172"/>
      <c r="GJZ30" s="172"/>
      <c r="GKA30" s="172"/>
      <c r="GKB30" s="172"/>
      <c r="GKC30" s="172"/>
      <c r="GKD30" s="172"/>
      <c r="GKE30" s="172"/>
      <c r="GKF30" s="172"/>
      <c r="GKG30" s="172"/>
      <c r="GKH30" s="172"/>
      <c r="GKI30" s="172"/>
      <c r="GKJ30" s="172"/>
      <c r="GKK30" s="172"/>
      <c r="GKL30" s="172"/>
      <c r="GKM30" s="172"/>
      <c r="GKN30" s="172"/>
      <c r="GKO30" s="172"/>
      <c r="GKP30" s="172"/>
      <c r="GKQ30" s="172"/>
      <c r="GKR30" s="172"/>
      <c r="GKS30" s="172"/>
      <c r="GKT30" s="172"/>
      <c r="GKU30" s="172"/>
      <c r="GKV30" s="172"/>
      <c r="GKW30" s="172"/>
      <c r="GKX30" s="172"/>
      <c r="GKY30" s="172"/>
      <c r="GKZ30" s="172"/>
      <c r="GLA30" s="172"/>
      <c r="GLB30" s="172"/>
      <c r="GLC30" s="172"/>
      <c r="GLD30" s="172"/>
      <c r="GLE30" s="172"/>
      <c r="GLF30" s="172"/>
      <c r="GLG30" s="172"/>
      <c r="GLH30" s="172"/>
      <c r="GLI30" s="172"/>
      <c r="GLJ30" s="172"/>
      <c r="GLK30" s="172"/>
      <c r="GLL30" s="172"/>
      <c r="GLM30" s="172"/>
      <c r="GLN30" s="172"/>
      <c r="GLO30" s="172"/>
      <c r="GLP30" s="172"/>
      <c r="GLQ30" s="172"/>
      <c r="GLR30" s="172"/>
      <c r="GLS30" s="172"/>
      <c r="GLT30" s="172"/>
      <c r="GLU30" s="172"/>
      <c r="GLV30" s="172"/>
      <c r="GLW30" s="172"/>
      <c r="GLX30" s="172"/>
      <c r="GLY30" s="172"/>
      <c r="GLZ30" s="172"/>
      <c r="GMA30" s="172"/>
      <c r="GMB30" s="172"/>
      <c r="GMC30" s="172"/>
      <c r="GMD30" s="172"/>
      <c r="GME30" s="172"/>
      <c r="GMF30" s="172"/>
      <c r="GMG30" s="172"/>
      <c r="GMH30" s="172"/>
      <c r="GMI30" s="172"/>
      <c r="GMJ30" s="172"/>
      <c r="GMK30" s="172"/>
      <c r="GML30" s="172"/>
      <c r="GMM30" s="172"/>
      <c r="GMN30" s="172"/>
      <c r="GMO30" s="172"/>
      <c r="GMP30" s="172"/>
      <c r="GMQ30" s="172"/>
      <c r="GMR30" s="172"/>
      <c r="GMS30" s="172"/>
      <c r="GMT30" s="172"/>
      <c r="GMU30" s="172"/>
      <c r="GMV30" s="172"/>
      <c r="GMW30" s="172"/>
      <c r="GMX30" s="172"/>
      <c r="GMY30" s="172"/>
      <c r="GMZ30" s="172"/>
      <c r="GNA30" s="172"/>
      <c r="GNB30" s="172"/>
      <c r="GNC30" s="172"/>
      <c r="GND30" s="172"/>
      <c r="GNE30" s="172"/>
      <c r="GNF30" s="172"/>
      <c r="GNG30" s="172"/>
      <c r="GNH30" s="172"/>
      <c r="GNI30" s="172"/>
      <c r="GNJ30" s="172"/>
      <c r="GNK30" s="172"/>
      <c r="GNL30" s="172"/>
      <c r="GNM30" s="172"/>
      <c r="GNN30" s="172"/>
      <c r="GNO30" s="172"/>
      <c r="GNP30" s="172"/>
      <c r="GNQ30" s="172"/>
      <c r="GNR30" s="172"/>
      <c r="GNS30" s="172"/>
      <c r="GNT30" s="172"/>
      <c r="GNU30" s="172"/>
      <c r="GNV30" s="172"/>
      <c r="GNW30" s="172"/>
      <c r="GNX30" s="172"/>
      <c r="GNY30" s="172"/>
      <c r="GNZ30" s="172"/>
      <c r="GOA30" s="172"/>
      <c r="GOB30" s="172"/>
      <c r="GOC30" s="172"/>
      <c r="GOD30" s="172"/>
      <c r="GOE30" s="172"/>
      <c r="GOF30" s="172"/>
      <c r="GOG30" s="172"/>
      <c r="GOH30" s="172"/>
      <c r="GOI30" s="172"/>
      <c r="GOJ30" s="172"/>
      <c r="GOK30" s="172"/>
      <c r="GOL30" s="172"/>
      <c r="GOM30" s="172"/>
      <c r="GON30" s="172"/>
      <c r="GOO30" s="172"/>
      <c r="GOP30" s="172"/>
      <c r="GOQ30" s="172"/>
      <c r="GOR30" s="172"/>
      <c r="GOS30" s="172"/>
      <c r="GOT30" s="172"/>
      <c r="GOU30" s="172"/>
      <c r="GOV30" s="172"/>
      <c r="GOW30" s="172"/>
      <c r="GOX30" s="172"/>
      <c r="GOY30" s="172"/>
      <c r="GOZ30" s="172"/>
      <c r="GPA30" s="172"/>
      <c r="GPB30" s="172"/>
      <c r="GPC30" s="172"/>
      <c r="GPD30" s="172"/>
      <c r="GPE30" s="172"/>
      <c r="GPF30" s="172"/>
      <c r="GPG30" s="172"/>
      <c r="GPH30" s="172"/>
      <c r="GPI30" s="172"/>
      <c r="GPJ30" s="172"/>
      <c r="GPK30" s="172"/>
      <c r="GPL30" s="172"/>
      <c r="GPM30" s="172"/>
      <c r="GPN30" s="172"/>
      <c r="GPO30" s="172"/>
      <c r="GPP30" s="172"/>
      <c r="GPQ30" s="172"/>
      <c r="GPR30" s="172"/>
      <c r="GPS30" s="172"/>
      <c r="GPT30" s="172"/>
      <c r="GPU30" s="172"/>
      <c r="GPV30" s="172"/>
      <c r="GPW30" s="172"/>
      <c r="GPX30" s="172"/>
      <c r="GPY30" s="172"/>
      <c r="GPZ30" s="172"/>
      <c r="GQA30" s="172"/>
      <c r="GQB30" s="172"/>
      <c r="GQC30" s="172"/>
      <c r="GQD30" s="172"/>
      <c r="GQE30" s="172"/>
      <c r="GQF30" s="172"/>
      <c r="GQG30" s="172"/>
      <c r="GQH30" s="172"/>
      <c r="GQI30" s="172"/>
      <c r="GQJ30" s="172"/>
      <c r="GQK30" s="172"/>
      <c r="GQL30" s="172"/>
      <c r="GQM30" s="172"/>
      <c r="GQN30" s="172"/>
      <c r="GQO30" s="172"/>
      <c r="GQP30" s="172"/>
      <c r="GQQ30" s="172"/>
      <c r="GQR30" s="172"/>
      <c r="GQS30" s="172"/>
      <c r="GQT30" s="172"/>
      <c r="GQU30" s="172"/>
      <c r="GQV30" s="172"/>
      <c r="GQW30" s="172"/>
      <c r="GQX30" s="172"/>
      <c r="GQY30" s="172"/>
      <c r="GQZ30" s="172"/>
      <c r="GRA30" s="172"/>
      <c r="GRB30" s="172"/>
      <c r="GRC30" s="172"/>
      <c r="GRD30" s="172"/>
      <c r="GRE30" s="172"/>
      <c r="GRF30" s="172"/>
      <c r="GRG30" s="172"/>
      <c r="GRH30" s="172"/>
      <c r="GRI30" s="172"/>
      <c r="GRJ30" s="172"/>
      <c r="GRK30" s="172"/>
      <c r="GRL30" s="172"/>
      <c r="GRM30" s="172"/>
      <c r="GRN30" s="172"/>
      <c r="GRO30" s="172"/>
      <c r="GRP30" s="172"/>
      <c r="GRQ30" s="172"/>
      <c r="GRR30" s="172"/>
      <c r="GRS30" s="172"/>
      <c r="GRT30" s="172"/>
      <c r="GRU30" s="172"/>
      <c r="GRV30" s="172"/>
      <c r="GRW30" s="172"/>
      <c r="GRX30" s="172"/>
      <c r="GRY30" s="172"/>
      <c r="GRZ30" s="172"/>
      <c r="GSA30" s="172"/>
      <c r="GSB30" s="172"/>
      <c r="GSC30" s="172"/>
      <c r="GSD30" s="172"/>
      <c r="GSE30" s="172"/>
      <c r="GSF30" s="172"/>
      <c r="GSG30" s="172"/>
      <c r="GSH30" s="172"/>
      <c r="GSI30" s="172"/>
      <c r="GSJ30" s="172"/>
      <c r="GSK30" s="172"/>
      <c r="GSL30" s="172"/>
      <c r="GSM30" s="172"/>
      <c r="GSN30" s="172"/>
      <c r="GSO30" s="172"/>
      <c r="GSP30" s="172"/>
      <c r="GSQ30" s="172"/>
      <c r="GSR30" s="172"/>
      <c r="GSS30" s="172"/>
      <c r="GST30" s="172"/>
      <c r="GSU30" s="172"/>
      <c r="GSV30" s="172"/>
      <c r="GSW30" s="172"/>
      <c r="GSX30" s="172"/>
      <c r="GSY30" s="172"/>
      <c r="GSZ30" s="172"/>
      <c r="GTA30" s="172"/>
      <c r="GTB30" s="172"/>
      <c r="GTC30" s="172"/>
      <c r="GTD30" s="172"/>
      <c r="GTE30" s="172"/>
      <c r="GTF30" s="172"/>
      <c r="GTG30" s="172"/>
      <c r="GTH30" s="172"/>
      <c r="GTI30" s="172"/>
      <c r="GTJ30" s="172"/>
      <c r="GTK30" s="172"/>
      <c r="GTL30" s="172"/>
      <c r="GTM30" s="172"/>
      <c r="GTN30" s="172"/>
      <c r="GTO30" s="172"/>
      <c r="GTP30" s="172"/>
      <c r="GTQ30" s="172"/>
      <c r="GTR30" s="172"/>
      <c r="GTS30" s="172"/>
      <c r="GTT30" s="172"/>
      <c r="GTU30" s="172"/>
      <c r="GTV30" s="172"/>
      <c r="GTW30" s="172"/>
      <c r="GTX30" s="172"/>
      <c r="GTY30" s="172"/>
      <c r="GTZ30" s="172"/>
      <c r="GUA30" s="172"/>
      <c r="GUB30" s="172"/>
      <c r="GUC30" s="172"/>
      <c r="GUD30" s="172"/>
      <c r="GUE30" s="172"/>
      <c r="GUF30" s="172"/>
      <c r="GUG30" s="172"/>
      <c r="GUH30" s="172"/>
      <c r="GUI30" s="172"/>
      <c r="GUJ30" s="172"/>
      <c r="GUK30" s="172"/>
      <c r="GUL30" s="172"/>
      <c r="GUM30" s="172"/>
      <c r="GUN30" s="172"/>
      <c r="GUO30" s="172"/>
      <c r="GUP30" s="172"/>
      <c r="GUQ30" s="172"/>
      <c r="GUR30" s="172"/>
      <c r="GUS30" s="172"/>
      <c r="GUT30" s="172"/>
      <c r="GUU30" s="172"/>
      <c r="GUV30" s="172"/>
      <c r="GUW30" s="172"/>
      <c r="GUX30" s="172"/>
      <c r="GUY30" s="172"/>
      <c r="GUZ30" s="172"/>
      <c r="GVA30" s="172"/>
      <c r="GVB30" s="172"/>
      <c r="GVC30" s="172"/>
      <c r="GVD30" s="172"/>
      <c r="GVE30" s="172"/>
      <c r="GVF30" s="172"/>
      <c r="GVG30" s="172"/>
      <c r="GVH30" s="172"/>
      <c r="GVI30" s="172"/>
      <c r="GVJ30" s="172"/>
      <c r="GVK30" s="172"/>
      <c r="GVL30" s="172"/>
      <c r="GVM30" s="172"/>
      <c r="GVN30" s="172"/>
      <c r="GVO30" s="172"/>
      <c r="GVP30" s="172"/>
      <c r="GVQ30" s="172"/>
      <c r="GVR30" s="172"/>
      <c r="GVS30" s="172"/>
      <c r="GVT30" s="172"/>
      <c r="GVU30" s="172"/>
      <c r="GVV30" s="172"/>
      <c r="GVW30" s="172"/>
      <c r="GVX30" s="172"/>
      <c r="GVY30" s="172"/>
      <c r="GVZ30" s="172"/>
      <c r="GWA30" s="172"/>
      <c r="GWB30" s="172"/>
      <c r="GWC30" s="172"/>
      <c r="GWD30" s="172"/>
      <c r="GWE30" s="172"/>
      <c r="GWF30" s="172"/>
      <c r="GWG30" s="172"/>
      <c r="GWH30" s="172"/>
      <c r="GWI30" s="172"/>
      <c r="GWJ30" s="172"/>
      <c r="GWK30" s="172"/>
      <c r="GWL30" s="172"/>
      <c r="GWM30" s="172"/>
      <c r="GWN30" s="172"/>
      <c r="GWO30" s="172"/>
      <c r="GWP30" s="172"/>
      <c r="GWQ30" s="172"/>
      <c r="GWR30" s="172"/>
      <c r="GWS30" s="172"/>
      <c r="GWT30" s="172"/>
      <c r="GWU30" s="172"/>
      <c r="GWV30" s="172"/>
      <c r="GWW30" s="172"/>
      <c r="GWX30" s="172"/>
      <c r="GWY30" s="172"/>
      <c r="GWZ30" s="172"/>
      <c r="GXA30" s="172"/>
      <c r="GXB30" s="172"/>
      <c r="GXC30" s="172"/>
      <c r="GXD30" s="172"/>
      <c r="GXE30" s="172"/>
      <c r="GXF30" s="172"/>
      <c r="GXG30" s="172"/>
      <c r="GXH30" s="172"/>
      <c r="GXI30" s="172"/>
      <c r="GXJ30" s="172"/>
      <c r="GXK30" s="172"/>
      <c r="GXL30" s="172"/>
      <c r="GXM30" s="172"/>
      <c r="GXN30" s="172"/>
      <c r="GXO30" s="172"/>
      <c r="GXP30" s="172"/>
      <c r="GXQ30" s="172"/>
      <c r="GXR30" s="172"/>
      <c r="GXS30" s="172"/>
      <c r="GXT30" s="172"/>
      <c r="GXU30" s="172"/>
      <c r="GXV30" s="172"/>
      <c r="GXW30" s="172"/>
      <c r="GXX30" s="172"/>
      <c r="GXY30" s="172"/>
      <c r="GXZ30" s="172"/>
      <c r="GYA30" s="172"/>
      <c r="GYB30" s="172"/>
      <c r="GYC30" s="172"/>
      <c r="GYD30" s="172"/>
      <c r="GYE30" s="172"/>
      <c r="GYF30" s="172"/>
      <c r="GYG30" s="172"/>
      <c r="GYH30" s="172"/>
      <c r="GYI30" s="172"/>
      <c r="GYJ30" s="172"/>
      <c r="GYK30" s="172"/>
      <c r="GYL30" s="172"/>
      <c r="GYM30" s="172"/>
      <c r="GYN30" s="172"/>
      <c r="GYO30" s="172"/>
      <c r="GYP30" s="172"/>
      <c r="GYQ30" s="172"/>
      <c r="GYR30" s="172"/>
      <c r="GYS30" s="172"/>
      <c r="GYT30" s="172"/>
      <c r="GYU30" s="172"/>
      <c r="GYV30" s="172"/>
      <c r="GYW30" s="172"/>
      <c r="GYX30" s="172"/>
      <c r="GYY30" s="172"/>
      <c r="GYZ30" s="172"/>
      <c r="GZA30" s="172"/>
      <c r="GZB30" s="172"/>
      <c r="GZC30" s="172"/>
      <c r="GZD30" s="172"/>
      <c r="GZE30" s="172"/>
      <c r="GZF30" s="172"/>
      <c r="GZG30" s="172"/>
      <c r="GZH30" s="172"/>
      <c r="GZI30" s="172"/>
      <c r="GZJ30" s="172"/>
      <c r="GZK30" s="172"/>
      <c r="GZL30" s="172"/>
      <c r="GZM30" s="172"/>
      <c r="GZN30" s="172"/>
      <c r="GZO30" s="172"/>
      <c r="GZP30" s="172"/>
      <c r="GZQ30" s="172"/>
      <c r="GZR30" s="172"/>
      <c r="GZS30" s="172"/>
      <c r="GZT30" s="172"/>
      <c r="GZU30" s="172"/>
      <c r="GZV30" s="172"/>
      <c r="GZW30" s="172"/>
      <c r="GZX30" s="172"/>
      <c r="GZY30" s="172"/>
      <c r="GZZ30" s="172"/>
      <c r="HAA30" s="172"/>
      <c r="HAB30" s="172"/>
      <c r="HAC30" s="172"/>
      <c r="HAD30" s="172"/>
      <c r="HAE30" s="172"/>
      <c r="HAF30" s="172"/>
      <c r="HAG30" s="172"/>
      <c r="HAH30" s="172"/>
      <c r="HAI30" s="172"/>
      <c r="HAJ30" s="172"/>
      <c r="HAK30" s="172"/>
      <c r="HAL30" s="172"/>
      <c r="HAM30" s="172"/>
      <c r="HAN30" s="172"/>
      <c r="HAO30" s="172"/>
      <c r="HAP30" s="172"/>
      <c r="HAQ30" s="172"/>
      <c r="HAR30" s="172"/>
      <c r="HAS30" s="172"/>
      <c r="HAT30" s="172"/>
      <c r="HAU30" s="172"/>
      <c r="HAV30" s="172"/>
      <c r="HAW30" s="172"/>
      <c r="HAX30" s="172"/>
      <c r="HAY30" s="172"/>
      <c r="HAZ30" s="172"/>
      <c r="HBA30" s="172"/>
      <c r="HBB30" s="172"/>
      <c r="HBC30" s="172"/>
      <c r="HBD30" s="172"/>
      <c r="HBE30" s="172"/>
      <c r="HBF30" s="172"/>
      <c r="HBG30" s="172"/>
      <c r="HBH30" s="172"/>
      <c r="HBI30" s="172"/>
      <c r="HBJ30" s="172"/>
      <c r="HBK30" s="172"/>
      <c r="HBL30" s="172"/>
      <c r="HBM30" s="172"/>
      <c r="HBN30" s="172"/>
      <c r="HBO30" s="172"/>
      <c r="HBP30" s="172"/>
      <c r="HBQ30" s="172"/>
      <c r="HBR30" s="172"/>
      <c r="HBS30" s="172"/>
      <c r="HBT30" s="172"/>
      <c r="HBU30" s="172"/>
      <c r="HBV30" s="172"/>
      <c r="HBW30" s="172"/>
      <c r="HBX30" s="172"/>
      <c r="HBY30" s="172"/>
      <c r="HBZ30" s="172"/>
      <c r="HCA30" s="172"/>
      <c r="HCB30" s="172"/>
      <c r="HCC30" s="172"/>
      <c r="HCD30" s="172"/>
      <c r="HCE30" s="172"/>
      <c r="HCF30" s="172"/>
      <c r="HCG30" s="172"/>
      <c r="HCH30" s="172"/>
      <c r="HCI30" s="172"/>
      <c r="HCJ30" s="172"/>
      <c r="HCK30" s="172"/>
      <c r="HCL30" s="172"/>
      <c r="HCM30" s="172"/>
      <c r="HCN30" s="172"/>
      <c r="HCO30" s="172"/>
      <c r="HCP30" s="172"/>
      <c r="HCQ30" s="172"/>
      <c r="HCR30" s="172"/>
      <c r="HCS30" s="172"/>
      <c r="HCT30" s="172"/>
      <c r="HCU30" s="172"/>
      <c r="HCV30" s="172"/>
      <c r="HCW30" s="172"/>
      <c r="HCX30" s="172"/>
      <c r="HCY30" s="172"/>
      <c r="HCZ30" s="172"/>
      <c r="HDA30" s="172"/>
      <c r="HDB30" s="172"/>
      <c r="HDC30" s="172"/>
      <c r="HDD30" s="172"/>
      <c r="HDE30" s="172"/>
      <c r="HDF30" s="172"/>
      <c r="HDG30" s="172"/>
      <c r="HDH30" s="172"/>
      <c r="HDI30" s="172"/>
      <c r="HDJ30" s="172"/>
      <c r="HDK30" s="172"/>
      <c r="HDL30" s="172"/>
      <c r="HDM30" s="172"/>
      <c r="HDN30" s="172"/>
      <c r="HDO30" s="172"/>
      <c r="HDP30" s="172"/>
      <c r="HDQ30" s="172"/>
      <c r="HDR30" s="172"/>
      <c r="HDS30" s="172"/>
      <c r="HDT30" s="172"/>
      <c r="HDU30" s="172"/>
      <c r="HDV30" s="172"/>
      <c r="HDW30" s="172"/>
      <c r="HDX30" s="172"/>
      <c r="HDY30" s="172"/>
      <c r="HDZ30" s="172"/>
      <c r="HEA30" s="172"/>
      <c r="HEB30" s="172"/>
      <c r="HEC30" s="172"/>
      <c r="HED30" s="172"/>
      <c r="HEE30" s="172"/>
      <c r="HEF30" s="172"/>
      <c r="HEG30" s="172"/>
      <c r="HEH30" s="172"/>
      <c r="HEI30" s="172"/>
      <c r="HEJ30" s="172"/>
      <c r="HEK30" s="172"/>
      <c r="HEL30" s="172"/>
      <c r="HEM30" s="172"/>
      <c r="HEN30" s="172"/>
      <c r="HEO30" s="172"/>
      <c r="HEP30" s="172"/>
      <c r="HEQ30" s="172"/>
      <c r="HER30" s="172"/>
      <c r="HES30" s="172"/>
      <c r="HET30" s="172"/>
      <c r="HEU30" s="172"/>
      <c r="HEV30" s="172"/>
      <c r="HEW30" s="172"/>
      <c r="HEX30" s="172"/>
      <c r="HEY30" s="172"/>
      <c r="HEZ30" s="172"/>
      <c r="HFA30" s="172"/>
      <c r="HFB30" s="172"/>
      <c r="HFC30" s="172"/>
      <c r="HFD30" s="172"/>
      <c r="HFE30" s="172"/>
      <c r="HFF30" s="172"/>
      <c r="HFG30" s="172"/>
      <c r="HFH30" s="172"/>
      <c r="HFI30" s="172"/>
      <c r="HFJ30" s="172"/>
      <c r="HFK30" s="172"/>
      <c r="HFL30" s="172"/>
      <c r="HFM30" s="172"/>
      <c r="HFN30" s="172"/>
      <c r="HFO30" s="172"/>
      <c r="HFP30" s="172"/>
      <c r="HFQ30" s="172"/>
      <c r="HFR30" s="172"/>
      <c r="HFS30" s="172"/>
      <c r="HFT30" s="172"/>
      <c r="HFU30" s="172"/>
      <c r="HFV30" s="172"/>
      <c r="HFW30" s="172"/>
      <c r="HFX30" s="172"/>
      <c r="HFY30" s="172"/>
      <c r="HFZ30" s="172"/>
      <c r="HGA30" s="172"/>
      <c r="HGB30" s="172"/>
      <c r="HGC30" s="172"/>
      <c r="HGD30" s="172"/>
      <c r="HGE30" s="172"/>
      <c r="HGF30" s="172"/>
      <c r="HGG30" s="172"/>
      <c r="HGH30" s="172"/>
      <c r="HGI30" s="172"/>
      <c r="HGJ30" s="172"/>
      <c r="HGK30" s="172"/>
      <c r="HGL30" s="172"/>
      <c r="HGM30" s="172"/>
      <c r="HGN30" s="172"/>
      <c r="HGO30" s="172"/>
      <c r="HGP30" s="172"/>
      <c r="HGQ30" s="172"/>
      <c r="HGR30" s="172"/>
      <c r="HGS30" s="172"/>
      <c r="HGT30" s="172"/>
      <c r="HGU30" s="172"/>
      <c r="HGV30" s="172"/>
      <c r="HGW30" s="172"/>
      <c r="HGX30" s="172"/>
      <c r="HGY30" s="172"/>
      <c r="HGZ30" s="172"/>
      <c r="HHA30" s="172"/>
      <c r="HHB30" s="172"/>
      <c r="HHC30" s="172"/>
      <c r="HHD30" s="172"/>
      <c r="HHE30" s="172"/>
      <c r="HHF30" s="172"/>
      <c r="HHG30" s="172"/>
      <c r="HHH30" s="172"/>
      <c r="HHI30" s="172"/>
      <c r="HHJ30" s="172"/>
      <c r="HHK30" s="172"/>
      <c r="HHL30" s="172"/>
      <c r="HHM30" s="172"/>
      <c r="HHN30" s="172"/>
      <c r="HHO30" s="172"/>
      <c r="HHP30" s="172"/>
      <c r="HHQ30" s="172"/>
      <c r="HHR30" s="172"/>
      <c r="HHS30" s="172"/>
      <c r="HHT30" s="172"/>
      <c r="HHU30" s="172"/>
      <c r="HHV30" s="172"/>
      <c r="HHW30" s="172"/>
      <c r="HHX30" s="172"/>
      <c r="HHY30" s="172"/>
      <c r="HHZ30" s="172"/>
      <c r="HIA30" s="172"/>
      <c r="HIB30" s="172"/>
      <c r="HIC30" s="172"/>
      <c r="HID30" s="172"/>
      <c r="HIE30" s="172"/>
      <c r="HIF30" s="172"/>
      <c r="HIG30" s="172"/>
      <c r="HIH30" s="172"/>
      <c r="HII30" s="172"/>
      <c r="HIJ30" s="172"/>
      <c r="HIK30" s="172"/>
      <c r="HIL30" s="172"/>
      <c r="HIM30" s="172"/>
      <c r="HIN30" s="172"/>
      <c r="HIO30" s="172"/>
      <c r="HIP30" s="172"/>
      <c r="HIQ30" s="172"/>
      <c r="HIR30" s="172"/>
      <c r="HIS30" s="172"/>
      <c r="HIT30" s="172"/>
      <c r="HIU30" s="172"/>
      <c r="HIV30" s="172"/>
      <c r="HIW30" s="172"/>
      <c r="HIX30" s="172"/>
      <c r="HIY30" s="172"/>
      <c r="HIZ30" s="172"/>
      <c r="HJA30" s="172"/>
      <c r="HJB30" s="172"/>
      <c r="HJC30" s="172"/>
      <c r="HJD30" s="172"/>
      <c r="HJE30" s="172"/>
      <c r="HJF30" s="172"/>
      <c r="HJG30" s="172"/>
      <c r="HJH30" s="172"/>
      <c r="HJI30" s="172"/>
      <c r="HJJ30" s="172"/>
      <c r="HJK30" s="172"/>
      <c r="HJL30" s="172"/>
      <c r="HJM30" s="172"/>
      <c r="HJN30" s="172"/>
      <c r="HJO30" s="172"/>
      <c r="HJP30" s="172"/>
      <c r="HJQ30" s="172"/>
      <c r="HJR30" s="172"/>
      <c r="HJS30" s="172"/>
      <c r="HJT30" s="172"/>
      <c r="HJU30" s="172"/>
      <c r="HJV30" s="172"/>
      <c r="HJW30" s="172"/>
      <c r="HJX30" s="172"/>
      <c r="HJY30" s="172"/>
      <c r="HJZ30" s="172"/>
      <c r="HKA30" s="172"/>
      <c r="HKB30" s="172"/>
      <c r="HKC30" s="172"/>
      <c r="HKD30" s="172"/>
      <c r="HKE30" s="172"/>
      <c r="HKF30" s="172"/>
      <c r="HKG30" s="172"/>
      <c r="HKH30" s="172"/>
      <c r="HKI30" s="172"/>
      <c r="HKJ30" s="172"/>
      <c r="HKK30" s="172"/>
      <c r="HKL30" s="172"/>
      <c r="HKM30" s="172"/>
      <c r="HKN30" s="172"/>
      <c r="HKO30" s="172"/>
      <c r="HKP30" s="172"/>
      <c r="HKQ30" s="172"/>
      <c r="HKR30" s="172"/>
      <c r="HKS30" s="172"/>
      <c r="HKT30" s="172"/>
      <c r="HKU30" s="172"/>
      <c r="HKV30" s="172"/>
      <c r="HKW30" s="172"/>
      <c r="HKX30" s="172"/>
      <c r="HKY30" s="172"/>
      <c r="HKZ30" s="172"/>
      <c r="HLA30" s="172"/>
      <c r="HLB30" s="172"/>
      <c r="HLC30" s="172"/>
      <c r="HLD30" s="172"/>
      <c r="HLE30" s="172"/>
      <c r="HLF30" s="172"/>
      <c r="HLG30" s="172"/>
      <c r="HLH30" s="172"/>
      <c r="HLI30" s="172"/>
      <c r="HLJ30" s="172"/>
      <c r="HLK30" s="172"/>
      <c r="HLL30" s="172"/>
      <c r="HLM30" s="172"/>
      <c r="HLN30" s="172"/>
      <c r="HLO30" s="172"/>
      <c r="HLP30" s="172"/>
      <c r="HLQ30" s="172"/>
      <c r="HLR30" s="172"/>
      <c r="HLS30" s="172"/>
      <c r="HLT30" s="172"/>
      <c r="HLU30" s="172"/>
      <c r="HLV30" s="172"/>
      <c r="HLW30" s="172"/>
      <c r="HLX30" s="172"/>
      <c r="HLY30" s="172"/>
      <c r="HLZ30" s="172"/>
      <c r="HMA30" s="172"/>
      <c r="HMB30" s="172"/>
      <c r="HMC30" s="172"/>
      <c r="HMD30" s="172"/>
      <c r="HME30" s="172"/>
      <c r="HMF30" s="172"/>
      <c r="HMG30" s="172"/>
      <c r="HMH30" s="172"/>
      <c r="HMI30" s="172"/>
      <c r="HMJ30" s="172"/>
      <c r="HMK30" s="172"/>
      <c r="HML30" s="172"/>
      <c r="HMM30" s="172"/>
      <c r="HMN30" s="172"/>
      <c r="HMO30" s="172"/>
      <c r="HMP30" s="172"/>
      <c r="HMQ30" s="172"/>
      <c r="HMR30" s="172"/>
      <c r="HMS30" s="172"/>
      <c r="HMT30" s="172"/>
      <c r="HMU30" s="172"/>
      <c r="HMV30" s="172"/>
      <c r="HMW30" s="172"/>
      <c r="HMX30" s="172"/>
      <c r="HMY30" s="172"/>
      <c r="HMZ30" s="172"/>
      <c r="HNA30" s="172"/>
      <c r="HNB30" s="172"/>
      <c r="HNC30" s="172"/>
      <c r="HND30" s="172"/>
      <c r="HNE30" s="172"/>
      <c r="HNF30" s="172"/>
      <c r="HNG30" s="172"/>
      <c r="HNH30" s="172"/>
      <c r="HNI30" s="172"/>
      <c r="HNJ30" s="172"/>
      <c r="HNK30" s="172"/>
      <c r="HNL30" s="172"/>
      <c r="HNM30" s="172"/>
      <c r="HNN30" s="172"/>
      <c r="HNO30" s="172"/>
      <c r="HNP30" s="172"/>
      <c r="HNQ30" s="172"/>
      <c r="HNR30" s="172"/>
      <c r="HNS30" s="172"/>
      <c r="HNT30" s="172"/>
      <c r="HNU30" s="172"/>
      <c r="HNV30" s="172"/>
      <c r="HNW30" s="172"/>
      <c r="HNX30" s="172"/>
      <c r="HNY30" s="172"/>
      <c r="HNZ30" s="172"/>
      <c r="HOA30" s="172"/>
      <c r="HOB30" s="172"/>
      <c r="HOC30" s="172"/>
      <c r="HOD30" s="172"/>
      <c r="HOE30" s="172"/>
      <c r="HOF30" s="172"/>
      <c r="HOG30" s="172"/>
      <c r="HOH30" s="172"/>
      <c r="HOI30" s="172"/>
      <c r="HOJ30" s="172"/>
      <c r="HOK30" s="172"/>
      <c r="HOL30" s="172"/>
      <c r="HOM30" s="172"/>
      <c r="HON30" s="172"/>
      <c r="HOO30" s="172"/>
      <c r="HOP30" s="172"/>
      <c r="HOQ30" s="172"/>
      <c r="HOR30" s="172"/>
      <c r="HOS30" s="172"/>
      <c r="HOT30" s="172"/>
      <c r="HOU30" s="172"/>
      <c r="HOV30" s="172"/>
      <c r="HOW30" s="172"/>
      <c r="HOX30" s="172"/>
      <c r="HOY30" s="172"/>
      <c r="HOZ30" s="172"/>
      <c r="HPA30" s="172"/>
      <c r="HPB30" s="172"/>
      <c r="HPC30" s="172"/>
      <c r="HPD30" s="172"/>
      <c r="HPE30" s="172"/>
      <c r="HPF30" s="172"/>
      <c r="HPG30" s="172"/>
      <c r="HPH30" s="172"/>
      <c r="HPI30" s="172"/>
      <c r="HPJ30" s="172"/>
      <c r="HPK30" s="172"/>
      <c r="HPL30" s="172"/>
      <c r="HPM30" s="172"/>
      <c r="HPN30" s="172"/>
      <c r="HPO30" s="172"/>
      <c r="HPP30" s="172"/>
      <c r="HPQ30" s="172"/>
      <c r="HPR30" s="172"/>
      <c r="HPS30" s="172"/>
      <c r="HPT30" s="172"/>
      <c r="HPU30" s="172"/>
      <c r="HPV30" s="172"/>
      <c r="HPW30" s="172"/>
      <c r="HPX30" s="172"/>
      <c r="HPY30" s="172"/>
      <c r="HPZ30" s="172"/>
      <c r="HQA30" s="172"/>
      <c r="HQB30" s="172"/>
      <c r="HQC30" s="172"/>
      <c r="HQD30" s="172"/>
      <c r="HQE30" s="172"/>
      <c r="HQF30" s="172"/>
      <c r="HQG30" s="172"/>
      <c r="HQH30" s="172"/>
      <c r="HQI30" s="172"/>
      <c r="HQJ30" s="172"/>
      <c r="HQK30" s="172"/>
      <c r="HQL30" s="172"/>
      <c r="HQM30" s="172"/>
      <c r="HQN30" s="172"/>
      <c r="HQO30" s="172"/>
      <c r="HQP30" s="172"/>
      <c r="HQQ30" s="172"/>
      <c r="HQR30" s="172"/>
      <c r="HQS30" s="172"/>
      <c r="HQT30" s="172"/>
      <c r="HQU30" s="172"/>
      <c r="HQV30" s="172"/>
      <c r="HQW30" s="172"/>
      <c r="HQX30" s="172"/>
      <c r="HQY30" s="172"/>
      <c r="HQZ30" s="172"/>
      <c r="HRA30" s="172"/>
      <c r="HRB30" s="172"/>
      <c r="HRC30" s="172"/>
      <c r="HRD30" s="172"/>
      <c r="HRE30" s="172"/>
      <c r="HRF30" s="172"/>
      <c r="HRG30" s="172"/>
      <c r="HRH30" s="172"/>
      <c r="HRI30" s="172"/>
      <c r="HRJ30" s="172"/>
      <c r="HRK30" s="172"/>
      <c r="HRL30" s="172"/>
      <c r="HRM30" s="172"/>
      <c r="HRN30" s="172"/>
      <c r="HRO30" s="172"/>
      <c r="HRP30" s="172"/>
      <c r="HRQ30" s="172"/>
      <c r="HRR30" s="172"/>
      <c r="HRS30" s="172"/>
      <c r="HRT30" s="172"/>
      <c r="HRU30" s="172"/>
      <c r="HRV30" s="172"/>
      <c r="HRW30" s="172"/>
      <c r="HRX30" s="172"/>
      <c r="HRY30" s="172"/>
      <c r="HRZ30" s="172"/>
      <c r="HSA30" s="172"/>
      <c r="HSB30" s="172"/>
      <c r="HSC30" s="172"/>
      <c r="HSD30" s="172"/>
      <c r="HSE30" s="172"/>
      <c r="HSF30" s="172"/>
      <c r="HSG30" s="172"/>
      <c r="HSH30" s="172"/>
      <c r="HSI30" s="172"/>
      <c r="HSJ30" s="172"/>
      <c r="HSK30" s="172"/>
      <c r="HSL30" s="172"/>
      <c r="HSM30" s="172"/>
      <c r="HSN30" s="172"/>
      <c r="HSO30" s="172"/>
      <c r="HSP30" s="172"/>
      <c r="HSQ30" s="172"/>
      <c r="HSR30" s="172"/>
      <c r="HSS30" s="172"/>
      <c r="HST30" s="172"/>
      <c r="HSU30" s="172"/>
      <c r="HSV30" s="172"/>
      <c r="HSW30" s="172"/>
      <c r="HSX30" s="172"/>
      <c r="HSY30" s="172"/>
      <c r="HSZ30" s="172"/>
      <c r="HTA30" s="172"/>
      <c r="HTB30" s="172"/>
      <c r="HTC30" s="172"/>
      <c r="HTD30" s="172"/>
      <c r="HTE30" s="172"/>
      <c r="HTF30" s="172"/>
      <c r="HTG30" s="172"/>
      <c r="HTH30" s="172"/>
      <c r="HTI30" s="172"/>
      <c r="HTJ30" s="172"/>
      <c r="HTK30" s="172"/>
      <c r="HTL30" s="172"/>
      <c r="HTM30" s="172"/>
      <c r="HTN30" s="172"/>
      <c r="HTO30" s="172"/>
      <c r="HTP30" s="172"/>
      <c r="HTQ30" s="172"/>
      <c r="HTR30" s="172"/>
      <c r="HTS30" s="172"/>
      <c r="HTT30" s="172"/>
      <c r="HTU30" s="172"/>
      <c r="HTV30" s="172"/>
      <c r="HTW30" s="172"/>
      <c r="HTX30" s="172"/>
      <c r="HTY30" s="172"/>
      <c r="HTZ30" s="172"/>
      <c r="HUA30" s="172"/>
      <c r="HUB30" s="172"/>
      <c r="HUC30" s="172"/>
      <c r="HUD30" s="172"/>
      <c r="HUE30" s="172"/>
      <c r="HUF30" s="172"/>
      <c r="HUG30" s="172"/>
      <c r="HUH30" s="172"/>
      <c r="HUI30" s="172"/>
      <c r="HUJ30" s="172"/>
      <c r="HUK30" s="172"/>
      <c r="HUL30" s="172"/>
      <c r="HUM30" s="172"/>
      <c r="HUN30" s="172"/>
      <c r="HUO30" s="172"/>
      <c r="HUP30" s="172"/>
      <c r="HUQ30" s="172"/>
      <c r="HUR30" s="172"/>
      <c r="HUS30" s="172"/>
      <c r="HUT30" s="172"/>
      <c r="HUU30" s="172"/>
      <c r="HUV30" s="172"/>
      <c r="HUW30" s="172"/>
      <c r="HUX30" s="172"/>
      <c r="HUY30" s="172"/>
      <c r="HUZ30" s="172"/>
      <c r="HVA30" s="172"/>
      <c r="HVB30" s="172"/>
      <c r="HVC30" s="172"/>
      <c r="HVD30" s="172"/>
      <c r="HVE30" s="172"/>
      <c r="HVF30" s="172"/>
      <c r="HVG30" s="172"/>
      <c r="HVH30" s="172"/>
      <c r="HVI30" s="172"/>
      <c r="HVJ30" s="172"/>
      <c r="HVK30" s="172"/>
      <c r="HVL30" s="172"/>
      <c r="HVM30" s="172"/>
      <c r="HVN30" s="172"/>
      <c r="HVO30" s="172"/>
      <c r="HVP30" s="172"/>
      <c r="HVQ30" s="172"/>
      <c r="HVR30" s="172"/>
      <c r="HVS30" s="172"/>
      <c r="HVT30" s="172"/>
      <c r="HVU30" s="172"/>
      <c r="HVV30" s="172"/>
      <c r="HVW30" s="172"/>
      <c r="HVX30" s="172"/>
      <c r="HVY30" s="172"/>
      <c r="HVZ30" s="172"/>
      <c r="HWA30" s="172"/>
      <c r="HWB30" s="172"/>
      <c r="HWC30" s="172"/>
      <c r="HWD30" s="172"/>
      <c r="HWE30" s="172"/>
      <c r="HWF30" s="172"/>
      <c r="HWG30" s="172"/>
      <c r="HWH30" s="172"/>
      <c r="HWI30" s="172"/>
      <c r="HWJ30" s="172"/>
      <c r="HWK30" s="172"/>
      <c r="HWL30" s="172"/>
      <c r="HWM30" s="172"/>
      <c r="HWN30" s="172"/>
      <c r="HWO30" s="172"/>
      <c r="HWP30" s="172"/>
      <c r="HWQ30" s="172"/>
      <c r="HWR30" s="172"/>
      <c r="HWS30" s="172"/>
      <c r="HWT30" s="172"/>
      <c r="HWU30" s="172"/>
      <c r="HWV30" s="172"/>
      <c r="HWW30" s="172"/>
      <c r="HWX30" s="172"/>
      <c r="HWY30" s="172"/>
      <c r="HWZ30" s="172"/>
      <c r="HXA30" s="172"/>
      <c r="HXB30" s="172"/>
      <c r="HXC30" s="172"/>
      <c r="HXD30" s="172"/>
      <c r="HXE30" s="172"/>
      <c r="HXF30" s="172"/>
      <c r="HXG30" s="172"/>
      <c r="HXH30" s="172"/>
      <c r="HXI30" s="172"/>
      <c r="HXJ30" s="172"/>
      <c r="HXK30" s="172"/>
      <c r="HXL30" s="172"/>
      <c r="HXM30" s="172"/>
      <c r="HXN30" s="172"/>
      <c r="HXO30" s="172"/>
      <c r="HXP30" s="172"/>
      <c r="HXQ30" s="172"/>
      <c r="HXR30" s="172"/>
      <c r="HXS30" s="172"/>
      <c r="HXT30" s="172"/>
      <c r="HXU30" s="172"/>
      <c r="HXV30" s="172"/>
      <c r="HXW30" s="172"/>
      <c r="HXX30" s="172"/>
      <c r="HXY30" s="172"/>
      <c r="HXZ30" s="172"/>
      <c r="HYA30" s="172"/>
      <c r="HYB30" s="172"/>
      <c r="HYC30" s="172"/>
      <c r="HYD30" s="172"/>
      <c r="HYE30" s="172"/>
      <c r="HYF30" s="172"/>
      <c r="HYG30" s="172"/>
      <c r="HYH30" s="172"/>
      <c r="HYI30" s="172"/>
      <c r="HYJ30" s="172"/>
      <c r="HYK30" s="172"/>
      <c r="HYL30" s="172"/>
      <c r="HYM30" s="172"/>
      <c r="HYN30" s="172"/>
      <c r="HYO30" s="172"/>
      <c r="HYP30" s="172"/>
      <c r="HYQ30" s="172"/>
      <c r="HYR30" s="172"/>
      <c r="HYS30" s="172"/>
      <c r="HYT30" s="172"/>
      <c r="HYU30" s="172"/>
      <c r="HYV30" s="172"/>
      <c r="HYW30" s="172"/>
      <c r="HYX30" s="172"/>
      <c r="HYY30" s="172"/>
      <c r="HYZ30" s="172"/>
      <c r="HZA30" s="172"/>
      <c r="HZB30" s="172"/>
      <c r="HZC30" s="172"/>
      <c r="HZD30" s="172"/>
      <c r="HZE30" s="172"/>
      <c r="HZF30" s="172"/>
      <c r="HZG30" s="172"/>
      <c r="HZH30" s="172"/>
      <c r="HZI30" s="172"/>
      <c r="HZJ30" s="172"/>
      <c r="HZK30" s="172"/>
      <c r="HZL30" s="172"/>
      <c r="HZM30" s="172"/>
      <c r="HZN30" s="172"/>
      <c r="HZO30" s="172"/>
      <c r="HZP30" s="172"/>
      <c r="HZQ30" s="172"/>
      <c r="HZR30" s="172"/>
      <c r="HZS30" s="172"/>
      <c r="HZT30" s="172"/>
      <c r="HZU30" s="172"/>
      <c r="HZV30" s="172"/>
      <c r="HZW30" s="172"/>
      <c r="HZX30" s="172"/>
      <c r="HZY30" s="172"/>
      <c r="HZZ30" s="172"/>
      <c r="IAA30" s="172"/>
      <c r="IAB30" s="172"/>
      <c r="IAC30" s="172"/>
      <c r="IAD30" s="172"/>
      <c r="IAE30" s="172"/>
      <c r="IAF30" s="172"/>
      <c r="IAG30" s="172"/>
      <c r="IAH30" s="172"/>
      <c r="IAI30" s="172"/>
      <c r="IAJ30" s="172"/>
      <c r="IAK30" s="172"/>
      <c r="IAL30" s="172"/>
      <c r="IAM30" s="172"/>
      <c r="IAN30" s="172"/>
      <c r="IAO30" s="172"/>
      <c r="IAP30" s="172"/>
      <c r="IAQ30" s="172"/>
      <c r="IAR30" s="172"/>
      <c r="IAS30" s="172"/>
      <c r="IAT30" s="172"/>
      <c r="IAU30" s="172"/>
      <c r="IAV30" s="172"/>
      <c r="IAW30" s="172"/>
      <c r="IAX30" s="172"/>
      <c r="IAY30" s="172"/>
      <c r="IAZ30" s="172"/>
      <c r="IBA30" s="172"/>
      <c r="IBB30" s="172"/>
      <c r="IBC30" s="172"/>
      <c r="IBD30" s="172"/>
      <c r="IBE30" s="172"/>
      <c r="IBF30" s="172"/>
      <c r="IBG30" s="172"/>
      <c r="IBH30" s="172"/>
      <c r="IBI30" s="172"/>
      <c r="IBJ30" s="172"/>
      <c r="IBK30" s="172"/>
      <c r="IBL30" s="172"/>
      <c r="IBM30" s="172"/>
      <c r="IBN30" s="172"/>
      <c r="IBO30" s="172"/>
      <c r="IBP30" s="172"/>
      <c r="IBQ30" s="172"/>
      <c r="IBR30" s="172"/>
      <c r="IBS30" s="172"/>
      <c r="IBT30" s="172"/>
      <c r="IBU30" s="172"/>
      <c r="IBV30" s="172"/>
      <c r="IBW30" s="172"/>
      <c r="IBX30" s="172"/>
      <c r="IBY30" s="172"/>
      <c r="IBZ30" s="172"/>
      <c r="ICA30" s="172"/>
      <c r="ICB30" s="172"/>
      <c r="ICC30" s="172"/>
      <c r="ICD30" s="172"/>
      <c r="ICE30" s="172"/>
      <c r="ICF30" s="172"/>
      <c r="ICG30" s="172"/>
      <c r="ICH30" s="172"/>
      <c r="ICI30" s="172"/>
      <c r="ICJ30" s="172"/>
      <c r="ICK30" s="172"/>
      <c r="ICL30" s="172"/>
      <c r="ICM30" s="172"/>
      <c r="ICN30" s="172"/>
      <c r="ICO30" s="172"/>
      <c r="ICP30" s="172"/>
      <c r="ICQ30" s="172"/>
      <c r="ICR30" s="172"/>
      <c r="ICS30" s="172"/>
      <c r="ICT30" s="172"/>
      <c r="ICU30" s="172"/>
      <c r="ICV30" s="172"/>
      <c r="ICW30" s="172"/>
      <c r="ICX30" s="172"/>
      <c r="ICY30" s="172"/>
      <c r="ICZ30" s="172"/>
      <c r="IDA30" s="172"/>
      <c r="IDB30" s="172"/>
      <c r="IDC30" s="172"/>
      <c r="IDD30" s="172"/>
      <c r="IDE30" s="172"/>
      <c r="IDF30" s="172"/>
      <c r="IDG30" s="172"/>
      <c r="IDH30" s="172"/>
      <c r="IDI30" s="172"/>
      <c r="IDJ30" s="172"/>
      <c r="IDK30" s="172"/>
      <c r="IDL30" s="172"/>
      <c r="IDM30" s="172"/>
      <c r="IDN30" s="172"/>
      <c r="IDO30" s="172"/>
      <c r="IDP30" s="172"/>
      <c r="IDQ30" s="172"/>
      <c r="IDR30" s="172"/>
      <c r="IDS30" s="172"/>
      <c r="IDT30" s="172"/>
      <c r="IDU30" s="172"/>
      <c r="IDV30" s="172"/>
      <c r="IDW30" s="172"/>
      <c r="IDX30" s="172"/>
      <c r="IDY30" s="172"/>
      <c r="IDZ30" s="172"/>
      <c r="IEA30" s="172"/>
      <c r="IEB30" s="172"/>
      <c r="IEC30" s="172"/>
      <c r="IED30" s="172"/>
      <c r="IEE30" s="172"/>
      <c r="IEF30" s="172"/>
      <c r="IEG30" s="172"/>
      <c r="IEH30" s="172"/>
      <c r="IEI30" s="172"/>
      <c r="IEJ30" s="172"/>
      <c r="IEK30" s="172"/>
      <c r="IEL30" s="172"/>
      <c r="IEM30" s="172"/>
      <c r="IEN30" s="172"/>
      <c r="IEO30" s="172"/>
      <c r="IEP30" s="172"/>
      <c r="IEQ30" s="172"/>
      <c r="IER30" s="172"/>
      <c r="IES30" s="172"/>
      <c r="IET30" s="172"/>
      <c r="IEU30" s="172"/>
      <c r="IEV30" s="172"/>
      <c r="IEW30" s="172"/>
      <c r="IEX30" s="172"/>
      <c r="IEY30" s="172"/>
      <c r="IEZ30" s="172"/>
      <c r="IFA30" s="172"/>
      <c r="IFB30" s="172"/>
      <c r="IFC30" s="172"/>
      <c r="IFD30" s="172"/>
      <c r="IFE30" s="172"/>
      <c r="IFF30" s="172"/>
      <c r="IFG30" s="172"/>
      <c r="IFH30" s="172"/>
      <c r="IFI30" s="172"/>
      <c r="IFJ30" s="172"/>
      <c r="IFK30" s="172"/>
      <c r="IFL30" s="172"/>
      <c r="IFM30" s="172"/>
      <c r="IFN30" s="172"/>
      <c r="IFO30" s="172"/>
      <c r="IFP30" s="172"/>
      <c r="IFQ30" s="172"/>
      <c r="IFR30" s="172"/>
      <c r="IFS30" s="172"/>
      <c r="IFT30" s="172"/>
      <c r="IFU30" s="172"/>
      <c r="IFV30" s="172"/>
      <c r="IFW30" s="172"/>
      <c r="IFX30" s="172"/>
      <c r="IFY30" s="172"/>
      <c r="IFZ30" s="172"/>
      <c r="IGA30" s="172"/>
      <c r="IGB30" s="172"/>
      <c r="IGC30" s="172"/>
      <c r="IGD30" s="172"/>
      <c r="IGE30" s="172"/>
      <c r="IGF30" s="172"/>
      <c r="IGG30" s="172"/>
      <c r="IGH30" s="172"/>
      <c r="IGI30" s="172"/>
      <c r="IGJ30" s="172"/>
      <c r="IGK30" s="172"/>
      <c r="IGL30" s="172"/>
      <c r="IGM30" s="172"/>
      <c r="IGN30" s="172"/>
      <c r="IGO30" s="172"/>
      <c r="IGP30" s="172"/>
      <c r="IGQ30" s="172"/>
      <c r="IGR30" s="172"/>
      <c r="IGS30" s="172"/>
      <c r="IGT30" s="172"/>
      <c r="IGU30" s="172"/>
      <c r="IGV30" s="172"/>
      <c r="IGW30" s="172"/>
      <c r="IGX30" s="172"/>
      <c r="IGY30" s="172"/>
      <c r="IGZ30" s="172"/>
      <c r="IHA30" s="172"/>
      <c r="IHB30" s="172"/>
      <c r="IHC30" s="172"/>
      <c r="IHD30" s="172"/>
      <c r="IHE30" s="172"/>
      <c r="IHF30" s="172"/>
      <c r="IHG30" s="172"/>
      <c r="IHH30" s="172"/>
      <c r="IHI30" s="172"/>
      <c r="IHJ30" s="172"/>
      <c r="IHK30" s="172"/>
      <c r="IHL30" s="172"/>
      <c r="IHM30" s="172"/>
      <c r="IHN30" s="172"/>
      <c r="IHO30" s="172"/>
      <c r="IHP30" s="172"/>
      <c r="IHQ30" s="172"/>
      <c r="IHR30" s="172"/>
      <c r="IHS30" s="172"/>
      <c r="IHT30" s="172"/>
      <c r="IHU30" s="172"/>
      <c r="IHV30" s="172"/>
      <c r="IHW30" s="172"/>
      <c r="IHX30" s="172"/>
      <c r="IHY30" s="172"/>
      <c r="IHZ30" s="172"/>
      <c r="IIA30" s="172"/>
      <c r="IIB30" s="172"/>
      <c r="IIC30" s="172"/>
      <c r="IID30" s="172"/>
      <c r="IIE30" s="172"/>
      <c r="IIF30" s="172"/>
      <c r="IIG30" s="172"/>
      <c r="IIH30" s="172"/>
      <c r="III30" s="172"/>
      <c r="IIJ30" s="172"/>
      <c r="IIK30" s="172"/>
      <c r="IIL30" s="172"/>
      <c r="IIM30" s="172"/>
      <c r="IIN30" s="172"/>
      <c r="IIO30" s="172"/>
      <c r="IIP30" s="172"/>
      <c r="IIQ30" s="172"/>
      <c r="IIR30" s="172"/>
      <c r="IIS30" s="172"/>
      <c r="IIT30" s="172"/>
      <c r="IIU30" s="172"/>
      <c r="IIV30" s="172"/>
      <c r="IIW30" s="172"/>
      <c r="IIX30" s="172"/>
      <c r="IIY30" s="172"/>
      <c r="IIZ30" s="172"/>
      <c r="IJA30" s="172"/>
      <c r="IJB30" s="172"/>
      <c r="IJC30" s="172"/>
      <c r="IJD30" s="172"/>
      <c r="IJE30" s="172"/>
      <c r="IJF30" s="172"/>
      <c r="IJG30" s="172"/>
      <c r="IJH30" s="172"/>
      <c r="IJI30" s="172"/>
      <c r="IJJ30" s="172"/>
      <c r="IJK30" s="172"/>
      <c r="IJL30" s="172"/>
      <c r="IJM30" s="172"/>
      <c r="IJN30" s="172"/>
      <c r="IJO30" s="172"/>
      <c r="IJP30" s="172"/>
      <c r="IJQ30" s="172"/>
      <c r="IJR30" s="172"/>
      <c r="IJS30" s="172"/>
      <c r="IJT30" s="172"/>
      <c r="IJU30" s="172"/>
      <c r="IJV30" s="172"/>
      <c r="IJW30" s="172"/>
      <c r="IJX30" s="172"/>
      <c r="IJY30" s="172"/>
      <c r="IJZ30" s="172"/>
      <c r="IKA30" s="172"/>
      <c r="IKB30" s="172"/>
      <c r="IKC30" s="172"/>
      <c r="IKD30" s="172"/>
      <c r="IKE30" s="172"/>
      <c r="IKF30" s="172"/>
      <c r="IKG30" s="172"/>
      <c r="IKH30" s="172"/>
      <c r="IKI30" s="172"/>
      <c r="IKJ30" s="172"/>
      <c r="IKK30" s="172"/>
      <c r="IKL30" s="172"/>
      <c r="IKM30" s="172"/>
      <c r="IKN30" s="172"/>
      <c r="IKO30" s="172"/>
      <c r="IKP30" s="172"/>
      <c r="IKQ30" s="172"/>
      <c r="IKR30" s="172"/>
      <c r="IKS30" s="172"/>
      <c r="IKT30" s="172"/>
      <c r="IKU30" s="172"/>
      <c r="IKV30" s="172"/>
      <c r="IKW30" s="172"/>
      <c r="IKX30" s="172"/>
      <c r="IKY30" s="172"/>
      <c r="IKZ30" s="172"/>
      <c r="ILA30" s="172"/>
      <c r="ILB30" s="172"/>
      <c r="ILC30" s="172"/>
      <c r="ILD30" s="172"/>
      <c r="ILE30" s="172"/>
      <c r="ILF30" s="172"/>
      <c r="ILG30" s="172"/>
      <c r="ILH30" s="172"/>
      <c r="ILI30" s="172"/>
      <c r="ILJ30" s="172"/>
      <c r="ILK30" s="172"/>
      <c r="ILL30" s="172"/>
      <c r="ILM30" s="172"/>
      <c r="ILN30" s="172"/>
      <c r="ILO30" s="172"/>
      <c r="ILP30" s="172"/>
      <c r="ILQ30" s="172"/>
      <c r="ILR30" s="172"/>
      <c r="ILS30" s="172"/>
      <c r="ILT30" s="172"/>
      <c r="ILU30" s="172"/>
      <c r="ILV30" s="172"/>
      <c r="ILW30" s="172"/>
      <c r="ILX30" s="172"/>
      <c r="ILY30" s="172"/>
      <c r="ILZ30" s="172"/>
      <c r="IMA30" s="172"/>
      <c r="IMB30" s="172"/>
      <c r="IMC30" s="172"/>
      <c r="IMD30" s="172"/>
      <c r="IME30" s="172"/>
      <c r="IMF30" s="172"/>
      <c r="IMG30" s="172"/>
      <c r="IMH30" s="172"/>
      <c r="IMI30" s="172"/>
      <c r="IMJ30" s="172"/>
      <c r="IMK30" s="172"/>
      <c r="IML30" s="172"/>
      <c r="IMM30" s="172"/>
      <c r="IMN30" s="172"/>
      <c r="IMO30" s="172"/>
      <c r="IMP30" s="172"/>
      <c r="IMQ30" s="172"/>
      <c r="IMR30" s="172"/>
      <c r="IMS30" s="172"/>
      <c r="IMT30" s="172"/>
      <c r="IMU30" s="172"/>
      <c r="IMV30" s="172"/>
      <c r="IMW30" s="172"/>
      <c r="IMX30" s="172"/>
      <c r="IMY30" s="172"/>
      <c r="IMZ30" s="172"/>
      <c r="INA30" s="172"/>
      <c r="INB30" s="172"/>
      <c r="INC30" s="172"/>
      <c r="IND30" s="172"/>
      <c r="INE30" s="172"/>
      <c r="INF30" s="172"/>
      <c r="ING30" s="172"/>
      <c r="INH30" s="172"/>
      <c r="INI30" s="172"/>
      <c r="INJ30" s="172"/>
      <c r="INK30" s="172"/>
      <c r="INL30" s="172"/>
      <c r="INM30" s="172"/>
      <c r="INN30" s="172"/>
      <c r="INO30" s="172"/>
      <c r="INP30" s="172"/>
      <c r="INQ30" s="172"/>
      <c r="INR30" s="172"/>
      <c r="INS30" s="172"/>
      <c r="INT30" s="172"/>
      <c r="INU30" s="172"/>
      <c r="INV30" s="172"/>
      <c r="INW30" s="172"/>
      <c r="INX30" s="172"/>
      <c r="INY30" s="172"/>
      <c r="INZ30" s="172"/>
      <c r="IOA30" s="172"/>
      <c r="IOB30" s="172"/>
      <c r="IOC30" s="172"/>
      <c r="IOD30" s="172"/>
      <c r="IOE30" s="172"/>
      <c r="IOF30" s="172"/>
      <c r="IOG30" s="172"/>
      <c r="IOH30" s="172"/>
      <c r="IOI30" s="172"/>
      <c r="IOJ30" s="172"/>
      <c r="IOK30" s="172"/>
      <c r="IOL30" s="172"/>
      <c r="IOM30" s="172"/>
      <c r="ION30" s="172"/>
      <c r="IOO30" s="172"/>
      <c r="IOP30" s="172"/>
      <c r="IOQ30" s="172"/>
      <c r="IOR30" s="172"/>
      <c r="IOS30" s="172"/>
      <c r="IOT30" s="172"/>
      <c r="IOU30" s="172"/>
      <c r="IOV30" s="172"/>
      <c r="IOW30" s="172"/>
      <c r="IOX30" s="172"/>
      <c r="IOY30" s="172"/>
      <c r="IOZ30" s="172"/>
      <c r="IPA30" s="172"/>
      <c r="IPB30" s="172"/>
      <c r="IPC30" s="172"/>
      <c r="IPD30" s="172"/>
      <c r="IPE30" s="172"/>
      <c r="IPF30" s="172"/>
      <c r="IPG30" s="172"/>
      <c r="IPH30" s="172"/>
      <c r="IPI30" s="172"/>
      <c r="IPJ30" s="172"/>
      <c r="IPK30" s="172"/>
      <c r="IPL30" s="172"/>
      <c r="IPM30" s="172"/>
      <c r="IPN30" s="172"/>
      <c r="IPO30" s="172"/>
      <c r="IPP30" s="172"/>
      <c r="IPQ30" s="172"/>
      <c r="IPR30" s="172"/>
      <c r="IPS30" s="172"/>
      <c r="IPT30" s="172"/>
      <c r="IPU30" s="172"/>
      <c r="IPV30" s="172"/>
      <c r="IPW30" s="172"/>
      <c r="IPX30" s="172"/>
      <c r="IPY30" s="172"/>
      <c r="IPZ30" s="172"/>
      <c r="IQA30" s="172"/>
      <c r="IQB30" s="172"/>
      <c r="IQC30" s="172"/>
      <c r="IQD30" s="172"/>
      <c r="IQE30" s="172"/>
      <c r="IQF30" s="172"/>
      <c r="IQG30" s="172"/>
      <c r="IQH30" s="172"/>
      <c r="IQI30" s="172"/>
      <c r="IQJ30" s="172"/>
      <c r="IQK30" s="172"/>
      <c r="IQL30" s="172"/>
      <c r="IQM30" s="172"/>
      <c r="IQN30" s="172"/>
      <c r="IQO30" s="172"/>
      <c r="IQP30" s="172"/>
      <c r="IQQ30" s="172"/>
      <c r="IQR30" s="172"/>
      <c r="IQS30" s="172"/>
      <c r="IQT30" s="172"/>
      <c r="IQU30" s="172"/>
      <c r="IQV30" s="172"/>
      <c r="IQW30" s="172"/>
      <c r="IQX30" s="172"/>
      <c r="IQY30" s="172"/>
      <c r="IQZ30" s="172"/>
      <c r="IRA30" s="172"/>
      <c r="IRB30" s="172"/>
      <c r="IRC30" s="172"/>
      <c r="IRD30" s="172"/>
      <c r="IRE30" s="172"/>
      <c r="IRF30" s="172"/>
      <c r="IRG30" s="172"/>
      <c r="IRH30" s="172"/>
      <c r="IRI30" s="172"/>
      <c r="IRJ30" s="172"/>
      <c r="IRK30" s="172"/>
      <c r="IRL30" s="172"/>
      <c r="IRM30" s="172"/>
      <c r="IRN30" s="172"/>
      <c r="IRO30" s="172"/>
      <c r="IRP30" s="172"/>
      <c r="IRQ30" s="172"/>
      <c r="IRR30" s="172"/>
      <c r="IRS30" s="172"/>
      <c r="IRT30" s="172"/>
      <c r="IRU30" s="172"/>
      <c r="IRV30" s="172"/>
      <c r="IRW30" s="172"/>
      <c r="IRX30" s="172"/>
      <c r="IRY30" s="172"/>
      <c r="IRZ30" s="172"/>
      <c r="ISA30" s="172"/>
      <c r="ISB30" s="172"/>
      <c r="ISC30" s="172"/>
      <c r="ISD30" s="172"/>
      <c r="ISE30" s="172"/>
      <c r="ISF30" s="172"/>
      <c r="ISG30" s="172"/>
      <c r="ISH30" s="172"/>
      <c r="ISI30" s="172"/>
      <c r="ISJ30" s="172"/>
      <c r="ISK30" s="172"/>
      <c r="ISL30" s="172"/>
      <c r="ISM30" s="172"/>
      <c r="ISN30" s="172"/>
      <c r="ISO30" s="172"/>
      <c r="ISP30" s="172"/>
      <c r="ISQ30" s="172"/>
      <c r="ISR30" s="172"/>
      <c r="ISS30" s="172"/>
      <c r="IST30" s="172"/>
      <c r="ISU30" s="172"/>
      <c r="ISV30" s="172"/>
      <c r="ISW30" s="172"/>
      <c r="ISX30" s="172"/>
      <c r="ISY30" s="172"/>
      <c r="ISZ30" s="172"/>
      <c r="ITA30" s="172"/>
      <c r="ITB30" s="172"/>
      <c r="ITC30" s="172"/>
      <c r="ITD30" s="172"/>
      <c r="ITE30" s="172"/>
      <c r="ITF30" s="172"/>
      <c r="ITG30" s="172"/>
      <c r="ITH30" s="172"/>
      <c r="ITI30" s="172"/>
      <c r="ITJ30" s="172"/>
      <c r="ITK30" s="172"/>
      <c r="ITL30" s="172"/>
      <c r="ITM30" s="172"/>
      <c r="ITN30" s="172"/>
      <c r="ITO30" s="172"/>
      <c r="ITP30" s="172"/>
      <c r="ITQ30" s="172"/>
      <c r="ITR30" s="172"/>
      <c r="ITS30" s="172"/>
      <c r="ITT30" s="172"/>
      <c r="ITU30" s="172"/>
      <c r="ITV30" s="172"/>
      <c r="ITW30" s="172"/>
      <c r="ITX30" s="172"/>
      <c r="ITY30" s="172"/>
      <c r="ITZ30" s="172"/>
      <c r="IUA30" s="172"/>
      <c r="IUB30" s="172"/>
      <c r="IUC30" s="172"/>
      <c r="IUD30" s="172"/>
      <c r="IUE30" s="172"/>
      <c r="IUF30" s="172"/>
      <c r="IUG30" s="172"/>
      <c r="IUH30" s="172"/>
      <c r="IUI30" s="172"/>
      <c r="IUJ30" s="172"/>
      <c r="IUK30" s="172"/>
      <c r="IUL30" s="172"/>
      <c r="IUM30" s="172"/>
      <c r="IUN30" s="172"/>
      <c r="IUO30" s="172"/>
      <c r="IUP30" s="172"/>
      <c r="IUQ30" s="172"/>
      <c r="IUR30" s="172"/>
      <c r="IUS30" s="172"/>
      <c r="IUT30" s="172"/>
      <c r="IUU30" s="172"/>
      <c r="IUV30" s="172"/>
      <c r="IUW30" s="172"/>
      <c r="IUX30" s="172"/>
      <c r="IUY30" s="172"/>
      <c r="IUZ30" s="172"/>
      <c r="IVA30" s="172"/>
      <c r="IVB30" s="172"/>
      <c r="IVC30" s="172"/>
      <c r="IVD30" s="172"/>
      <c r="IVE30" s="172"/>
      <c r="IVF30" s="172"/>
      <c r="IVG30" s="172"/>
      <c r="IVH30" s="172"/>
      <c r="IVI30" s="172"/>
      <c r="IVJ30" s="172"/>
      <c r="IVK30" s="172"/>
      <c r="IVL30" s="172"/>
      <c r="IVM30" s="172"/>
      <c r="IVN30" s="172"/>
      <c r="IVO30" s="172"/>
      <c r="IVP30" s="172"/>
      <c r="IVQ30" s="172"/>
      <c r="IVR30" s="172"/>
      <c r="IVS30" s="172"/>
      <c r="IVT30" s="172"/>
      <c r="IVU30" s="172"/>
      <c r="IVV30" s="172"/>
      <c r="IVW30" s="172"/>
      <c r="IVX30" s="172"/>
      <c r="IVY30" s="172"/>
      <c r="IVZ30" s="172"/>
      <c r="IWA30" s="172"/>
      <c r="IWB30" s="172"/>
      <c r="IWC30" s="172"/>
      <c r="IWD30" s="172"/>
      <c r="IWE30" s="172"/>
      <c r="IWF30" s="172"/>
      <c r="IWG30" s="172"/>
      <c r="IWH30" s="172"/>
      <c r="IWI30" s="172"/>
      <c r="IWJ30" s="172"/>
      <c r="IWK30" s="172"/>
      <c r="IWL30" s="172"/>
      <c r="IWM30" s="172"/>
      <c r="IWN30" s="172"/>
      <c r="IWO30" s="172"/>
      <c r="IWP30" s="172"/>
      <c r="IWQ30" s="172"/>
      <c r="IWR30" s="172"/>
      <c r="IWS30" s="172"/>
      <c r="IWT30" s="172"/>
      <c r="IWU30" s="172"/>
      <c r="IWV30" s="172"/>
      <c r="IWW30" s="172"/>
      <c r="IWX30" s="172"/>
      <c r="IWY30" s="172"/>
      <c r="IWZ30" s="172"/>
      <c r="IXA30" s="172"/>
      <c r="IXB30" s="172"/>
      <c r="IXC30" s="172"/>
      <c r="IXD30" s="172"/>
      <c r="IXE30" s="172"/>
      <c r="IXF30" s="172"/>
      <c r="IXG30" s="172"/>
      <c r="IXH30" s="172"/>
      <c r="IXI30" s="172"/>
      <c r="IXJ30" s="172"/>
      <c r="IXK30" s="172"/>
      <c r="IXL30" s="172"/>
      <c r="IXM30" s="172"/>
      <c r="IXN30" s="172"/>
      <c r="IXO30" s="172"/>
      <c r="IXP30" s="172"/>
      <c r="IXQ30" s="172"/>
      <c r="IXR30" s="172"/>
      <c r="IXS30" s="172"/>
      <c r="IXT30" s="172"/>
      <c r="IXU30" s="172"/>
      <c r="IXV30" s="172"/>
      <c r="IXW30" s="172"/>
      <c r="IXX30" s="172"/>
      <c r="IXY30" s="172"/>
      <c r="IXZ30" s="172"/>
      <c r="IYA30" s="172"/>
      <c r="IYB30" s="172"/>
      <c r="IYC30" s="172"/>
      <c r="IYD30" s="172"/>
      <c r="IYE30" s="172"/>
      <c r="IYF30" s="172"/>
      <c r="IYG30" s="172"/>
      <c r="IYH30" s="172"/>
      <c r="IYI30" s="172"/>
      <c r="IYJ30" s="172"/>
      <c r="IYK30" s="172"/>
      <c r="IYL30" s="172"/>
      <c r="IYM30" s="172"/>
      <c r="IYN30" s="172"/>
      <c r="IYO30" s="172"/>
      <c r="IYP30" s="172"/>
      <c r="IYQ30" s="172"/>
      <c r="IYR30" s="172"/>
      <c r="IYS30" s="172"/>
      <c r="IYT30" s="172"/>
      <c r="IYU30" s="172"/>
      <c r="IYV30" s="172"/>
      <c r="IYW30" s="172"/>
      <c r="IYX30" s="172"/>
      <c r="IYY30" s="172"/>
      <c r="IYZ30" s="172"/>
      <c r="IZA30" s="172"/>
      <c r="IZB30" s="172"/>
      <c r="IZC30" s="172"/>
      <c r="IZD30" s="172"/>
      <c r="IZE30" s="172"/>
      <c r="IZF30" s="172"/>
      <c r="IZG30" s="172"/>
      <c r="IZH30" s="172"/>
      <c r="IZI30" s="172"/>
      <c r="IZJ30" s="172"/>
      <c r="IZK30" s="172"/>
      <c r="IZL30" s="172"/>
      <c r="IZM30" s="172"/>
      <c r="IZN30" s="172"/>
      <c r="IZO30" s="172"/>
      <c r="IZP30" s="172"/>
      <c r="IZQ30" s="172"/>
      <c r="IZR30" s="172"/>
      <c r="IZS30" s="172"/>
      <c r="IZT30" s="172"/>
      <c r="IZU30" s="172"/>
      <c r="IZV30" s="172"/>
      <c r="IZW30" s="172"/>
      <c r="IZX30" s="172"/>
      <c r="IZY30" s="172"/>
      <c r="IZZ30" s="172"/>
      <c r="JAA30" s="172"/>
      <c r="JAB30" s="172"/>
      <c r="JAC30" s="172"/>
      <c r="JAD30" s="172"/>
      <c r="JAE30" s="172"/>
      <c r="JAF30" s="172"/>
      <c r="JAG30" s="172"/>
      <c r="JAH30" s="172"/>
      <c r="JAI30" s="172"/>
      <c r="JAJ30" s="172"/>
      <c r="JAK30" s="172"/>
      <c r="JAL30" s="172"/>
      <c r="JAM30" s="172"/>
      <c r="JAN30" s="172"/>
      <c r="JAO30" s="172"/>
      <c r="JAP30" s="172"/>
      <c r="JAQ30" s="172"/>
      <c r="JAR30" s="172"/>
      <c r="JAS30" s="172"/>
      <c r="JAT30" s="172"/>
      <c r="JAU30" s="172"/>
      <c r="JAV30" s="172"/>
      <c r="JAW30" s="172"/>
      <c r="JAX30" s="172"/>
      <c r="JAY30" s="172"/>
      <c r="JAZ30" s="172"/>
      <c r="JBA30" s="172"/>
      <c r="JBB30" s="172"/>
      <c r="JBC30" s="172"/>
      <c r="JBD30" s="172"/>
      <c r="JBE30" s="172"/>
      <c r="JBF30" s="172"/>
      <c r="JBG30" s="172"/>
      <c r="JBH30" s="172"/>
      <c r="JBI30" s="172"/>
      <c r="JBJ30" s="172"/>
      <c r="JBK30" s="172"/>
      <c r="JBL30" s="172"/>
      <c r="JBM30" s="172"/>
      <c r="JBN30" s="172"/>
      <c r="JBO30" s="172"/>
      <c r="JBP30" s="172"/>
      <c r="JBQ30" s="172"/>
      <c r="JBR30" s="172"/>
      <c r="JBS30" s="172"/>
      <c r="JBT30" s="172"/>
      <c r="JBU30" s="172"/>
      <c r="JBV30" s="172"/>
      <c r="JBW30" s="172"/>
      <c r="JBX30" s="172"/>
      <c r="JBY30" s="172"/>
      <c r="JBZ30" s="172"/>
      <c r="JCA30" s="172"/>
      <c r="JCB30" s="172"/>
      <c r="JCC30" s="172"/>
      <c r="JCD30" s="172"/>
      <c r="JCE30" s="172"/>
      <c r="JCF30" s="172"/>
      <c r="JCG30" s="172"/>
      <c r="JCH30" s="172"/>
      <c r="JCI30" s="172"/>
      <c r="JCJ30" s="172"/>
      <c r="JCK30" s="172"/>
      <c r="JCL30" s="172"/>
      <c r="JCM30" s="172"/>
      <c r="JCN30" s="172"/>
      <c r="JCO30" s="172"/>
      <c r="JCP30" s="172"/>
      <c r="JCQ30" s="172"/>
      <c r="JCR30" s="172"/>
      <c r="JCS30" s="172"/>
      <c r="JCT30" s="172"/>
      <c r="JCU30" s="172"/>
      <c r="JCV30" s="172"/>
      <c r="JCW30" s="172"/>
      <c r="JCX30" s="172"/>
      <c r="JCY30" s="172"/>
      <c r="JCZ30" s="172"/>
      <c r="JDA30" s="172"/>
      <c r="JDB30" s="172"/>
      <c r="JDC30" s="172"/>
      <c r="JDD30" s="172"/>
      <c r="JDE30" s="172"/>
      <c r="JDF30" s="172"/>
      <c r="JDG30" s="172"/>
      <c r="JDH30" s="172"/>
      <c r="JDI30" s="172"/>
      <c r="JDJ30" s="172"/>
      <c r="JDK30" s="172"/>
      <c r="JDL30" s="172"/>
      <c r="JDM30" s="172"/>
      <c r="JDN30" s="172"/>
      <c r="JDO30" s="172"/>
      <c r="JDP30" s="172"/>
      <c r="JDQ30" s="172"/>
      <c r="JDR30" s="172"/>
      <c r="JDS30" s="172"/>
      <c r="JDT30" s="172"/>
      <c r="JDU30" s="172"/>
      <c r="JDV30" s="172"/>
      <c r="JDW30" s="172"/>
      <c r="JDX30" s="172"/>
      <c r="JDY30" s="172"/>
      <c r="JDZ30" s="172"/>
      <c r="JEA30" s="172"/>
      <c r="JEB30" s="172"/>
      <c r="JEC30" s="172"/>
      <c r="JED30" s="172"/>
      <c r="JEE30" s="172"/>
      <c r="JEF30" s="172"/>
      <c r="JEG30" s="172"/>
      <c r="JEH30" s="172"/>
      <c r="JEI30" s="172"/>
      <c r="JEJ30" s="172"/>
      <c r="JEK30" s="172"/>
      <c r="JEL30" s="172"/>
      <c r="JEM30" s="172"/>
      <c r="JEN30" s="172"/>
      <c r="JEO30" s="172"/>
      <c r="JEP30" s="172"/>
      <c r="JEQ30" s="172"/>
      <c r="JER30" s="172"/>
      <c r="JES30" s="172"/>
      <c r="JET30" s="172"/>
      <c r="JEU30" s="172"/>
      <c r="JEV30" s="172"/>
      <c r="JEW30" s="172"/>
      <c r="JEX30" s="172"/>
      <c r="JEY30" s="172"/>
      <c r="JEZ30" s="172"/>
      <c r="JFA30" s="172"/>
      <c r="JFB30" s="172"/>
      <c r="JFC30" s="172"/>
      <c r="JFD30" s="172"/>
      <c r="JFE30" s="172"/>
      <c r="JFF30" s="172"/>
      <c r="JFG30" s="172"/>
      <c r="JFH30" s="172"/>
      <c r="JFI30" s="172"/>
      <c r="JFJ30" s="172"/>
      <c r="JFK30" s="172"/>
      <c r="JFL30" s="172"/>
      <c r="JFM30" s="172"/>
      <c r="JFN30" s="172"/>
      <c r="JFO30" s="172"/>
      <c r="JFP30" s="172"/>
      <c r="JFQ30" s="172"/>
      <c r="JFR30" s="172"/>
      <c r="JFS30" s="172"/>
      <c r="JFT30" s="172"/>
      <c r="JFU30" s="172"/>
      <c r="JFV30" s="172"/>
      <c r="JFW30" s="172"/>
      <c r="JFX30" s="172"/>
      <c r="JFY30" s="172"/>
      <c r="JFZ30" s="172"/>
      <c r="JGA30" s="172"/>
      <c r="JGB30" s="172"/>
      <c r="JGC30" s="172"/>
      <c r="JGD30" s="172"/>
      <c r="JGE30" s="172"/>
      <c r="JGF30" s="172"/>
      <c r="JGG30" s="172"/>
      <c r="JGH30" s="172"/>
      <c r="JGI30" s="172"/>
      <c r="JGJ30" s="172"/>
      <c r="JGK30" s="172"/>
      <c r="JGL30" s="172"/>
      <c r="JGM30" s="172"/>
      <c r="JGN30" s="172"/>
      <c r="JGO30" s="172"/>
      <c r="JGP30" s="172"/>
      <c r="JGQ30" s="172"/>
      <c r="JGR30" s="172"/>
      <c r="JGS30" s="172"/>
      <c r="JGT30" s="172"/>
      <c r="JGU30" s="172"/>
      <c r="JGV30" s="172"/>
      <c r="JGW30" s="172"/>
      <c r="JGX30" s="172"/>
      <c r="JGY30" s="172"/>
      <c r="JGZ30" s="172"/>
      <c r="JHA30" s="172"/>
      <c r="JHB30" s="172"/>
      <c r="JHC30" s="172"/>
      <c r="JHD30" s="172"/>
      <c r="JHE30" s="172"/>
      <c r="JHF30" s="172"/>
      <c r="JHG30" s="172"/>
      <c r="JHH30" s="172"/>
      <c r="JHI30" s="172"/>
      <c r="JHJ30" s="172"/>
      <c r="JHK30" s="172"/>
      <c r="JHL30" s="172"/>
      <c r="JHM30" s="172"/>
      <c r="JHN30" s="172"/>
      <c r="JHO30" s="172"/>
      <c r="JHP30" s="172"/>
      <c r="JHQ30" s="172"/>
      <c r="JHR30" s="172"/>
      <c r="JHS30" s="172"/>
      <c r="JHT30" s="172"/>
      <c r="JHU30" s="172"/>
      <c r="JHV30" s="172"/>
      <c r="JHW30" s="172"/>
      <c r="JHX30" s="172"/>
      <c r="JHY30" s="172"/>
      <c r="JHZ30" s="172"/>
      <c r="JIA30" s="172"/>
      <c r="JIB30" s="172"/>
      <c r="JIC30" s="172"/>
      <c r="JID30" s="172"/>
      <c r="JIE30" s="172"/>
      <c r="JIF30" s="172"/>
      <c r="JIG30" s="172"/>
      <c r="JIH30" s="172"/>
      <c r="JII30" s="172"/>
      <c r="JIJ30" s="172"/>
      <c r="JIK30" s="172"/>
      <c r="JIL30" s="172"/>
      <c r="JIM30" s="172"/>
      <c r="JIN30" s="172"/>
      <c r="JIO30" s="172"/>
      <c r="JIP30" s="172"/>
      <c r="JIQ30" s="172"/>
      <c r="JIR30" s="172"/>
      <c r="JIS30" s="172"/>
      <c r="JIT30" s="172"/>
      <c r="JIU30" s="172"/>
      <c r="JIV30" s="172"/>
      <c r="JIW30" s="172"/>
      <c r="JIX30" s="172"/>
      <c r="JIY30" s="172"/>
      <c r="JIZ30" s="172"/>
      <c r="JJA30" s="172"/>
      <c r="JJB30" s="172"/>
      <c r="JJC30" s="172"/>
      <c r="JJD30" s="172"/>
      <c r="JJE30" s="172"/>
      <c r="JJF30" s="172"/>
      <c r="JJG30" s="172"/>
      <c r="JJH30" s="172"/>
      <c r="JJI30" s="172"/>
      <c r="JJJ30" s="172"/>
      <c r="JJK30" s="172"/>
      <c r="JJL30" s="172"/>
      <c r="JJM30" s="172"/>
      <c r="JJN30" s="172"/>
      <c r="JJO30" s="172"/>
      <c r="JJP30" s="172"/>
      <c r="JJQ30" s="172"/>
      <c r="JJR30" s="172"/>
      <c r="JJS30" s="172"/>
      <c r="JJT30" s="172"/>
      <c r="JJU30" s="172"/>
      <c r="JJV30" s="172"/>
      <c r="JJW30" s="172"/>
      <c r="JJX30" s="172"/>
      <c r="JJY30" s="172"/>
      <c r="JJZ30" s="172"/>
      <c r="JKA30" s="172"/>
      <c r="JKB30" s="172"/>
      <c r="JKC30" s="172"/>
      <c r="JKD30" s="172"/>
      <c r="JKE30" s="172"/>
      <c r="JKF30" s="172"/>
      <c r="JKG30" s="172"/>
      <c r="JKH30" s="172"/>
      <c r="JKI30" s="172"/>
      <c r="JKJ30" s="172"/>
      <c r="JKK30" s="172"/>
      <c r="JKL30" s="172"/>
      <c r="JKM30" s="172"/>
      <c r="JKN30" s="172"/>
      <c r="JKO30" s="172"/>
      <c r="JKP30" s="172"/>
      <c r="JKQ30" s="172"/>
      <c r="JKR30" s="172"/>
      <c r="JKS30" s="172"/>
      <c r="JKT30" s="172"/>
      <c r="JKU30" s="172"/>
      <c r="JKV30" s="172"/>
      <c r="JKW30" s="172"/>
      <c r="JKX30" s="172"/>
      <c r="JKY30" s="172"/>
      <c r="JKZ30" s="172"/>
      <c r="JLA30" s="172"/>
      <c r="JLB30" s="172"/>
      <c r="JLC30" s="172"/>
      <c r="JLD30" s="172"/>
      <c r="JLE30" s="172"/>
      <c r="JLF30" s="172"/>
      <c r="JLG30" s="172"/>
      <c r="JLH30" s="172"/>
      <c r="JLI30" s="172"/>
      <c r="JLJ30" s="172"/>
      <c r="JLK30" s="172"/>
      <c r="JLL30" s="172"/>
      <c r="JLM30" s="172"/>
      <c r="JLN30" s="172"/>
      <c r="JLO30" s="172"/>
      <c r="JLP30" s="172"/>
      <c r="JLQ30" s="172"/>
      <c r="JLR30" s="172"/>
      <c r="JLS30" s="172"/>
      <c r="JLT30" s="172"/>
      <c r="JLU30" s="172"/>
      <c r="JLV30" s="172"/>
      <c r="JLW30" s="172"/>
      <c r="JLX30" s="172"/>
      <c r="JLY30" s="172"/>
      <c r="JLZ30" s="172"/>
      <c r="JMA30" s="172"/>
      <c r="JMB30" s="172"/>
      <c r="JMC30" s="172"/>
      <c r="JMD30" s="172"/>
      <c r="JME30" s="172"/>
      <c r="JMF30" s="172"/>
      <c r="JMG30" s="172"/>
      <c r="JMH30" s="172"/>
      <c r="JMI30" s="172"/>
      <c r="JMJ30" s="172"/>
      <c r="JMK30" s="172"/>
      <c r="JML30" s="172"/>
      <c r="JMM30" s="172"/>
      <c r="JMN30" s="172"/>
      <c r="JMO30" s="172"/>
      <c r="JMP30" s="172"/>
      <c r="JMQ30" s="172"/>
      <c r="JMR30" s="172"/>
      <c r="JMS30" s="172"/>
      <c r="JMT30" s="172"/>
      <c r="JMU30" s="172"/>
      <c r="JMV30" s="172"/>
      <c r="JMW30" s="172"/>
      <c r="JMX30" s="172"/>
      <c r="JMY30" s="172"/>
      <c r="JMZ30" s="172"/>
      <c r="JNA30" s="172"/>
      <c r="JNB30" s="172"/>
      <c r="JNC30" s="172"/>
      <c r="JND30" s="172"/>
      <c r="JNE30" s="172"/>
      <c r="JNF30" s="172"/>
      <c r="JNG30" s="172"/>
      <c r="JNH30" s="172"/>
      <c r="JNI30" s="172"/>
      <c r="JNJ30" s="172"/>
      <c r="JNK30" s="172"/>
      <c r="JNL30" s="172"/>
      <c r="JNM30" s="172"/>
      <c r="JNN30" s="172"/>
      <c r="JNO30" s="172"/>
      <c r="JNP30" s="172"/>
      <c r="JNQ30" s="172"/>
      <c r="JNR30" s="172"/>
      <c r="JNS30" s="172"/>
      <c r="JNT30" s="172"/>
      <c r="JNU30" s="172"/>
      <c r="JNV30" s="172"/>
      <c r="JNW30" s="172"/>
      <c r="JNX30" s="172"/>
      <c r="JNY30" s="172"/>
      <c r="JNZ30" s="172"/>
      <c r="JOA30" s="172"/>
      <c r="JOB30" s="172"/>
      <c r="JOC30" s="172"/>
      <c r="JOD30" s="172"/>
      <c r="JOE30" s="172"/>
      <c r="JOF30" s="172"/>
      <c r="JOG30" s="172"/>
      <c r="JOH30" s="172"/>
      <c r="JOI30" s="172"/>
      <c r="JOJ30" s="172"/>
      <c r="JOK30" s="172"/>
      <c r="JOL30" s="172"/>
      <c r="JOM30" s="172"/>
      <c r="JON30" s="172"/>
      <c r="JOO30" s="172"/>
      <c r="JOP30" s="172"/>
      <c r="JOQ30" s="172"/>
      <c r="JOR30" s="172"/>
      <c r="JOS30" s="172"/>
      <c r="JOT30" s="172"/>
      <c r="JOU30" s="172"/>
      <c r="JOV30" s="172"/>
      <c r="JOW30" s="172"/>
      <c r="JOX30" s="172"/>
      <c r="JOY30" s="172"/>
      <c r="JOZ30" s="172"/>
      <c r="JPA30" s="172"/>
      <c r="JPB30" s="172"/>
      <c r="JPC30" s="172"/>
      <c r="JPD30" s="172"/>
      <c r="JPE30" s="172"/>
      <c r="JPF30" s="172"/>
      <c r="JPG30" s="172"/>
      <c r="JPH30" s="172"/>
      <c r="JPI30" s="172"/>
      <c r="JPJ30" s="172"/>
      <c r="JPK30" s="172"/>
      <c r="JPL30" s="172"/>
      <c r="JPM30" s="172"/>
      <c r="JPN30" s="172"/>
      <c r="JPO30" s="172"/>
      <c r="JPP30" s="172"/>
      <c r="JPQ30" s="172"/>
      <c r="JPR30" s="172"/>
      <c r="JPS30" s="172"/>
      <c r="JPT30" s="172"/>
      <c r="JPU30" s="172"/>
      <c r="JPV30" s="172"/>
      <c r="JPW30" s="172"/>
      <c r="JPX30" s="172"/>
      <c r="JPY30" s="172"/>
      <c r="JPZ30" s="172"/>
      <c r="JQA30" s="172"/>
      <c r="JQB30" s="172"/>
      <c r="JQC30" s="172"/>
      <c r="JQD30" s="172"/>
      <c r="JQE30" s="172"/>
      <c r="JQF30" s="172"/>
      <c r="JQG30" s="172"/>
      <c r="JQH30" s="172"/>
      <c r="JQI30" s="172"/>
      <c r="JQJ30" s="172"/>
      <c r="JQK30" s="172"/>
      <c r="JQL30" s="172"/>
      <c r="JQM30" s="172"/>
      <c r="JQN30" s="172"/>
      <c r="JQO30" s="172"/>
      <c r="JQP30" s="172"/>
      <c r="JQQ30" s="172"/>
      <c r="JQR30" s="172"/>
      <c r="JQS30" s="172"/>
      <c r="JQT30" s="172"/>
      <c r="JQU30" s="172"/>
      <c r="JQV30" s="172"/>
      <c r="JQW30" s="172"/>
      <c r="JQX30" s="172"/>
      <c r="JQY30" s="172"/>
      <c r="JQZ30" s="172"/>
      <c r="JRA30" s="172"/>
      <c r="JRB30" s="172"/>
      <c r="JRC30" s="172"/>
      <c r="JRD30" s="172"/>
      <c r="JRE30" s="172"/>
      <c r="JRF30" s="172"/>
      <c r="JRG30" s="172"/>
      <c r="JRH30" s="172"/>
      <c r="JRI30" s="172"/>
      <c r="JRJ30" s="172"/>
      <c r="JRK30" s="172"/>
      <c r="JRL30" s="172"/>
      <c r="JRM30" s="172"/>
      <c r="JRN30" s="172"/>
      <c r="JRO30" s="172"/>
      <c r="JRP30" s="172"/>
      <c r="JRQ30" s="172"/>
      <c r="JRR30" s="172"/>
      <c r="JRS30" s="172"/>
      <c r="JRT30" s="172"/>
      <c r="JRU30" s="172"/>
      <c r="JRV30" s="172"/>
      <c r="JRW30" s="172"/>
      <c r="JRX30" s="172"/>
      <c r="JRY30" s="172"/>
      <c r="JRZ30" s="172"/>
      <c r="JSA30" s="172"/>
      <c r="JSB30" s="172"/>
      <c r="JSC30" s="172"/>
      <c r="JSD30" s="172"/>
      <c r="JSE30" s="172"/>
      <c r="JSF30" s="172"/>
      <c r="JSG30" s="172"/>
      <c r="JSH30" s="172"/>
      <c r="JSI30" s="172"/>
      <c r="JSJ30" s="172"/>
      <c r="JSK30" s="172"/>
      <c r="JSL30" s="172"/>
      <c r="JSM30" s="172"/>
      <c r="JSN30" s="172"/>
      <c r="JSO30" s="172"/>
      <c r="JSP30" s="172"/>
      <c r="JSQ30" s="172"/>
      <c r="JSR30" s="172"/>
      <c r="JSS30" s="172"/>
      <c r="JST30" s="172"/>
      <c r="JSU30" s="172"/>
      <c r="JSV30" s="172"/>
      <c r="JSW30" s="172"/>
      <c r="JSX30" s="172"/>
      <c r="JSY30" s="172"/>
      <c r="JSZ30" s="172"/>
      <c r="JTA30" s="172"/>
      <c r="JTB30" s="172"/>
      <c r="JTC30" s="172"/>
      <c r="JTD30" s="172"/>
      <c r="JTE30" s="172"/>
      <c r="JTF30" s="172"/>
      <c r="JTG30" s="172"/>
      <c r="JTH30" s="172"/>
      <c r="JTI30" s="172"/>
      <c r="JTJ30" s="172"/>
      <c r="JTK30" s="172"/>
      <c r="JTL30" s="172"/>
      <c r="JTM30" s="172"/>
      <c r="JTN30" s="172"/>
      <c r="JTO30" s="172"/>
      <c r="JTP30" s="172"/>
      <c r="JTQ30" s="172"/>
      <c r="JTR30" s="172"/>
      <c r="JTS30" s="172"/>
      <c r="JTT30" s="172"/>
      <c r="JTU30" s="172"/>
      <c r="JTV30" s="172"/>
      <c r="JTW30" s="172"/>
      <c r="JTX30" s="172"/>
      <c r="JTY30" s="172"/>
      <c r="JTZ30" s="172"/>
      <c r="JUA30" s="172"/>
      <c r="JUB30" s="172"/>
      <c r="JUC30" s="172"/>
      <c r="JUD30" s="172"/>
      <c r="JUE30" s="172"/>
      <c r="JUF30" s="172"/>
      <c r="JUG30" s="172"/>
      <c r="JUH30" s="172"/>
      <c r="JUI30" s="172"/>
      <c r="JUJ30" s="172"/>
      <c r="JUK30" s="172"/>
      <c r="JUL30" s="172"/>
      <c r="JUM30" s="172"/>
      <c r="JUN30" s="172"/>
      <c r="JUO30" s="172"/>
      <c r="JUP30" s="172"/>
      <c r="JUQ30" s="172"/>
      <c r="JUR30" s="172"/>
      <c r="JUS30" s="172"/>
      <c r="JUT30" s="172"/>
      <c r="JUU30" s="172"/>
      <c r="JUV30" s="172"/>
      <c r="JUW30" s="172"/>
      <c r="JUX30" s="172"/>
      <c r="JUY30" s="172"/>
      <c r="JUZ30" s="172"/>
      <c r="JVA30" s="172"/>
      <c r="JVB30" s="172"/>
      <c r="JVC30" s="172"/>
      <c r="JVD30" s="172"/>
      <c r="JVE30" s="172"/>
      <c r="JVF30" s="172"/>
      <c r="JVG30" s="172"/>
      <c r="JVH30" s="172"/>
      <c r="JVI30" s="172"/>
      <c r="JVJ30" s="172"/>
      <c r="JVK30" s="172"/>
      <c r="JVL30" s="172"/>
      <c r="JVM30" s="172"/>
      <c r="JVN30" s="172"/>
      <c r="JVO30" s="172"/>
      <c r="JVP30" s="172"/>
      <c r="JVQ30" s="172"/>
      <c r="JVR30" s="172"/>
      <c r="JVS30" s="172"/>
      <c r="JVT30" s="172"/>
      <c r="JVU30" s="172"/>
      <c r="JVV30" s="172"/>
      <c r="JVW30" s="172"/>
      <c r="JVX30" s="172"/>
      <c r="JVY30" s="172"/>
      <c r="JVZ30" s="172"/>
      <c r="JWA30" s="172"/>
      <c r="JWB30" s="172"/>
      <c r="JWC30" s="172"/>
      <c r="JWD30" s="172"/>
      <c r="JWE30" s="172"/>
      <c r="JWF30" s="172"/>
      <c r="JWG30" s="172"/>
      <c r="JWH30" s="172"/>
      <c r="JWI30" s="172"/>
      <c r="JWJ30" s="172"/>
      <c r="JWK30" s="172"/>
      <c r="JWL30" s="172"/>
      <c r="JWM30" s="172"/>
      <c r="JWN30" s="172"/>
      <c r="JWO30" s="172"/>
      <c r="JWP30" s="172"/>
      <c r="JWQ30" s="172"/>
      <c r="JWR30" s="172"/>
      <c r="JWS30" s="172"/>
      <c r="JWT30" s="172"/>
      <c r="JWU30" s="172"/>
      <c r="JWV30" s="172"/>
      <c r="JWW30" s="172"/>
      <c r="JWX30" s="172"/>
      <c r="JWY30" s="172"/>
      <c r="JWZ30" s="172"/>
      <c r="JXA30" s="172"/>
      <c r="JXB30" s="172"/>
      <c r="JXC30" s="172"/>
      <c r="JXD30" s="172"/>
      <c r="JXE30" s="172"/>
      <c r="JXF30" s="172"/>
      <c r="JXG30" s="172"/>
      <c r="JXH30" s="172"/>
      <c r="JXI30" s="172"/>
      <c r="JXJ30" s="172"/>
      <c r="JXK30" s="172"/>
      <c r="JXL30" s="172"/>
      <c r="JXM30" s="172"/>
      <c r="JXN30" s="172"/>
      <c r="JXO30" s="172"/>
      <c r="JXP30" s="172"/>
      <c r="JXQ30" s="172"/>
      <c r="JXR30" s="172"/>
      <c r="JXS30" s="172"/>
      <c r="JXT30" s="172"/>
      <c r="JXU30" s="172"/>
      <c r="JXV30" s="172"/>
      <c r="JXW30" s="172"/>
      <c r="JXX30" s="172"/>
      <c r="JXY30" s="172"/>
      <c r="JXZ30" s="172"/>
      <c r="JYA30" s="172"/>
      <c r="JYB30" s="172"/>
      <c r="JYC30" s="172"/>
      <c r="JYD30" s="172"/>
      <c r="JYE30" s="172"/>
      <c r="JYF30" s="172"/>
      <c r="JYG30" s="172"/>
      <c r="JYH30" s="172"/>
      <c r="JYI30" s="172"/>
      <c r="JYJ30" s="172"/>
      <c r="JYK30" s="172"/>
      <c r="JYL30" s="172"/>
      <c r="JYM30" s="172"/>
      <c r="JYN30" s="172"/>
      <c r="JYO30" s="172"/>
      <c r="JYP30" s="172"/>
      <c r="JYQ30" s="172"/>
      <c r="JYR30" s="172"/>
      <c r="JYS30" s="172"/>
      <c r="JYT30" s="172"/>
      <c r="JYU30" s="172"/>
      <c r="JYV30" s="172"/>
      <c r="JYW30" s="172"/>
      <c r="JYX30" s="172"/>
      <c r="JYY30" s="172"/>
      <c r="JYZ30" s="172"/>
      <c r="JZA30" s="172"/>
      <c r="JZB30" s="172"/>
      <c r="JZC30" s="172"/>
      <c r="JZD30" s="172"/>
      <c r="JZE30" s="172"/>
      <c r="JZF30" s="172"/>
      <c r="JZG30" s="172"/>
      <c r="JZH30" s="172"/>
      <c r="JZI30" s="172"/>
      <c r="JZJ30" s="172"/>
      <c r="JZK30" s="172"/>
      <c r="JZL30" s="172"/>
      <c r="JZM30" s="172"/>
      <c r="JZN30" s="172"/>
      <c r="JZO30" s="172"/>
      <c r="JZP30" s="172"/>
      <c r="JZQ30" s="172"/>
      <c r="JZR30" s="172"/>
      <c r="JZS30" s="172"/>
      <c r="JZT30" s="172"/>
      <c r="JZU30" s="172"/>
      <c r="JZV30" s="172"/>
      <c r="JZW30" s="172"/>
      <c r="JZX30" s="172"/>
      <c r="JZY30" s="172"/>
      <c r="JZZ30" s="172"/>
      <c r="KAA30" s="172"/>
      <c r="KAB30" s="172"/>
      <c r="KAC30" s="172"/>
      <c r="KAD30" s="172"/>
      <c r="KAE30" s="172"/>
      <c r="KAF30" s="172"/>
      <c r="KAG30" s="172"/>
      <c r="KAH30" s="172"/>
      <c r="KAI30" s="172"/>
      <c r="KAJ30" s="172"/>
      <c r="KAK30" s="172"/>
      <c r="KAL30" s="172"/>
      <c r="KAM30" s="172"/>
      <c r="KAN30" s="172"/>
      <c r="KAO30" s="172"/>
      <c r="KAP30" s="172"/>
      <c r="KAQ30" s="172"/>
      <c r="KAR30" s="172"/>
      <c r="KAS30" s="172"/>
      <c r="KAT30" s="172"/>
      <c r="KAU30" s="172"/>
      <c r="KAV30" s="172"/>
      <c r="KAW30" s="172"/>
      <c r="KAX30" s="172"/>
      <c r="KAY30" s="172"/>
      <c r="KAZ30" s="172"/>
      <c r="KBA30" s="172"/>
      <c r="KBB30" s="172"/>
      <c r="KBC30" s="172"/>
      <c r="KBD30" s="172"/>
      <c r="KBE30" s="172"/>
      <c r="KBF30" s="172"/>
      <c r="KBG30" s="172"/>
      <c r="KBH30" s="172"/>
      <c r="KBI30" s="172"/>
      <c r="KBJ30" s="172"/>
      <c r="KBK30" s="172"/>
      <c r="KBL30" s="172"/>
      <c r="KBM30" s="172"/>
      <c r="KBN30" s="172"/>
      <c r="KBO30" s="172"/>
      <c r="KBP30" s="172"/>
      <c r="KBQ30" s="172"/>
      <c r="KBR30" s="172"/>
      <c r="KBS30" s="172"/>
      <c r="KBT30" s="172"/>
      <c r="KBU30" s="172"/>
      <c r="KBV30" s="172"/>
      <c r="KBW30" s="172"/>
      <c r="KBX30" s="172"/>
      <c r="KBY30" s="172"/>
      <c r="KBZ30" s="172"/>
      <c r="KCA30" s="172"/>
      <c r="KCB30" s="172"/>
      <c r="KCC30" s="172"/>
      <c r="KCD30" s="172"/>
      <c r="KCE30" s="172"/>
      <c r="KCF30" s="172"/>
      <c r="KCG30" s="172"/>
      <c r="KCH30" s="172"/>
      <c r="KCI30" s="172"/>
      <c r="KCJ30" s="172"/>
      <c r="KCK30" s="172"/>
      <c r="KCL30" s="172"/>
      <c r="KCM30" s="172"/>
      <c r="KCN30" s="172"/>
      <c r="KCO30" s="172"/>
      <c r="KCP30" s="172"/>
      <c r="KCQ30" s="172"/>
      <c r="KCR30" s="172"/>
      <c r="KCS30" s="172"/>
      <c r="KCT30" s="172"/>
      <c r="KCU30" s="172"/>
      <c r="KCV30" s="172"/>
      <c r="KCW30" s="172"/>
      <c r="KCX30" s="172"/>
      <c r="KCY30" s="172"/>
      <c r="KCZ30" s="172"/>
      <c r="KDA30" s="172"/>
      <c r="KDB30" s="172"/>
      <c r="KDC30" s="172"/>
      <c r="KDD30" s="172"/>
      <c r="KDE30" s="172"/>
      <c r="KDF30" s="172"/>
      <c r="KDG30" s="172"/>
      <c r="KDH30" s="172"/>
      <c r="KDI30" s="172"/>
      <c r="KDJ30" s="172"/>
      <c r="KDK30" s="172"/>
      <c r="KDL30" s="172"/>
      <c r="KDM30" s="172"/>
      <c r="KDN30" s="172"/>
      <c r="KDO30" s="172"/>
      <c r="KDP30" s="172"/>
      <c r="KDQ30" s="172"/>
      <c r="KDR30" s="172"/>
      <c r="KDS30" s="172"/>
      <c r="KDT30" s="172"/>
      <c r="KDU30" s="172"/>
      <c r="KDV30" s="172"/>
      <c r="KDW30" s="172"/>
      <c r="KDX30" s="172"/>
      <c r="KDY30" s="172"/>
      <c r="KDZ30" s="172"/>
      <c r="KEA30" s="172"/>
      <c r="KEB30" s="172"/>
      <c r="KEC30" s="172"/>
      <c r="KED30" s="172"/>
      <c r="KEE30" s="172"/>
      <c r="KEF30" s="172"/>
      <c r="KEG30" s="172"/>
      <c r="KEH30" s="172"/>
      <c r="KEI30" s="172"/>
      <c r="KEJ30" s="172"/>
      <c r="KEK30" s="172"/>
      <c r="KEL30" s="172"/>
      <c r="KEM30" s="172"/>
      <c r="KEN30" s="172"/>
      <c r="KEO30" s="172"/>
      <c r="KEP30" s="172"/>
      <c r="KEQ30" s="172"/>
      <c r="KER30" s="172"/>
      <c r="KES30" s="172"/>
      <c r="KET30" s="172"/>
      <c r="KEU30" s="172"/>
      <c r="KEV30" s="172"/>
      <c r="KEW30" s="172"/>
      <c r="KEX30" s="172"/>
      <c r="KEY30" s="172"/>
      <c r="KEZ30" s="172"/>
      <c r="KFA30" s="172"/>
      <c r="KFB30" s="172"/>
      <c r="KFC30" s="172"/>
      <c r="KFD30" s="172"/>
      <c r="KFE30" s="172"/>
      <c r="KFF30" s="172"/>
      <c r="KFG30" s="172"/>
      <c r="KFH30" s="172"/>
      <c r="KFI30" s="172"/>
      <c r="KFJ30" s="172"/>
      <c r="KFK30" s="172"/>
      <c r="KFL30" s="172"/>
      <c r="KFM30" s="172"/>
      <c r="KFN30" s="172"/>
      <c r="KFO30" s="172"/>
      <c r="KFP30" s="172"/>
      <c r="KFQ30" s="172"/>
      <c r="KFR30" s="172"/>
      <c r="KFS30" s="172"/>
      <c r="KFT30" s="172"/>
      <c r="KFU30" s="172"/>
      <c r="KFV30" s="172"/>
      <c r="KFW30" s="172"/>
      <c r="KFX30" s="172"/>
      <c r="KFY30" s="172"/>
      <c r="KFZ30" s="172"/>
      <c r="KGA30" s="172"/>
      <c r="KGB30" s="172"/>
      <c r="KGC30" s="172"/>
      <c r="KGD30" s="172"/>
      <c r="KGE30" s="172"/>
      <c r="KGF30" s="172"/>
      <c r="KGG30" s="172"/>
      <c r="KGH30" s="172"/>
      <c r="KGI30" s="172"/>
      <c r="KGJ30" s="172"/>
      <c r="KGK30" s="172"/>
      <c r="KGL30" s="172"/>
      <c r="KGM30" s="172"/>
      <c r="KGN30" s="172"/>
      <c r="KGO30" s="172"/>
      <c r="KGP30" s="172"/>
      <c r="KGQ30" s="172"/>
      <c r="KGR30" s="172"/>
      <c r="KGS30" s="172"/>
      <c r="KGT30" s="172"/>
      <c r="KGU30" s="172"/>
      <c r="KGV30" s="172"/>
      <c r="KGW30" s="172"/>
      <c r="KGX30" s="172"/>
      <c r="KGY30" s="172"/>
      <c r="KGZ30" s="172"/>
      <c r="KHA30" s="172"/>
      <c r="KHB30" s="172"/>
      <c r="KHC30" s="172"/>
      <c r="KHD30" s="172"/>
      <c r="KHE30" s="172"/>
      <c r="KHF30" s="172"/>
      <c r="KHG30" s="172"/>
      <c r="KHH30" s="172"/>
      <c r="KHI30" s="172"/>
      <c r="KHJ30" s="172"/>
      <c r="KHK30" s="172"/>
      <c r="KHL30" s="172"/>
      <c r="KHM30" s="172"/>
      <c r="KHN30" s="172"/>
      <c r="KHO30" s="172"/>
      <c r="KHP30" s="172"/>
      <c r="KHQ30" s="172"/>
      <c r="KHR30" s="172"/>
      <c r="KHS30" s="172"/>
      <c r="KHT30" s="172"/>
      <c r="KHU30" s="172"/>
      <c r="KHV30" s="172"/>
      <c r="KHW30" s="172"/>
      <c r="KHX30" s="172"/>
      <c r="KHY30" s="172"/>
      <c r="KHZ30" s="172"/>
      <c r="KIA30" s="172"/>
      <c r="KIB30" s="172"/>
      <c r="KIC30" s="172"/>
      <c r="KID30" s="172"/>
      <c r="KIE30" s="172"/>
      <c r="KIF30" s="172"/>
      <c r="KIG30" s="172"/>
      <c r="KIH30" s="172"/>
      <c r="KII30" s="172"/>
      <c r="KIJ30" s="172"/>
      <c r="KIK30" s="172"/>
      <c r="KIL30" s="172"/>
      <c r="KIM30" s="172"/>
      <c r="KIN30" s="172"/>
      <c r="KIO30" s="172"/>
      <c r="KIP30" s="172"/>
      <c r="KIQ30" s="172"/>
      <c r="KIR30" s="172"/>
      <c r="KIS30" s="172"/>
      <c r="KIT30" s="172"/>
      <c r="KIU30" s="172"/>
      <c r="KIV30" s="172"/>
      <c r="KIW30" s="172"/>
      <c r="KIX30" s="172"/>
      <c r="KIY30" s="172"/>
      <c r="KIZ30" s="172"/>
      <c r="KJA30" s="172"/>
      <c r="KJB30" s="172"/>
      <c r="KJC30" s="172"/>
      <c r="KJD30" s="172"/>
      <c r="KJE30" s="172"/>
      <c r="KJF30" s="172"/>
      <c r="KJG30" s="172"/>
      <c r="KJH30" s="172"/>
      <c r="KJI30" s="172"/>
      <c r="KJJ30" s="172"/>
      <c r="KJK30" s="172"/>
      <c r="KJL30" s="172"/>
      <c r="KJM30" s="172"/>
      <c r="KJN30" s="172"/>
      <c r="KJO30" s="172"/>
      <c r="KJP30" s="172"/>
      <c r="KJQ30" s="172"/>
      <c r="KJR30" s="172"/>
      <c r="KJS30" s="172"/>
      <c r="KJT30" s="172"/>
      <c r="KJU30" s="172"/>
      <c r="KJV30" s="172"/>
      <c r="KJW30" s="172"/>
      <c r="KJX30" s="172"/>
      <c r="KJY30" s="172"/>
      <c r="KJZ30" s="172"/>
      <c r="KKA30" s="172"/>
      <c r="KKB30" s="172"/>
      <c r="KKC30" s="172"/>
      <c r="KKD30" s="172"/>
      <c r="KKE30" s="172"/>
      <c r="KKF30" s="172"/>
      <c r="KKG30" s="172"/>
      <c r="KKH30" s="172"/>
      <c r="KKI30" s="172"/>
      <c r="KKJ30" s="172"/>
      <c r="KKK30" s="172"/>
      <c r="KKL30" s="172"/>
      <c r="KKM30" s="172"/>
      <c r="KKN30" s="172"/>
      <c r="KKO30" s="172"/>
      <c r="KKP30" s="172"/>
      <c r="KKQ30" s="172"/>
      <c r="KKR30" s="172"/>
      <c r="KKS30" s="172"/>
      <c r="KKT30" s="172"/>
      <c r="KKU30" s="172"/>
      <c r="KKV30" s="172"/>
      <c r="KKW30" s="172"/>
      <c r="KKX30" s="172"/>
      <c r="KKY30" s="172"/>
      <c r="KKZ30" s="172"/>
      <c r="KLA30" s="172"/>
      <c r="KLB30" s="172"/>
      <c r="KLC30" s="172"/>
      <c r="KLD30" s="172"/>
      <c r="KLE30" s="172"/>
      <c r="KLF30" s="172"/>
      <c r="KLG30" s="172"/>
      <c r="KLH30" s="172"/>
      <c r="KLI30" s="172"/>
      <c r="KLJ30" s="172"/>
      <c r="KLK30" s="172"/>
      <c r="KLL30" s="172"/>
      <c r="KLM30" s="172"/>
      <c r="KLN30" s="172"/>
      <c r="KLO30" s="172"/>
      <c r="KLP30" s="172"/>
      <c r="KLQ30" s="172"/>
      <c r="KLR30" s="172"/>
      <c r="KLS30" s="172"/>
      <c r="KLT30" s="172"/>
      <c r="KLU30" s="172"/>
      <c r="KLV30" s="172"/>
      <c r="KLW30" s="172"/>
      <c r="KLX30" s="172"/>
      <c r="KLY30" s="172"/>
      <c r="KLZ30" s="172"/>
      <c r="KMA30" s="172"/>
      <c r="KMB30" s="172"/>
      <c r="KMC30" s="172"/>
      <c r="KMD30" s="172"/>
      <c r="KME30" s="172"/>
      <c r="KMF30" s="172"/>
      <c r="KMG30" s="172"/>
      <c r="KMH30" s="172"/>
      <c r="KMI30" s="172"/>
      <c r="KMJ30" s="172"/>
      <c r="KMK30" s="172"/>
      <c r="KML30" s="172"/>
      <c r="KMM30" s="172"/>
      <c r="KMN30" s="172"/>
      <c r="KMO30" s="172"/>
      <c r="KMP30" s="172"/>
      <c r="KMQ30" s="172"/>
      <c r="KMR30" s="172"/>
      <c r="KMS30" s="172"/>
      <c r="KMT30" s="172"/>
      <c r="KMU30" s="172"/>
      <c r="KMV30" s="172"/>
      <c r="KMW30" s="172"/>
      <c r="KMX30" s="172"/>
      <c r="KMY30" s="172"/>
      <c r="KMZ30" s="172"/>
      <c r="KNA30" s="172"/>
      <c r="KNB30" s="172"/>
      <c r="KNC30" s="172"/>
      <c r="KND30" s="172"/>
      <c r="KNE30" s="172"/>
      <c r="KNF30" s="172"/>
      <c r="KNG30" s="172"/>
      <c r="KNH30" s="172"/>
      <c r="KNI30" s="172"/>
      <c r="KNJ30" s="172"/>
      <c r="KNK30" s="172"/>
      <c r="KNL30" s="172"/>
      <c r="KNM30" s="172"/>
      <c r="KNN30" s="172"/>
      <c r="KNO30" s="172"/>
      <c r="KNP30" s="172"/>
      <c r="KNQ30" s="172"/>
      <c r="KNR30" s="172"/>
      <c r="KNS30" s="172"/>
      <c r="KNT30" s="172"/>
      <c r="KNU30" s="172"/>
      <c r="KNV30" s="172"/>
      <c r="KNW30" s="172"/>
      <c r="KNX30" s="172"/>
      <c r="KNY30" s="172"/>
      <c r="KNZ30" s="172"/>
      <c r="KOA30" s="172"/>
      <c r="KOB30" s="172"/>
      <c r="KOC30" s="172"/>
      <c r="KOD30" s="172"/>
      <c r="KOE30" s="172"/>
      <c r="KOF30" s="172"/>
      <c r="KOG30" s="172"/>
      <c r="KOH30" s="172"/>
      <c r="KOI30" s="172"/>
      <c r="KOJ30" s="172"/>
      <c r="KOK30" s="172"/>
      <c r="KOL30" s="172"/>
      <c r="KOM30" s="172"/>
      <c r="KON30" s="172"/>
      <c r="KOO30" s="172"/>
      <c r="KOP30" s="172"/>
      <c r="KOQ30" s="172"/>
      <c r="KOR30" s="172"/>
      <c r="KOS30" s="172"/>
      <c r="KOT30" s="172"/>
      <c r="KOU30" s="172"/>
      <c r="KOV30" s="172"/>
      <c r="KOW30" s="172"/>
      <c r="KOX30" s="172"/>
      <c r="KOY30" s="172"/>
      <c r="KOZ30" s="172"/>
      <c r="KPA30" s="172"/>
      <c r="KPB30" s="172"/>
      <c r="KPC30" s="172"/>
      <c r="KPD30" s="172"/>
      <c r="KPE30" s="172"/>
      <c r="KPF30" s="172"/>
      <c r="KPG30" s="172"/>
      <c r="KPH30" s="172"/>
      <c r="KPI30" s="172"/>
      <c r="KPJ30" s="172"/>
      <c r="KPK30" s="172"/>
      <c r="KPL30" s="172"/>
      <c r="KPM30" s="172"/>
      <c r="KPN30" s="172"/>
      <c r="KPO30" s="172"/>
      <c r="KPP30" s="172"/>
      <c r="KPQ30" s="172"/>
      <c r="KPR30" s="172"/>
      <c r="KPS30" s="172"/>
      <c r="KPT30" s="172"/>
      <c r="KPU30" s="172"/>
      <c r="KPV30" s="172"/>
      <c r="KPW30" s="172"/>
      <c r="KPX30" s="172"/>
      <c r="KPY30" s="172"/>
      <c r="KPZ30" s="172"/>
      <c r="KQA30" s="172"/>
      <c r="KQB30" s="172"/>
      <c r="KQC30" s="172"/>
      <c r="KQD30" s="172"/>
      <c r="KQE30" s="172"/>
      <c r="KQF30" s="172"/>
      <c r="KQG30" s="172"/>
      <c r="KQH30" s="172"/>
      <c r="KQI30" s="172"/>
      <c r="KQJ30" s="172"/>
      <c r="KQK30" s="172"/>
      <c r="KQL30" s="172"/>
      <c r="KQM30" s="172"/>
      <c r="KQN30" s="172"/>
      <c r="KQO30" s="172"/>
      <c r="KQP30" s="172"/>
      <c r="KQQ30" s="172"/>
      <c r="KQR30" s="172"/>
      <c r="KQS30" s="172"/>
      <c r="KQT30" s="172"/>
      <c r="KQU30" s="172"/>
      <c r="KQV30" s="172"/>
      <c r="KQW30" s="172"/>
      <c r="KQX30" s="172"/>
      <c r="KQY30" s="172"/>
      <c r="KQZ30" s="172"/>
      <c r="KRA30" s="172"/>
      <c r="KRB30" s="172"/>
      <c r="KRC30" s="172"/>
      <c r="KRD30" s="172"/>
      <c r="KRE30" s="172"/>
      <c r="KRF30" s="172"/>
      <c r="KRG30" s="172"/>
      <c r="KRH30" s="172"/>
      <c r="KRI30" s="172"/>
      <c r="KRJ30" s="172"/>
      <c r="KRK30" s="172"/>
      <c r="KRL30" s="172"/>
      <c r="KRM30" s="172"/>
      <c r="KRN30" s="172"/>
      <c r="KRO30" s="172"/>
      <c r="KRP30" s="172"/>
      <c r="KRQ30" s="172"/>
      <c r="KRR30" s="172"/>
      <c r="KRS30" s="172"/>
      <c r="KRT30" s="172"/>
      <c r="KRU30" s="172"/>
      <c r="KRV30" s="172"/>
      <c r="KRW30" s="172"/>
      <c r="KRX30" s="172"/>
      <c r="KRY30" s="172"/>
      <c r="KRZ30" s="172"/>
      <c r="KSA30" s="172"/>
      <c r="KSB30" s="172"/>
      <c r="KSC30" s="172"/>
      <c r="KSD30" s="172"/>
      <c r="KSE30" s="172"/>
      <c r="KSF30" s="172"/>
      <c r="KSG30" s="172"/>
      <c r="KSH30" s="172"/>
      <c r="KSI30" s="172"/>
      <c r="KSJ30" s="172"/>
      <c r="KSK30" s="172"/>
      <c r="KSL30" s="172"/>
      <c r="KSM30" s="172"/>
      <c r="KSN30" s="172"/>
      <c r="KSO30" s="172"/>
      <c r="KSP30" s="172"/>
      <c r="KSQ30" s="172"/>
      <c r="KSR30" s="172"/>
      <c r="KSS30" s="172"/>
      <c r="KST30" s="172"/>
      <c r="KSU30" s="172"/>
      <c r="KSV30" s="172"/>
      <c r="KSW30" s="172"/>
      <c r="KSX30" s="172"/>
      <c r="KSY30" s="172"/>
      <c r="KSZ30" s="172"/>
      <c r="KTA30" s="172"/>
      <c r="KTB30" s="172"/>
      <c r="KTC30" s="172"/>
      <c r="KTD30" s="172"/>
      <c r="KTE30" s="172"/>
      <c r="KTF30" s="172"/>
      <c r="KTG30" s="172"/>
      <c r="KTH30" s="172"/>
      <c r="KTI30" s="172"/>
      <c r="KTJ30" s="172"/>
      <c r="KTK30" s="172"/>
      <c r="KTL30" s="172"/>
      <c r="KTM30" s="172"/>
      <c r="KTN30" s="172"/>
      <c r="KTO30" s="172"/>
      <c r="KTP30" s="172"/>
      <c r="KTQ30" s="172"/>
      <c r="KTR30" s="172"/>
      <c r="KTS30" s="172"/>
      <c r="KTT30" s="172"/>
      <c r="KTU30" s="172"/>
      <c r="KTV30" s="172"/>
      <c r="KTW30" s="172"/>
      <c r="KTX30" s="172"/>
      <c r="KTY30" s="172"/>
      <c r="KTZ30" s="172"/>
      <c r="KUA30" s="172"/>
      <c r="KUB30" s="172"/>
      <c r="KUC30" s="172"/>
      <c r="KUD30" s="172"/>
      <c r="KUE30" s="172"/>
      <c r="KUF30" s="172"/>
      <c r="KUG30" s="172"/>
      <c r="KUH30" s="172"/>
      <c r="KUI30" s="172"/>
      <c r="KUJ30" s="172"/>
      <c r="KUK30" s="172"/>
      <c r="KUL30" s="172"/>
      <c r="KUM30" s="172"/>
      <c r="KUN30" s="172"/>
      <c r="KUO30" s="172"/>
      <c r="KUP30" s="172"/>
      <c r="KUQ30" s="172"/>
      <c r="KUR30" s="172"/>
      <c r="KUS30" s="172"/>
      <c r="KUT30" s="172"/>
      <c r="KUU30" s="172"/>
      <c r="KUV30" s="172"/>
      <c r="KUW30" s="172"/>
      <c r="KUX30" s="172"/>
      <c r="KUY30" s="172"/>
      <c r="KUZ30" s="172"/>
      <c r="KVA30" s="172"/>
      <c r="KVB30" s="172"/>
      <c r="KVC30" s="172"/>
      <c r="KVD30" s="172"/>
      <c r="KVE30" s="172"/>
      <c r="KVF30" s="172"/>
      <c r="KVG30" s="172"/>
      <c r="KVH30" s="172"/>
      <c r="KVI30" s="172"/>
      <c r="KVJ30" s="172"/>
      <c r="KVK30" s="172"/>
      <c r="KVL30" s="172"/>
      <c r="KVM30" s="172"/>
      <c r="KVN30" s="172"/>
      <c r="KVO30" s="172"/>
      <c r="KVP30" s="172"/>
      <c r="KVQ30" s="172"/>
      <c r="KVR30" s="172"/>
      <c r="KVS30" s="172"/>
      <c r="KVT30" s="172"/>
      <c r="KVU30" s="172"/>
      <c r="KVV30" s="172"/>
      <c r="KVW30" s="172"/>
      <c r="KVX30" s="172"/>
      <c r="KVY30" s="172"/>
      <c r="KVZ30" s="172"/>
      <c r="KWA30" s="172"/>
      <c r="KWB30" s="172"/>
      <c r="KWC30" s="172"/>
      <c r="KWD30" s="172"/>
      <c r="KWE30" s="172"/>
      <c r="KWF30" s="172"/>
      <c r="KWG30" s="172"/>
      <c r="KWH30" s="172"/>
      <c r="KWI30" s="172"/>
      <c r="KWJ30" s="172"/>
      <c r="KWK30" s="172"/>
      <c r="KWL30" s="172"/>
      <c r="KWM30" s="172"/>
      <c r="KWN30" s="172"/>
      <c r="KWO30" s="172"/>
      <c r="KWP30" s="172"/>
      <c r="KWQ30" s="172"/>
      <c r="KWR30" s="172"/>
      <c r="KWS30" s="172"/>
      <c r="KWT30" s="172"/>
      <c r="KWU30" s="172"/>
      <c r="KWV30" s="172"/>
      <c r="KWW30" s="172"/>
      <c r="KWX30" s="172"/>
      <c r="KWY30" s="172"/>
      <c r="KWZ30" s="172"/>
      <c r="KXA30" s="172"/>
      <c r="KXB30" s="172"/>
      <c r="KXC30" s="172"/>
      <c r="KXD30" s="172"/>
      <c r="KXE30" s="172"/>
      <c r="KXF30" s="172"/>
      <c r="KXG30" s="172"/>
      <c r="KXH30" s="172"/>
      <c r="KXI30" s="172"/>
      <c r="KXJ30" s="172"/>
      <c r="KXK30" s="172"/>
      <c r="KXL30" s="172"/>
      <c r="KXM30" s="172"/>
      <c r="KXN30" s="172"/>
      <c r="KXO30" s="172"/>
      <c r="KXP30" s="172"/>
      <c r="KXQ30" s="172"/>
      <c r="KXR30" s="172"/>
      <c r="KXS30" s="172"/>
      <c r="KXT30" s="172"/>
      <c r="KXU30" s="172"/>
      <c r="KXV30" s="172"/>
      <c r="KXW30" s="172"/>
      <c r="KXX30" s="172"/>
      <c r="KXY30" s="172"/>
      <c r="KXZ30" s="172"/>
      <c r="KYA30" s="172"/>
      <c r="KYB30" s="172"/>
      <c r="KYC30" s="172"/>
      <c r="KYD30" s="172"/>
      <c r="KYE30" s="172"/>
      <c r="KYF30" s="172"/>
      <c r="KYG30" s="172"/>
      <c r="KYH30" s="172"/>
      <c r="KYI30" s="172"/>
      <c r="KYJ30" s="172"/>
      <c r="KYK30" s="172"/>
      <c r="KYL30" s="172"/>
      <c r="KYM30" s="172"/>
      <c r="KYN30" s="172"/>
      <c r="KYO30" s="172"/>
      <c r="KYP30" s="172"/>
      <c r="KYQ30" s="172"/>
      <c r="KYR30" s="172"/>
      <c r="KYS30" s="172"/>
      <c r="KYT30" s="172"/>
      <c r="KYU30" s="172"/>
      <c r="KYV30" s="172"/>
      <c r="KYW30" s="172"/>
      <c r="KYX30" s="172"/>
      <c r="KYY30" s="172"/>
      <c r="KYZ30" s="172"/>
      <c r="KZA30" s="172"/>
      <c r="KZB30" s="172"/>
      <c r="KZC30" s="172"/>
      <c r="KZD30" s="172"/>
      <c r="KZE30" s="172"/>
      <c r="KZF30" s="172"/>
      <c r="KZG30" s="172"/>
      <c r="KZH30" s="172"/>
      <c r="KZI30" s="172"/>
      <c r="KZJ30" s="172"/>
      <c r="KZK30" s="172"/>
      <c r="KZL30" s="172"/>
      <c r="KZM30" s="172"/>
      <c r="KZN30" s="172"/>
      <c r="KZO30" s="172"/>
      <c r="KZP30" s="172"/>
      <c r="KZQ30" s="172"/>
      <c r="KZR30" s="172"/>
      <c r="KZS30" s="172"/>
      <c r="KZT30" s="172"/>
      <c r="KZU30" s="172"/>
      <c r="KZV30" s="172"/>
      <c r="KZW30" s="172"/>
      <c r="KZX30" s="172"/>
      <c r="KZY30" s="172"/>
      <c r="KZZ30" s="172"/>
      <c r="LAA30" s="172"/>
      <c r="LAB30" s="172"/>
      <c r="LAC30" s="172"/>
      <c r="LAD30" s="172"/>
      <c r="LAE30" s="172"/>
      <c r="LAF30" s="172"/>
      <c r="LAG30" s="172"/>
      <c r="LAH30" s="172"/>
      <c r="LAI30" s="172"/>
      <c r="LAJ30" s="172"/>
      <c r="LAK30" s="172"/>
      <c r="LAL30" s="172"/>
      <c r="LAM30" s="172"/>
      <c r="LAN30" s="172"/>
      <c r="LAO30" s="172"/>
      <c r="LAP30" s="172"/>
      <c r="LAQ30" s="172"/>
      <c r="LAR30" s="172"/>
      <c r="LAS30" s="172"/>
      <c r="LAT30" s="172"/>
      <c r="LAU30" s="172"/>
      <c r="LAV30" s="172"/>
      <c r="LAW30" s="172"/>
      <c r="LAX30" s="172"/>
      <c r="LAY30" s="172"/>
      <c r="LAZ30" s="172"/>
      <c r="LBA30" s="172"/>
      <c r="LBB30" s="172"/>
      <c r="LBC30" s="172"/>
      <c r="LBD30" s="172"/>
      <c r="LBE30" s="172"/>
      <c r="LBF30" s="172"/>
      <c r="LBG30" s="172"/>
      <c r="LBH30" s="172"/>
      <c r="LBI30" s="172"/>
      <c r="LBJ30" s="172"/>
      <c r="LBK30" s="172"/>
      <c r="LBL30" s="172"/>
      <c r="LBM30" s="172"/>
      <c r="LBN30" s="172"/>
      <c r="LBO30" s="172"/>
      <c r="LBP30" s="172"/>
      <c r="LBQ30" s="172"/>
      <c r="LBR30" s="172"/>
      <c r="LBS30" s="172"/>
      <c r="LBT30" s="172"/>
      <c r="LBU30" s="172"/>
      <c r="LBV30" s="172"/>
      <c r="LBW30" s="172"/>
      <c r="LBX30" s="172"/>
      <c r="LBY30" s="172"/>
      <c r="LBZ30" s="172"/>
      <c r="LCA30" s="172"/>
      <c r="LCB30" s="172"/>
      <c r="LCC30" s="172"/>
      <c r="LCD30" s="172"/>
      <c r="LCE30" s="172"/>
      <c r="LCF30" s="172"/>
      <c r="LCG30" s="172"/>
      <c r="LCH30" s="172"/>
      <c r="LCI30" s="172"/>
      <c r="LCJ30" s="172"/>
      <c r="LCK30" s="172"/>
      <c r="LCL30" s="172"/>
      <c r="LCM30" s="172"/>
      <c r="LCN30" s="172"/>
      <c r="LCO30" s="172"/>
      <c r="LCP30" s="172"/>
      <c r="LCQ30" s="172"/>
      <c r="LCR30" s="172"/>
      <c r="LCS30" s="172"/>
      <c r="LCT30" s="172"/>
      <c r="LCU30" s="172"/>
      <c r="LCV30" s="172"/>
      <c r="LCW30" s="172"/>
      <c r="LCX30" s="172"/>
      <c r="LCY30" s="172"/>
      <c r="LCZ30" s="172"/>
      <c r="LDA30" s="172"/>
      <c r="LDB30" s="172"/>
      <c r="LDC30" s="172"/>
      <c r="LDD30" s="172"/>
      <c r="LDE30" s="172"/>
      <c r="LDF30" s="172"/>
      <c r="LDG30" s="172"/>
      <c r="LDH30" s="172"/>
      <c r="LDI30" s="172"/>
      <c r="LDJ30" s="172"/>
      <c r="LDK30" s="172"/>
      <c r="LDL30" s="172"/>
      <c r="LDM30" s="172"/>
      <c r="LDN30" s="172"/>
      <c r="LDO30" s="172"/>
      <c r="LDP30" s="172"/>
      <c r="LDQ30" s="172"/>
      <c r="LDR30" s="172"/>
      <c r="LDS30" s="172"/>
      <c r="LDT30" s="172"/>
      <c r="LDU30" s="172"/>
      <c r="LDV30" s="172"/>
      <c r="LDW30" s="172"/>
      <c r="LDX30" s="172"/>
      <c r="LDY30" s="172"/>
      <c r="LDZ30" s="172"/>
      <c r="LEA30" s="172"/>
      <c r="LEB30" s="172"/>
      <c r="LEC30" s="172"/>
      <c r="LED30" s="172"/>
      <c r="LEE30" s="172"/>
      <c r="LEF30" s="172"/>
      <c r="LEG30" s="172"/>
      <c r="LEH30" s="172"/>
      <c r="LEI30" s="172"/>
      <c r="LEJ30" s="172"/>
      <c r="LEK30" s="172"/>
      <c r="LEL30" s="172"/>
      <c r="LEM30" s="172"/>
      <c r="LEN30" s="172"/>
      <c r="LEO30" s="172"/>
      <c r="LEP30" s="172"/>
      <c r="LEQ30" s="172"/>
      <c r="LER30" s="172"/>
      <c r="LES30" s="172"/>
      <c r="LET30" s="172"/>
      <c r="LEU30" s="172"/>
      <c r="LEV30" s="172"/>
      <c r="LEW30" s="172"/>
      <c r="LEX30" s="172"/>
      <c r="LEY30" s="172"/>
      <c r="LEZ30" s="172"/>
      <c r="LFA30" s="172"/>
      <c r="LFB30" s="172"/>
      <c r="LFC30" s="172"/>
      <c r="LFD30" s="172"/>
      <c r="LFE30" s="172"/>
      <c r="LFF30" s="172"/>
      <c r="LFG30" s="172"/>
      <c r="LFH30" s="172"/>
      <c r="LFI30" s="172"/>
      <c r="LFJ30" s="172"/>
      <c r="LFK30" s="172"/>
      <c r="LFL30" s="172"/>
      <c r="LFM30" s="172"/>
      <c r="LFN30" s="172"/>
      <c r="LFO30" s="172"/>
      <c r="LFP30" s="172"/>
      <c r="LFQ30" s="172"/>
      <c r="LFR30" s="172"/>
      <c r="LFS30" s="172"/>
      <c r="LFT30" s="172"/>
      <c r="LFU30" s="172"/>
      <c r="LFV30" s="172"/>
      <c r="LFW30" s="172"/>
      <c r="LFX30" s="172"/>
      <c r="LFY30" s="172"/>
      <c r="LFZ30" s="172"/>
      <c r="LGA30" s="172"/>
      <c r="LGB30" s="172"/>
      <c r="LGC30" s="172"/>
      <c r="LGD30" s="172"/>
      <c r="LGE30" s="172"/>
      <c r="LGF30" s="172"/>
      <c r="LGG30" s="172"/>
      <c r="LGH30" s="172"/>
      <c r="LGI30" s="172"/>
      <c r="LGJ30" s="172"/>
      <c r="LGK30" s="172"/>
      <c r="LGL30" s="172"/>
      <c r="LGM30" s="172"/>
      <c r="LGN30" s="172"/>
      <c r="LGO30" s="172"/>
      <c r="LGP30" s="172"/>
      <c r="LGQ30" s="172"/>
      <c r="LGR30" s="172"/>
      <c r="LGS30" s="172"/>
      <c r="LGT30" s="172"/>
      <c r="LGU30" s="172"/>
      <c r="LGV30" s="172"/>
      <c r="LGW30" s="172"/>
      <c r="LGX30" s="172"/>
      <c r="LGY30" s="172"/>
      <c r="LGZ30" s="172"/>
      <c r="LHA30" s="172"/>
      <c r="LHB30" s="172"/>
      <c r="LHC30" s="172"/>
      <c r="LHD30" s="172"/>
      <c r="LHE30" s="172"/>
      <c r="LHF30" s="172"/>
      <c r="LHG30" s="172"/>
      <c r="LHH30" s="172"/>
      <c r="LHI30" s="172"/>
      <c r="LHJ30" s="172"/>
      <c r="LHK30" s="172"/>
      <c r="LHL30" s="172"/>
      <c r="LHM30" s="172"/>
      <c r="LHN30" s="172"/>
      <c r="LHO30" s="172"/>
      <c r="LHP30" s="172"/>
      <c r="LHQ30" s="172"/>
      <c r="LHR30" s="172"/>
      <c r="LHS30" s="172"/>
      <c r="LHT30" s="172"/>
      <c r="LHU30" s="172"/>
      <c r="LHV30" s="172"/>
      <c r="LHW30" s="172"/>
      <c r="LHX30" s="172"/>
      <c r="LHY30" s="172"/>
      <c r="LHZ30" s="172"/>
      <c r="LIA30" s="172"/>
      <c r="LIB30" s="172"/>
      <c r="LIC30" s="172"/>
      <c r="LID30" s="172"/>
      <c r="LIE30" s="172"/>
      <c r="LIF30" s="172"/>
      <c r="LIG30" s="172"/>
      <c r="LIH30" s="172"/>
      <c r="LII30" s="172"/>
      <c r="LIJ30" s="172"/>
      <c r="LIK30" s="172"/>
      <c r="LIL30" s="172"/>
      <c r="LIM30" s="172"/>
      <c r="LIN30" s="172"/>
      <c r="LIO30" s="172"/>
      <c r="LIP30" s="172"/>
      <c r="LIQ30" s="172"/>
      <c r="LIR30" s="172"/>
      <c r="LIS30" s="172"/>
      <c r="LIT30" s="172"/>
      <c r="LIU30" s="172"/>
      <c r="LIV30" s="172"/>
      <c r="LIW30" s="172"/>
      <c r="LIX30" s="172"/>
      <c r="LIY30" s="172"/>
      <c r="LIZ30" s="172"/>
      <c r="LJA30" s="172"/>
      <c r="LJB30" s="172"/>
      <c r="LJC30" s="172"/>
      <c r="LJD30" s="172"/>
      <c r="LJE30" s="172"/>
      <c r="LJF30" s="172"/>
      <c r="LJG30" s="172"/>
      <c r="LJH30" s="172"/>
      <c r="LJI30" s="172"/>
      <c r="LJJ30" s="172"/>
      <c r="LJK30" s="172"/>
      <c r="LJL30" s="172"/>
      <c r="LJM30" s="172"/>
      <c r="LJN30" s="172"/>
      <c r="LJO30" s="172"/>
      <c r="LJP30" s="172"/>
      <c r="LJQ30" s="172"/>
      <c r="LJR30" s="172"/>
      <c r="LJS30" s="172"/>
      <c r="LJT30" s="172"/>
      <c r="LJU30" s="172"/>
      <c r="LJV30" s="172"/>
      <c r="LJW30" s="172"/>
      <c r="LJX30" s="172"/>
      <c r="LJY30" s="172"/>
      <c r="LJZ30" s="172"/>
      <c r="LKA30" s="172"/>
      <c r="LKB30" s="172"/>
      <c r="LKC30" s="172"/>
      <c r="LKD30" s="172"/>
      <c r="LKE30" s="172"/>
      <c r="LKF30" s="172"/>
      <c r="LKG30" s="172"/>
      <c r="LKH30" s="172"/>
      <c r="LKI30" s="172"/>
      <c r="LKJ30" s="172"/>
      <c r="LKK30" s="172"/>
      <c r="LKL30" s="172"/>
      <c r="LKM30" s="172"/>
      <c r="LKN30" s="172"/>
      <c r="LKO30" s="172"/>
      <c r="LKP30" s="172"/>
      <c r="LKQ30" s="172"/>
      <c r="LKR30" s="172"/>
      <c r="LKS30" s="172"/>
      <c r="LKT30" s="172"/>
      <c r="LKU30" s="172"/>
      <c r="LKV30" s="172"/>
      <c r="LKW30" s="172"/>
      <c r="LKX30" s="172"/>
      <c r="LKY30" s="172"/>
      <c r="LKZ30" s="172"/>
      <c r="LLA30" s="172"/>
      <c r="LLB30" s="172"/>
      <c r="LLC30" s="172"/>
      <c r="LLD30" s="172"/>
      <c r="LLE30" s="172"/>
      <c r="LLF30" s="172"/>
      <c r="LLG30" s="172"/>
      <c r="LLH30" s="172"/>
      <c r="LLI30" s="172"/>
      <c r="LLJ30" s="172"/>
      <c r="LLK30" s="172"/>
      <c r="LLL30" s="172"/>
      <c r="LLM30" s="172"/>
      <c r="LLN30" s="172"/>
      <c r="LLO30" s="172"/>
      <c r="LLP30" s="172"/>
      <c r="LLQ30" s="172"/>
      <c r="LLR30" s="172"/>
      <c r="LLS30" s="172"/>
      <c r="LLT30" s="172"/>
      <c r="LLU30" s="172"/>
      <c r="LLV30" s="172"/>
      <c r="LLW30" s="172"/>
      <c r="LLX30" s="172"/>
      <c r="LLY30" s="172"/>
      <c r="LLZ30" s="172"/>
      <c r="LMA30" s="172"/>
      <c r="LMB30" s="172"/>
      <c r="LMC30" s="172"/>
      <c r="LMD30" s="172"/>
      <c r="LME30" s="172"/>
      <c r="LMF30" s="172"/>
      <c r="LMG30" s="172"/>
      <c r="LMH30" s="172"/>
      <c r="LMI30" s="172"/>
      <c r="LMJ30" s="172"/>
      <c r="LMK30" s="172"/>
      <c r="LML30" s="172"/>
      <c r="LMM30" s="172"/>
      <c r="LMN30" s="172"/>
      <c r="LMO30" s="172"/>
      <c r="LMP30" s="172"/>
      <c r="LMQ30" s="172"/>
      <c r="LMR30" s="172"/>
      <c r="LMS30" s="172"/>
      <c r="LMT30" s="172"/>
      <c r="LMU30" s="172"/>
      <c r="LMV30" s="172"/>
      <c r="LMW30" s="172"/>
      <c r="LMX30" s="172"/>
      <c r="LMY30" s="172"/>
      <c r="LMZ30" s="172"/>
      <c r="LNA30" s="172"/>
      <c r="LNB30" s="172"/>
      <c r="LNC30" s="172"/>
      <c r="LND30" s="172"/>
      <c r="LNE30" s="172"/>
      <c r="LNF30" s="172"/>
      <c r="LNG30" s="172"/>
      <c r="LNH30" s="172"/>
      <c r="LNI30" s="172"/>
      <c r="LNJ30" s="172"/>
      <c r="LNK30" s="172"/>
      <c r="LNL30" s="172"/>
      <c r="LNM30" s="172"/>
      <c r="LNN30" s="172"/>
      <c r="LNO30" s="172"/>
      <c r="LNP30" s="172"/>
      <c r="LNQ30" s="172"/>
      <c r="LNR30" s="172"/>
      <c r="LNS30" s="172"/>
      <c r="LNT30" s="172"/>
      <c r="LNU30" s="172"/>
      <c r="LNV30" s="172"/>
      <c r="LNW30" s="172"/>
      <c r="LNX30" s="172"/>
      <c r="LNY30" s="172"/>
      <c r="LNZ30" s="172"/>
      <c r="LOA30" s="172"/>
      <c r="LOB30" s="172"/>
      <c r="LOC30" s="172"/>
      <c r="LOD30" s="172"/>
      <c r="LOE30" s="172"/>
      <c r="LOF30" s="172"/>
      <c r="LOG30" s="172"/>
      <c r="LOH30" s="172"/>
      <c r="LOI30" s="172"/>
      <c r="LOJ30" s="172"/>
      <c r="LOK30" s="172"/>
      <c r="LOL30" s="172"/>
      <c r="LOM30" s="172"/>
      <c r="LON30" s="172"/>
      <c r="LOO30" s="172"/>
      <c r="LOP30" s="172"/>
      <c r="LOQ30" s="172"/>
      <c r="LOR30" s="172"/>
      <c r="LOS30" s="172"/>
      <c r="LOT30" s="172"/>
      <c r="LOU30" s="172"/>
      <c r="LOV30" s="172"/>
      <c r="LOW30" s="172"/>
      <c r="LOX30" s="172"/>
      <c r="LOY30" s="172"/>
      <c r="LOZ30" s="172"/>
      <c r="LPA30" s="172"/>
      <c r="LPB30" s="172"/>
      <c r="LPC30" s="172"/>
      <c r="LPD30" s="172"/>
      <c r="LPE30" s="172"/>
      <c r="LPF30" s="172"/>
      <c r="LPG30" s="172"/>
      <c r="LPH30" s="172"/>
      <c r="LPI30" s="172"/>
      <c r="LPJ30" s="172"/>
      <c r="LPK30" s="172"/>
      <c r="LPL30" s="172"/>
      <c r="LPM30" s="172"/>
      <c r="LPN30" s="172"/>
      <c r="LPO30" s="172"/>
      <c r="LPP30" s="172"/>
      <c r="LPQ30" s="172"/>
      <c r="LPR30" s="172"/>
      <c r="LPS30" s="172"/>
      <c r="LPT30" s="172"/>
      <c r="LPU30" s="172"/>
      <c r="LPV30" s="172"/>
      <c r="LPW30" s="172"/>
      <c r="LPX30" s="172"/>
      <c r="LPY30" s="172"/>
      <c r="LPZ30" s="172"/>
      <c r="LQA30" s="172"/>
      <c r="LQB30" s="172"/>
      <c r="LQC30" s="172"/>
      <c r="LQD30" s="172"/>
      <c r="LQE30" s="172"/>
      <c r="LQF30" s="172"/>
      <c r="LQG30" s="172"/>
      <c r="LQH30" s="172"/>
      <c r="LQI30" s="172"/>
      <c r="LQJ30" s="172"/>
      <c r="LQK30" s="172"/>
      <c r="LQL30" s="172"/>
      <c r="LQM30" s="172"/>
      <c r="LQN30" s="172"/>
      <c r="LQO30" s="172"/>
      <c r="LQP30" s="172"/>
      <c r="LQQ30" s="172"/>
      <c r="LQR30" s="172"/>
      <c r="LQS30" s="172"/>
      <c r="LQT30" s="172"/>
      <c r="LQU30" s="172"/>
      <c r="LQV30" s="172"/>
      <c r="LQW30" s="172"/>
      <c r="LQX30" s="172"/>
      <c r="LQY30" s="172"/>
      <c r="LQZ30" s="172"/>
      <c r="LRA30" s="172"/>
      <c r="LRB30" s="172"/>
      <c r="LRC30" s="172"/>
      <c r="LRD30" s="172"/>
      <c r="LRE30" s="172"/>
      <c r="LRF30" s="172"/>
      <c r="LRG30" s="172"/>
      <c r="LRH30" s="172"/>
      <c r="LRI30" s="172"/>
      <c r="LRJ30" s="172"/>
      <c r="LRK30" s="172"/>
      <c r="LRL30" s="172"/>
      <c r="LRM30" s="172"/>
      <c r="LRN30" s="172"/>
      <c r="LRO30" s="172"/>
      <c r="LRP30" s="172"/>
      <c r="LRQ30" s="172"/>
      <c r="LRR30" s="172"/>
      <c r="LRS30" s="172"/>
      <c r="LRT30" s="172"/>
      <c r="LRU30" s="172"/>
      <c r="LRV30" s="172"/>
      <c r="LRW30" s="172"/>
      <c r="LRX30" s="172"/>
      <c r="LRY30" s="172"/>
      <c r="LRZ30" s="172"/>
      <c r="LSA30" s="172"/>
      <c r="LSB30" s="172"/>
      <c r="LSC30" s="172"/>
      <c r="LSD30" s="172"/>
      <c r="LSE30" s="172"/>
      <c r="LSF30" s="172"/>
      <c r="LSG30" s="172"/>
      <c r="LSH30" s="172"/>
      <c r="LSI30" s="172"/>
      <c r="LSJ30" s="172"/>
      <c r="LSK30" s="172"/>
      <c r="LSL30" s="172"/>
      <c r="LSM30" s="172"/>
      <c r="LSN30" s="172"/>
      <c r="LSO30" s="172"/>
      <c r="LSP30" s="172"/>
      <c r="LSQ30" s="172"/>
      <c r="LSR30" s="172"/>
      <c r="LSS30" s="172"/>
      <c r="LST30" s="172"/>
      <c r="LSU30" s="172"/>
      <c r="LSV30" s="172"/>
      <c r="LSW30" s="172"/>
      <c r="LSX30" s="172"/>
      <c r="LSY30" s="172"/>
      <c r="LSZ30" s="172"/>
      <c r="LTA30" s="172"/>
      <c r="LTB30" s="172"/>
      <c r="LTC30" s="172"/>
      <c r="LTD30" s="172"/>
      <c r="LTE30" s="172"/>
      <c r="LTF30" s="172"/>
      <c r="LTG30" s="172"/>
      <c r="LTH30" s="172"/>
      <c r="LTI30" s="172"/>
      <c r="LTJ30" s="172"/>
      <c r="LTK30" s="172"/>
      <c r="LTL30" s="172"/>
      <c r="LTM30" s="172"/>
      <c r="LTN30" s="172"/>
      <c r="LTO30" s="172"/>
      <c r="LTP30" s="172"/>
      <c r="LTQ30" s="172"/>
      <c r="LTR30" s="172"/>
      <c r="LTS30" s="172"/>
      <c r="LTT30" s="172"/>
      <c r="LTU30" s="172"/>
      <c r="LTV30" s="172"/>
      <c r="LTW30" s="172"/>
      <c r="LTX30" s="172"/>
      <c r="LTY30" s="172"/>
      <c r="LTZ30" s="172"/>
      <c r="LUA30" s="172"/>
      <c r="LUB30" s="172"/>
      <c r="LUC30" s="172"/>
      <c r="LUD30" s="172"/>
      <c r="LUE30" s="172"/>
      <c r="LUF30" s="172"/>
      <c r="LUG30" s="172"/>
      <c r="LUH30" s="172"/>
      <c r="LUI30" s="172"/>
      <c r="LUJ30" s="172"/>
      <c r="LUK30" s="172"/>
      <c r="LUL30" s="172"/>
      <c r="LUM30" s="172"/>
      <c r="LUN30" s="172"/>
      <c r="LUO30" s="172"/>
      <c r="LUP30" s="172"/>
      <c r="LUQ30" s="172"/>
      <c r="LUR30" s="172"/>
      <c r="LUS30" s="172"/>
      <c r="LUT30" s="172"/>
      <c r="LUU30" s="172"/>
      <c r="LUV30" s="172"/>
      <c r="LUW30" s="172"/>
      <c r="LUX30" s="172"/>
      <c r="LUY30" s="172"/>
      <c r="LUZ30" s="172"/>
      <c r="LVA30" s="172"/>
      <c r="LVB30" s="172"/>
      <c r="LVC30" s="172"/>
      <c r="LVD30" s="172"/>
      <c r="LVE30" s="172"/>
      <c r="LVF30" s="172"/>
      <c r="LVG30" s="172"/>
      <c r="LVH30" s="172"/>
      <c r="LVI30" s="172"/>
      <c r="LVJ30" s="172"/>
      <c r="LVK30" s="172"/>
      <c r="LVL30" s="172"/>
      <c r="LVM30" s="172"/>
      <c r="LVN30" s="172"/>
      <c r="LVO30" s="172"/>
      <c r="LVP30" s="172"/>
      <c r="LVQ30" s="172"/>
      <c r="LVR30" s="172"/>
      <c r="LVS30" s="172"/>
      <c r="LVT30" s="172"/>
      <c r="LVU30" s="172"/>
      <c r="LVV30" s="172"/>
      <c r="LVW30" s="172"/>
      <c r="LVX30" s="172"/>
      <c r="LVY30" s="172"/>
      <c r="LVZ30" s="172"/>
      <c r="LWA30" s="172"/>
      <c r="LWB30" s="172"/>
      <c r="LWC30" s="172"/>
      <c r="LWD30" s="172"/>
      <c r="LWE30" s="172"/>
      <c r="LWF30" s="172"/>
      <c r="LWG30" s="172"/>
      <c r="LWH30" s="172"/>
      <c r="LWI30" s="172"/>
      <c r="LWJ30" s="172"/>
      <c r="LWK30" s="172"/>
      <c r="LWL30" s="172"/>
      <c r="LWM30" s="172"/>
      <c r="LWN30" s="172"/>
      <c r="LWO30" s="172"/>
      <c r="LWP30" s="172"/>
      <c r="LWQ30" s="172"/>
      <c r="LWR30" s="172"/>
      <c r="LWS30" s="172"/>
      <c r="LWT30" s="172"/>
      <c r="LWU30" s="172"/>
      <c r="LWV30" s="172"/>
      <c r="LWW30" s="172"/>
      <c r="LWX30" s="172"/>
      <c r="LWY30" s="172"/>
      <c r="LWZ30" s="172"/>
      <c r="LXA30" s="172"/>
      <c r="LXB30" s="172"/>
      <c r="LXC30" s="172"/>
      <c r="LXD30" s="172"/>
      <c r="LXE30" s="172"/>
      <c r="LXF30" s="172"/>
      <c r="LXG30" s="172"/>
      <c r="LXH30" s="172"/>
      <c r="LXI30" s="172"/>
      <c r="LXJ30" s="172"/>
      <c r="LXK30" s="172"/>
      <c r="LXL30" s="172"/>
      <c r="LXM30" s="172"/>
      <c r="LXN30" s="172"/>
      <c r="LXO30" s="172"/>
      <c r="LXP30" s="172"/>
      <c r="LXQ30" s="172"/>
      <c r="LXR30" s="172"/>
      <c r="LXS30" s="172"/>
      <c r="LXT30" s="172"/>
      <c r="LXU30" s="172"/>
      <c r="LXV30" s="172"/>
      <c r="LXW30" s="172"/>
      <c r="LXX30" s="172"/>
      <c r="LXY30" s="172"/>
      <c r="LXZ30" s="172"/>
      <c r="LYA30" s="172"/>
      <c r="LYB30" s="172"/>
      <c r="LYC30" s="172"/>
      <c r="LYD30" s="172"/>
      <c r="LYE30" s="172"/>
      <c r="LYF30" s="172"/>
      <c r="LYG30" s="172"/>
      <c r="LYH30" s="172"/>
      <c r="LYI30" s="172"/>
      <c r="LYJ30" s="172"/>
      <c r="LYK30" s="172"/>
      <c r="LYL30" s="172"/>
      <c r="LYM30" s="172"/>
      <c r="LYN30" s="172"/>
      <c r="LYO30" s="172"/>
      <c r="LYP30" s="172"/>
      <c r="LYQ30" s="172"/>
      <c r="LYR30" s="172"/>
      <c r="LYS30" s="172"/>
      <c r="LYT30" s="172"/>
      <c r="LYU30" s="172"/>
      <c r="LYV30" s="172"/>
      <c r="LYW30" s="172"/>
      <c r="LYX30" s="172"/>
      <c r="LYY30" s="172"/>
      <c r="LYZ30" s="172"/>
      <c r="LZA30" s="172"/>
      <c r="LZB30" s="172"/>
      <c r="LZC30" s="172"/>
      <c r="LZD30" s="172"/>
      <c r="LZE30" s="172"/>
      <c r="LZF30" s="172"/>
      <c r="LZG30" s="172"/>
      <c r="LZH30" s="172"/>
      <c r="LZI30" s="172"/>
      <c r="LZJ30" s="172"/>
      <c r="LZK30" s="172"/>
      <c r="LZL30" s="172"/>
      <c r="LZM30" s="172"/>
      <c r="LZN30" s="172"/>
      <c r="LZO30" s="172"/>
      <c r="LZP30" s="172"/>
      <c r="LZQ30" s="172"/>
      <c r="LZR30" s="172"/>
      <c r="LZS30" s="172"/>
      <c r="LZT30" s="172"/>
      <c r="LZU30" s="172"/>
      <c r="LZV30" s="172"/>
      <c r="LZW30" s="172"/>
      <c r="LZX30" s="172"/>
      <c r="LZY30" s="172"/>
      <c r="LZZ30" s="172"/>
      <c r="MAA30" s="172"/>
      <c r="MAB30" s="172"/>
      <c r="MAC30" s="172"/>
      <c r="MAD30" s="172"/>
      <c r="MAE30" s="172"/>
      <c r="MAF30" s="172"/>
      <c r="MAG30" s="172"/>
      <c r="MAH30" s="172"/>
      <c r="MAI30" s="172"/>
      <c r="MAJ30" s="172"/>
      <c r="MAK30" s="172"/>
      <c r="MAL30" s="172"/>
      <c r="MAM30" s="172"/>
      <c r="MAN30" s="172"/>
      <c r="MAO30" s="172"/>
      <c r="MAP30" s="172"/>
      <c r="MAQ30" s="172"/>
      <c r="MAR30" s="172"/>
      <c r="MAS30" s="172"/>
      <c r="MAT30" s="172"/>
      <c r="MAU30" s="172"/>
      <c r="MAV30" s="172"/>
      <c r="MAW30" s="172"/>
      <c r="MAX30" s="172"/>
      <c r="MAY30" s="172"/>
      <c r="MAZ30" s="172"/>
      <c r="MBA30" s="172"/>
      <c r="MBB30" s="172"/>
      <c r="MBC30" s="172"/>
      <c r="MBD30" s="172"/>
      <c r="MBE30" s="172"/>
      <c r="MBF30" s="172"/>
      <c r="MBG30" s="172"/>
      <c r="MBH30" s="172"/>
      <c r="MBI30" s="172"/>
      <c r="MBJ30" s="172"/>
      <c r="MBK30" s="172"/>
      <c r="MBL30" s="172"/>
      <c r="MBM30" s="172"/>
      <c r="MBN30" s="172"/>
      <c r="MBO30" s="172"/>
      <c r="MBP30" s="172"/>
      <c r="MBQ30" s="172"/>
      <c r="MBR30" s="172"/>
      <c r="MBS30" s="172"/>
      <c r="MBT30" s="172"/>
      <c r="MBU30" s="172"/>
      <c r="MBV30" s="172"/>
      <c r="MBW30" s="172"/>
      <c r="MBX30" s="172"/>
      <c r="MBY30" s="172"/>
      <c r="MBZ30" s="172"/>
      <c r="MCA30" s="172"/>
      <c r="MCB30" s="172"/>
      <c r="MCC30" s="172"/>
      <c r="MCD30" s="172"/>
      <c r="MCE30" s="172"/>
      <c r="MCF30" s="172"/>
      <c r="MCG30" s="172"/>
      <c r="MCH30" s="172"/>
      <c r="MCI30" s="172"/>
      <c r="MCJ30" s="172"/>
      <c r="MCK30" s="172"/>
      <c r="MCL30" s="172"/>
      <c r="MCM30" s="172"/>
      <c r="MCN30" s="172"/>
      <c r="MCO30" s="172"/>
      <c r="MCP30" s="172"/>
      <c r="MCQ30" s="172"/>
      <c r="MCR30" s="172"/>
      <c r="MCS30" s="172"/>
      <c r="MCT30" s="172"/>
      <c r="MCU30" s="172"/>
      <c r="MCV30" s="172"/>
      <c r="MCW30" s="172"/>
      <c r="MCX30" s="172"/>
      <c r="MCY30" s="172"/>
      <c r="MCZ30" s="172"/>
      <c r="MDA30" s="172"/>
      <c r="MDB30" s="172"/>
      <c r="MDC30" s="172"/>
      <c r="MDD30" s="172"/>
      <c r="MDE30" s="172"/>
      <c r="MDF30" s="172"/>
      <c r="MDG30" s="172"/>
      <c r="MDH30" s="172"/>
      <c r="MDI30" s="172"/>
      <c r="MDJ30" s="172"/>
      <c r="MDK30" s="172"/>
      <c r="MDL30" s="172"/>
      <c r="MDM30" s="172"/>
      <c r="MDN30" s="172"/>
      <c r="MDO30" s="172"/>
      <c r="MDP30" s="172"/>
      <c r="MDQ30" s="172"/>
      <c r="MDR30" s="172"/>
      <c r="MDS30" s="172"/>
      <c r="MDT30" s="172"/>
      <c r="MDU30" s="172"/>
      <c r="MDV30" s="172"/>
      <c r="MDW30" s="172"/>
      <c r="MDX30" s="172"/>
      <c r="MDY30" s="172"/>
      <c r="MDZ30" s="172"/>
      <c r="MEA30" s="172"/>
      <c r="MEB30" s="172"/>
      <c r="MEC30" s="172"/>
      <c r="MED30" s="172"/>
      <c r="MEE30" s="172"/>
      <c r="MEF30" s="172"/>
      <c r="MEG30" s="172"/>
      <c r="MEH30" s="172"/>
      <c r="MEI30" s="172"/>
      <c r="MEJ30" s="172"/>
      <c r="MEK30" s="172"/>
      <c r="MEL30" s="172"/>
      <c r="MEM30" s="172"/>
      <c r="MEN30" s="172"/>
      <c r="MEO30" s="172"/>
      <c r="MEP30" s="172"/>
      <c r="MEQ30" s="172"/>
      <c r="MER30" s="172"/>
      <c r="MES30" s="172"/>
      <c r="MET30" s="172"/>
      <c r="MEU30" s="172"/>
      <c r="MEV30" s="172"/>
      <c r="MEW30" s="172"/>
      <c r="MEX30" s="172"/>
      <c r="MEY30" s="172"/>
      <c r="MEZ30" s="172"/>
      <c r="MFA30" s="172"/>
      <c r="MFB30" s="172"/>
      <c r="MFC30" s="172"/>
      <c r="MFD30" s="172"/>
      <c r="MFE30" s="172"/>
      <c r="MFF30" s="172"/>
      <c r="MFG30" s="172"/>
      <c r="MFH30" s="172"/>
      <c r="MFI30" s="172"/>
      <c r="MFJ30" s="172"/>
      <c r="MFK30" s="172"/>
      <c r="MFL30" s="172"/>
      <c r="MFM30" s="172"/>
      <c r="MFN30" s="172"/>
      <c r="MFO30" s="172"/>
      <c r="MFP30" s="172"/>
      <c r="MFQ30" s="172"/>
      <c r="MFR30" s="172"/>
      <c r="MFS30" s="172"/>
      <c r="MFT30" s="172"/>
      <c r="MFU30" s="172"/>
      <c r="MFV30" s="172"/>
      <c r="MFW30" s="172"/>
      <c r="MFX30" s="172"/>
      <c r="MFY30" s="172"/>
      <c r="MFZ30" s="172"/>
      <c r="MGA30" s="172"/>
      <c r="MGB30" s="172"/>
      <c r="MGC30" s="172"/>
      <c r="MGD30" s="172"/>
      <c r="MGE30" s="172"/>
      <c r="MGF30" s="172"/>
      <c r="MGG30" s="172"/>
      <c r="MGH30" s="172"/>
      <c r="MGI30" s="172"/>
      <c r="MGJ30" s="172"/>
      <c r="MGK30" s="172"/>
      <c r="MGL30" s="172"/>
      <c r="MGM30" s="172"/>
      <c r="MGN30" s="172"/>
      <c r="MGO30" s="172"/>
      <c r="MGP30" s="172"/>
      <c r="MGQ30" s="172"/>
      <c r="MGR30" s="172"/>
      <c r="MGS30" s="172"/>
      <c r="MGT30" s="172"/>
      <c r="MGU30" s="172"/>
      <c r="MGV30" s="172"/>
      <c r="MGW30" s="172"/>
      <c r="MGX30" s="172"/>
      <c r="MGY30" s="172"/>
      <c r="MGZ30" s="172"/>
      <c r="MHA30" s="172"/>
      <c r="MHB30" s="172"/>
      <c r="MHC30" s="172"/>
      <c r="MHD30" s="172"/>
      <c r="MHE30" s="172"/>
      <c r="MHF30" s="172"/>
      <c r="MHG30" s="172"/>
      <c r="MHH30" s="172"/>
      <c r="MHI30" s="172"/>
      <c r="MHJ30" s="172"/>
      <c r="MHK30" s="172"/>
      <c r="MHL30" s="172"/>
      <c r="MHM30" s="172"/>
      <c r="MHN30" s="172"/>
      <c r="MHO30" s="172"/>
      <c r="MHP30" s="172"/>
      <c r="MHQ30" s="172"/>
      <c r="MHR30" s="172"/>
      <c r="MHS30" s="172"/>
      <c r="MHT30" s="172"/>
      <c r="MHU30" s="172"/>
      <c r="MHV30" s="172"/>
      <c r="MHW30" s="172"/>
      <c r="MHX30" s="172"/>
      <c r="MHY30" s="172"/>
      <c r="MHZ30" s="172"/>
      <c r="MIA30" s="172"/>
      <c r="MIB30" s="172"/>
      <c r="MIC30" s="172"/>
      <c r="MID30" s="172"/>
      <c r="MIE30" s="172"/>
      <c r="MIF30" s="172"/>
      <c r="MIG30" s="172"/>
      <c r="MIH30" s="172"/>
      <c r="MII30" s="172"/>
      <c r="MIJ30" s="172"/>
      <c r="MIK30" s="172"/>
      <c r="MIL30" s="172"/>
      <c r="MIM30" s="172"/>
      <c r="MIN30" s="172"/>
      <c r="MIO30" s="172"/>
      <c r="MIP30" s="172"/>
      <c r="MIQ30" s="172"/>
      <c r="MIR30" s="172"/>
      <c r="MIS30" s="172"/>
      <c r="MIT30" s="172"/>
      <c r="MIU30" s="172"/>
      <c r="MIV30" s="172"/>
      <c r="MIW30" s="172"/>
      <c r="MIX30" s="172"/>
      <c r="MIY30" s="172"/>
      <c r="MIZ30" s="172"/>
      <c r="MJA30" s="172"/>
      <c r="MJB30" s="172"/>
      <c r="MJC30" s="172"/>
      <c r="MJD30" s="172"/>
      <c r="MJE30" s="172"/>
      <c r="MJF30" s="172"/>
      <c r="MJG30" s="172"/>
      <c r="MJH30" s="172"/>
      <c r="MJI30" s="172"/>
      <c r="MJJ30" s="172"/>
      <c r="MJK30" s="172"/>
      <c r="MJL30" s="172"/>
      <c r="MJM30" s="172"/>
      <c r="MJN30" s="172"/>
      <c r="MJO30" s="172"/>
      <c r="MJP30" s="172"/>
      <c r="MJQ30" s="172"/>
      <c r="MJR30" s="172"/>
      <c r="MJS30" s="172"/>
      <c r="MJT30" s="172"/>
      <c r="MJU30" s="172"/>
      <c r="MJV30" s="172"/>
      <c r="MJW30" s="172"/>
      <c r="MJX30" s="172"/>
      <c r="MJY30" s="172"/>
      <c r="MJZ30" s="172"/>
      <c r="MKA30" s="172"/>
      <c r="MKB30" s="172"/>
      <c r="MKC30" s="172"/>
      <c r="MKD30" s="172"/>
      <c r="MKE30" s="172"/>
      <c r="MKF30" s="172"/>
      <c r="MKG30" s="172"/>
      <c r="MKH30" s="172"/>
      <c r="MKI30" s="172"/>
      <c r="MKJ30" s="172"/>
      <c r="MKK30" s="172"/>
      <c r="MKL30" s="172"/>
      <c r="MKM30" s="172"/>
      <c r="MKN30" s="172"/>
      <c r="MKO30" s="172"/>
      <c r="MKP30" s="172"/>
      <c r="MKQ30" s="172"/>
      <c r="MKR30" s="172"/>
      <c r="MKS30" s="172"/>
      <c r="MKT30" s="172"/>
      <c r="MKU30" s="172"/>
      <c r="MKV30" s="172"/>
      <c r="MKW30" s="172"/>
      <c r="MKX30" s="172"/>
      <c r="MKY30" s="172"/>
      <c r="MKZ30" s="172"/>
      <c r="MLA30" s="172"/>
      <c r="MLB30" s="172"/>
      <c r="MLC30" s="172"/>
      <c r="MLD30" s="172"/>
      <c r="MLE30" s="172"/>
      <c r="MLF30" s="172"/>
      <c r="MLG30" s="172"/>
      <c r="MLH30" s="172"/>
      <c r="MLI30" s="172"/>
      <c r="MLJ30" s="172"/>
      <c r="MLK30" s="172"/>
      <c r="MLL30" s="172"/>
      <c r="MLM30" s="172"/>
      <c r="MLN30" s="172"/>
      <c r="MLO30" s="172"/>
      <c r="MLP30" s="172"/>
      <c r="MLQ30" s="172"/>
      <c r="MLR30" s="172"/>
      <c r="MLS30" s="172"/>
      <c r="MLT30" s="172"/>
      <c r="MLU30" s="172"/>
      <c r="MLV30" s="172"/>
      <c r="MLW30" s="172"/>
      <c r="MLX30" s="172"/>
      <c r="MLY30" s="172"/>
      <c r="MLZ30" s="172"/>
      <c r="MMA30" s="172"/>
      <c r="MMB30" s="172"/>
      <c r="MMC30" s="172"/>
      <c r="MMD30" s="172"/>
      <c r="MME30" s="172"/>
      <c r="MMF30" s="172"/>
      <c r="MMG30" s="172"/>
      <c r="MMH30" s="172"/>
      <c r="MMI30" s="172"/>
      <c r="MMJ30" s="172"/>
      <c r="MMK30" s="172"/>
      <c r="MML30" s="172"/>
      <c r="MMM30" s="172"/>
      <c r="MMN30" s="172"/>
      <c r="MMO30" s="172"/>
      <c r="MMP30" s="172"/>
      <c r="MMQ30" s="172"/>
      <c r="MMR30" s="172"/>
      <c r="MMS30" s="172"/>
      <c r="MMT30" s="172"/>
      <c r="MMU30" s="172"/>
      <c r="MMV30" s="172"/>
      <c r="MMW30" s="172"/>
      <c r="MMX30" s="172"/>
      <c r="MMY30" s="172"/>
      <c r="MMZ30" s="172"/>
      <c r="MNA30" s="172"/>
      <c r="MNB30" s="172"/>
      <c r="MNC30" s="172"/>
      <c r="MND30" s="172"/>
      <c r="MNE30" s="172"/>
      <c r="MNF30" s="172"/>
      <c r="MNG30" s="172"/>
      <c r="MNH30" s="172"/>
      <c r="MNI30" s="172"/>
      <c r="MNJ30" s="172"/>
      <c r="MNK30" s="172"/>
      <c r="MNL30" s="172"/>
      <c r="MNM30" s="172"/>
      <c r="MNN30" s="172"/>
      <c r="MNO30" s="172"/>
      <c r="MNP30" s="172"/>
      <c r="MNQ30" s="172"/>
      <c r="MNR30" s="172"/>
      <c r="MNS30" s="172"/>
      <c r="MNT30" s="172"/>
      <c r="MNU30" s="172"/>
      <c r="MNV30" s="172"/>
      <c r="MNW30" s="172"/>
      <c r="MNX30" s="172"/>
      <c r="MNY30" s="172"/>
      <c r="MNZ30" s="172"/>
      <c r="MOA30" s="172"/>
      <c r="MOB30" s="172"/>
      <c r="MOC30" s="172"/>
      <c r="MOD30" s="172"/>
      <c r="MOE30" s="172"/>
      <c r="MOF30" s="172"/>
      <c r="MOG30" s="172"/>
      <c r="MOH30" s="172"/>
      <c r="MOI30" s="172"/>
      <c r="MOJ30" s="172"/>
      <c r="MOK30" s="172"/>
      <c r="MOL30" s="172"/>
      <c r="MOM30" s="172"/>
      <c r="MON30" s="172"/>
      <c r="MOO30" s="172"/>
      <c r="MOP30" s="172"/>
      <c r="MOQ30" s="172"/>
      <c r="MOR30" s="172"/>
      <c r="MOS30" s="172"/>
      <c r="MOT30" s="172"/>
      <c r="MOU30" s="172"/>
      <c r="MOV30" s="172"/>
      <c r="MOW30" s="172"/>
      <c r="MOX30" s="172"/>
      <c r="MOY30" s="172"/>
      <c r="MOZ30" s="172"/>
      <c r="MPA30" s="172"/>
      <c r="MPB30" s="172"/>
      <c r="MPC30" s="172"/>
      <c r="MPD30" s="172"/>
      <c r="MPE30" s="172"/>
      <c r="MPF30" s="172"/>
      <c r="MPG30" s="172"/>
      <c r="MPH30" s="172"/>
      <c r="MPI30" s="172"/>
      <c r="MPJ30" s="172"/>
      <c r="MPK30" s="172"/>
      <c r="MPL30" s="172"/>
      <c r="MPM30" s="172"/>
      <c r="MPN30" s="172"/>
      <c r="MPO30" s="172"/>
      <c r="MPP30" s="172"/>
      <c r="MPQ30" s="172"/>
      <c r="MPR30" s="172"/>
      <c r="MPS30" s="172"/>
      <c r="MPT30" s="172"/>
      <c r="MPU30" s="172"/>
      <c r="MPV30" s="172"/>
      <c r="MPW30" s="172"/>
      <c r="MPX30" s="172"/>
      <c r="MPY30" s="172"/>
      <c r="MPZ30" s="172"/>
      <c r="MQA30" s="172"/>
      <c r="MQB30" s="172"/>
      <c r="MQC30" s="172"/>
      <c r="MQD30" s="172"/>
      <c r="MQE30" s="172"/>
      <c r="MQF30" s="172"/>
      <c r="MQG30" s="172"/>
      <c r="MQH30" s="172"/>
      <c r="MQI30" s="172"/>
      <c r="MQJ30" s="172"/>
      <c r="MQK30" s="172"/>
      <c r="MQL30" s="172"/>
      <c r="MQM30" s="172"/>
      <c r="MQN30" s="172"/>
      <c r="MQO30" s="172"/>
      <c r="MQP30" s="172"/>
      <c r="MQQ30" s="172"/>
      <c r="MQR30" s="172"/>
      <c r="MQS30" s="172"/>
      <c r="MQT30" s="172"/>
      <c r="MQU30" s="172"/>
      <c r="MQV30" s="172"/>
      <c r="MQW30" s="172"/>
      <c r="MQX30" s="172"/>
      <c r="MQY30" s="172"/>
      <c r="MQZ30" s="172"/>
      <c r="MRA30" s="172"/>
      <c r="MRB30" s="172"/>
      <c r="MRC30" s="172"/>
      <c r="MRD30" s="172"/>
      <c r="MRE30" s="172"/>
      <c r="MRF30" s="172"/>
      <c r="MRG30" s="172"/>
      <c r="MRH30" s="172"/>
      <c r="MRI30" s="172"/>
      <c r="MRJ30" s="172"/>
      <c r="MRK30" s="172"/>
      <c r="MRL30" s="172"/>
      <c r="MRM30" s="172"/>
      <c r="MRN30" s="172"/>
      <c r="MRO30" s="172"/>
      <c r="MRP30" s="172"/>
      <c r="MRQ30" s="172"/>
      <c r="MRR30" s="172"/>
      <c r="MRS30" s="172"/>
      <c r="MRT30" s="172"/>
      <c r="MRU30" s="172"/>
      <c r="MRV30" s="172"/>
      <c r="MRW30" s="172"/>
      <c r="MRX30" s="172"/>
      <c r="MRY30" s="172"/>
      <c r="MRZ30" s="172"/>
      <c r="MSA30" s="172"/>
      <c r="MSB30" s="172"/>
      <c r="MSC30" s="172"/>
      <c r="MSD30" s="172"/>
      <c r="MSE30" s="172"/>
      <c r="MSF30" s="172"/>
      <c r="MSG30" s="172"/>
      <c r="MSH30" s="172"/>
      <c r="MSI30" s="172"/>
      <c r="MSJ30" s="172"/>
      <c r="MSK30" s="172"/>
      <c r="MSL30" s="172"/>
      <c r="MSM30" s="172"/>
      <c r="MSN30" s="172"/>
      <c r="MSO30" s="172"/>
      <c r="MSP30" s="172"/>
      <c r="MSQ30" s="172"/>
      <c r="MSR30" s="172"/>
      <c r="MSS30" s="172"/>
      <c r="MST30" s="172"/>
      <c r="MSU30" s="172"/>
      <c r="MSV30" s="172"/>
      <c r="MSW30" s="172"/>
      <c r="MSX30" s="172"/>
      <c r="MSY30" s="172"/>
      <c r="MSZ30" s="172"/>
      <c r="MTA30" s="172"/>
      <c r="MTB30" s="172"/>
      <c r="MTC30" s="172"/>
      <c r="MTD30" s="172"/>
      <c r="MTE30" s="172"/>
      <c r="MTF30" s="172"/>
      <c r="MTG30" s="172"/>
      <c r="MTH30" s="172"/>
      <c r="MTI30" s="172"/>
      <c r="MTJ30" s="172"/>
      <c r="MTK30" s="172"/>
      <c r="MTL30" s="172"/>
      <c r="MTM30" s="172"/>
      <c r="MTN30" s="172"/>
      <c r="MTO30" s="172"/>
      <c r="MTP30" s="172"/>
      <c r="MTQ30" s="172"/>
      <c r="MTR30" s="172"/>
      <c r="MTS30" s="172"/>
      <c r="MTT30" s="172"/>
      <c r="MTU30" s="172"/>
      <c r="MTV30" s="172"/>
      <c r="MTW30" s="172"/>
      <c r="MTX30" s="172"/>
      <c r="MTY30" s="172"/>
      <c r="MTZ30" s="172"/>
      <c r="MUA30" s="172"/>
      <c r="MUB30" s="172"/>
      <c r="MUC30" s="172"/>
      <c r="MUD30" s="172"/>
      <c r="MUE30" s="172"/>
      <c r="MUF30" s="172"/>
      <c r="MUG30" s="172"/>
      <c r="MUH30" s="172"/>
      <c r="MUI30" s="172"/>
      <c r="MUJ30" s="172"/>
      <c r="MUK30" s="172"/>
      <c r="MUL30" s="172"/>
      <c r="MUM30" s="172"/>
      <c r="MUN30" s="172"/>
      <c r="MUO30" s="172"/>
      <c r="MUP30" s="172"/>
      <c r="MUQ30" s="172"/>
      <c r="MUR30" s="172"/>
      <c r="MUS30" s="172"/>
      <c r="MUT30" s="172"/>
      <c r="MUU30" s="172"/>
      <c r="MUV30" s="172"/>
      <c r="MUW30" s="172"/>
      <c r="MUX30" s="172"/>
      <c r="MUY30" s="172"/>
      <c r="MUZ30" s="172"/>
      <c r="MVA30" s="172"/>
      <c r="MVB30" s="172"/>
      <c r="MVC30" s="172"/>
      <c r="MVD30" s="172"/>
      <c r="MVE30" s="172"/>
      <c r="MVF30" s="172"/>
      <c r="MVG30" s="172"/>
      <c r="MVH30" s="172"/>
      <c r="MVI30" s="172"/>
      <c r="MVJ30" s="172"/>
      <c r="MVK30" s="172"/>
      <c r="MVL30" s="172"/>
      <c r="MVM30" s="172"/>
      <c r="MVN30" s="172"/>
      <c r="MVO30" s="172"/>
      <c r="MVP30" s="172"/>
      <c r="MVQ30" s="172"/>
      <c r="MVR30" s="172"/>
      <c r="MVS30" s="172"/>
      <c r="MVT30" s="172"/>
      <c r="MVU30" s="172"/>
      <c r="MVV30" s="172"/>
      <c r="MVW30" s="172"/>
      <c r="MVX30" s="172"/>
      <c r="MVY30" s="172"/>
      <c r="MVZ30" s="172"/>
      <c r="MWA30" s="172"/>
      <c r="MWB30" s="172"/>
      <c r="MWC30" s="172"/>
      <c r="MWD30" s="172"/>
      <c r="MWE30" s="172"/>
      <c r="MWF30" s="172"/>
      <c r="MWG30" s="172"/>
      <c r="MWH30" s="172"/>
      <c r="MWI30" s="172"/>
      <c r="MWJ30" s="172"/>
      <c r="MWK30" s="172"/>
      <c r="MWL30" s="172"/>
      <c r="MWM30" s="172"/>
      <c r="MWN30" s="172"/>
      <c r="MWO30" s="172"/>
      <c r="MWP30" s="172"/>
      <c r="MWQ30" s="172"/>
      <c r="MWR30" s="172"/>
      <c r="MWS30" s="172"/>
      <c r="MWT30" s="172"/>
      <c r="MWU30" s="172"/>
      <c r="MWV30" s="172"/>
      <c r="MWW30" s="172"/>
      <c r="MWX30" s="172"/>
      <c r="MWY30" s="172"/>
      <c r="MWZ30" s="172"/>
      <c r="MXA30" s="172"/>
      <c r="MXB30" s="172"/>
      <c r="MXC30" s="172"/>
      <c r="MXD30" s="172"/>
      <c r="MXE30" s="172"/>
      <c r="MXF30" s="172"/>
      <c r="MXG30" s="172"/>
      <c r="MXH30" s="172"/>
      <c r="MXI30" s="172"/>
      <c r="MXJ30" s="172"/>
      <c r="MXK30" s="172"/>
      <c r="MXL30" s="172"/>
      <c r="MXM30" s="172"/>
      <c r="MXN30" s="172"/>
      <c r="MXO30" s="172"/>
      <c r="MXP30" s="172"/>
      <c r="MXQ30" s="172"/>
      <c r="MXR30" s="172"/>
      <c r="MXS30" s="172"/>
      <c r="MXT30" s="172"/>
      <c r="MXU30" s="172"/>
      <c r="MXV30" s="172"/>
      <c r="MXW30" s="172"/>
      <c r="MXX30" s="172"/>
      <c r="MXY30" s="172"/>
      <c r="MXZ30" s="172"/>
      <c r="MYA30" s="172"/>
      <c r="MYB30" s="172"/>
      <c r="MYC30" s="172"/>
      <c r="MYD30" s="172"/>
      <c r="MYE30" s="172"/>
      <c r="MYF30" s="172"/>
      <c r="MYG30" s="172"/>
      <c r="MYH30" s="172"/>
      <c r="MYI30" s="172"/>
      <c r="MYJ30" s="172"/>
      <c r="MYK30" s="172"/>
      <c r="MYL30" s="172"/>
      <c r="MYM30" s="172"/>
      <c r="MYN30" s="172"/>
      <c r="MYO30" s="172"/>
      <c r="MYP30" s="172"/>
      <c r="MYQ30" s="172"/>
      <c r="MYR30" s="172"/>
      <c r="MYS30" s="172"/>
      <c r="MYT30" s="172"/>
      <c r="MYU30" s="172"/>
      <c r="MYV30" s="172"/>
      <c r="MYW30" s="172"/>
      <c r="MYX30" s="172"/>
      <c r="MYY30" s="172"/>
      <c r="MYZ30" s="172"/>
      <c r="MZA30" s="172"/>
      <c r="MZB30" s="172"/>
      <c r="MZC30" s="172"/>
      <c r="MZD30" s="172"/>
      <c r="MZE30" s="172"/>
      <c r="MZF30" s="172"/>
      <c r="MZG30" s="172"/>
      <c r="MZH30" s="172"/>
      <c r="MZI30" s="172"/>
      <c r="MZJ30" s="172"/>
      <c r="MZK30" s="172"/>
      <c r="MZL30" s="172"/>
      <c r="MZM30" s="172"/>
      <c r="MZN30" s="172"/>
      <c r="MZO30" s="172"/>
      <c r="MZP30" s="172"/>
      <c r="MZQ30" s="172"/>
      <c r="MZR30" s="172"/>
      <c r="MZS30" s="172"/>
      <c r="MZT30" s="172"/>
      <c r="MZU30" s="172"/>
      <c r="MZV30" s="172"/>
      <c r="MZW30" s="172"/>
      <c r="MZX30" s="172"/>
      <c r="MZY30" s="172"/>
      <c r="MZZ30" s="172"/>
      <c r="NAA30" s="172"/>
      <c r="NAB30" s="172"/>
      <c r="NAC30" s="172"/>
      <c r="NAD30" s="172"/>
      <c r="NAE30" s="172"/>
      <c r="NAF30" s="172"/>
      <c r="NAG30" s="172"/>
      <c r="NAH30" s="172"/>
      <c r="NAI30" s="172"/>
      <c r="NAJ30" s="172"/>
      <c r="NAK30" s="172"/>
      <c r="NAL30" s="172"/>
      <c r="NAM30" s="172"/>
      <c r="NAN30" s="172"/>
      <c r="NAO30" s="172"/>
      <c r="NAP30" s="172"/>
      <c r="NAQ30" s="172"/>
      <c r="NAR30" s="172"/>
      <c r="NAS30" s="172"/>
      <c r="NAT30" s="172"/>
      <c r="NAU30" s="172"/>
      <c r="NAV30" s="172"/>
      <c r="NAW30" s="172"/>
      <c r="NAX30" s="172"/>
      <c r="NAY30" s="172"/>
      <c r="NAZ30" s="172"/>
      <c r="NBA30" s="172"/>
      <c r="NBB30" s="172"/>
      <c r="NBC30" s="172"/>
      <c r="NBD30" s="172"/>
      <c r="NBE30" s="172"/>
      <c r="NBF30" s="172"/>
      <c r="NBG30" s="172"/>
      <c r="NBH30" s="172"/>
      <c r="NBI30" s="172"/>
      <c r="NBJ30" s="172"/>
      <c r="NBK30" s="172"/>
      <c r="NBL30" s="172"/>
      <c r="NBM30" s="172"/>
      <c r="NBN30" s="172"/>
      <c r="NBO30" s="172"/>
      <c r="NBP30" s="172"/>
      <c r="NBQ30" s="172"/>
      <c r="NBR30" s="172"/>
      <c r="NBS30" s="172"/>
      <c r="NBT30" s="172"/>
      <c r="NBU30" s="172"/>
      <c r="NBV30" s="172"/>
      <c r="NBW30" s="172"/>
      <c r="NBX30" s="172"/>
      <c r="NBY30" s="172"/>
      <c r="NBZ30" s="172"/>
      <c r="NCA30" s="172"/>
      <c r="NCB30" s="172"/>
      <c r="NCC30" s="172"/>
      <c r="NCD30" s="172"/>
      <c r="NCE30" s="172"/>
      <c r="NCF30" s="172"/>
      <c r="NCG30" s="172"/>
      <c r="NCH30" s="172"/>
      <c r="NCI30" s="172"/>
      <c r="NCJ30" s="172"/>
      <c r="NCK30" s="172"/>
      <c r="NCL30" s="172"/>
      <c r="NCM30" s="172"/>
      <c r="NCN30" s="172"/>
      <c r="NCO30" s="172"/>
      <c r="NCP30" s="172"/>
      <c r="NCQ30" s="172"/>
      <c r="NCR30" s="172"/>
      <c r="NCS30" s="172"/>
      <c r="NCT30" s="172"/>
      <c r="NCU30" s="172"/>
      <c r="NCV30" s="172"/>
      <c r="NCW30" s="172"/>
      <c r="NCX30" s="172"/>
      <c r="NCY30" s="172"/>
      <c r="NCZ30" s="172"/>
      <c r="NDA30" s="172"/>
      <c r="NDB30" s="172"/>
      <c r="NDC30" s="172"/>
      <c r="NDD30" s="172"/>
      <c r="NDE30" s="172"/>
      <c r="NDF30" s="172"/>
      <c r="NDG30" s="172"/>
      <c r="NDH30" s="172"/>
      <c r="NDI30" s="172"/>
      <c r="NDJ30" s="172"/>
      <c r="NDK30" s="172"/>
      <c r="NDL30" s="172"/>
      <c r="NDM30" s="172"/>
      <c r="NDN30" s="172"/>
      <c r="NDO30" s="172"/>
      <c r="NDP30" s="172"/>
      <c r="NDQ30" s="172"/>
      <c r="NDR30" s="172"/>
      <c r="NDS30" s="172"/>
      <c r="NDT30" s="172"/>
      <c r="NDU30" s="172"/>
      <c r="NDV30" s="172"/>
      <c r="NDW30" s="172"/>
      <c r="NDX30" s="172"/>
      <c r="NDY30" s="172"/>
      <c r="NDZ30" s="172"/>
      <c r="NEA30" s="172"/>
      <c r="NEB30" s="172"/>
      <c r="NEC30" s="172"/>
      <c r="NED30" s="172"/>
      <c r="NEE30" s="172"/>
      <c r="NEF30" s="172"/>
      <c r="NEG30" s="172"/>
      <c r="NEH30" s="172"/>
      <c r="NEI30" s="172"/>
      <c r="NEJ30" s="172"/>
      <c r="NEK30" s="172"/>
      <c r="NEL30" s="172"/>
      <c r="NEM30" s="172"/>
      <c r="NEN30" s="172"/>
      <c r="NEO30" s="172"/>
      <c r="NEP30" s="172"/>
      <c r="NEQ30" s="172"/>
      <c r="NER30" s="172"/>
      <c r="NES30" s="172"/>
      <c r="NET30" s="172"/>
      <c r="NEU30" s="172"/>
      <c r="NEV30" s="172"/>
      <c r="NEW30" s="172"/>
      <c r="NEX30" s="172"/>
      <c r="NEY30" s="172"/>
      <c r="NEZ30" s="172"/>
      <c r="NFA30" s="172"/>
      <c r="NFB30" s="172"/>
      <c r="NFC30" s="172"/>
      <c r="NFD30" s="172"/>
      <c r="NFE30" s="172"/>
      <c r="NFF30" s="172"/>
      <c r="NFG30" s="172"/>
      <c r="NFH30" s="172"/>
      <c r="NFI30" s="172"/>
      <c r="NFJ30" s="172"/>
      <c r="NFK30" s="172"/>
      <c r="NFL30" s="172"/>
      <c r="NFM30" s="172"/>
      <c r="NFN30" s="172"/>
      <c r="NFO30" s="172"/>
      <c r="NFP30" s="172"/>
      <c r="NFQ30" s="172"/>
      <c r="NFR30" s="172"/>
      <c r="NFS30" s="172"/>
      <c r="NFT30" s="172"/>
      <c r="NFU30" s="172"/>
      <c r="NFV30" s="172"/>
      <c r="NFW30" s="172"/>
      <c r="NFX30" s="172"/>
      <c r="NFY30" s="172"/>
      <c r="NFZ30" s="172"/>
      <c r="NGA30" s="172"/>
      <c r="NGB30" s="172"/>
      <c r="NGC30" s="172"/>
      <c r="NGD30" s="172"/>
      <c r="NGE30" s="172"/>
      <c r="NGF30" s="172"/>
      <c r="NGG30" s="172"/>
      <c r="NGH30" s="172"/>
      <c r="NGI30" s="172"/>
      <c r="NGJ30" s="172"/>
      <c r="NGK30" s="172"/>
      <c r="NGL30" s="172"/>
      <c r="NGM30" s="172"/>
      <c r="NGN30" s="172"/>
      <c r="NGO30" s="172"/>
      <c r="NGP30" s="172"/>
      <c r="NGQ30" s="172"/>
      <c r="NGR30" s="172"/>
      <c r="NGS30" s="172"/>
      <c r="NGT30" s="172"/>
      <c r="NGU30" s="172"/>
      <c r="NGV30" s="172"/>
      <c r="NGW30" s="172"/>
      <c r="NGX30" s="172"/>
      <c r="NGY30" s="172"/>
      <c r="NGZ30" s="172"/>
      <c r="NHA30" s="172"/>
      <c r="NHB30" s="172"/>
      <c r="NHC30" s="172"/>
      <c r="NHD30" s="172"/>
      <c r="NHE30" s="172"/>
      <c r="NHF30" s="172"/>
      <c r="NHG30" s="172"/>
      <c r="NHH30" s="172"/>
      <c r="NHI30" s="172"/>
      <c r="NHJ30" s="172"/>
      <c r="NHK30" s="172"/>
      <c r="NHL30" s="172"/>
      <c r="NHM30" s="172"/>
      <c r="NHN30" s="172"/>
      <c r="NHO30" s="172"/>
      <c r="NHP30" s="172"/>
      <c r="NHQ30" s="172"/>
      <c r="NHR30" s="172"/>
      <c r="NHS30" s="172"/>
      <c r="NHT30" s="172"/>
      <c r="NHU30" s="172"/>
      <c r="NHV30" s="172"/>
      <c r="NHW30" s="172"/>
      <c r="NHX30" s="172"/>
      <c r="NHY30" s="172"/>
      <c r="NHZ30" s="172"/>
      <c r="NIA30" s="172"/>
      <c r="NIB30" s="172"/>
      <c r="NIC30" s="172"/>
      <c r="NID30" s="172"/>
      <c r="NIE30" s="172"/>
      <c r="NIF30" s="172"/>
      <c r="NIG30" s="172"/>
      <c r="NIH30" s="172"/>
      <c r="NII30" s="172"/>
      <c r="NIJ30" s="172"/>
      <c r="NIK30" s="172"/>
      <c r="NIL30" s="172"/>
      <c r="NIM30" s="172"/>
      <c r="NIN30" s="172"/>
      <c r="NIO30" s="172"/>
      <c r="NIP30" s="172"/>
      <c r="NIQ30" s="172"/>
      <c r="NIR30" s="172"/>
      <c r="NIS30" s="172"/>
      <c r="NIT30" s="172"/>
      <c r="NIU30" s="172"/>
      <c r="NIV30" s="172"/>
      <c r="NIW30" s="172"/>
      <c r="NIX30" s="172"/>
      <c r="NIY30" s="172"/>
      <c r="NIZ30" s="172"/>
      <c r="NJA30" s="172"/>
      <c r="NJB30" s="172"/>
      <c r="NJC30" s="172"/>
      <c r="NJD30" s="172"/>
      <c r="NJE30" s="172"/>
      <c r="NJF30" s="172"/>
      <c r="NJG30" s="172"/>
      <c r="NJH30" s="172"/>
      <c r="NJI30" s="172"/>
      <c r="NJJ30" s="172"/>
      <c r="NJK30" s="172"/>
      <c r="NJL30" s="172"/>
      <c r="NJM30" s="172"/>
      <c r="NJN30" s="172"/>
      <c r="NJO30" s="172"/>
      <c r="NJP30" s="172"/>
      <c r="NJQ30" s="172"/>
      <c r="NJR30" s="172"/>
      <c r="NJS30" s="172"/>
      <c r="NJT30" s="172"/>
      <c r="NJU30" s="172"/>
      <c r="NJV30" s="172"/>
      <c r="NJW30" s="172"/>
      <c r="NJX30" s="172"/>
      <c r="NJY30" s="172"/>
      <c r="NJZ30" s="172"/>
      <c r="NKA30" s="172"/>
      <c r="NKB30" s="172"/>
      <c r="NKC30" s="172"/>
      <c r="NKD30" s="172"/>
      <c r="NKE30" s="172"/>
      <c r="NKF30" s="172"/>
      <c r="NKG30" s="172"/>
      <c r="NKH30" s="172"/>
      <c r="NKI30" s="172"/>
      <c r="NKJ30" s="172"/>
      <c r="NKK30" s="172"/>
      <c r="NKL30" s="172"/>
      <c r="NKM30" s="172"/>
      <c r="NKN30" s="172"/>
      <c r="NKO30" s="172"/>
      <c r="NKP30" s="172"/>
      <c r="NKQ30" s="172"/>
      <c r="NKR30" s="172"/>
      <c r="NKS30" s="172"/>
      <c r="NKT30" s="172"/>
      <c r="NKU30" s="172"/>
      <c r="NKV30" s="172"/>
      <c r="NKW30" s="172"/>
      <c r="NKX30" s="172"/>
      <c r="NKY30" s="172"/>
      <c r="NKZ30" s="172"/>
      <c r="NLA30" s="172"/>
      <c r="NLB30" s="172"/>
      <c r="NLC30" s="172"/>
      <c r="NLD30" s="172"/>
      <c r="NLE30" s="172"/>
      <c r="NLF30" s="172"/>
      <c r="NLG30" s="172"/>
      <c r="NLH30" s="172"/>
      <c r="NLI30" s="172"/>
      <c r="NLJ30" s="172"/>
      <c r="NLK30" s="172"/>
      <c r="NLL30" s="172"/>
      <c r="NLM30" s="172"/>
      <c r="NLN30" s="172"/>
      <c r="NLO30" s="172"/>
      <c r="NLP30" s="172"/>
      <c r="NLQ30" s="172"/>
      <c r="NLR30" s="172"/>
      <c r="NLS30" s="172"/>
      <c r="NLT30" s="172"/>
      <c r="NLU30" s="172"/>
      <c r="NLV30" s="172"/>
      <c r="NLW30" s="172"/>
      <c r="NLX30" s="172"/>
      <c r="NLY30" s="172"/>
      <c r="NLZ30" s="172"/>
      <c r="NMA30" s="172"/>
      <c r="NMB30" s="172"/>
      <c r="NMC30" s="172"/>
      <c r="NMD30" s="172"/>
      <c r="NME30" s="172"/>
      <c r="NMF30" s="172"/>
      <c r="NMG30" s="172"/>
      <c r="NMH30" s="172"/>
      <c r="NMI30" s="172"/>
      <c r="NMJ30" s="172"/>
      <c r="NMK30" s="172"/>
      <c r="NML30" s="172"/>
      <c r="NMM30" s="172"/>
      <c r="NMN30" s="172"/>
      <c r="NMO30" s="172"/>
      <c r="NMP30" s="172"/>
      <c r="NMQ30" s="172"/>
      <c r="NMR30" s="172"/>
      <c r="NMS30" s="172"/>
      <c r="NMT30" s="172"/>
      <c r="NMU30" s="172"/>
      <c r="NMV30" s="172"/>
      <c r="NMW30" s="172"/>
      <c r="NMX30" s="172"/>
      <c r="NMY30" s="172"/>
      <c r="NMZ30" s="172"/>
      <c r="NNA30" s="172"/>
      <c r="NNB30" s="172"/>
      <c r="NNC30" s="172"/>
      <c r="NND30" s="172"/>
      <c r="NNE30" s="172"/>
      <c r="NNF30" s="172"/>
      <c r="NNG30" s="172"/>
      <c r="NNH30" s="172"/>
      <c r="NNI30" s="172"/>
      <c r="NNJ30" s="172"/>
      <c r="NNK30" s="172"/>
      <c r="NNL30" s="172"/>
      <c r="NNM30" s="172"/>
      <c r="NNN30" s="172"/>
      <c r="NNO30" s="172"/>
      <c r="NNP30" s="172"/>
      <c r="NNQ30" s="172"/>
      <c r="NNR30" s="172"/>
      <c r="NNS30" s="172"/>
      <c r="NNT30" s="172"/>
      <c r="NNU30" s="172"/>
      <c r="NNV30" s="172"/>
      <c r="NNW30" s="172"/>
      <c r="NNX30" s="172"/>
      <c r="NNY30" s="172"/>
      <c r="NNZ30" s="172"/>
      <c r="NOA30" s="172"/>
      <c r="NOB30" s="172"/>
      <c r="NOC30" s="172"/>
      <c r="NOD30" s="172"/>
      <c r="NOE30" s="172"/>
      <c r="NOF30" s="172"/>
      <c r="NOG30" s="172"/>
      <c r="NOH30" s="172"/>
      <c r="NOI30" s="172"/>
      <c r="NOJ30" s="172"/>
      <c r="NOK30" s="172"/>
      <c r="NOL30" s="172"/>
      <c r="NOM30" s="172"/>
      <c r="NON30" s="172"/>
      <c r="NOO30" s="172"/>
      <c r="NOP30" s="172"/>
      <c r="NOQ30" s="172"/>
      <c r="NOR30" s="172"/>
      <c r="NOS30" s="172"/>
      <c r="NOT30" s="172"/>
      <c r="NOU30" s="172"/>
      <c r="NOV30" s="172"/>
      <c r="NOW30" s="172"/>
      <c r="NOX30" s="172"/>
      <c r="NOY30" s="172"/>
      <c r="NOZ30" s="172"/>
      <c r="NPA30" s="172"/>
      <c r="NPB30" s="172"/>
      <c r="NPC30" s="172"/>
      <c r="NPD30" s="172"/>
      <c r="NPE30" s="172"/>
      <c r="NPF30" s="172"/>
      <c r="NPG30" s="172"/>
      <c r="NPH30" s="172"/>
      <c r="NPI30" s="172"/>
      <c r="NPJ30" s="172"/>
      <c r="NPK30" s="172"/>
      <c r="NPL30" s="172"/>
      <c r="NPM30" s="172"/>
      <c r="NPN30" s="172"/>
      <c r="NPO30" s="172"/>
      <c r="NPP30" s="172"/>
      <c r="NPQ30" s="172"/>
      <c r="NPR30" s="172"/>
      <c r="NPS30" s="172"/>
      <c r="NPT30" s="172"/>
      <c r="NPU30" s="172"/>
      <c r="NPV30" s="172"/>
      <c r="NPW30" s="172"/>
      <c r="NPX30" s="172"/>
      <c r="NPY30" s="172"/>
      <c r="NPZ30" s="172"/>
      <c r="NQA30" s="172"/>
      <c r="NQB30" s="172"/>
      <c r="NQC30" s="172"/>
      <c r="NQD30" s="172"/>
      <c r="NQE30" s="172"/>
      <c r="NQF30" s="172"/>
      <c r="NQG30" s="172"/>
      <c r="NQH30" s="172"/>
      <c r="NQI30" s="172"/>
      <c r="NQJ30" s="172"/>
      <c r="NQK30" s="172"/>
      <c r="NQL30" s="172"/>
      <c r="NQM30" s="172"/>
      <c r="NQN30" s="172"/>
      <c r="NQO30" s="172"/>
      <c r="NQP30" s="172"/>
      <c r="NQQ30" s="172"/>
      <c r="NQR30" s="172"/>
      <c r="NQS30" s="172"/>
      <c r="NQT30" s="172"/>
      <c r="NQU30" s="172"/>
      <c r="NQV30" s="172"/>
      <c r="NQW30" s="172"/>
      <c r="NQX30" s="172"/>
      <c r="NQY30" s="172"/>
      <c r="NQZ30" s="172"/>
      <c r="NRA30" s="172"/>
      <c r="NRB30" s="172"/>
      <c r="NRC30" s="172"/>
      <c r="NRD30" s="172"/>
      <c r="NRE30" s="172"/>
      <c r="NRF30" s="172"/>
      <c r="NRG30" s="172"/>
      <c r="NRH30" s="172"/>
      <c r="NRI30" s="172"/>
      <c r="NRJ30" s="172"/>
      <c r="NRK30" s="172"/>
      <c r="NRL30" s="172"/>
      <c r="NRM30" s="172"/>
      <c r="NRN30" s="172"/>
      <c r="NRO30" s="172"/>
      <c r="NRP30" s="172"/>
      <c r="NRQ30" s="172"/>
      <c r="NRR30" s="172"/>
      <c r="NRS30" s="172"/>
      <c r="NRT30" s="172"/>
      <c r="NRU30" s="172"/>
      <c r="NRV30" s="172"/>
      <c r="NRW30" s="172"/>
      <c r="NRX30" s="172"/>
      <c r="NRY30" s="172"/>
      <c r="NRZ30" s="172"/>
      <c r="NSA30" s="172"/>
      <c r="NSB30" s="172"/>
      <c r="NSC30" s="172"/>
      <c r="NSD30" s="172"/>
      <c r="NSE30" s="172"/>
      <c r="NSF30" s="172"/>
      <c r="NSG30" s="172"/>
      <c r="NSH30" s="172"/>
      <c r="NSI30" s="172"/>
      <c r="NSJ30" s="172"/>
      <c r="NSK30" s="172"/>
      <c r="NSL30" s="172"/>
      <c r="NSM30" s="172"/>
      <c r="NSN30" s="172"/>
      <c r="NSO30" s="172"/>
      <c r="NSP30" s="172"/>
      <c r="NSQ30" s="172"/>
      <c r="NSR30" s="172"/>
      <c r="NSS30" s="172"/>
      <c r="NST30" s="172"/>
      <c r="NSU30" s="172"/>
      <c r="NSV30" s="172"/>
      <c r="NSW30" s="172"/>
      <c r="NSX30" s="172"/>
      <c r="NSY30" s="172"/>
      <c r="NSZ30" s="172"/>
      <c r="NTA30" s="172"/>
      <c r="NTB30" s="172"/>
      <c r="NTC30" s="172"/>
      <c r="NTD30" s="172"/>
      <c r="NTE30" s="172"/>
      <c r="NTF30" s="172"/>
      <c r="NTG30" s="172"/>
      <c r="NTH30" s="172"/>
      <c r="NTI30" s="172"/>
      <c r="NTJ30" s="172"/>
      <c r="NTK30" s="172"/>
      <c r="NTL30" s="172"/>
      <c r="NTM30" s="172"/>
      <c r="NTN30" s="172"/>
      <c r="NTO30" s="172"/>
      <c r="NTP30" s="172"/>
      <c r="NTQ30" s="172"/>
      <c r="NTR30" s="172"/>
      <c r="NTS30" s="172"/>
      <c r="NTT30" s="172"/>
      <c r="NTU30" s="172"/>
      <c r="NTV30" s="172"/>
      <c r="NTW30" s="172"/>
      <c r="NTX30" s="172"/>
      <c r="NTY30" s="172"/>
      <c r="NTZ30" s="172"/>
      <c r="NUA30" s="172"/>
      <c r="NUB30" s="172"/>
      <c r="NUC30" s="172"/>
      <c r="NUD30" s="172"/>
      <c r="NUE30" s="172"/>
      <c r="NUF30" s="172"/>
      <c r="NUG30" s="172"/>
      <c r="NUH30" s="172"/>
      <c r="NUI30" s="172"/>
      <c r="NUJ30" s="172"/>
      <c r="NUK30" s="172"/>
      <c r="NUL30" s="172"/>
      <c r="NUM30" s="172"/>
      <c r="NUN30" s="172"/>
      <c r="NUO30" s="172"/>
      <c r="NUP30" s="172"/>
      <c r="NUQ30" s="172"/>
      <c r="NUR30" s="172"/>
      <c r="NUS30" s="172"/>
      <c r="NUT30" s="172"/>
      <c r="NUU30" s="172"/>
      <c r="NUV30" s="172"/>
      <c r="NUW30" s="172"/>
      <c r="NUX30" s="172"/>
      <c r="NUY30" s="172"/>
      <c r="NUZ30" s="172"/>
      <c r="NVA30" s="172"/>
      <c r="NVB30" s="172"/>
      <c r="NVC30" s="172"/>
      <c r="NVD30" s="172"/>
      <c r="NVE30" s="172"/>
      <c r="NVF30" s="172"/>
      <c r="NVG30" s="172"/>
      <c r="NVH30" s="172"/>
      <c r="NVI30" s="172"/>
      <c r="NVJ30" s="172"/>
      <c r="NVK30" s="172"/>
      <c r="NVL30" s="172"/>
      <c r="NVM30" s="172"/>
      <c r="NVN30" s="172"/>
      <c r="NVO30" s="172"/>
      <c r="NVP30" s="172"/>
      <c r="NVQ30" s="172"/>
      <c r="NVR30" s="172"/>
      <c r="NVS30" s="172"/>
      <c r="NVT30" s="172"/>
      <c r="NVU30" s="172"/>
      <c r="NVV30" s="172"/>
      <c r="NVW30" s="172"/>
      <c r="NVX30" s="172"/>
      <c r="NVY30" s="172"/>
      <c r="NVZ30" s="172"/>
      <c r="NWA30" s="172"/>
      <c r="NWB30" s="172"/>
      <c r="NWC30" s="172"/>
      <c r="NWD30" s="172"/>
      <c r="NWE30" s="172"/>
      <c r="NWF30" s="172"/>
      <c r="NWG30" s="172"/>
      <c r="NWH30" s="172"/>
      <c r="NWI30" s="172"/>
      <c r="NWJ30" s="172"/>
      <c r="NWK30" s="172"/>
      <c r="NWL30" s="172"/>
      <c r="NWM30" s="172"/>
      <c r="NWN30" s="172"/>
      <c r="NWO30" s="172"/>
      <c r="NWP30" s="172"/>
      <c r="NWQ30" s="172"/>
      <c r="NWR30" s="172"/>
      <c r="NWS30" s="172"/>
      <c r="NWT30" s="172"/>
      <c r="NWU30" s="172"/>
      <c r="NWV30" s="172"/>
      <c r="NWW30" s="172"/>
      <c r="NWX30" s="172"/>
      <c r="NWY30" s="172"/>
      <c r="NWZ30" s="172"/>
      <c r="NXA30" s="172"/>
      <c r="NXB30" s="172"/>
      <c r="NXC30" s="172"/>
      <c r="NXD30" s="172"/>
      <c r="NXE30" s="172"/>
      <c r="NXF30" s="172"/>
      <c r="NXG30" s="172"/>
      <c r="NXH30" s="172"/>
      <c r="NXI30" s="172"/>
      <c r="NXJ30" s="172"/>
      <c r="NXK30" s="172"/>
      <c r="NXL30" s="172"/>
      <c r="NXM30" s="172"/>
      <c r="NXN30" s="172"/>
      <c r="NXO30" s="172"/>
      <c r="NXP30" s="172"/>
      <c r="NXQ30" s="172"/>
      <c r="NXR30" s="172"/>
      <c r="NXS30" s="172"/>
      <c r="NXT30" s="172"/>
      <c r="NXU30" s="172"/>
      <c r="NXV30" s="172"/>
      <c r="NXW30" s="172"/>
      <c r="NXX30" s="172"/>
      <c r="NXY30" s="172"/>
      <c r="NXZ30" s="172"/>
      <c r="NYA30" s="172"/>
      <c r="NYB30" s="172"/>
      <c r="NYC30" s="172"/>
      <c r="NYD30" s="172"/>
      <c r="NYE30" s="172"/>
      <c r="NYF30" s="172"/>
      <c r="NYG30" s="172"/>
      <c r="NYH30" s="172"/>
      <c r="NYI30" s="172"/>
      <c r="NYJ30" s="172"/>
      <c r="NYK30" s="172"/>
      <c r="NYL30" s="172"/>
      <c r="NYM30" s="172"/>
      <c r="NYN30" s="172"/>
      <c r="NYO30" s="172"/>
      <c r="NYP30" s="172"/>
      <c r="NYQ30" s="172"/>
      <c r="NYR30" s="172"/>
      <c r="NYS30" s="172"/>
      <c r="NYT30" s="172"/>
      <c r="NYU30" s="172"/>
      <c r="NYV30" s="172"/>
      <c r="NYW30" s="172"/>
      <c r="NYX30" s="172"/>
      <c r="NYY30" s="172"/>
      <c r="NYZ30" s="172"/>
      <c r="NZA30" s="172"/>
      <c r="NZB30" s="172"/>
      <c r="NZC30" s="172"/>
      <c r="NZD30" s="172"/>
      <c r="NZE30" s="172"/>
      <c r="NZF30" s="172"/>
      <c r="NZG30" s="172"/>
      <c r="NZH30" s="172"/>
      <c r="NZI30" s="172"/>
      <c r="NZJ30" s="172"/>
      <c r="NZK30" s="172"/>
      <c r="NZL30" s="172"/>
      <c r="NZM30" s="172"/>
      <c r="NZN30" s="172"/>
      <c r="NZO30" s="172"/>
      <c r="NZP30" s="172"/>
      <c r="NZQ30" s="172"/>
      <c r="NZR30" s="172"/>
      <c r="NZS30" s="172"/>
      <c r="NZT30" s="172"/>
      <c r="NZU30" s="172"/>
      <c r="NZV30" s="172"/>
      <c r="NZW30" s="172"/>
      <c r="NZX30" s="172"/>
      <c r="NZY30" s="172"/>
      <c r="NZZ30" s="172"/>
      <c r="OAA30" s="172"/>
      <c r="OAB30" s="172"/>
      <c r="OAC30" s="172"/>
      <c r="OAD30" s="172"/>
      <c r="OAE30" s="172"/>
      <c r="OAF30" s="172"/>
      <c r="OAG30" s="172"/>
      <c r="OAH30" s="172"/>
      <c r="OAI30" s="172"/>
      <c r="OAJ30" s="172"/>
      <c r="OAK30" s="172"/>
      <c r="OAL30" s="172"/>
      <c r="OAM30" s="172"/>
      <c r="OAN30" s="172"/>
      <c r="OAO30" s="172"/>
      <c r="OAP30" s="172"/>
      <c r="OAQ30" s="172"/>
      <c r="OAR30" s="172"/>
      <c r="OAS30" s="172"/>
      <c r="OAT30" s="172"/>
      <c r="OAU30" s="172"/>
      <c r="OAV30" s="172"/>
      <c r="OAW30" s="172"/>
      <c r="OAX30" s="172"/>
      <c r="OAY30" s="172"/>
      <c r="OAZ30" s="172"/>
      <c r="OBA30" s="172"/>
      <c r="OBB30" s="172"/>
      <c r="OBC30" s="172"/>
      <c r="OBD30" s="172"/>
      <c r="OBE30" s="172"/>
      <c r="OBF30" s="172"/>
      <c r="OBG30" s="172"/>
      <c r="OBH30" s="172"/>
      <c r="OBI30" s="172"/>
      <c r="OBJ30" s="172"/>
      <c r="OBK30" s="172"/>
      <c r="OBL30" s="172"/>
      <c r="OBM30" s="172"/>
      <c r="OBN30" s="172"/>
      <c r="OBO30" s="172"/>
      <c r="OBP30" s="172"/>
      <c r="OBQ30" s="172"/>
      <c r="OBR30" s="172"/>
      <c r="OBS30" s="172"/>
      <c r="OBT30" s="172"/>
      <c r="OBU30" s="172"/>
      <c r="OBV30" s="172"/>
      <c r="OBW30" s="172"/>
      <c r="OBX30" s="172"/>
      <c r="OBY30" s="172"/>
      <c r="OBZ30" s="172"/>
      <c r="OCA30" s="172"/>
      <c r="OCB30" s="172"/>
      <c r="OCC30" s="172"/>
      <c r="OCD30" s="172"/>
      <c r="OCE30" s="172"/>
      <c r="OCF30" s="172"/>
      <c r="OCG30" s="172"/>
      <c r="OCH30" s="172"/>
      <c r="OCI30" s="172"/>
      <c r="OCJ30" s="172"/>
      <c r="OCK30" s="172"/>
      <c r="OCL30" s="172"/>
      <c r="OCM30" s="172"/>
      <c r="OCN30" s="172"/>
      <c r="OCO30" s="172"/>
      <c r="OCP30" s="172"/>
      <c r="OCQ30" s="172"/>
      <c r="OCR30" s="172"/>
      <c r="OCS30" s="172"/>
      <c r="OCT30" s="172"/>
      <c r="OCU30" s="172"/>
      <c r="OCV30" s="172"/>
      <c r="OCW30" s="172"/>
      <c r="OCX30" s="172"/>
      <c r="OCY30" s="172"/>
      <c r="OCZ30" s="172"/>
      <c r="ODA30" s="172"/>
      <c r="ODB30" s="172"/>
      <c r="ODC30" s="172"/>
      <c r="ODD30" s="172"/>
      <c r="ODE30" s="172"/>
      <c r="ODF30" s="172"/>
      <c r="ODG30" s="172"/>
      <c r="ODH30" s="172"/>
      <c r="ODI30" s="172"/>
      <c r="ODJ30" s="172"/>
      <c r="ODK30" s="172"/>
      <c r="ODL30" s="172"/>
      <c r="ODM30" s="172"/>
      <c r="ODN30" s="172"/>
      <c r="ODO30" s="172"/>
      <c r="ODP30" s="172"/>
      <c r="ODQ30" s="172"/>
      <c r="ODR30" s="172"/>
      <c r="ODS30" s="172"/>
      <c r="ODT30" s="172"/>
      <c r="ODU30" s="172"/>
      <c r="ODV30" s="172"/>
      <c r="ODW30" s="172"/>
      <c r="ODX30" s="172"/>
      <c r="ODY30" s="172"/>
      <c r="ODZ30" s="172"/>
      <c r="OEA30" s="172"/>
      <c r="OEB30" s="172"/>
      <c r="OEC30" s="172"/>
      <c r="OED30" s="172"/>
      <c r="OEE30" s="172"/>
      <c r="OEF30" s="172"/>
      <c r="OEG30" s="172"/>
      <c r="OEH30" s="172"/>
      <c r="OEI30" s="172"/>
      <c r="OEJ30" s="172"/>
      <c r="OEK30" s="172"/>
      <c r="OEL30" s="172"/>
      <c r="OEM30" s="172"/>
      <c r="OEN30" s="172"/>
      <c r="OEO30" s="172"/>
      <c r="OEP30" s="172"/>
      <c r="OEQ30" s="172"/>
      <c r="OER30" s="172"/>
      <c r="OES30" s="172"/>
      <c r="OET30" s="172"/>
      <c r="OEU30" s="172"/>
      <c r="OEV30" s="172"/>
      <c r="OEW30" s="172"/>
      <c r="OEX30" s="172"/>
      <c r="OEY30" s="172"/>
      <c r="OEZ30" s="172"/>
      <c r="OFA30" s="172"/>
      <c r="OFB30" s="172"/>
      <c r="OFC30" s="172"/>
      <c r="OFD30" s="172"/>
      <c r="OFE30" s="172"/>
      <c r="OFF30" s="172"/>
      <c r="OFG30" s="172"/>
      <c r="OFH30" s="172"/>
      <c r="OFI30" s="172"/>
      <c r="OFJ30" s="172"/>
      <c r="OFK30" s="172"/>
      <c r="OFL30" s="172"/>
      <c r="OFM30" s="172"/>
      <c r="OFN30" s="172"/>
      <c r="OFO30" s="172"/>
      <c r="OFP30" s="172"/>
      <c r="OFQ30" s="172"/>
      <c r="OFR30" s="172"/>
      <c r="OFS30" s="172"/>
      <c r="OFT30" s="172"/>
      <c r="OFU30" s="172"/>
      <c r="OFV30" s="172"/>
      <c r="OFW30" s="172"/>
      <c r="OFX30" s="172"/>
      <c r="OFY30" s="172"/>
      <c r="OFZ30" s="172"/>
      <c r="OGA30" s="172"/>
      <c r="OGB30" s="172"/>
      <c r="OGC30" s="172"/>
      <c r="OGD30" s="172"/>
      <c r="OGE30" s="172"/>
      <c r="OGF30" s="172"/>
      <c r="OGG30" s="172"/>
      <c r="OGH30" s="172"/>
      <c r="OGI30" s="172"/>
      <c r="OGJ30" s="172"/>
      <c r="OGK30" s="172"/>
      <c r="OGL30" s="172"/>
      <c r="OGM30" s="172"/>
      <c r="OGN30" s="172"/>
      <c r="OGO30" s="172"/>
      <c r="OGP30" s="172"/>
      <c r="OGQ30" s="172"/>
      <c r="OGR30" s="172"/>
      <c r="OGS30" s="172"/>
      <c r="OGT30" s="172"/>
      <c r="OGU30" s="172"/>
      <c r="OGV30" s="172"/>
      <c r="OGW30" s="172"/>
      <c r="OGX30" s="172"/>
      <c r="OGY30" s="172"/>
      <c r="OGZ30" s="172"/>
      <c r="OHA30" s="172"/>
      <c r="OHB30" s="172"/>
      <c r="OHC30" s="172"/>
      <c r="OHD30" s="172"/>
      <c r="OHE30" s="172"/>
      <c r="OHF30" s="172"/>
      <c r="OHG30" s="172"/>
      <c r="OHH30" s="172"/>
      <c r="OHI30" s="172"/>
      <c r="OHJ30" s="172"/>
      <c r="OHK30" s="172"/>
      <c r="OHL30" s="172"/>
      <c r="OHM30" s="172"/>
      <c r="OHN30" s="172"/>
      <c r="OHO30" s="172"/>
      <c r="OHP30" s="172"/>
      <c r="OHQ30" s="172"/>
      <c r="OHR30" s="172"/>
      <c r="OHS30" s="172"/>
      <c r="OHT30" s="172"/>
      <c r="OHU30" s="172"/>
      <c r="OHV30" s="172"/>
      <c r="OHW30" s="172"/>
      <c r="OHX30" s="172"/>
      <c r="OHY30" s="172"/>
      <c r="OHZ30" s="172"/>
      <c r="OIA30" s="172"/>
      <c r="OIB30" s="172"/>
      <c r="OIC30" s="172"/>
      <c r="OID30" s="172"/>
      <c r="OIE30" s="172"/>
      <c r="OIF30" s="172"/>
      <c r="OIG30" s="172"/>
      <c r="OIH30" s="172"/>
      <c r="OII30" s="172"/>
      <c r="OIJ30" s="172"/>
      <c r="OIK30" s="172"/>
      <c r="OIL30" s="172"/>
      <c r="OIM30" s="172"/>
      <c r="OIN30" s="172"/>
      <c r="OIO30" s="172"/>
      <c r="OIP30" s="172"/>
      <c r="OIQ30" s="172"/>
      <c r="OIR30" s="172"/>
      <c r="OIS30" s="172"/>
      <c r="OIT30" s="172"/>
      <c r="OIU30" s="172"/>
      <c r="OIV30" s="172"/>
      <c r="OIW30" s="172"/>
      <c r="OIX30" s="172"/>
      <c r="OIY30" s="172"/>
      <c r="OIZ30" s="172"/>
      <c r="OJA30" s="172"/>
      <c r="OJB30" s="172"/>
      <c r="OJC30" s="172"/>
      <c r="OJD30" s="172"/>
      <c r="OJE30" s="172"/>
      <c r="OJF30" s="172"/>
      <c r="OJG30" s="172"/>
      <c r="OJH30" s="172"/>
      <c r="OJI30" s="172"/>
      <c r="OJJ30" s="172"/>
      <c r="OJK30" s="172"/>
      <c r="OJL30" s="172"/>
      <c r="OJM30" s="172"/>
      <c r="OJN30" s="172"/>
      <c r="OJO30" s="172"/>
      <c r="OJP30" s="172"/>
      <c r="OJQ30" s="172"/>
      <c r="OJR30" s="172"/>
      <c r="OJS30" s="172"/>
      <c r="OJT30" s="172"/>
      <c r="OJU30" s="172"/>
      <c r="OJV30" s="172"/>
      <c r="OJW30" s="172"/>
      <c r="OJX30" s="172"/>
      <c r="OJY30" s="172"/>
      <c r="OJZ30" s="172"/>
      <c r="OKA30" s="172"/>
      <c r="OKB30" s="172"/>
      <c r="OKC30" s="172"/>
      <c r="OKD30" s="172"/>
      <c r="OKE30" s="172"/>
      <c r="OKF30" s="172"/>
      <c r="OKG30" s="172"/>
      <c r="OKH30" s="172"/>
      <c r="OKI30" s="172"/>
      <c r="OKJ30" s="172"/>
      <c r="OKK30" s="172"/>
      <c r="OKL30" s="172"/>
      <c r="OKM30" s="172"/>
      <c r="OKN30" s="172"/>
      <c r="OKO30" s="172"/>
      <c r="OKP30" s="172"/>
      <c r="OKQ30" s="172"/>
      <c r="OKR30" s="172"/>
      <c r="OKS30" s="172"/>
      <c r="OKT30" s="172"/>
      <c r="OKU30" s="172"/>
      <c r="OKV30" s="172"/>
      <c r="OKW30" s="172"/>
      <c r="OKX30" s="172"/>
      <c r="OKY30" s="172"/>
      <c r="OKZ30" s="172"/>
      <c r="OLA30" s="172"/>
      <c r="OLB30" s="172"/>
      <c r="OLC30" s="172"/>
      <c r="OLD30" s="172"/>
      <c r="OLE30" s="172"/>
      <c r="OLF30" s="172"/>
      <c r="OLG30" s="172"/>
      <c r="OLH30" s="172"/>
      <c r="OLI30" s="172"/>
      <c r="OLJ30" s="172"/>
      <c r="OLK30" s="172"/>
      <c r="OLL30" s="172"/>
      <c r="OLM30" s="172"/>
      <c r="OLN30" s="172"/>
      <c r="OLO30" s="172"/>
      <c r="OLP30" s="172"/>
      <c r="OLQ30" s="172"/>
      <c r="OLR30" s="172"/>
      <c r="OLS30" s="172"/>
      <c r="OLT30" s="172"/>
      <c r="OLU30" s="172"/>
      <c r="OLV30" s="172"/>
      <c r="OLW30" s="172"/>
      <c r="OLX30" s="172"/>
      <c r="OLY30" s="172"/>
      <c r="OLZ30" s="172"/>
      <c r="OMA30" s="172"/>
      <c r="OMB30" s="172"/>
      <c r="OMC30" s="172"/>
      <c r="OMD30" s="172"/>
      <c r="OME30" s="172"/>
      <c r="OMF30" s="172"/>
      <c r="OMG30" s="172"/>
      <c r="OMH30" s="172"/>
      <c r="OMI30" s="172"/>
      <c r="OMJ30" s="172"/>
      <c r="OMK30" s="172"/>
      <c r="OML30" s="172"/>
      <c r="OMM30" s="172"/>
      <c r="OMN30" s="172"/>
      <c r="OMO30" s="172"/>
      <c r="OMP30" s="172"/>
      <c r="OMQ30" s="172"/>
      <c r="OMR30" s="172"/>
      <c r="OMS30" s="172"/>
      <c r="OMT30" s="172"/>
      <c r="OMU30" s="172"/>
      <c r="OMV30" s="172"/>
      <c r="OMW30" s="172"/>
      <c r="OMX30" s="172"/>
      <c r="OMY30" s="172"/>
      <c r="OMZ30" s="172"/>
      <c r="ONA30" s="172"/>
      <c r="ONB30" s="172"/>
      <c r="ONC30" s="172"/>
      <c r="OND30" s="172"/>
      <c r="ONE30" s="172"/>
      <c r="ONF30" s="172"/>
      <c r="ONG30" s="172"/>
      <c r="ONH30" s="172"/>
      <c r="ONI30" s="172"/>
      <c r="ONJ30" s="172"/>
      <c r="ONK30" s="172"/>
      <c r="ONL30" s="172"/>
      <c r="ONM30" s="172"/>
      <c r="ONN30" s="172"/>
      <c r="ONO30" s="172"/>
      <c r="ONP30" s="172"/>
      <c r="ONQ30" s="172"/>
      <c r="ONR30" s="172"/>
      <c r="ONS30" s="172"/>
      <c r="ONT30" s="172"/>
      <c r="ONU30" s="172"/>
      <c r="ONV30" s="172"/>
      <c r="ONW30" s="172"/>
      <c r="ONX30" s="172"/>
      <c r="ONY30" s="172"/>
      <c r="ONZ30" s="172"/>
      <c r="OOA30" s="172"/>
      <c r="OOB30" s="172"/>
      <c r="OOC30" s="172"/>
      <c r="OOD30" s="172"/>
      <c r="OOE30" s="172"/>
      <c r="OOF30" s="172"/>
      <c r="OOG30" s="172"/>
      <c r="OOH30" s="172"/>
      <c r="OOI30" s="172"/>
      <c r="OOJ30" s="172"/>
      <c r="OOK30" s="172"/>
      <c r="OOL30" s="172"/>
      <c r="OOM30" s="172"/>
      <c r="OON30" s="172"/>
      <c r="OOO30" s="172"/>
      <c r="OOP30" s="172"/>
      <c r="OOQ30" s="172"/>
      <c r="OOR30" s="172"/>
      <c r="OOS30" s="172"/>
      <c r="OOT30" s="172"/>
      <c r="OOU30" s="172"/>
      <c r="OOV30" s="172"/>
      <c r="OOW30" s="172"/>
      <c r="OOX30" s="172"/>
      <c r="OOY30" s="172"/>
      <c r="OOZ30" s="172"/>
      <c r="OPA30" s="172"/>
      <c r="OPB30" s="172"/>
      <c r="OPC30" s="172"/>
      <c r="OPD30" s="172"/>
      <c r="OPE30" s="172"/>
      <c r="OPF30" s="172"/>
      <c r="OPG30" s="172"/>
      <c r="OPH30" s="172"/>
      <c r="OPI30" s="172"/>
      <c r="OPJ30" s="172"/>
      <c r="OPK30" s="172"/>
      <c r="OPL30" s="172"/>
      <c r="OPM30" s="172"/>
      <c r="OPN30" s="172"/>
      <c r="OPO30" s="172"/>
      <c r="OPP30" s="172"/>
      <c r="OPQ30" s="172"/>
      <c r="OPR30" s="172"/>
      <c r="OPS30" s="172"/>
      <c r="OPT30" s="172"/>
      <c r="OPU30" s="172"/>
      <c r="OPV30" s="172"/>
      <c r="OPW30" s="172"/>
      <c r="OPX30" s="172"/>
      <c r="OPY30" s="172"/>
      <c r="OPZ30" s="172"/>
      <c r="OQA30" s="172"/>
      <c r="OQB30" s="172"/>
      <c r="OQC30" s="172"/>
      <c r="OQD30" s="172"/>
      <c r="OQE30" s="172"/>
      <c r="OQF30" s="172"/>
      <c r="OQG30" s="172"/>
      <c r="OQH30" s="172"/>
      <c r="OQI30" s="172"/>
      <c r="OQJ30" s="172"/>
      <c r="OQK30" s="172"/>
      <c r="OQL30" s="172"/>
      <c r="OQM30" s="172"/>
      <c r="OQN30" s="172"/>
      <c r="OQO30" s="172"/>
      <c r="OQP30" s="172"/>
      <c r="OQQ30" s="172"/>
      <c r="OQR30" s="172"/>
      <c r="OQS30" s="172"/>
      <c r="OQT30" s="172"/>
      <c r="OQU30" s="172"/>
      <c r="OQV30" s="172"/>
      <c r="OQW30" s="172"/>
      <c r="OQX30" s="172"/>
      <c r="OQY30" s="172"/>
      <c r="OQZ30" s="172"/>
      <c r="ORA30" s="172"/>
      <c r="ORB30" s="172"/>
      <c r="ORC30" s="172"/>
      <c r="ORD30" s="172"/>
      <c r="ORE30" s="172"/>
      <c r="ORF30" s="172"/>
      <c r="ORG30" s="172"/>
      <c r="ORH30" s="172"/>
      <c r="ORI30" s="172"/>
      <c r="ORJ30" s="172"/>
      <c r="ORK30" s="172"/>
      <c r="ORL30" s="172"/>
      <c r="ORM30" s="172"/>
      <c r="ORN30" s="172"/>
      <c r="ORO30" s="172"/>
      <c r="ORP30" s="172"/>
      <c r="ORQ30" s="172"/>
      <c r="ORR30" s="172"/>
      <c r="ORS30" s="172"/>
      <c r="ORT30" s="172"/>
      <c r="ORU30" s="172"/>
      <c r="ORV30" s="172"/>
      <c r="ORW30" s="172"/>
      <c r="ORX30" s="172"/>
      <c r="ORY30" s="172"/>
      <c r="ORZ30" s="172"/>
      <c r="OSA30" s="172"/>
      <c r="OSB30" s="172"/>
      <c r="OSC30" s="172"/>
      <c r="OSD30" s="172"/>
      <c r="OSE30" s="172"/>
      <c r="OSF30" s="172"/>
      <c r="OSG30" s="172"/>
      <c r="OSH30" s="172"/>
      <c r="OSI30" s="172"/>
      <c r="OSJ30" s="172"/>
      <c r="OSK30" s="172"/>
      <c r="OSL30" s="172"/>
      <c r="OSM30" s="172"/>
      <c r="OSN30" s="172"/>
      <c r="OSO30" s="172"/>
      <c r="OSP30" s="172"/>
      <c r="OSQ30" s="172"/>
      <c r="OSR30" s="172"/>
      <c r="OSS30" s="172"/>
      <c r="OST30" s="172"/>
      <c r="OSU30" s="172"/>
      <c r="OSV30" s="172"/>
      <c r="OSW30" s="172"/>
      <c r="OSX30" s="172"/>
      <c r="OSY30" s="172"/>
      <c r="OSZ30" s="172"/>
      <c r="OTA30" s="172"/>
      <c r="OTB30" s="172"/>
      <c r="OTC30" s="172"/>
      <c r="OTD30" s="172"/>
      <c r="OTE30" s="172"/>
      <c r="OTF30" s="172"/>
      <c r="OTG30" s="172"/>
      <c r="OTH30" s="172"/>
      <c r="OTI30" s="172"/>
      <c r="OTJ30" s="172"/>
      <c r="OTK30" s="172"/>
      <c r="OTL30" s="172"/>
      <c r="OTM30" s="172"/>
      <c r="OTN30" s="172"/>
      <c r="OTO30" s="172"/>
      <c r="OTP30" s="172"/>
      <c r="OTQ30" s="172"/>
      <c r="OTR30" s="172"/>
      <c r="OTS30" s="172"/>
      <c r="OTT30" s="172"/>
      <c r="OTU30" s="172"/>
      <c r="OTV30" s="172"/>
      <c r="OTW30" s="172"/>
      <c r="OTX30" s="172"/>
      <c r="OTY30" s="172"/>
      <c r="OTZ30" s="172"/>
      <c r="OUA30" s="172"/>
      <c r="OUB30" s="172"/>
      <c r="OUC30" s="172"/>
      <c r="OUD30" s="172"/>
      <c r="OUE30" s="172"/>
      <c r="OUF30" s="172"/>
      <c r="OUG30" s="172"/>
      <c r="OUH30" s="172"/>
      <c r="OUI30" s="172"/>
      <c r="OUJ30" s="172"/>
      <c r="OUK30" s="172"/>
      <c r="OUL30" s="172"/>
      <c r="OUM30" s="172"/>
      <c r="OUN30" s="172"/>
      <c r="OUO30" s="172"/>
      <c r="OUP30" s="172"/>
      <c r="OUQ30" s="172"/>
      <c r="OUR30" s="172"/>
      <c r="OUS30" s="172"/>
      <c r="OUT30" s="172"/>
      <c r="OUU30" s="172"/>
      <c r="OUV30" s="172"/>
      <c r="OUW30" s="172"/>
      <c r="OUX30" s="172"/>
      <c r="OUY30" s="172"/>
      <c r="OUZ30" s="172"/>
      <c r="OVA30" s="172"/>
      <c r="OVB30" s="172"/>
      <c r="OVC30" s="172"/>
      <c r="OVD30" s="172"/>
      <c r="OVE30" s="172"/>
      <c r="OVF30" s="172"/>
      <c r="OVG30" s="172"/>
      <c r="OVH30" s="172"/>
      <c r="OVI30" s="172"/>
      <c r="OVJ30" s="172"/>
      <c r="OVK30" s="172"/>
      <c r="OVL30" s="172"/>
      <c r="OVM30" s="172"/>
      <c r="OVN30" s="172"/>
      <c r="OVO30" s="172"/>
      <c r="OVP30" s="172"/>
      <c r="OVQ30" s="172"/>
      <c r="OVR30" s="172"/>
      <c r="OVS30" s="172"/>
      <c r="OVT30" s="172"/>
      <c r="OVU30" s="172"/>
      <c r="OVV30" s="172"/>
      <c r="OVW30" s="172"/>
      <c r="OVX30" s="172"/>
      <c r="OVY30" s="172"/>
      <c r="OVZ30" s="172"/>
      <c r="OWA30" s="172"/>
      <c r="OWB30" s="172"/>
      <c r="OWC30" s="172"/>
      <c r="OWD30" s="172"/>
      <c r="OWE30" s="172"/>
      <c r="OWF30" s="172"/>
      <c r="OWG30" s="172"/>
      <c r="OWH30" s="172"/>
      <c r="OWI30" s="172"/>
      <c r="OWJ30" s="172"/>
      <c r="OWK30" s="172"/>
      <c r="OWL30" s="172"/>
      <c r="OWM30" s="172"/>
      <c r="OWN30" s="172"/>
      <c r="OWO30" s="172"/>
      <c r="OWP30" s="172"/>
      <c r="OWQ30" s="172"/>
      <c r="OWR30" s="172"/>
      <c r="OWS30" s="172"/>
      <c r="OWT30" s="172"/>
      <c r="OWU30" s="172"/>
      <c r="OWV30" s="172"/>
      <c r="OWW30" s="172"/>
      <c r="OWX30" s="172"/>
      <c r="OWY30" s="172"/>
      <c r="OWZ30" s="172"/>
      <c r="OXA30" s="172"/>
      <c r="OXB30" s="172"/>
      <c r="OXC30" s="172"/>
      <c r="OXD30" s="172"/>
      <c r="OXE30" s="172"/>
      <c r="OXF30" s="172"/>
      <c r="OXG30" s="172"/>
      <c r="OXH30" s="172"/>
      <c r="OXI30" s="172"/>
      <c r="OXJ30" s="172"/>
      <c r="OXK30" s="172"/>
      <c r="OXL30" s="172"/>
      <c r="OXM30" s="172"/>
      <c r="OXN30" s="172"/>
      <c r="OXO30" s="172"/>
      <c r="OXP30" s="172"/>
      <c r="OXQ30" s="172"/>
      <c r="OXR30" s="172"/>
      <c r="OXS30" s="172"/>
      <c r="OXT30" s="172"/>
      <c r="OXU30" s="172"/>
      <c r="OXV30" s="172"/>
      <c r="OXW30" s="172"/>
      <c r="OXX30" s="172"/>
      <c r="OXY30" s="172"/>
      <c r="OXZ30" s="172"/>
      <c r="OYA30" s="172"/>
      <c r="OYB30" s="172"/>
      <c r="OYC30" s="172"/>
      <c r="OYD30" s="172"/>
      <c r="OYE30" s="172"/>
      <c r="OYF30" s="172"/>
      <c r="OYG30" s="172"/>
      <c r="OYH30" s="172"/>
      <c r="OYI30" s="172"/>
      <c r="OYJ30" s="172"/>
      <c r="OYK30" s="172"/>
      <c r="OYL30" s="172"/>
      <c r="OYM30" s="172"/>
      <c r="OYN30" s="172"/>
      <c r="OYO30" s="172"/>
      <c r="OYP30" s="172"/>
      <c r="OYQ30" s="172"/>
      <c r="OYR30" s="172"/>
      <c r="OYS30" s="172"/>
      <c r="OYT30" s="172"/>
      <c r="OYU30" s="172"/>
      <c r="OYV30" s="172"/>
      <c r="OYW30" s="172"/>
      <c r="OYX30" s="172"/>
      <c r="OYY30" s="172"/>
      <c r="OYZ30" s="172"/>
      <c r="OZA30" s="172"/>
      <c r="OZB30" s="172"/>
      <c r="OZC30" s="172"/>
      <c r="OZD30" s="172"/>
      <c r="OZE30" s="172"/>
      <c r="OZF30" s="172"/>
      <c r="OZG30" s="172"/>
      <c r="OZH30" s="172"/>
      <c r="OZI30" s="172"/>
      <c r="OZJ30" s="172"/>
      <c r="OZK30" s="172"/>
      <c r="OZL30" s="172"/>
      <c r="OZM30" s="172"/>
      <c r="OZN30" s="172"/>
      <c r="OZO30" s="172"/>
      <c r="OZP30" s="172"/>
      <c r="OZQ30" s="172"/>
      <c r="OZR30" s="172"/>
      <c r="OZS30" s="172"/>
      <c r="OZT30" s="172"/>
      <c r="OZU30" s="172"/>
      <c r="OZV30" s="172"/>
      <c r="OZW30" s="172"/>
      <c r="OZX30" s="172"/>
      <c r="OZY30" s="172"/>
      <c r="OZZ30" s="172"/>
      <c r="PAA30" s="172"/>
      <c r="PAB30" s="172"/>
      <c r="PAC30" s="172"/>
      <c r="PAD30" s="172"/>
      <c r="PAE30" s="172"/>
      <c r="PAF30" s="172"/>
      <c r="PAG30" s="172"/>
      <c r="PAH30" s="172"/>
      <c r="PAI30" s="172"/>
      <c r="PAJ30" s="172"/>
      <c r="PAK30" s="172"/>
      <c r="PAL30" s="172"/>
      <c r="PAM30" s="172"/>
      <c r="PAN30" s="172"/>
      <c r="PAO30" s="172"/>
      <c r="PAP30" s="172"/>
      <c r="PAQ30" s="172"/>
      <c r="PAR30" s="172"/>
      <c r="PAS30" s="172"/>
      <c r="PAT30" s="172"/>
      <c r="PAU30" s="172"/>
      <c r="PAV30" s="172"/>
      <c r="PAW30" s="172"/>
      <c r="PAX30" s="172"/>
      <c r="PAY30" s="172"/>
      <c r="PAZ30" s="172"/>
      <c r="PBA30" s="172"/>
      <c r="PBB30" s="172"/>
      <c r="PBC30" s="172"/>
      <c r="PBD30" s="172"/>
      <c r="PBE30" s="172"/>
      <c r="PBF30" s="172"/>
      <c r="PBG30" s="172"/>
      <c r="PBH30" s="172"/>
      <c r="PBI30" s="172"/>
      <c r="PBJ30" s="172"/>
      <c r="PBK30" s="172"/>
      <c r="PBL30" s="172"/>
      <c r="PBM30" s="172"/>
      <c r="PBN30" s="172"/>
      <c r="PBO30" s="172"/>
      <c r="PBP30" s="172"/>
      <c r="PBQ30" s="172"/>
      <c r="PBR30" s="172"/>
      <c r="PBS30" s="172"/>
      <c r="PBT30" s="172"/>
      <c r="PBU30" s="172"/>
      <c r="PBV30" s="172"/>
      <c r="PBW30" s="172"/>
      <c r="PBX30" s="172"/>
      <c r="PBY30" s="172"/>
      <c r="PBZ30" s="172"/>
      <c r="PCA30" s="172"/>
      <c r="PCB30" s="172"/>
      <c r="PCC30" s="172"/>
      <c r="PCD30" s="172"/>
      <c r="PCE30" s="172"/>
      <c r="PCF30" s="172"/>
      <c r="PCG30" s="172"/>
      <c r="PCH30" s="172"/>
      <c r="PCI30" s="172"/>
      <c r="PCJ30" s="172"/>
      <c r="PCK30" s="172"/>
      <c r="PCL30" s="172"/>
      <c r="PCM30" s="172"/>
      <c r="PCN30" s="172"/>
      <c r="PCO30" s="172"/>
      <c r="PCP30" s="172"/>
      <c r="PCQ30" s="172"/>
      <c r="PCR30" s="172"/>
      <c r="PCS30" s="172"/>
      <c r="PCT30" s="172"/>
      <c r="PCU30" s="172"/>
      <c r="PCV30" s="172"/>
      <c r="PCW30" s="172"/>
      <c r="PCX30" s="172"/>
      <c r="PCY30" s="172"/>
      <c r="PCZ30" s="172"/>
      <c r="PDA30" s="172"/>
      <c r="PDB30" s="172"/>
      <c r="PDC30" s="172"/>
      <c r="PDD30" s="172"/>
      <c r="PDE30" s="172"/>
      <c r="PDF30" s="172"/>
      <c r="PDG30" s="172"/>
      <c r="PDH30" s="172"/>
      <c r="PDI30" s="172"/>
      <c r="PDJ30" s="172"/>
      <c r="PDK30" s="172"/>
      <c r="PDL30" s="172"/>
      <c r="PDM30" s="172"/>
      <c r="PDN30" s="172"/>
      <c r="PDO30" s="172"/>
      <c r="PDP30" s="172"/>
      <c r="PDQ30" s="172"/>
      <c r="PDR30" s="172"/>
      <c r="PDS30" s="172"/>
      <c r="PDT30" s="172"/>
      <c r="PDU30" s="172"/>
      <c r="PDV30" s="172"/>
      <c r="PDW30" s="172"/>
      <c r="PDX30" s="172"/>
      <c r="PDY30" s="172"/>
      <c r="PDZ30" s="172"/>
      <c r="PEA30" s="172"/>
      <c r="PEB30" s="172"/>
      <c r="PEC30" s="172"/>
      <c r="PED30" s="172"/>
      <c r="PEE30" s="172"/>
      <c r="PEF30" s="172"/>
      <c r="PEG30" s="172"/>
      <c r="PEH30" s="172"/>
      <c r="PEI30" s="172"/>
      <c r="PEJ30" s="172"/>
      <c r="PEK30" s="172"/>
      <c r="PEL30" s="172"/>
      <c r="PEM30" s="172"/>
      <c r="PEN30" s="172"/>
      <c r="PEO30" s="172"/>
      <c r="PEP30" s="172"/>
      <c r="PEQ30" s="172"/>
      <c r="PER30" s="172"/>
      <c r="PES30" s="172"/>
      <c r="PET30" s="172"/>
      <c r="PEU30" s="172"/>
      <c r="PEV30" s="172"/>
      <c r="PEW30" s="172"/>
      <c r="PEX30" s="172"/>
      <c r="PEY30" s="172"/>
      <c r="PEZ30" s="172"/>
      <c r="PFA30" s="172"/>
      <c r="PFB30" s="172"/>
      <c r="PFC30" s="172"/>
      <c r="PFD30" s="172"/>
      <c r="PFE30" s="172"/>
      <c r="PFF30" s="172"/>
      <c r="PFG30" s="172"/>
      <c r="PFH30" s="172"/>
      <c r="PFI30" s="172"/>
      <c r="PFJ30" s="172"/>
      <c r="PFK30" s="172"/>
      <c r="PFL30" s="172"/>
      <c r="PFM30" s="172"/>
      <c r="PFN30" s="172"/>
      <c r="PFO30" s="172"/>
      <c r="PFP30" s="172"/>
      <c r="PFQ30" s="172"/>
      <c r="PFR30" s="172"/>
      <c r="PFS30" s="172"/>
      <c r="PFT30" s="172"/>
      <c r="PFU30" s="172"/>
      <c r="PFV30" s="172"/>
      <c r="PFW30" s="172"/>
      <c r="PFX30" s="172"/>
      <c r="PFY30" s="172"/>
      <c r="PFZ30" s="172"/>
      <c r="PGA30" s="172"/>
      <c r="PGB30" s="172"/>
      <c r="PGC30" s="172"/>
      <c r="PGD30" s="172"/>
      <c r="PGE30" s="172"/>
      <c r="PGF30" s="172"/>
      <c r="PGG30" s="172"/>
      <c r="PGH30" s="172"/>
      <c r="PGI30" s="172"/>
      <c r="PGJ30" s="172"/>
      <c r="PGK30" s="172"/>
      <c r="PGL30" s="172"/>
      <c r="PGM30" s="172"/>
      <c r="PGN30" s="172"/>
      <c r="PGO30" s="172"/>
      <c r="PGP30" s="172"/>
      <c r="PGQ30" s="172"/>
      <c r="PGR30" s="172"/>
      <c r="PGS30" s="172"/>
      <c r="PGT30" s="172"/>
      <c r="PGU30" s="172"/>
      <c r="PGV30" s="172"/>
      <c r="PGW30" s="172"/>
      <c r="PGX30" s="172"/>
      <c r="PGY30" s="172"/>
      <c r="PGZ30" s="172"/>
      <c r="PHA30" s="172"/>
      <c r="PHB30" s="172"/>
      <c r="PHC30" s="172"/>
      <c r="PHD30" s="172"/>
      <c r="PHE30" s="172"/>
      <c r="PHF30" s="172"/>
      <c r="PHG30" s="172"/>
      <c r="PHH30" s="172"/>
      <c r="PHI30" s="172"/>
      <c r="PHJ30" s="172"/>
      <c r="PHK30" s="172"/>
      <c r="PHL30" s="172"/>
      <c r="PHM30" s="172"/>
      <c r="PHN30" s="172"/>
      <c r="PHO30" s="172"/>
      <c r="PHP30" s="172"/>
      <c r="PHQ30" s="172"/>
      <c r="PHR30" s="172"/>
      <c r="PHS30" s="172"/>
      <c r="PHT30" s="172"/>
      <c r="PHU30" s="172"/>
      <c r="PHV30" s="172"/>
      <c r="PHW30" s="172"/>
      <c r="PHX30" s="172"/>
      <c r="PHY30" s="172"/>
      <c r="PHZ30" s="172"/>
      <c r="PIA30" s="172"/>
      <c r="PIB30" s="172"/>
      <c r="PIC30" s="172"/>
      <c r="PID30" s="172"/>
      <c r="PIE30" s="172"/>
      <c r="PIF30" s="172"/>
      <c r="PIG30" s="172"/>
      <c r="PIH30" s="172"/>
      <c r="PII30" s="172"/>
      <c r="PIJ30" s="172"/>
      <c r="PIK30" s="172"/>
      <c r="PIL30" s="172"/>
      <c r="PIM30" s="172"/>
      <c r="PIN30" s="172"/>
      <c r="PIO30" s="172"/>
      <c r="PIP30" s="172"/>
      <c r="PIQ30" s="172"/>
      <c r="PIR30" s="172"/>
      <c r="PIS30" s="172"/>
      <c r="PIT30" s="172"/>
      <c r="PIU30" s="172"/>
      <c r="PIV30" s="172"/>
      <c r="PIW30" s="172"/>
      <c r="PIX30" s="172"/>
      <c r="PIY30" s="172"/>
      <c r="PIZ30" s="172"/>
      <c r="PJA30" s="172"/>
      <c r="PJB30" s="172"/>
      <c r="PJC30" s="172"/>
      <c r="PJD30" s="172"/>
      <c r="PJE30" s="172"/>
      <c r="PJF30" s="172"/>
      <c r="PJG30" s="172"/>
      <c r="PJH30" s="172"/>
      <c r="PJI30" s="172"/>
      <c r="PJJ30" s="172"/>
      <c r="PJK30" s="172"/>
      <c r="PJL30" s="172"/>
      <c r="PJM30" s="172"/>
      <c r="PJN30" s="172"/>
      <c r="PJO30" s="172"/>
      <c r="PJP30" s="172"/>
      <c r="PJQ30" s="172"/>
      <c r="PJR30" s="172"/>
      <c r="PJS30" s="172"/>
      <c r="PJT30" s="172"/>
      <c r="PJU30" s="172"/>
      <c r="PJV30" s="172"/>
      <c r="PJW30" s="172"/>
      <c r="PJX30" s="172"/>
      <c r="PJY30" s="172"/>
      <c r="PJZ30" s="172"/>
      <c r="PKA30" s="172"/>
      <c r="PKB30" s="172"/>
      <c r="PKC30" s="172"/>
      <c r="PKD30" s="172"/>
      <c r="PKE30" s="172"/>
      <c r="PKF30" s="172"/>
      <c r="PKG30" s="172"/>
      <c r="PKH30" s="172"/>
      <c r="PKI30" s="172"/>
      <c r="PKJ30" s="172"/>
      <c r="PKK30" s="172"/>
      <c r="PKL30" s="172"/>
      <c r="PKM30" s="172"/>
      <c r="PKN30" s="172"/>
      <c r="PKO30" s="172"/>
      <c r="PKP30" s="172"/>
      <c r="PKQ30" s="172"/>
      <c r="PKR30" s="172"/>
      <c r="PKS30" s="172"/>
      <c r="PKT30" s="172"/>
      <c r="PKU30" s="172"/>
      <c r="PKV30" s="172"/>
      <c r="PKW30" s="172"/>
      <c r="PKX30" s="172"/>
      <c r="PKY30" s="172"/>
      <c r="PKZ30" s="172"/>
      <c r="PLA30" s="172"/>
      <c r="PLB30" s="172"/>
      <c r="PLC30" s="172"/>
      <c r="PLD30" s="172"/>
      <c r="PLE30" s="172"/>
      <c r="PLF30" s="172"/>
      <c r="PLG30" s="172"/>
      <c r="PLH30" s="172"/>
      <c r="PLI30" s="172"/>
      <c r="PLJ30" s="172"/>
      <c r="PLK30" s="172"/>
      <c r="PLL30" s="172"/>
      <c r="PLM30" s="172"/>
      <c r="PLN30" s="172"/>
      <c r="PLO30" s="172"/>
      <c r="PLP30" s="172"/>
      <c r="PLQ30" s="172"/>
      <c r="PLR30" s="172"/>
      <c r="PLS30" s="172"/>
      <c r="PLT30" s="172"/>
      <c r="PLU30" s="172"/>
      <c r="PLV30" s="172"/>
      <c r="PLW30" s="172"/>
      <c r="PLX30" s="172"/>
      <c r="PLY30" s="172"/>
      <c r="PLZ30" s="172"/>
      <c r="PMA30" s="172"/>
      <c r="PMB30" s="172"/>
      <c r="PMC30" s="172"/>
      <c r="PMD30" s="172"/>
      <c r="PME30" s="172"/>
      <c r="PMF30" s="172"/>
      <c r="PMG30" s="172"/>
      <c r="PMH30" s="172"/>
      <c r="PMI30" s="172"/>
      <c r="PMJ30" s="172"/>
      <c r="PMK30" s="172"/>
      <c r="PML30" s="172"/>
      <c r="PMM30" s="172"/>
      <c r="PMN30" s="172"/>
      <c r="PMO30" s="172"/>
      <c r="PMP30" s="172"/>
      <c r="PMQ30" s="172"/>
      <c r="PMR30" s="172"/>
      <c r="PMS30" s="172"/>
      <c r="PMT30" s="172"/>
      <c r="PMU30" s="172"/>
      <c r="PMV30" s="172"/>
      <c r="PMW30" s="172"/>
      <c r="PMX30" s="172"/>
      <c r="PMY30" s="172"/>
      <c r="PMZ30" s="172"/>
      <c r="PNA30" s="172"/>
      <c r="PNB30" s="172"/>
      <c r="PNC30" s="172"/>
      <c r="PND30" s="172"/>
      <c r="PNE30" s="172"/>
      <c r="PNF30" s="172"/>
      <c r="PNG30" s="172"/>
      <c r="PNH30" s="172"/>
      <c r="PNI30" s="172"/>
      <c r="PNJ30" s="172"/>
      <c r="PNK30" s="172"/>
      <c r="PNL30" s="172"/>
      <c r="PNM30" s="172"/>
      <c r="PNN30" s="172"/>
      <c r="PNO30" s="172"/>
      <c r="PNP30" s="172"/>
      <c r="PNQ30" s="172"/>
      <c r="PNR30" s="172"/>
      <c r="PNS30" s="172"/>
      <c r="PNT30" s="172"/>
      <c r="PNU30" s="172"/>
      <c r="PNV30" s="172"/>
      <c r="PNW30" s="172"/>
      <c r="PNX30" s="172"/>
      <c r="PNY30" s="172"/>
      <c r="PNZ30" s="172"/>
      <c r="POA30" s="172"/>
      <c r="POB30" s="172"/>
      <c r="POC30" s="172"/>
      <c r="POD30" s="172"/>
      <c r="POE30" s="172"/>
      <c r="POF30" s="172"/>
      <c r="POG30" s="172"/>
      <c r="POH30" s="172"/>
      <c r="POI30" s="172"/>
      <c r="POJ30" s="172"/>
      <c r="POK30" s="172"/>
      <c r="POL30" s="172"/>
      <c r="POM30" s="172"/>
      <c r="PON30" s="172"/>
      <c r="POO30" s="172"/>
      <c r="POP30" s="172"/>
      <c r="POQ30" s="172"/>
      <c r="POR30" s="172"/>
      <c r="POS30" s="172"/>
      <c r="POT30" s="172"/>
      <c r="POU30" s="172"/>
      <c r="POV30" s="172"/>
      <c r="POW30" s="172"/>
      <c r="POX30" s="172"/>
      <c r="POY30" s="172"/>
      <c r="POZ30" s="172"/>
      <c r="PPA30" s="172"/>
      <c r="PPB30" s="172"/>
      <c r="PPC30" s="172"/>
      <c r="PPD30" s="172"/>
      <c r="PPE30" s="172"/>
      <c r="PPF30" s="172"/>
      <c r="PPG30" s="172"/>
      <c r="PPH30" s="172"/>
      <c r="PPI30" s="172"/>
      <c r="PPJ30" s="172"/>
      <c r="PPK30" s="172"/>
      <c r="PPL30" s="172"/>
      <c r="PPM30" s="172"/>
      <c r="PPN30" s="172"/>
      <c r="PPO30" s="172"/>
      <c r="PPP30" s="172"/>
      <c r="PPQ30" s="172"/>
      <c r="PPR30" s="172"/>
      <c r="PPS30" s="172"/>
      <c r="PPT30" s="172"/>
      <c r="PPU30" s="172"/>
      <c r="PPV30" s="172"/>
      <c r="PPW30" s="172"/>
      <c r="PPX30" s="172"/>
      <c r="PPY30" s="172"/>
      <c r="PPZ30" s="172"/>
      <c r="PQA30" s="172"/>
      <c r="PQB30" s="172"/>
      <c r="PQC30" s="172"/>
      <c r="PQD30" s="172"/>
      <c r="PQE30" s="172"/>
      <c r="PQF30" s="172"/>
      <c r="PQG30" s="172"/>
      <c r="PQH30" s="172"/>
      <c r="PQI30" s="172"/>
      <c r="PQJ30" s="172"/>
      <c r="PQK30" s="172"/>
      <c r="PQL30" s="172"/>
      <c r="PQM30" s="172"/>
      <c r="PQN30" s="172"/>
      <c r="PQO30" s="172"/>
      <c r="PQP30" s="172"/>
      <c r="PQQ30" s="172"/>
      <c r="PQR30" s="172"/>
      <c r="PQS30" s="172"/>
      <c r="PQT30" s="172"/>
      <c r="PQU30" s="172"/>
      <c r="PQV30" s="172"/>
      <c r="PQW30" s="172"/>
      <c r="PQX30" s="172"/>
      <c r="PQY30" s="172"/>
      <c r="PQZ30" s="172"/>
      <c r="PRA30" s="172"/>
      <c r="PRB30" s="172"/>
      <c r="PRC30" s="172"/>
      <c r="PRD30" s="172"/>
      <c r="PRE30" s="172"/>
      <c r="PRF30" s="172"/>
      <c r="PRG30" s="172"/>
      <c r="PRH30" s="172"/>
      <c r="PRI30" s="172"/>
      <c r="PRJ30" s="172"/>
      <c r="PRK30" s="172"/>
      <c r="PRL30" s="172"/>
      <c r="PRM30" s="172"/>
      <c r="PRN30" s="172"/>
      <c r="PRO30" s="172"/>
      <c r="PRP30" s="172"/>
      <c r="PRQ30" s="172"/>
      <c r="PRR30" s="172"/>
      <c r="PRS30" s="172"/>
      <c r="PRT30" s="172"/>
      <c r="PRU30" s="172"/>
      <c r="PRV30" s="172"/>
      <c r="PRW30" s="172"/>
      <c r="PRX30" s="172"/>
      <c r="PRY30" s="172"/>
      <c r="PRZ30" s="172"/>
      <c r="PSA30" s="172"/>
      <c r="PSB30" s="172"/>
      <c r="PSC30" s="172"/>
      <c r="PSD30" s="172"/>
      <c r="PSE30" s="172"/>
      <c r="PSF30" s="172"/>
      <c r="PSG30" s="172"/>
      <c r="PSH30" s="172"/>
      <c r="PSI30" s="172"/>
      <c r="PSJ30" s="172"/>
      <c r="PSK30" s="172"/>
      <c r="PSL30" s="172"/>
      <c r="PSM30" s="172"/>
      <c r="PSN30" s="172"/>
      <c r="PSO30" s="172"/>
      <c r="PSP30" s="172"/>
      <c r="PSQ30" s="172"/>
      <c r="PSR30" s="172"/>
      <c r="PSS30" s="172"/>
      <c r="PST30" s="172"/>
      <c r="PSU30" s="172"/>
      <c r="PSV30" s="172"/>
      <c r="PSW30" s="172"/>
      <c r="PSX30" s="172"/>
      <c r="PSY30" s="172"/>
      <c r="PSZ30" s="172"/>
      <c r="PTA30" s="172"/>
      <c r="PTB30" s="172"/>
      <c r="PTC30" s="172"/>
      <c r="PTD30" s="172"/>
      <c r="PTE30" s="172"/>
      <c r="PTF30" s="172"/>
      <c r="PTG30" s="172"/>
      <c r="PTH30" s="172"/>
      <c r="PTI30" s="172"/>
      <c r="PTJ30" s="172"/>
      <c r="PTK30" s="172"/>
      <c r="PTL30" s="172"/>
      <c r="PTM30" s="172"/>
      <c r="PTN30" s="172"/>
      <c r="PTO30" s="172"/>
      <c r="PTP30" s="172"/>
      <c r="PTQ30" s="172"/>
      <c r="PTR30" s="172"/>
      <c r="PTS30" s="172"/>
      <c r="PTT30" s="172"/>
      <c r="PTU30" s="172"/>
      <c r="PTV30" s="172"/>
      <c r="PTW30" s="172"/>
      <c r="PTX30" s="172"/>
      <c r="PTY30" s="172"/>
      <c r="PTZ30" s="172"/>
      <c r="PUA30" s="172"/>
      <c r="PUB30" s="172"/>
      <c r="PUC30" s="172"/>
      <c r="PUD30" s="172"/>
      <c r="PUE30" s="172"/>
      <c r="PUF30" s="172"/>
      <c r="PUG30" s="172"/>
      <c r="PUH30" s="172"/>
      <c r="PUI30" s="172"/>
      <c r="PUJ30" s="172"/>
      <c r="PUK30" s="172"/>
      <c r="PUL30" s="172"/>
      <c r="PUM30" s="172"/>
      <c r="PUN30" s="172"/>
      <c r="PUO30" s="172"/>
      <c r="PUP30" s="172"/>
      <c r="PUQ30" s="172"/>
      <c r="PUR30" s="172"/>
      <c r="PUS30" s="172"/>
      <c r="PUT30" s="172"/>
      <c r="PUU30" s="172"/>
      <c r="PUV30" s="172"/>
      <c r="PUW30" s="172"/>
      <c r="PUX30" s="172"/>
      <c r="PUY30" s="172"/>
      <c r="PUZ30" s="172"/>
      <c r="PVA30" s="172"/>
      <c r="PVB30" s="172"/>
      <c r="PVC30" s="172"/>
      <c r="PVD30" s="172"/>
      <c r="PVE30" s="172"/>
      <c r="PVF30" s="172"/>
      <c r="PVG30" s="172"/>
      <c r="PVH30" s="172"/>
      <c r="PVI30" s="172"/>
      <c r="PVJ30" s="172"/>
      <c r="PVK30" s="172"/>
      <c r="PVL30" s="172"/>
      <c r="PVM30" s="172"/>
      <c r="PVN30" s="172"/>
      <c r="PVO30" s="172"/>
      <c r="PVP30" s="172"/>
      <c r="PVQ30" s="172"/>
      <c r="PVR30" s="172"/>
      <c r="PVS30" s="172"/>
      <c r="PVT30" s="172"/>
      <c r="PVU30" s="172"/>
      <c r="PVV30" s="172"/>
      <c r="PVW30" s="172"/>
      <c r="PVX30" s="172"/>
      <c r="PVY30" s="172"/>
      <c r="PVZ30" s="172"/>
      <c r="PWA30" s="172"/>
      <c r="PWB30" s="172"/>
      <c r="PWC30" s="172"/>
      <c r="PWD30" s="172"/>
      <c r="PWE30" s="172"/>
      <c r="PWF30" s="172"/>
      <c r="PWG30" s="172"/>
      <c r="PWH30" s="172"/>
      <c r="PWI30" s="172"/>
      <c r="PWJ30" s="172"/>
      <c r="PWK30" s="172"/>
      <c r="PWL30" s="172"/>
      <c r="PWM30" s="172"/>
      <c r="PWN30" s="172"/>
      <c r="PWO30" s="172"/>
      <c r="PWP30" s="172"/>
      <c r="PWQ30" s="172"/>
      <c r="PWR30" s="172"/>
      <c r="PWS30" s="172"/>
      <c r="PWT30" s="172"/>
      <c r="PWU30" s="172"/>
      <c r="PWV30" s="172"/>
      <c r="PWW30" s="172"/>
      <c r="PWX30" s="172"/>
      <c r="PWY30" s="172"/>
      <c r="PWZ30" s="172"/>
      <c r="PXA30" s="172"/>
      <c r="PXB30" s="172"/>
      <c r="PXC30" s="172"/>
      <c r="PXD30" s="172"/>
      <c r="PXE30" s="172"/>
      <c r="PXF30" s="172"/>
      <c r="PXG30" s="172"/>
      <c r="PXH30" s="172"/>
      <c r="PXI30" s="172"/>
      <c r="PXJ30" s="172"/>
      <c r="PXK30" s="172"/>
      <c r="PXL30" s="172"/>
      <c r="PXM30" s="172"/>
      <c r="PXN30" s="172"/>
      <c r="PXO30" s="172"/>
      <c r="PXP30" s="172"/>
      <c r="PXQ30" s="172"/>
      <c r="PXR30" s="172"/>
      <c r="PXS30" s="172"/>
      <c r="PXT30" s="172"/>
      <c r="PXU30" s="172"/>
      <c r="PXV30" s="172"/>
      <c r="PXW30" s="172"/>
      <c r="PXX30" s="172"/>
      <c r="PXY30" s="172"/>
      <c r="PXZ30" s="172"/>
      <c r="PYA30" s="172"/>
      <c r="PYB30" s="172"/>
      <c r="PYC30" s="172"/>
      <c r="PYD30" s="172"/>
      <c r="PYE30" s="172"/>
      <c r="PYF30" s="172"/>
      <c r="PYG30" s="172"/>
      <c r="PYH30" s="172"/>
      <c r="PYI30" s="172"/>
      <c r="PYJ30" s="172"/>
      <c r="PYK30" s="172"/>
      <c r="PYL30" s="172"/>
      <c r="PYM30" s="172"/>
      <c r="PYN30" s="172"/>
      <c r="PYO30" s="172"/>
      <c r="PYP30" s="172"/>
      <c r="PYQ30" s="172"/>
      <c r="PYR30" s="172"/>
      <c r="PYS30" s="172"/>
      <c r="PYT30" s="172"/>
      <c r="PYU30" s="172"/>
      <c r="PYV30" s="172"/>
      <c r="PYW30" s="172"/>
      <c r="PYX30" s="172"/>
      <c r="PYY30" s="172"/>
      <c r="PYZ30" s="172"/>
      <c r="PZA30" s="172"/>
      <c r="PZB30" s="172"/>
      <c r="PZC30" s="172"/>
      <c r="PZD30" s="172"/>
      <c r="PZE30" s="172"/>
      <c r="PZF30" s="172"/>
      <c r="PZG30" s="172"/>
      <c r="PZH30" s="172"/>
      <c r="PZI30" s="172"/>
      <c r="PZJ30" s="172"/>
      <c r="PZK30" s="172"/>
      <c r="PZL30" s="172"/>
      <c r="PZM30" s="172"/>
      <c r="PZN30" s="172"/>
      <c r="PZO30" s="172"/>
      <c r="PZP30" s="172"/>
      <c r="PZQ30" s="172"/>
      <c r="PZR30" s="172"/>
      <c r="PZS30" s="172"/>
      <c r="PZT30" s="172"/>
      <c r="PZU30" s="172"/>
      <c r="PZV30" s="172"/>
      <c r="PZW30" s="172"/>
      <c r="PZX30" s="172"/>
      <c r="PZY30" s="172"/>
      <c r="PZZ30" s="172"/>
      <c r="QAA30" s="172"/>
      <c r="QAB30" s="172"/>
      <c r="QAC30" s="172"/>
      <c r="QAD30" s="172"/>
      <c r="QAE30" s="172"/>
      <c r="QAF30" s="172"/>
      <c r="QAG30" s="172"/>
      <c r="QAH30" s="172"/>
      <c r="QAI30" s="172"/>
      <c r="QAJ30" s="172"/>
      <c r="QAK30" s="172"/>
      <c r="QAL30" s="172"/>
      <c r="QAM30" s="172"/>
      <c r="QAN30" s="172"/>
      <c r="QAO30" s="172"/>
      <c r="QAP30" s="172"/>
      <c r="QAQ30" s="172"/>
      <c r="QAR30" s="172"/>
      <c r="QAS30" s="172"/>
      <c r="QAT30" s="172"/>
      <c r="QAU30" s="172"/>
      <c r="QAV30" s="172"/>
      <c r="QAW30" s="172"/>
      <c r="QAX30" s="172"/>
      <c r="QAY30" s="172"/>
      <c r="QAZ30" s="172"/>
      <c r="QBA30" s="172"/>
      <c r="QBB30" s="172"/>
      <c r="QBC30" s="172"/>
      <c r="QBD30" s="172"/>
      <c r="QBE30" s="172"/>
      <c r="QBF30" s="172"/>
      <c r="QBG30" s="172"/>
      <c r="QBH30" s="172"/>
      <c r="QBI30" s="172"/>
      <c r="QBJ30" s="172"/>
      <c r="QBK30" s="172"/>
      <c r="QBL30" s="172"/>
      <c r="QBM30" s="172"/>
      <c r="QBN30" s="172"/>
      <c r="QBO30" s="172"/>
      <c r="QBP30" s="172"/>
      <c r="QBQ30" s="172"/>
      <c r="QBR30" s="172"/>
      <c r="QBS30" s="172"/>
      <c r="QBT30" s="172"/>
      <c r="QBU30" s="172"/>
      <c r="QBV30" s="172"/>
      <c r="QBW30" s="172"/>
      <c r="QBX30" s="172"/>
      <c r="QBY30" s="172"/>
      <c r="QBZ30" s="172"/>
      <c r="QCA30" s="172"/>
      <c r="QCB30" s="172"/>
      <c r="QCC30" s="172"/>
      <c r="QCD30" s="172"/>
      <c r="QCE30" s="172"/>
      <c r="QCF30" s="172"/>
      <c r="QCG30" s="172"/>
      <c r="QCH30" s="172"/>
      <c r="QCI30" s="172"/>
      <c r="QCJ30" s="172"/>
      <c r="QCK30" s="172"/>
      <c r="QCL30" s="172"/>
      <c r="QCM30" s="172"/>
      <c r="QCN30" s="172"/>
      <c r="QCO30" s="172"/>
      <c r="QCP30" s="172"/>
      <c r="QCQ30" s="172"/>
      <c r="QCR30" s="172"/>
      <c r="QCS30" s="172"/>
      <c r="QCT30" s="172"/>
      <c r="QCU30" s="172"/>
      <c r="QCV30" s="172"/>
      <c r="QCW30" s="172"/>
      <c r="QCX30" s="172"/>
      <c r="QCY30" s="172"/>
      <c r="QCZ30" s="172"/>
      <c r="QDA30" s="172"/>
      <c r="QDB30" s="172"/>
      <c r="QDC30" s="172"/>
      <c r="QDD30" s="172"/>
      <c r="QDE30" s="172"/>
      <c r="QDF30" s="172"/>
      <c r="QDG30" s="172"/>
      <c r="QDH30" s="172"/>
      <c r="QDI30" s="172"/>
      <c r="QDJ30" s="172"/>
      <c r="QDK30" s="172"/>
      <c r="QDL30" s="172"/>
      <c r="QDM30" s="172"/>
      <c r="QDN30" s="172"/>
      <c r="QDO30" s="172"/>
      <c r="QDP30" s="172"/>
      <c r="QDQ30" s="172"/>
      <c r="QDR30" s="172"/>
      <c r="QDS30" s="172"/>
      <c r="QDT30" s="172"/>
      <c r="QDU30" s="172"/>
      <c r="QDV30" s="172"/>
      <c r="QDW30" s="172"/>
      <c r="QDX30" s="172"/>
      <c r="QDY30" s="172"/>
      <c r="QDZ30" s="172"/>
      <c r="QEA30" s="172"/>
      <c r="QEB30" s="172"/>
      <c r="QEC30" s="172"/>
      <c r="QED30" s="172"/>
      <c r="QEE30" s="172"/>
      <c r="QEF30" s="172"/>
      <c r="QEG30" s="172"/>
      <c r="QEH30" s="172"/>
      <c r="QEI30" s="172"/>
      <c r="QEJ30" s="172"/>
      <c r="QEK30" s="172"/>
      <c r="QEL30" s="172"/>
      <c r="QEM30" s="172"/>
      <c r="QEN30" s="172"/>
      <c r="QEO30" s="172"/>
      <c r="QEP30" s="172"/>
      <c r="QEQ30" s="172"/>
      <c r="QER30" s="172"/>
      <c r="QES30" s="172"/>
      <c r="QET30" s="172"/>
      <c r="QEU30" s="172"/>
      <c r="QEV30" s="172"/>
      <c r="QEW30" s="172"/>
      <c r="QEX30" s="172"/>
      <c r="QEY30" s="172"/>
      <c r="QEZ30" s="172"/>
      <c r="QFA30" s="172"/>
      <c r="QFB30" s="172"/>
      <c r="QFC30" s="172"/>
      <c r="QFD30" s="172"/>
      <c r="QFE30" s="172"/>
      <c r="QFF30" s="172"/>
      <c r="QFG30" s="172"/>
      <c r="QFH30" s="172"/>
      <c r="QFI30" s="172"/>
      <c r="QFJ30" s="172"/>
      <c r="QFK30" s="172"/>
      <c r="QFL30" s="172"/>
      <c r="QFM30" s="172"/>
      <c r="QFN30" s="172"/>
      <c r="QFO30" s="172"/>
      <c r="QFP30" s="172"/>
      <c r="QFQ30" s="172"/>
      <c r="QFR30" s="172"/>
      <c r="QFS30" s="172"/>
      <c r="QFT30" s="172"/>
      <c r="QFU30" s="172"/>
      <c r="QFV30" s="172"/>
      <c r="QFW30" s="172"/>
      <c r="QFX30" s="172"/>
      <c r="QFY30" s="172"/>
      <c r="QFZ30" s="172"/>
      <c r="QGA30" s="172"/>
      <c r="QGB30" s="172"/>
      <c r="QGC30" s="172"/>
      <c r="QGD30" s="172"/>
      <c r="QGE30" s="172"/>
      <c r="QGF30" s="172"/>
      <c r="QGG30" s="172"/>
      <c r="QGH30" s="172"/>
      <c r="QGI30" s="172"/>
      <c r="QGJ30" s="172"/>
      <c r="QGK30" s="172"/>
      <c r="QGL30" s="172"/>
      <c r="QGM30" s="172"/>
      <c r="QGN30" s="172"/>
      <c r="QGO30" s="172"/>
      <c r="QGP30" s="172"/>
      <c r="QGQ30" s="172"/>
      <c r="QGR30" s="172"/>
      <c r="QGS30" s="172"/>
      <c r="QGT30" s="172"/>
      <c r="QGU30" s="172"/>
      <c r="QGV30" s="172"/>
      <c r="QGW30" s="172"/>
      <c r="QGX30" s="172"/>
      <c r="QGY30" s="172"/>
      <c r="QGZ30" s="172"/>
      <c r="QHA30" s="172"/>
      <c r="QHB30" s="172"/>
      <c r="QHC30" s="172"/>
      <c r="QHD30" s="172"/>
      <c r="QHE30" s="172"/>
      <c r="QHF30" s="172"/>
      <c r="QHG30" s="172"/>
      <c r="QHH30" s="172"/>
      <c r="QHI30" s="172"/>
      <c r="QHJ30" s="172"/>
      <c r="QHK30" s="172"/>
      <c r="QHL30" s="172"/>
      <c r="QHM30" s="172"/>
      <c r="QHN30" s="172"/>
      <c r="QHO30" s="172"/>
      <c r="QHP30" s="172"/>
      <c r="QHQ30" s="172"/>
      <c r="QHR30" s="172"/>
      <c r="QHS30" s="172"/>
      <c r="QHT30" s="172"/>
      <c r="QHU30" s="172"/>
      <c r="QHV30" s="172"/>
      <c r="QHW30" s="172"/>
      <c r="QHX30" s="172"/>
      <c r="QHY30" s="172"/>
      <c r="QHZ30" s="172"/>
      <c r="QIA30" s="172"/>
      <c r="QIB30" s="172"/>
      <c r="QIC30" s="172"/>
      <c r="QID30" s="172"/>
      <c r="QIE30" s="172"/>
      <c r="QIF30" s="172"/>
      <c r="QIG30" s="172"/>
      <c r="QIH30" s="172"/>
      <c r="QII30" s="172"/>
      <c r="QIJ30" s="172"/>
      <c r="QIK30" s="172"/>
      <c r="QIL30" s="172"/>
      <c r="QIM30" s="172"/>
      <c r="QIN30" s="172"/>
      <c r="QIO30" s="172"/>
      <c r="QIP30" s="172"/>
      <c r="QIQ30" s="172"/>
      <c r="QIR30" s="172"/>
      <c r="QIS30" s="172"/>
      <c r="QIT30" s="172"/>
      <c r="QIU30" s="172"/>
      <c r="QIV30" s="172"/>
      <c r="QIW30" s="172"/>
      <c r="QIX30" s="172"/>
      <c r="QIY30" s="172"/>
      <c r="QIZ30" s="172"/>
      <c r="QJA30" s="172"/>
      <c r="QJB30" s="172"/>
      <c r="QJC30" s="172"/>
      <c r="QJD30" s="172"/>
      <c r="QJE30" s="172"/>
      <c r="QJF30" s="172"/>
      <c r="QJG30" s="172"/>
      <c r="QJH30" s="172"/>
      <c r="QJI30" s="172"/>
      <c r="QJJ30" s="172"/>
      <c r="QJK30" s="172"/>
      <c r="QJL30" s="172"/>
      <c r="QJM30" s="172"/>
      <c r="QJN30" s="172"/>
      <c r="QJO30" s="172"/>
      <c r="QJP30" s="172"/>
      <c r="QJQ30" s="172"/>
      <c r="QJR30" s="172"/>
      <c r="QJS30" s="172"/>
      <c r="QJT30" s="172"/>
      <c r="QJU30" s="172"/>
      <c r="QJV30" s="172"/>
      <c r="QJW30" s="172"/>
      <c r="QJX30" s="172"/>
      <c r="QJY30" s="172"/>
      <c r="QJZ30" s="172"/>
      <c r="QKA30" s="172"/>
      <c r="QKB30" s="172"/>
      <c r="QKC30" s="172"/>
      <c r="QKD30" s="172"/>
      <c r="QKE30" s="172"/>
      <c r="QKF30" s="172"/>
      <c r="QKG30" s="172"/>
      <c r="QKH30" s="172"/>
      <c r="QKI30" s="172"/>
      <c r="QKJ30" s="172"/>
      <c r="QKK30" s="172"/>
      <c r="QKL30" s="172"/>
      <c r="QKM30" s="172"/>
      <c r="QKN30" s="172"/>
      <c r="QKO30" s="172"/>
      <c r="QKP30" s="172"/>
      <c r="QKQ30" s="172"/>
      <c r="QKR30" s="172"/>
      <c r="QKS30" s="172"/>
      <c r="QKT30" s="172"/>
      <c r="QKU30" s="172"/>
      <c r="QKV30" s="172"/>
      <c r="QKW30" s="172"/>
      <c r="QKX30" s="172"/>
      <c r="QKY30" s="172"/>
      <c r="QKZ30" s="172"/>
      <c r="QLA30" s="172"/>
      <c r="QLB30" s="172"/>
      <c r="QLC30" s="172"/>
      <c r="QLD30" s="172"/>
      <c r="QLE30" s="172"/>
      <c r="QLF30" s="172"/>
      <c r="QLG30" s="172"/>
      <c r="QLH30" s="172"/>
      <c r="QLI30" s="172"/>
      <c r="QLJ30" s="172"/>
      <c r="QLK30" s="172"/>
      <c r="QLL30" s="172"/>
      <c r="QLM30" s="172"/>
      <c r="QLN30" s="172"/>
      <c r="QLO30" s="172"/>
      <c r="QLP30" s="172"/>
      <c r="QLQ30" s="172"/>
      <c r="QLR30" s="172"/>
      <c r="QLS30" s="172"/>
      <c r="QLT30" s="172"/>
      <c r="QLU30" s="172"/>
      <c r="QLV30" s="172"/>
      <c r="QLW30" s="172"/>
      <c r="QLX30" s="172"/>
      <c r="QLY30" s="172"/>
      <c r="QLZ30" s="172"/>
      <c r="QMA30" s="172"/>
      <c r="QMB30" s="172"/>
      <c r="QMC30" s="172"/>
      <c r="QMD30" s="172"/>
      <c r="QME30" s="172"/>
      <c r="QMF30" s="172"/>
      <c r="QMG30" s="172"/>
      <c r="QMH30" s="172"/>
      <c r="QMI30" s="172"/>
      <c r="QMJ30" s="172"/>
      <c r="QMK30" s="172"/>
      <c r="QML30" s="172"/>
      <c r="QMM30" s="172"/>
      <c r="QMN30" s="172"/>
      <c r="QMO30" s="172"/>
      <c r="QMP30" s="172"/>
      <c r="QMQ30" s="172"/>
      <c r="QMR30" s="172"/>
      <c r="QMS30" s="172"/>
      <c r="QMT30" s="172"/>
      <c r="QMU30" s="172"/>
      <c r="QMV30" s="172"/>
      <c r="QMW30" s="172"/>
      <c r="QMX30" s="172"/>
      <c r="QMY30" s="172"/>
      <c r="QMZ30" s="172"/>
      <c r="QNA30" s="172"/>
      <c r="QNB30" s="172"/>
      <c r="QNC30" s="172"/>
      <c r="QND30" s="172"/>
      <c r="QNE30" s="172"/>
      <c r="QNF30" s="172"/>
      <c r="QNG30" s="172"/>
      <c r="QNH30" s="172"/>
      <c r="QNI30" s="172"/>
      <c r="QNJ30" s="172"/>
      <c r="QNK30" s="172"/>
      <c r="QNL30" s="172"/>
      <c r="QNM30" s="172"/>
      <c r="QNN30" s="172"/>
      <c r="QNO30" s="172"/>
      <c r="QNP30" s="172"/>
      <c r="QNQ30" s="172"/>
      <c r="QNR30" s="172"/>
      <c r="QNS30" s="172"/>
      <c r="QNT30" s="172"/>
      <c r="QNU30" s="172"/>
      <c r="QNV30" s="172"/>
      <c r="QNW30" s="172"/>
      <c r="QNX30" s="172"/>
      <c r="QNY30" s="172"/>
      <c r="QNZ30" s="172"/>
      <c r="QOA30" s="172"/>
      <c r="QOB30" s="172"/>
      <c r="QOC30" s="172"/>
      <c r="QOD30" s="172"/>
      <c r="QOE30" s="172"/>
      <c r="QOF30" s="172"/>
      <c r="QOG30" s="172"/>
      <c r="QOH30" s="172"/>
      <c r="QOI30" s="172"/>
      <c r="QOJ30" s="172"/>
      <c r="QOK30" s="172"/>
      <c r="QOL30" s="172"/>
      <c r="QOM30" s="172"/>
      <c r="QON30" s="172"/>
      <c r="QOO30" s="172"/>
      <c r="QOP30" s="172"/>
      <c r="QOQ30" s="172"/>
      <c r="QOR30" s="172"/>
      <c r="QOS30" s="172"/>
      <c r="QOT30" s="172"/>
      <c r="QOU30" s="172"/>
      <c r="QOV30" s="172"/>
      <c r="QOW30" s="172"/>
      <c r="QOX30" s="172"/>
      <c r="QOY30" s="172"/>
      <c r="QOZ30" s="172"/>
      <c r="QPA30" s="172"/>
      <c r="QPB30" s="172"/>
      <c r="QPC30" s="172"/>
      <c r="QPD30" s="172"/>
      <c r="QPE30" s="172"/>
      <c r="QPF30" s="172"/>
      <c r="QPG30" s="172"/>
      <c r="QPH30" s="172"/>
      <c r="QPI30" s="172"/>
      <c r="QPJ30" s="172"/>
      <c r="QPK30" s="172"/>
      <c r="QPL30" s="172"/>
      <c r="QPM30" s="172"/>
      <c r="QPN30" s="172"/>
      <c r="QPO30" s="172"/>
      <c r="QPP30" s="172"/>
      <c r="QPQ30" s="172"/>
      <c r="QPR30" s="172"/>
      <c r="QPS30" s="172"/>
      <c r="QPT30" s="172"/>
      <c r="QPU30" s="172"/>
      <c r="QPV30" s="172"/>
      <c r="QPW30" s="172"/>
      <c r="QPX30" s="172"/>
      <c r="QPY30" s="172"/>
      <c r="QPZ30" s="172"/>
      <c r="QQA30" s="172"/>
      <c r="QQB30" s="172"/>
      <c r="QQC30" s="172"/>
      <c r="QQD30" s="172"/>
      <c r="QQE30" s="172"/>
      <c r="QQF30" s="172"/>
      <c r="QQG30" s="172"/>
      <c r="QQH30" s="172"/>
      <c r="QQI30" s="172"/>
      <c r="QQJ30" s="172"/>
      <c r="QQK30" s="172"/>
      <c r="QQL30" s="172"/>
      <c r="QQM30" s="172"/>
      <c r="QQN30" s="172"/>
      <c r="QQO30" s="172"/>
      <c r="QQP30" s="172"/>
      <c r="QQQ30" s="172"/>
      <c r="QQR30" s="172"/>
      <c r="QQS30" s="172"/>
      <c r="QQT30" s="172"/>
      <c r="QQU30" s="172"/>
      <c r="QQV30" s="172"/>
      <c r="QQW30" s="172"/>
      <c r="QQX30" s="172"/>
      <c r="QQY30" s="172"/>
      <c r="QQZ30" s="172"/>
      <c r="QRA30" s="172"/>
      <c r="QRB30" s="172"/>
      <c r="QRC30" s="172"/>
      <c r="QRD30" s="172"/>
      <c r="QRE30" s="172"/>
      <c r="QRF30" s="172"/>
      <c r="QRG30" s="172"/>
      <c r="QRH30" s="172"/>
      <c r="QRI30" s="172"/>
      <c r="QRJ30" s="172"/>
      <c r="QRK30" s="172"/>
      <c r="QRL30" s="172"/>
      <c r="QRM30" s="172"/>
      <c r="QRN30" s="172"/>
      <c r="QRO30" s="172"/>
      <c r="QRP30" s="172"/>
      <c r="QRQ30" s="172"/>
      <c r="QRR30" s="172"/>
      <c r="QRS30" s="172"/>
      <c r="QRT30" s="172"/>
      <c r="QRU30" s="172"/>
      <c r="QRV30" s="172"/>
      <c r="QRW30" s="172"/>
      <c r="QRX30" s="172"/>
      <c r="QRY30" s="172"/>
      <c r="QRZ30" s="172"/>
      <c r="QSA30" s="172"/>
      <c r="QSB30" s="172"/>
      <c r="QSC30" s="172"/>
      <c r="QSD30" s="172"/>
      <c r="QSE30" s="172"/>
      <c r="QSF30" s="172"/>
      <c r="QSG30" s="172"/>
      <c r="QSH30" s="172"/>
      <c r="QSI30" s="172"/>
      <c r="QSJ30" s="172"/>
      <c r="QSK30" s="172"/>
      <c r="QSL30" s="172"/>
      <c r="QSM30" s="172"/>
      <c r="QSN30" s="172"/>
      <c r="QSO30" s="172"/>
      <c r="QSP30" s="172"/>
      <c r="QSQ30" s="172"/>
      <c r="QSR30" s="172"/>
      <c r="QSS30" s="172"/>
      <c r="QST30" s="172"/>
      <c r="QSU30" s="172"/>
      <c r="QSV30" s="172"/>
      <c r="QSW30" s="172"/>
      <c r="QSX30" s="172"/>
      <c r="QSY30" s="172"/>
      <c r="QSZ30" s="172"/>
      <c r="QTA30" s="172"/>
      <c r="QTB30" s="172"/>
      <c r="QTC30" s="172"/>
      <c r="QTD30" s="172"/>
      <c r="QTE30" s="172"/>
      <c r="QTF30" s="172"/>
      <c r="QTG30" s="172"/>
      <c r="QTH30" s="172"/>
      <c r="QTI30" s="172"/>
      <c r="QTJ30" s="172"/>
      <c r="QTK30" s="172"/>
      <c r="QTL30" s="172"/>
      <c r="QTM30" s="172"/>
      <c r="QTN30" s="172"/>
      <c r="QTO30" s="172"/>
      <c r="QTP30" s="172"/>
      <c r="QTQ30" s="172"/>
      <c r="QTR30" s="172"/>
      <c r="QTS30" s="172"/>
      <c r="QTT30" s="172"/>
      <c r="QTU30" s="172"/>
      <c r="QTV30" s="172"/>
      <c r="QTW30" s="172"/>
      <c r="QTX30" s="172"/>
      <c r="QTY30" s="172"/>
      <c r="QTZ30" s="172"/>
      <c r="QUA30" s="172"/>
      <c r="QUB30" s="172"/>
      <c r="QUC30" s="172"/>
      <c r="QUD30" s="172"/>
      <c r="QUE30" s="172"/>
      <c r="QUF30" s="172"/>
      <c r="QUG30" s="172"/>
      <c r="QUH30" s="172"/>
      <c r="QUI30" s="172"/>
      <c r="QUJ30" s="172"/>
      <c r="QUK30" s="172"/>
      <c r="QUL30" s="172"/>
      <c r="QUM30" s="172"/>
      <c r="QUN30" s="172"/>
      <c r="QUO30" s="172"/>
      <c r="QUP30" s="172"/>
      <c r="QUQ30" s="172"/>
      <c r="QUR30" s="172"/>
      <c r="QUS30" s="172"/>
      <c r="QUT30" s="172"/>
      <c r="QUU30" s="172"/>
      <c r="QUV30" s="172"/>
      <c r="QUW30" s="172"/>
      <c r="QUX30" s="172"/>
      <c r="QUY30" s="172"/>
      <c r="QUZ30" s="172"/>
      <c r="QVA30" s="172"/>
      <c r="QVB30" s="172"/>
      <c r="QVC30" s="172"/>
      <c r="QVD30" s="172"/>
      <c r="QVE30" s="172"/>
      <c r="QVF30" s="172"/>
      <c r="QVG30" s="172"/>
      <c r="QVH30" s="172"/>
      <c r="QVI30" s="172"/>
      <c r="QVJ30" s="172"/>
      <c r="QVK30" s="172"/>
      <c r="QVL30" s="172"/>
      <c r="QVM30" s="172"/>
      <c r="QVN30" s="172"/>
      <c r="QVO30" s="172"/>
      <c r="QVP30" s="172"/>
      <c r="QVQ30" s="172"/>
      <c r="QVR30" s="172"/>
      <c r="QVS30" s="172"/>
      <c r="QVT30" s="172"/>
      <c r="QVU30" s="172"/>
      <c r="QVV30" s="172"/>
      <c r="QVW30" s="172"/>
      <c r="QVX30" s="172"/>
      <c r="QVY30" s="172"/>
      <c r="QVZ30" s="172"/>
      <c r="QWA30" s="172"/>
      <c r="QWB30" s="172"/>
      <c r="QWC30" s="172"/>
      <c r="QWD30" s="172"/>
      <c r="QWE30" s="172"/>
      <c r="QWF30" s="172"/>
      <c r="QWG30" s="172"/>
      <c r="QWH30" s="172"/>
      <c r="QWI30" s="172"/>
      <c r="QWJ30" s="172"/>
      <c r="QWK30" s="172"/>
      <c r="QWL30" s="172"/>
      <c r="QWM30" s="172"/>
      <c r="QWN30" s="172"/>
      <c r="QWO30" s="172"/>
      <c r="QWP30" s="172"/>
      <c r="QWQ30" s="172"/>
      <c r="QWR30" s="172"/>
      <c r="QWS30" s="172"/>
      <c r="QWT30" s="172"/>
      <c r="QWU30" s="172"/>
      <c r="QWV30" s="172"/>
      <c r="QWW30" s="172"/>
      <c r="QWX30" s="172"/>
      <c r="QWY30" s="172"/>
      <c r="QWZ30" s="172"/>
      <c r="QXA30" s="172"/>
      <c r="QXB30" s="172"/>
      <c r="QXC30" s="172"/>
      <c r="QXD30" s="172"/>
      <c r="QXE30" s="172"/>
      <c r="QXF30" s="172"/>
      <c r="QXG30" s="172"/>
      <c r="QXH30" s="172"/>
      <c r="QXI30" s="172"/>
      <c r="QXJ30" s="172"/>
      <c r="QXK30" s="172"/>
      <c r="QXL30" s="172"/>
      <c r="QXM30" s="172"/>
      <c r="QXN30" s="172"/>
      <c r="QXO30" s="172"/>
      <c r="QXP30" s="172"/>
      <c r="QXQ30" s="172"/>
      <c r="QXR30" s="172"/>
      <c r="QXS30" s="172"/>
      <c r="QXT30" s="172"/>
      <c r="QXU30" s="172"/>
      <c r="QXV30" s="172"/>
      <c r="QXW30" s="172"/>
      <c r="QXX30" s="172"/>
      <c r="QXY30" s="172"/>
      <c r="QXZ30" s="172"/>
      <c r="QYA30" s="172"/>
      <c r="QYB30" s="172"/>
      <c r="QYC30" s="172"/>
      <c r="QYD30" s="172"/>
      <c r="QYE30" s="172"/>
      <c r="QYF30" s="172"/>
      <c r="QYG30" s="172"/>
      <c r="QYH30" s="172"/>
      <c r="QYI30" s="172"/>
      <c r="QYJ30" s="172"/>
      <c r="QYK30" s="172"/>
      <c r="QYL30" s="172"/>
      <c r="QYM30" s="172"/>
      <c r="QYN30" s="172"/>
      <c r="QYO30" s="172"/>
      <c r="QYP30" s="172"/>
      <c r="QYQ30" s="172"/>
      <c r="QYR30" s="172"/>
      <c r="QYS30" s="172"/>
      <c r="QYT30" s="172"/>
      <c r="QYU30" s="172"/>
      <c r="QYV30" s="172"/>
      <c r="QYW30" s="172"/>
      <c r="QYX30" s="172"/>
      <c r="QYY30" s="172"/>
      <c r="QYZ30" s="172"/>
      <c r="QZA30" s="172"/>
      <c r="QZB30" s="172"/>
      <c r="QZC30" s="172"/>
      <c r="QZD30" s="172"/>
      <c r="QZE30" s="172"/>
      <c r="QZF30" s="172"/>
      <c r="QZG30" s="172"/>
      <c r="QZH30" s="172"/>
      <c r="QZI30" s="172"/>
      <c r="QZJ30" s="172"/>
      <c r="QZK30" s="172"/>
      <c r="QZL30" s="172"/>
      <c r="QZM30" s="172"/>
      <c r="QZN30" s="172"/>
      <c r="QZO30" s="172"/>
      <c r="QZP30" s="172"/>
      <c r="QZQ30" s="172"/>
      <c r="QZR30" s="172"/>
      <c r="QZS30" s="172"/>
      <c r="QZT30" s="172"/>
      <c r="QZU30" s="172"/>
      <c r="QZV30" s="172"/>
      <c r="QZW30" s="172"/>
      <c r="QZX30" s="172"/>
      <c r="QZY30" s="172"/>
      <c r="QZZ30" s="172"/>
      <c r="RAA30" s="172"/>
      <c r="RAB30" s="172"/>
      <c r="RAC30" s="172"/>
      <c r="RAD30" s="172"/>
      <c r="RAE30" s="172"/>
      <c r="RAF30" s="172"/>
      <c r="RAG30" s="172"/>
      <c r="RAH30" s="172"/>
      <c r="RAI30" s="172"/>
      <c r="RAJ30" s="172"/>
      <c r="RAK30" s="172"/>
      <c r="RAL30" s="172"/>
      <c r="RAM30" s="172"/>
      <c r="RAN30" s="172"/>
      <c r="RAO30" s="172"/>
      <c r="RAP30" s="172"/>
      <c r="RAQ30" s="172"/>
      <c r="RAR30" s="172"/>
      <c r="RAS30" s="172"/>
      <c r="RAT30" s="172"/>
      <c r="RAU30" s="172"/>
      <c r="RAV30" s="172"/>
      <c r="RAW30" s="172"/>
      <c r="RAX30" s="172"/>
      <c r="RAY30" s="172"/>
      <c r="RAZ30" s="172"/>
      <c r="RBA30" s="172"/>
      <c r="RBB30" s="172"/>
      <c r="RBC30" s="172"/>
      <c r="RBD30" s="172"/>
      <c r="RBE30" s="172"/>
      <c r="RBF30" s="172"/>
      <c r="RBG30" s="172"/>
      <c r="RBH30" s="172"/>
      <c r="RBI30" s="172"/>
      <c r="RBJ30" s="172"/>
      <c r="RBK30" s="172"/>
      <c r="RBL30" s="172"/>
      <c r="RBM30" s="172"/>
      <c r="RBN30" s="172"/>
      <c r="RBO30" s="172"/>
      <c r="RBP30" s="172"/>
      <c r="RBQ30" s="172"/>
      <c r="RBR30" s="172"/>
      <c r="RBS30" s="172"/>
      <c r="RBT30" s="172"/>
      <c r="RBU30" s="172"/>
      <c r="RBV30" s="172"/>
      <c r="RBW30" s="172"/>
      <c r="RBX30" s="172"/>
      <c r="RBY30" s="172"/>
      <c r="RBZ30" s="172"/>
      <c r="RCA30" s="172"/>
      <c r="RCB30" s="172"/>
      <c r="RCC30" s="172"/>
      <c r="RCD30" s="172"/>
      <c r="RCE30" s="172"/>
      <c r="RCF30" s="172"/>
      <c r="RCG30" s="172"/>
      <c r="RCH30" s="172"/>
      <c r="RCI30" s="172"/>
      <c r="RCJ30" s="172"/>
      <c r="RCK30" s="172"/>
      <c r="RCL30" s="172"/>
      <c r="RCM30" s="172"/>
      <c r="RCN30" s="172"/>
      <c r="RCO30" s="172"/>
      <c r="RCP30" s="172"/>
      <c r="RCQ30" s="172"/>
      <c r="RCR30" s="172"/>
      <c r="RCS30" s="172"/>
      <c r="RCT30" s="172"/>
      <c r="RCU30" s="172"/>
      <c r="RCV30" s="172"/>
      <c r="RCW30" s="172"/>
      <c r="RCX30" s="172"/>
      <c r="RCY30" s="172"/>
      <c r="RCZ30" s="172"/>
      <c r="RDA30" s="172"/>
      <c r="RDB30" s="172"/>
      <c r="RDC30" s="172"/>
      <c r="RDD30" s="172"/>
      <c r="RDE30" s="172"/>
      <c r="RDF30" s="172"/>
      <c r="RDG30" s="172"/>
      <c r="RDH30" s="172"/>
      <c r="RDI30" s="172"/>
      <c r="RDJ30" s="172"/>
      <c r="RDK30" s="172"/>
      <c r="RDL30" s="172"/>
      <c r="RDM30" s="172"/>
      <c r="RDN30" s="172"/>
      <c r="RDO30" s="172"/>
      <c r="RDP30" s="172"/>
      <c r="RDQ30" s="172"/>
      <c r="RDR30" s="172"/>
      <c r="RDS30" s="172"/>
      <c r="RDT30" s="172"/>
      <c r="RDU30" s="172"/>
      <c r="RDV30" s="172"/>
      <c r="RDW30" s="172"/>
      <c r="RDX30" s="172"/>
      <c r="RDY30" s="172"/>
      <c r="RDZ30" s="172"/>
      <c r="REA30" s="172"/>
      <c r="REB30" s="172"/>
      <c r="REC30" s="172"/>
      <c r="RED30" s="172"/>
      <c r="REE30" s="172"/>
      <c r="REF30" s="172"/>
      <c r="REG30" s="172"/>
      <c r="REH30" s="172"/>
      <c r="REI30" s="172"/>
      <c r="REJ30" s="172"/>
      <c r="REK30" s="172"/>
      <c r="REL30" s="172"/>
      <c r="REM30" s="172"/>
      <c r="REN30" s="172"/>
      <c r="REO30" s="172"/>
      <c r="REP30" s="172"/>
      <c r="REQ30" s="172"/>
      <c r="RER30" s="172"/>
      <c r="RES30" s="172"/>
      <c r="RET30" s="172"/>
      <c r="REU30" s="172"/>
      <c r="REV30" s="172"/>
      <c r="REW30" s="172"/>
      <c r="REX30" s="172"/>
      <c r="REY30" s="172"/>
      <c r="REZ30" s="172"/>
      <c r="RFA30" s="172"/>
      <c r="RFB30" s="172"/>
      <c r="RFC30" s="172"/>
      <c r="RFD30" s="172"/>
      <c r="RFE30" s="172"/>
      <c r="RFF30" s="172"/>
      <c r="RFG30" s="172"/>
      <c r="RFH30" s="172"/>
      <c r="RFI30" s="172"/>
      <c r="RFJ30" s="172"/>
      <c r="RFK30" s="172"/>
      <c r="RFL30" s="172"/>
      <c r="RFM30" s="172"/>
      <c r="RFN30" s="172"/>
      <c r="RFO30" s="172"/>
      <c r="RFP30" s="172"/>
      <c r="RFQ30" s="172"/>
      <c r="RFR30" s="172"/>
      <c r="RFS30" s="172"/>
      <c r="RFT30" s="172"/>
      <c r="RFU30" s="172"/>
      <c r="RFV30" s="172"/>
      <c r="RFW30" s="172"/>
      <c r="RFX30" s="172"/>
      <c r="RFY30" s="172"/>
      <c r="RFZ30" s="172"/>
      <c r="RGA30" s="172"/>
      <c r="RGB30" s="172"/>
      <c r="RGC30" s="172"/>
      <c r="RGD30" s="172"/>
      <c r="RGE30" s="172"/>
      <c r="RGF30" s="172"/>
      <c r="RGG30" s="172"/>
      <c r="RGH30" s="172"/>
      <c r="RGI30" s="172"/>
      <c r="RGJ30" s="172"/>
      <c r="RGK30" s="172"/>
      <c r="RGL30" s="172"/>
      <c r="RGM30" s="172"/>
      <c r="RGN30" s="172"/>
      <c r="RGO30" s="172"/>
      <c r="RGP30" s="172"/>
      <c r="RGQ30" s="172"/>
      <c r="RGR30" s="172"/>
      <c r="RGS30" s="172"/>
      <c r="RGT30" s="172"/>
      <c r="RGU30" s="172"/>
      <c r="RGV30" s="172"/>
      <c r="RGW30" s="172"/>
      <c r="RGX30" s="172"/>
      <c r="RGY30" s="172"/>
      <c r="RGZ30" s="172"/>
      <c r="RHA30" s="172"/>
      <c r="RHB30" s="172"/>
      <c r="RHC30" s="172"/>
      <c r="RHD30" s="172"/>
      <c r="RHE30" s="172"/>
      <c r="RHF30" s="172"/>
      <c r="RHG30" s="172"/>
      <c r="RHH30" s="172"/>
      <c r="RHI30" s="172"/>
      <c r="RHJ30" s="172"/>
      <c r="RHK30" s="172"/>
      <c r="RHL30" s="172"/>
      <c r="RHM30" s="172"/>
      <c r="RHN30" s="172"/>
      <c r="RHO30" s="172"/>
      <c r="RHP30" s="172"/>
      <c r="RHQ30" s="172"/>
      <c r="RHR30" s="172"/>
      <c r="RHS30" s="172"/>
      <c r="RHT30" s="172"/>
      <c r="RHU30" s="172"/>
      <c r="RHV30" s="172"/>
      <c r="RHW30" s="172"/>
      <c r="RHX30" s="172"/>
      <c r="RHY30" s="172"/>
      <c r="RHZ30" s="172"/>
      <c r="RIA30" s="172"/>
      <c r="RIB30" s="172"/>
      <c r="RIC30" s="172"/>
      <c r="RID30" s="172"/>
      <c r="RIE30" s="172"/>
      <c r="RIF30" s="172"/>
      <c r="RIG30" s="172"/>
      <c r="RIH30" s="172"/>
      <c r="RII30" s="172"/>
      <c r="RIJ30" s="172"/>
      <c r="RIK30" s="172"/>
      <c r="RIL30" s="172"/>
      <c r="RIM30" s="172"/>
      <c r="RIN30" s="172"/>
      <c r="RIO30" s="172"/>
      <c r="RIP30" s="172"/>
      <c r="RIQ30" s="172"/>
      <c r="RIR30" s="172"/>
      <c r="RIS30" s="172"/>
      <c r="RIT30" s="172"/>
      <c r="RIU30" s="172"/>
      <c r="RIV30" s="172"/>
      <c r="RIW30" s="172"/>
      <c r="RIX30" s="172"/>
      <c r="RIY30" s="172"/>
      <c r="RIZ30" s="172"/>
      <c r="RJA30" s="172"/>
      <c r="RJB30" s="172"/>
      <c r="RJC30" s="172"/>
      <c r="RJD30" s="172"/>
      <c r="RJE30" s="172"/>
      <c r="RJF30" s="172"/>
      <c r="RJG30" s="172"/>
      <c r="RJH30" s="172"/>
      <c r="RJI30" s="172"/>
      <c r="RJJ30" s="172"/>
      <c r="RJK30" s="172"/>
      <c r="RJL30" s="172"/>
      <c r="RJM30" s="172"/>
      <c r="RJN30" s="172"/>
      <c r="RJO30" s="172"/>
      <c r="RJP30" s="172"/>
      <c r="RJQ30" s="172"/>
      <c r="RJR30" s="172"/>
      <c r="RJS30" s="172"/>
      <c r="RJT30" s="172"/>
      <c r="RJU30" s="172"/>
      <c r="RJV30" s="172"/>
      <c r="RJW30" s="172"/>
      <c r="RJX30" s="172"/>
      <c r="RJY30" s="172"/>
      <c r="RJZ30" s="172"/>
      <c r="RKA30" s="172"/>
      <c r="RKB30" s="172"/>
      <c r="RKC30" s="172"/>
      <c r="RKD30" s="172"/>
      <c r="RKE30" s="172"/>
      <c r="RKF30" s="172"/>
      <c r="RKG30" s="172"/>
      <c r="RKH30" s="172"/>
      <c r="RKI30" s="172"/>
      <c r="RKJ30" s="172"/>
      <c r="RKK30" s="172"/>
      <c r="RKL30" s="172"/>
      <c r="RKM30" s="172"/>
      <c r="RKN30" s="172"/>
      <c r="RKO30" s="172"/>
      <c r="RKP30" s="172"/>
      <c r="RKQ30" s="172"/>
      <c r="RKR30" s="172"/>
      <c r="RKS30" s="172"/>
      <c r="RKT30" s="172"/>
      <c r="RKU30" s="172"/>
      <c r="RKV30" s="172"/>
      <c r="RKW30" s="172"/>
      <c r="RKX30" s="172"/>
      <c r="RKY30" s="172"/>
      <c r="RKZ30" s="172"/>
      <c r="RLA30" s="172"/>
      <c r="RLB30" s="172"/>
      <c r="RLC30" s="172"/>
      <c r="RLD30" s="172"/>
      <c r="RLE30" s="172"/>
      <c r="RLF30" s="172"/>
      <c r="RLG30" s="172"/>
      <c r="RLH30" s="172"/>
      <c r="RLI30" s="172"/>
      <c r="RLJ30" s="172"/>
      <c r="RLK30" s="172"/>
      <c r="RLL30" s="172"/>
      <c r="RLM30" s="172"/>
      <c r="RLN30" s="172"/>
      <c r="RLO30" s="172"/>
      <c r="RLP30" s="172"/>
      <c r="RLQ30" s="172"/>
      <c r="RLR30" s="172"/>
      <c r="RLS30" s="172"/>
      <c r="RLT30" s="172"/>
      <c r="RLU30" s="172"/>
      <c r="RLV30" s="172"/>
      <c r="RLW30" s="172"/>
      <c r="RLX30" s="172"/>
      <c r="RLY30" s="172"/>
      <c r="RLZ30" s="172"/>
      <c r="RMA30" s="172"/>
      <c r="RMB30" s="172"/>
      <c r="RMC30" s="172"/>
      <c r="RMD30" s="172"/>
      <c r="RME30" s="172"/>
      <c r="RMF30" s="172"/>
      <c r="RMG30" s="172"/>
      <c r="RMH30" s="172"/>
      <c r="RMI30" s="172"/>
      <c r="RMJ30" s="172"/>
      <c r="RMK30" s="172"/>
      <c r="RML30" s="172"/>
      <c r="RMM30" s="172"/>
      <c r="RMN30" s="172"/>
      <c r="RMO30" s="172"/>
      <c r="RMP30" s="172"/>
      <c r="RMQ30" s="172"/>
      <c r="RMR30" s="172"/>
      <c r="RMS30" s="172"/>
      <c r="RMT30" s="172"/>
      <c r="RMU30" s="172"/>
      <c r="RMV30" s="172"/>
      <c r="RMW30" s="172"/>
      <c r="RMX30" s="172"/>
      <c r="RMY30" s="172"/>
      <c r="RMZ30" s="172"/>
      <c r="RNA30" s="172"/>
      <c r="RNB30" s="172"/>
      <c r="RNC30" s="172"/>
      <c r="RND30" s="172"/>
      <c r="RNE30" s="172"/>
      <c r="RNF30" s="172"/>
      <c r="RNG30" s="172"/>
      <c r="RNH30" s="172"/>
      <c r="RNI30" s="172"/>
      <c r="RNJ30" s="172"/>
      <c r="RNK30" s="172"/>
      <c r="RNL30" s="172"/>
      <c r="RNM30" s="172"/>
      <c r="RNN30" s="172"/>
      <c r="RNO30" s="172"/>
      <c r="RNP30" s="172"/>
      <c r="RNQ30" s="172"/>
      <c r="RNR30" s="172"/>
      <c r="RNS30" s="172"/>
      <c r="RNT30" s="172"/>
      <c r="RNU30" s="172"/>
      <c r="RNV30" s="172"/>
      <c r="RNW30" s="172"/>
      <c r="RNX30" s="172"/>
      <c r="RNY30" s="172"/>
      <c r="RNZ30" s="172"/>
      <c r="ROA30" s="172"/>
      <c r="ROB30" s="172"/>
      <c r="ROC30" s="172"/>
      <c r="ROD30" s="172"/>
      <c r="ROE30" s="172"/>
      <c r="ROF30" s="172"/>
      <c r="ROG30" s="172"/>
      <c r="ROH30" s="172"/>
      <c r="ROI30" s="172"/>
      <c r="ROJ30" s="172"/>
      <c r="ROK30" s="172"/>
      <c r="ROL30" s="172"/>
      <c r="ROM30" s="172"/>
      <c r="RON30" s="172"/>
      <c r="ROO30" s="172"/>
      <c r="ROP30" s="172"/>
      <c r="ROQ30" s="172"/>
      <c r="ROR30" s="172"/>
      <c r="ROS30" s="172"/>
      <c r="ROT30" s="172"/>
      <c r="ROU30" s="172"/>
      <c r="ROV30" s="172"/>
      <c r="ROW30" s="172"/>
      <c r="ROX30" s="172"/>
      <c r="ROY30" s="172"/>
      <c r="ROZ30" s="172"/>
      <c r="RPA30" s="172"/>
      <c r="RPB30" s="172"/>
      <c r="RPC30" s="172"/>
      <c r="RPD30" s="172"/>
      <c r="RPE30" s="172"/>
      <c r="RPF30" s="172"/>
      <c r="RPG30" s="172"/>
      <c r="RPH30" s="172"/>
      <c r="RPI30" s="172"/>
      <c r="RPJ30" s="172"/>
      <c r="RPK30" s="172"/>
      <c r="RPL30" s="172"/>
      <c r="RPM30" s="172"/>
      <c r="RPN30" s="172"/>
      <c r="RPO30" s="172"/>
      <c r="RPP30" s="172"/>
      <c r="RPQ30" s="172"/>
      <c r="RPR30" s="172"/>
      <c r="RPS30" s="172"/>
      <c r="RPT30" s="172"/>
      <c r="RPU30" s="172"/>
      <c r="RPV30" s="172"/>
      <c r="RPW30" s="172"/>
      <c r="RPX30" s="172"/>
      <c r="RPY30" s="172"/>
      <c r="RPZ30" s="172"/>
      <c r="RQA30" s="172"/>
      <c r="RQB30" s="172"/>
      <c r="RQC30" s="172"/>
      <c r="RQD30" s="172"/>
      <c r="RQE30" s="172"/>
      <c r="RQF30" s="172"/>
      <c r="RQG30" s="172"/>
      <c r="RQH30" s="172"/>
      <c r="RQI30" s="172"/>
      <c r="RQJ30" s="172"/>
      <c r="RQK30" s="172"/>
      <c r="RQL30" s="172"/>
      <c r="RQM30" s="172"/>
      <c r="RQN30" s="172"/>
      <c r="RQO30" s="172"/>
      <c r="RQP30" s="172"/>
      <c r="RQQ30" s="172"/>
      <c r="RQR30" s="172"/>
      <c r="RQS30" s="172"/>
      <c r="RQT30" s="172"/>
      <c r="RQU30" s="172"/>
      <c r="RQV30" s="172"/>
      <c r="RQW30" s="172"/>
      <c r="RQX30" s="172"/>
      <c r="RQY30" s="172"/>
      <c r="RQZ30" s="172"/>
      <c r="RRA30" s="172"/>
      <c r="RRB30" s="172"/>
      <c r="RRC30" s="172"/>
      <c r="RRD30" s="172"/>
      <c r="RRE30" s="172"/>
      <c r="RRF30" s="172"/>
      <c r="RRG30" s="172"/>
      <c r="RRH30" s="172"/>
      <c r="RRI30" s="172"/>
      <c r="RRJ30" s="172"/>
      <c r="RRK30" s="172"/>
      <c r="RRL30" s="172"/>
      <c r="RRM30" s="172"/>
      <c r="RRN30" s="172"/>
      <c r="RRO30" s="172"/>
      <c r="RRP30" s="172"/>
      <c r="RRQ30" s="172"/>
      <c r="RRR30" s="172"/>
      <c r="RRS30" s="172"/>
      <c r="RRT30" s="172"/>
      <c r="RRU30" s="172"/>
      <c r="RRV30" s="172"/>
      <c r="RRW30" s="172"/>
      <c r="RRX30" s="172"/>
      <c r="RRY30" s="172"/>
      <c r="RRZ30" s="172"/>
      <c r="RSA30" s="172"/>
      <c r="RSB30" s="172"/>
      <c r="RSC30" s="172"/>
      <c r="RSD30" s="172"/>
      <c r="RSE30" s="172"/>
      <c r="RSF30" s="172"/>
      <c r="RSG30" s="172"/>
      <c r="RSH30" s="172"/>
      <c r="RSI30" s="172"/>
      <c r="RSJ30" s="172"/>
      <c r="RSK30" s="172"/>
      <c r="RSL30" s="172"/>
      <c r="RSM30" s="172"/>
      <c r="RSN30" s="172"/>
      <c r="RSO30" s="172"/>
      <c r="RSP30" s="172"/>
      <c r="RSQ30" s="172"/>
      <c r="RSR30" s="172"/>
      <c r="RSS30" s="172"/>
      <c r="RST30" s="172"/>
      <c r="RSU30" s="172"/>
      <c r="RSV30" s="172"/>
      <c r="RSW30" s="172"/>
      <c r="RSX30" s="172"/>
      <c r="RSY30" s="172"/>
      <c r="RSZ30" s="172"/>
      <c r="RTA30" s="172"/>
      <c r="RTB30" s="172"/>
      <c r="RTC30" s="172"/>
      <c r="RTD30" s="172"/>
      <c r="RTE30" s="172"/>
      <c r="RTF30" s="172"/>
      <c r="RTG30" s="172"/>
      <c r="RTH30" s="172"/>
      <c r="RTI30" s="172"/>
      <c r="RTJ30" s="172"/>
      <c r="RTK30" s="172"/>
      <c r="RTL30" s="172"/>
      <c r="RTM30" s="172"/>
      <c r="RTN30" s="172"/>
      <c r="RTO30" s="172"/>
      <c r="RTP30" s="172"/>
      <c r="RTQ30" s="172"/>
      <c r="RTR30" s="172"/>
      <c r="RTS30" s="172"/>
      <c r="RTT30" s="172"/>
      <c r="RTU30" s="172"/>
      <c r="RTV30" s="172"/>
      <c r="RTW30" s="172"/>
      <c r="RTX30" s="172"/>
      <c r="RTY30" s="172"/>
      <c r="RTZ30" s="172"/>
      <c r="RUA30" s="172"/>
      <c r="RUB30" s="172"/>
      <c r="RUC30" s="172"/>
      <c r="RUD30" s="172"/>
      <c r="RUE30" s="172"/>
      <c r="RUF30" s="172"/>
      <c r="RUG30" s="172"/>
      <c r="RUH30" s="172"/>
      <c r="RUI30" s="172"/>
      <c r="RUJ30" s="172"/>
      <c r="RUK30" s="172"/>
      <c r="RUL30" s="172"/>
      <c r="RUM30" s="172"/>
      <c r="RUN30" s="172"/>
      <c r="RUO30" s="172"/>
      <c r="RUP30" s="172"/>
      <c r="RUQ30" s="172"/>
      <c r="RUR30" s="172"/>
      <c r="RUS30" s="172"/>
      <c r="RUT30" s="172"/>
      <c r="RUU30" s="172"/>
      <c r="RUV30" s="172"/>
      <c r="RUW30" s="172"/>
      <c r="RUX30" s="172"/>
      <c r="RUY30" s="172"/>
      <c r="RUZ30" s="172"/>
      <c r="RVA30" s="172"/>
      <c r="RVB30" s="172"/>
      <c r="RVC30" s="172"/>
      <c r="RVD30" s="172"/>
      <c r="RVE30" s="172"/>
      <c r="RVF30" s="172"/>
      <c r="RVG30" s="172"/>
      <c r="RVH30" s="172"/>
      <c r="RVI30" s="172"/>
      <c r="RVJ30" s="172"/>
      <c r="RVK30" s="172"/>
      <c r="RVL30" s="172"/>
      <c r="RVM30" s="172"/>
      <c r="RVN30" s="172"/>
      <c r="RVO30" s="172"/>
      <c r="RVP30" s="172"/>
      <c r="RVQ30" s="172"/>
      <c r="RVR30" s="172"/>
      <c r="RVS30" s="172"/>
      <c r="RVT30" s="172"/>
      <c r="RVU30" s="172"/>
      <c r="RVV30" s="172"/>
      <c r="RVW30" s="172"/>
      <c r="RVX30" s="172"/>
      <c r="RVY30" s="172"/>
      <c r="RVZ30" s="172"/>
      <c r="RWA30" s="172"/>
      <c r="RWB30" s="172"/>
      <c r="RWC30" s="172"/>
      <c r="RWD30" s="172"/>
      <c r="RWE30" s="172"/>
      <c r="RWF30" s="172"/>
      <c r="RWG30" s="172"/>
      <c r="RWH30" s="172"/>
      <c r="RWI30" s="172"/>
      <c r="RWJ30" s="172"/>
      <c r="RWK30" s="172"/>
      <c r="RWL30" s="172"/>
      <c r="RWM30" s="172"/>
      <c r="RWN30" s="172"/>
      <c r="RWO30" s="172"/>
      <c r="RWP30" s="172"/>
      <c r="RWQ30" s="172"/>
      <c r="RWR30" s="172"/>
      <c r="RWS30" s="172"/>
      <c r="RWT30" s="172"/>
      <c r="RWU30" s="172"/>
      <c r="RWV30" s="172"/>
      <c r="RWW30" s="172"/>
      <c r="RWX30" s="172"/>
      <c r="RWY30" s="172"/>
      <c r="RWZ30" s="172"/>
      <c r="RXA30" s="172"/>
      <c r="RXB30" s="172"/>
      <c r="RXC30" s="172"/>
      <c r="RXD30" s="172"/>
      <c r="RXE30" s="172"/>
      <c r="RXF30" s="172"/>
      <c r="RXG30" s="172"/>
      <c r="RXH30" s="172"/>
      <c r="RXI30" s="172"/>
      <c r="RXJ30" s="172"/>
      <c r="RXK30" s="172"/>
      <c r="RXL30" s="172"/>
      <c r="RXM30" s="172"/>
      <c r="RXN30" s="172"/>
      <c r="RXO30" s="172"/>
      <c r="RXP30" s="172"/>
      <c r="RXQ30" s="172"/>
      <c r="RXR30" s="172"/>
      <c r="RXS30" s="172"/>
      <c r="RXT30" s="172"/>
      <c r="RXU30" s="172"/>
      <c r="RXV30" s="172"/>
      <c r="RXW30" s="172"/>
      <c r="RXX30" s="172"/>
      <c r="RXY30" s="172"/>
      <c r="RXZ30" s="172"/>
      <c r="RYA30" s="172"/>
      <c r="RYB30" s="172"/>
      <c r="RYC30" s="172"/>
      <c r="RYD30" s="172"/>
      <c r="RYE30" s="172"/>
      <c r="RYF30" s="172"/>
      <c r="RYG30" s="172"/>
      <c r="RYH30" s="172"/>
      <c r="RYI30" s="172"/>
      <c r="RYJ30" s="172"/>
      <c r="RYK30" s="172"/>
      <c r="RYL30" s="172"/>
      <c r="RYM30" s="172"/>
      <c r="RYN30" s="172"/>
      <c r="RYO30" s="172"/>
      <c r="RYP30" s="172"/>
      <c r="RYQ30" s="172"/>
      <c r="RYR30" s="172"/>
      <c r="RYS30" s="172"/>
      <c r="RYT30" s="172"/>
      <c r="RYU30" s="172"/>
      <c r="RYV30" s="172"/>
      <c r="RYW30" s="172"/>
      <c r="RYX30" s="172"/>
      <c r="RYY30" s="172"/>
      <c r="RYZ30" s="172"/>
      <c r="RZA30" s="172"/>
      <c r="RZB30" s="172"/>
      <c r="RZC30" s="172"/>
      <c r="RZD30" s="172"/>
      <c r="RZE30" s="172"/>
      <c r="RZF30" s="172"/>
      <c r="RZG30" s="172"/>
      <c r="RZH30" s="172"/>
      <c r="RZI30" s="172"/>
      <c r="RZJ30" s="172"/>
      <c r="RZK30" s="172"/>
      <c r="RZL30" s="172"/>
      <c r="RZM30" s="172"/>
      <c r="RZN30" s="172"/>
      <c r="RZO30" s="172"/>
      <c r="RZP30" s="172"/>
      <c r="RZQ30" s="172"/>
      <c r="RZR30" s="172"/>
      <c r="RZS30" s="172"/>
      <c r="RZT30" s="172"/>
      <c r="RZU30" s="172"/>
      <c r="RZV30" s="172"/>
      <c r="RZW30" s="172"/>
      <c r="RZX30" s="172"/>
      <c r="RZY30" s="172"/>
      <c r="RZZ30" s="172"/>
      <c r="SAA30" s="172"/>
      <c r="SAB30" s="172"/>
      <c r="SAC30" s="172"/>
      <c r="SAD30" s="172"/>
      <c r="SAE30" s="172"/>
      <c r="SAF30" s="172"/>
      <c r="SAG30" s="172"/>
      <c r="SAH30" s="172"/>
      <c r="SAI30" s="172"/>
      <c r="SAJ30" s="172"/>
      <c r="SAK30" s="172"/>
      <c r="SAL30" s="172"/>
      <c r="SAM30" s="172"/>
      <c r="SAN30" s="172"/>
      <c r="SAO30" s="172"/>
      <c r="SAP30" s="172"/>
      <c r="SAQ30" s="172"/>
      <c r="SAR30" s="172"/>
      <c r="SAS30" s="172"/>
      <c r="SAT30" s="172"/>
      <c r="SAU30" s="172"/>
      <c r="SAV30" s="172"/>
      <c r="SAW30" s="172"/>
      <c r="SAX30" s="172"/>
      <c r="SAY30" s="172"/>
      <c r="SAZ30" s="172"/>
      <c r="SBA30" s="172"/>
      <c r="SBB30" s="172"/>
      <c r="SBC30" s="172"/>
      <c r="SBD30" s="172"/>
      <c r="SBE30" s="172"/>
      <c r="SBF30" s="172"/>
      <c r="SBG30" s="172"/>
      <c r="SBH30" s="172"/>
      <c r="SBI30" s="172"/>
      <c r="SBJ30" s="172"/>
      <c r="SBK30" s="172"/>
      <c r="SBL30" s="172"/>
      <c r="SBM30" s="172"/>
      <c r="SBN30" s="172"/>
      <c r="SBO30" s="172"/>
      <c r="SBP30" s="172"/>
      <c r="SBQ30" s="172"/>
      <c r="SBR30" s="172"/>
      <c r="SBS30" s="172"/>
      <c r="SBT30" s="172"/>
      <c r="SBU30" s="172"/>
      <c r="SBV30" s="172"/>
      <c r="SBW30" s="172"/>
      <c r="SBX30" s="172"/>
      <c r="SBY30" s="172"/>
      <c r="SBZ30" s="172"/>
      <c r="SCA30" s="172"/>
      <c r="SCB30" s="172"/>
      <c r="SCC30" s="172"/>
      <c r="SCD30" s="172"/>
      <c r="SCE30" s="172"/>
      <c r="SCF30" s="172"/>
      <c r="SCG30" s="172"/>
      <c r="SCH30" s="172"/>
      <c r="SCI30" s="172"/>
      <c r="SCJ30" s="172"/>
      <c r="SCK30" s="172"/>
      <c r="SCL30" s="172"/>
      <c r="SCM30" s="172"/>
      <c r="SCN30" s="172"/>
      <c r="SCO30" s="172"/>
      <c r="SCP30" s="172"/>
      <c r="SCQ30" s="172"/>
      <c r="SCR30" s="172"/>
      <c r="SCS30" s="172"/>
      <c r="SCT30" s="172"/>
      <c r="SCU30" s="172"/>
      <c r="SCV30" s="172"/>
      <c r="SCW30" s="172"/>
      <c r="SCX30" s="172"/>
      <c r="SCY30" s="172"/>
      <c r="SCZ30" s="172"/>
      <c r="SDA30" s="172"/>
      <c r="SDB30" s="172"/>
      <c r="SDC30" s="172"/>
      <c r="SDD30" s="172"/>
      <c r="SDE30" s="172"/>
      <c r="SDF30" s="172"/>
      <c r="SDG30" s="172"/>
      <c r="SDH30" s="172"/>
      <c r="SDI30" s="172"/>
      <c r="SDJ30" s="172"/>
      <c r="SDK30" s="172"/>
      <c r="SDL30" s="172"/>
      <c r="SDM30" s="172"/>
      <c r="SDN30" s="172"/>
      <c r="SDO30" s="172"/>
      <c r="SDP30" s="172"/>
      <c r="SDQ30" s="172"/>
      <c r="SDR30" s="172"/>
      <c r="SDS30" s="172"/>
      <c r="SDT30" s="172"/>
      <c r="SDU30" s="172"/>
      <c r="SDV30" s="172"/>
      <c r="SDW30" s="172"/>
      <c r="SDX30" s="172"/>
      <c r="SDY30" s="172"/>
      <c r="SDZ30" s="172"/>
      <c r="SEA30" s="172"/>
      <c r="SEB30" s="172"/>
      <c r="SEC30" s="172"/>
      <c r="SED30" s="172"/>
      <c r="SEE30" s="172"/>
      <c r="SEF30" s="172"/>
      <c r="SEG30" s="172"/>
      <c r="SEH30" s="172"/>
      <c r="SEI30" s="172"/>
      <c r="SEJ30" s="172"/>
      <c r="SEK30" s="172"/>
      <c r="SEL30" s="172"/>
      <c r="SEM30" s="172"/>
      <c r="SEN30" s="172"/>
      <c r="SEO30" s="172"/>
      <c r="SEP30" s="172"/>
      <c r="SEQ30" s="172"/>
      <c r="SER30" s="172"/>
      <c r="SES30" s="172"/>
      <c r="SET30" s="172"/>
      <c r="SEU30" s="172"/>
      <c r="SEV30" s="172"/>
      <c r="SEW30" s="172"/>
      <c r="SEX30" s="172"/>
      <c r="SEY30" s="172"/>
      <c r="SEZ30" s="172"/>
      <c r="SFA30" s="172"/>
      <c r="SFB30" s="172"/>
      <c r="SFC30" s="172"/>
      <c r="SFD30" s="172"/>
      <c r="SFE30" s="172"/>
      <c r="SFF30" s="172"/>
      <c r="SFG30" s="172"/>
      <c r="SFH30" s="172"/>
      <c r="SFI30" s="172"/>
      <c r="SFJ30" s="172"/>
      <c r="SFK30" s="172"/>
      <c r="SFL30" s="172"/>
      <c r="SFM30" s="172"/>
      <c r="SFN30" s="172"/>
      <c r="SFO30" s="172"/>
      <c r="SFP30" s="172"/>
      <c r="SFQ30" s="172"/>
      <c r="SFR30" s="172"/>
      <c r="SFS30" s="172"/>
      <c r="SFT30" s="172"/>
      <c r="SFU30" s="172"/>
      <c r="SFV30" s="172"/>
      <c r="SFW30" s="172"/>
      <c r="SFX30" s="172"/>
      <c r="SFY30" s="172"/>
      <c r="SFZ30" s="172"/>
      <c r="SGA30" s="172"/>
      <c r="SGB30" s="172"/>
      <c r="SGC30" s="172"/>
      <c r="SGD30" s="172"/>
      <c r="SGE30" s="172"/>
      <c r="SGF30" s="172"/>
      <c r="SGG30" s="172"/>
      <c r="SGH30" s="172"/>
      <c r="SGI30" s="172"/>
      <c r="SGJ30" s="172"/>
      <c r="SGK30" s="172"/>
      <c r="SGL30" s="172"/>
      <c r="SGM30" s="172"/>
      <c r="SGN30" s="172"/>
      <c r="SGO30" s="172"/>
      <c r="SGP30" s="172"/>
      <c r="SGQ30" s="172"/>
      <c r="SGR30" s="172"/>
      <c r="SGS30" s="172"/>
      <c r="SGT30" s="172"/>
      <c r="SGU30" s="172"/>
      <c r="SGV30" s="172"/>
      <c r="SGW30" s="172"/>
      <c r="SGX30" s="172"/>
      <c r="SGY30" s="172"/>
      <c r="SGZ30" s="172"/>
      <c r="SHA30" s="172"/>
      <c r="SHB30" s="172"/>
      <c r="SHC30" s="172"/>
      <c r="SHD30" s="172"/>
      <c r="SHE30" s="172"/>
      <c r="SHF30" s="172"/>
      <c r="SHG30" s="172"/>
      <c r="SHH30" s="172"/>
      <c r="SHI30" s="172"/>
      <c r="SHJ30" s="172"/>
      <c r="SHK30" s="172"/>
      <c r="SHL30" s="172"/>
      <c r="SHM30" s="172"/>
      <c r="SHN30" s="172"/>
      <c r="SHO30" s="172"/>
      <c r="SHP30" s="172"/>
      <c r="SHQ30" s="172"/>
      <c r="SHR30" s="172"/>
      <c r="SHS30" s="172"/>
      <c r="SHT30" s="172"/>
      <c r="SHU30" s="172"/>
      <c r="SHV30" s="172"/>
      <c r="SHW30" s="172"/>
      <c r="SHX30" s="172"/>
      <c r="SHY30" s="172"/>
      <c r="SHZ30" s="172"/>
      <c r="SIA30" s="172"/>
      <c r="SIB30" s="172"/>
      <c r="SIC30" s="172"/>
      <c r="SID30" s="172"/>
      <c r="SIE30" s="172"/>
      <c r="SIF30" s="172"/>
      <c r="SIG30" s="172"/>
      <c r="SIH30" s="172"/>
      <c r="SII30" s="172"/>
      <c r="SIJ30" s="172"/>
      <c r="SIK30" s="172"/>
      <c r="SIL30" s="172"/>
      <c r="SIM30" s="172"/>
      <c r="SIN30" s="172"/>
      <c r="SIO30" s="172"/>
      <c r="SIP30" s="172"/>
      <c r="SIQ30" s="172"/>
      <c r="SIR30" s="172"/>
      <c r="SIS30" s="172"/>
      <c r="SIT30" s="172"/>
      <c r="SIU30" s="172"/>
      <c r="SIV30" s="172"/>
      <c r="SIW30" s="172"/>
      <c r="SIX30" s="172"/>
      <c r="SIY30" s="172"/>
      <c r="SIZ30" s="172"/>
      <c r="SJA30" s="172"/>
      <c r="SJB30" s="172"/>
      <c r="SJC30" s="172"/>
      <c r="SJD30" s="172"/>
      <c r="SJE30" s="172"/>
      <c r="SJF30" s="172"/>
      <c r="SJG30" s="172"/>
      <c r="SJH30" s="172"/>
      <c r="SJI30" s="172"/>
      <c r="SJJ30" s="172"/>
      <c r="SJK30" s="172"/>
      <c r="SJL30" s="172"/>
      <c r="SJM30" s="172"/>
      <c r="SJN30" s="172"/>
      <c r="SJO30" s="172"/>
      <c r="SJP30" s="172"/>
      <c r="SJQ30" s="172"/>
      <c r="SJR30" s="172"/>
      <c r="SJS30" s="172"/>
      <c r="SJT30" s="172"/>
      <c r="SJU30" s="172"/>
      <c r="SJV30" s="172"/>
      <c r="SJW30" s="172"/>
      <c r="SJX30" s="172"/>
      <c r="SJY30" s="172"/>
      <c r="SJZ30" s="172"/>
      <c r="SKA30" s="172"/>
      <c r="SKB30" s="172"/>
      <c r="SKC30" s="172"/>
      <c r="SKD30" s="172"/>
      <c r="SKE30" s="172"/>
      <c r="SKF30" s="172"/>
      <c r="SKG30" s="172"/>
      <c r="SKH30" s="172"/>
      <c r="SKI30" s="172"/>
      <c r="SKJ30" s="172"/>
      <c r="SKK30" s="172"/>
      <c r="SKL30" s="172"/>
      <c r="SKM30" s="172"/>
      <c r="SKN30" s="172"/>
      <c r="SKO30" s="172"/>
      <c r="SKP30" s="172"/>
      <c r="SKQ30" s="172"/>
      <c r="SKR30" s="172"/>
      <c r="SKS30" s="172"/>
      <c r="SKT30" s="172"/>
      <c r="SKU30" s="172"/>
      <c r="SKV30" s="172"/>
      <c r="SKW30" s="172"/>
      <c r="SKX30" s="172"/>
      <c r="SKY30" s="172"/>
      <c r="SKZ30" s="172"/>
      <c r="SLA30" s="172"/>
      <c r="SLB30" s="172"/>
      <c r="SLC30" s="172"/>
      <c r="SLD30" s="172"/>
      <c r="SLE30" s="172"/>
      <c r="SLF30" s="172"/>
      <c r="SLG30" s="172"/>
      <c r="SLH30" s="172"/>
      <c r="SLI30" s="172"/>
      <c r="SLJ30" s="172"/>
      <c r="SLK30" s="172"/>
      <c r="SLL30" s="172"/>
      <c r="SLM30" s="172"/>
      <c r="SLN30" s="172"/>
      <c r="SLO30" s="172"/>
      <c r="SLP30" s="172"/>
      <c r="SLQ30" s="172"/>
      <c r="SLR30" s="172"/>
      <c r="SLS30" s="172"/>
      <c r="SLT30" s="172"/>
      <c r="SLU30" s="172"/>
      <c r="SLV30" s="172"/>
      <c r="SLW30" s="172"/>
      <c r="SLX30" s="172"/>
      <c r="SLY30" s="172"/>
      <c r="SLZ30" s="172"/>
      <c r="SMA30" s="172"/>
      <c r="SMB30" s="172"/>
      <c r="SMC30" s="172"/>
      <c r="SMD30" s="172"/>
      <c r="SME30" s="172"/>
      <c r="SMF30" s="172"/>
      <c r="SMG30" s="172"/>
      <c r="SMH30" s="172"/>
      <c r="SMI30" s="172"/>
      <c r="SMJ30" s="172"/>
      <c r="SMK30" s="172"/>
      <c r="SML30" s="172"/>
      <c r="SMM30" s="172"/>
      <c r="SMN30" s="172"/>
      <c r="SMO30" s="172"/>
      <c r="SMP30" s="172"/>
      <c r="SMQ30" s="172"/>
      <c r="SMR30" s="172"/>
      <c r="SMS30" s="172"/>
      <c r="SMT30" s="172"/>
      <c r="SMU30" s="172"/>
      <c r="SMV30" s="172"/>
      <c r="SMW30" s="172"/>
      <c r="SMX30" s="172"/>
      <c r="SMY30" s="172"/>
      <c r="SMZ30" s="172"/>
      <c r="SNA30" s="172"/>
      <c r="SNB30" s="172"/>
      <c r="SNC30" s="172"/>
      <c r="SND30" s="172"/>
      <c r="SNE30" s="172"/>
      <c r="SNF30" s="172"/>
      <c r="SNG30" s="172"/>
      <c r="SNH30" s="172"/>
      <c r="SNI30" s="172"/>
      <c r="SNJ30" s="172"/>
      <c r="SNK30" s="172"/>
      <c r="SNL30" s="172"/>
      <c r="SNM30" s="172"/>
      <c r="SNN30" s="172"/>
      <c r="SNO30" s="172"/>
      <c r="SNP30" s="172"/>
      <c r="SNQ30" s="172"/>
      <c r="SNR30" s="172"/>
      <c r="SNS30" s="172"/>
      <c r="SNT30" s="172"/>
      <c r="SNU30" s="172"/>
      <c r="SNV30" s="172"/>
      <c r="SNW30" s="172"/>
      <c r="SNX30" s="172"/>
      <c r="SNY30" s="172"/>
      <c r="SNZ30" s="172"/>
      <c r="SOA30" s="172"/>
      <c r="SOB30" s="172"/>
      <c r="SOC30" s="172"/>
      <c r="SOD30" s="172"/>
      <c r="SOE30" s="172"/>
      <c r="SOF30" s="172"/>
      <c r="SOG30" s="172"/>
      <c r="SOH30" s="172"/>
      <c r="SOI30" s="172"/>
      <c r="SOJ30" s="172"/>
      <c r="SOK30" s="172"/>
      <c r="SOL30" s="172"/>
      <c r="SOM30" s="172"/>
      <c r="SON30" s="172"/>
      <c r="SOO30" s="172"/>
      <c r="SOP30" s="172"/>
      <c r="SOQ30" s="172"/>
      <c r="SOR30" s="172"/>
      <c r="SOS30" s="172"/>
      <c r="SOT30" s="172"/>
      <c r="SOU30" s="172"/>
      <c r="SOV30" s="172"/>
      <c r="SOW30" s="172"/>
      <c r="SOX30" s="172"/>
      <c r="SOY30" s="172"/>
      <c r="SOZ30" s="172"/>
      <c r="SPA30" s="172"/>
      <c r="SPB30" s="172"/>
      <c r="SPC30" s="172"/>
      <c r="SPD30" s="172"/>
      <c r="SPE30" s="172"/>
      <c r="SPF30" s="172"/>
      <c r="SPG30" s="172"/>
      <c r="SPH30" s="172"/>
      <c r="SPI30" s="172"/>
      <c r="SPJ30" s="172"/>
      <c r="SPK30" s="172"/>
      <c r="SPL30" s="172"/>
      <c r="SPM30" s="172"/>
      <c r="SPN30" s="172"/>
      <c r="SPO30" s="172"/>
      <c r="SPP30" s="172"/>
      <c r="SPQ30" s="172"/>
      <c r="SPR30" s="172"/>
      <c r="SPS30" s="172"/>
      <c r="SPT30" s="172"/>
      <c r="SPU30" s="172"/>
      <c r="SPV30" s="172"/>
      <c r="SPW30" s="172"/>
      <c r="SPX30" s="172"/>
      <c r="SPY30" s="172"/>
      <c r="SPZ30" s="172"/>
      <c r="SQA30" s="172"/>
      <c r="SQB30" s="172"/>
      <c r="SQC30" s="172"/>
      <c r="SQD30" s="172"/>
      <c r="SQE30" s="172"/>
      <c r="SQF30" s="172"/>
      <c r="SQG30" s="172"/>
      <c r="SQH30" s="172"/>
      <c r="SQI30" s="172"/>
      <c r="SQJ30" s="172"/>
      <c r="SQK30" s="172"/>
      <c r="SQL30" s="172"/>
      <c r="SQM30" s="172"/>
      <c r="SQN30" s="172"/>
      <c r="SQO30" s="172"/>
      <c r="SQP30" s="172"/>
      <c r="SQQ30" s="172"/>
      <c r="SQR30" s="172"/>
      <c r="SQS30" s="172"/>
      <c r="SQT30" s="172"/>
      <c r="SQU30" s="172"/>
      <c r="SQV30" s="172"/>
      <c r="SQW30" s="172"/>
      <c r="SQX30" s="172"/>
      <c r="SQY30" s="172"/>
      <c r="SQZ30" s="172"/>
      <c r="SRA30" s="172"/>
      <c r="SRB30" s="172"/>
      <c r="SRC30" s="172"/>
      <c r="SRD30" s="172"/>
      <c r="SRE30" s="172"/>
      <c r="SRF30" s="172"/>
      <c r="SRG30" s="172"/>
      <c r="SRH30" s="172"/>
      <c r="SRI30" s="172"/>
      <c r="SRJ30" s="172"/>
      <c r="SRK30" s="172"/>
      <c r="SRL30" s="172"/>
      <c r="SRM30" s="172"/>
      <c r="SRN30" s="172"/>
      <c r="SRO30" s="172"/>
      <c r="SRP30" s="172"/>
      <c r="SRQ30" s="172"/>
      <c r="SRR30" s="172"/>
      <c r="SRS30" s="172"/>
      <c r="SRT30" s="172"/>
      <c r="SRU30" s="172"/>
      <c r="SRV30" s="172"/>
      <c r="SRW30" s="172"/>
      <c r="SRX30" s="172"/>
      <c r="SRY30" s="172"/>
      <c r="SRZ30" s="172"/>
      <c r="SSA30" s="172"/>
      <c r="SSB30" s="172"/>
      <c r="SSC30" s="172"/>
      <c r="SSD30" s="172"/>
      <c r="SSE30" s="172"/>
      <c r="SSF30" s="172"/>
      <c r="SSG30" s="172"/>
      <c r="SSH30" s="172"/>
      <c r="SSI30" s="172"/>
      <c r="SSJ30" s="172"/>
      <c r="SSK30" s="172"/>
      <c r="SSL30" s="172"/>
      <c r="SSM30" s="172"/>
      <c r="SSN30" s="172"/>
      <c r="SSO30" s="172"/>
      <c r="SSP30" s="172"/>
      <c r="SSQ30" s="172"/>
      <c r="SSR30" s="172"/>
      <c r="SSS30" s="172"/>
      <c r="SST30" s="172"/>
      <c r="SSU30" s="172"/>
      <c r="SSV30" s="172"/>
      <c r="SSW30" s="172"/>
      <c r="SSX30" s="172"/>
      <c r="SSY30" s="172"/>
      <c r="SSZ30" s="172"/>
      <c r="STA30" s="172"/>
      <c r="STB30" s="172"/>
      <c r="STC30" s="172"/>
      <c r="STD30" s="172"/>
      <c r="STE30" s="172"/>
      <c r="STF30" s="172"/>
      <c r="STG30" s="172"/>
      <c r="STH30" s="172"/>
      <c r="STI30" s="172"/>
      <c r="STJ30" s="172"/>
      <c r="STK30" s="172"/>
      <c r="STL30" s="172"/>
      <c r="STM30" s="172"/>
      <c r="STN30" s="172"/>
      <c r="STO30" s="172"/>
      <c r="STP30" s="172"/>
      <c r="STQ30" s="172"/>
      <c r="STR30" s="172"/>
      <c r="STS30" s="172"/>
      <c r="STT30" s="172"/>
      <c r="STU30" s="172"/>
      <c r="STV30" s="172"/>
      <c r="STW30" s="172"/>
      <c r="STX30" s="172"/>
      <c r="STY30" s="172"/>
      <c r="STZ30" s="172"/>
      <c r="SUA30" s="172"/>
      <c r="SUB30" s="172"/>
      <c r="SUC30" s="172"/>
      <c r="SUD30" s="172"/>
      <c r="SUE30" s="172"/>
      <c r="SUF30" s="172"/>
      <c r="SUG30" s="172"/>
      <c r="SUH30" s="172"/>
      <c r="SUI30" s="172"/>
      <c r="SUJ30" s="172"/>
      <c r="SUK30" s="172"/>
      <c r="SUL30" s="172"/>
      <c r="SUM30" s="172"/>
      <c r="SUN30" s="172"/>
      <c r="SUO30" s="172"/>
      <c r="SUP30" s="172"/>
      <c r="SUQ30" s="172"/>
      <c r="SUR30" s="172"/>
      <c r="SUS30" s="172"/>
      <c r="SUT30" s="172"/>
      <c r="SUU30" s="172"/>
      <c r="SUV30" s="172"/>
      <c r="SUW30" s="172"/>
      <c r="SUX30" s="172"/>
      <c r="SUY30" s="172"/>
      <c r="SUZ30" s="172"/>
      <c r="SVA30" s="172"/>
      <c r="SVB30" s="172"/>
      <c r="SVC30" s="172"/>
      <c r="SVD30" s="172"/>
      <c r="SVE30" s="172"/>
      <c r="SVF30" s="172"/>
      <c r="SVG30" s="172"/>
      <c r="SVH30" s="172"/>
      <c r="SVI30" s="172"/>
      <c r="SVJ30" s="172"/>
      <c r="SVK30" s="172"/>
      <c r="SVL30" s="172"/>
      <c r="SVM30" s="172"/>
      <c r="SVN30" s="172"/>
      <c r="SVO30" s="172"/>
      <c r="SVP30" s="172"/>
      <c r="SVQ30" s="172"/>
      <c r="SVR30" s="172"/>
      <c r="SVS30" s="172"/>
      <c r="SVT30" s="172"/>
      <c r="SVU30" s="172"/>
      <c r="SVV30" s="172"/>
      <c r="SVW30" s="172"/>
      <c r="SVX30" s="172"/>
      <c r="SVY30" s="172"/>
      <c r="SVZ30" s="172"/>
      <c r="SWA30" s="172"/>
      <c r="SWB30" s="172"/>
      <c r="SWC30" s="172"/>
      <c r="SWD30" s="172"/>
      <c r="SWE30" s="172"/>
      <c r="SWF30" s="172"/>
      <c r="SWG30" s="172"/>
      <c r="SWH30" s="172"/>
      <c r="SWI30" s="172"/>
      <c r="SWJ30" s="172"/>
      <c r="SWK30" s="172"/>
      <c r="SWL30" s="172"/>
      <c r="SWM30" s="172"/>
      <c r="SWN30" s="172"/>
      <c r="SWO30" s="172"/>
      <c r="SWP30" s="172"/>
      <c r="SWQ30" s="172"/>
      <c r="SWR30" s="172"/>
      <c r="SWS30" s="172"/>
      <c r="SWT30" s="172"/>
      <c r="SWU30" s="172"/>
      <c r="SWV30" s="172"/>
      <c r="SWW30" s="172"/>
      <c r="SWX30" s="172"/>
      <c r="SWY30" s="172"/>
      <c r="SWZ30" s="172"/>
      <c r="SXA30" s="172"/>
      <c r="SXB30" s="172"/>
      <c r="SXC30" s="172"/>
      <c r="SXD30" s="172"/>
      <c r="SXE30" s="172"/>
      <c r="SXF30" s="172"/>
      <c r="SXG30" s="172"/>
      <c r="SXH30" s="172"/>
      <c r="SXI30" s="172"/>
      <c r="SXJ30" s="172"/>
      <c r="SXK30" s="172"/>
      <c r="SXL30" s="172"/>
      <c r="SXM30" s="172"/>
      <c r="SXN30" s="172"/>
      <c r="SXO30" s="172"/>
      <c r="SXP30" s="172"/>
      <c r="SXQ30" s="172"/>
      <c r="SXR30" s="172"/>
      <c r="SXS30" s="172"/>
      <c r="SXT30" s="172"/>
      <c r="SXU30" s="172"/>
      <c r="SXV30" s="172"/>
      <c r="SXW30" s="172"/>
      <c r="SXX30" s="172"/>
      <c r="SXY30" s="172"/>
      <c r="SXZ30" s="172"/>
      <c r="SYA30" s="172"/>
      <c r="SYB30" s="172"/>
      <c r="SYC30" s="172"/>
      <c r="SYD30" s="172"/>
      <c r="SYE30" s="172"/>
      <c r="SYF30" s="172"/>
      <c r="SYG30" s="172"/>
      <c r="SYH30" s="172"/>
      <c r="SYI30" s="172"/>
      <c r="SYJ30" s="172"/>
      <c r="SYK30" s="172"/>
      <c r="SYL30" s="172"/>
      <c r="SYM30" s="172"/>
      <c r="SYN30" s="172"/>
      <c r="SYO30" s="172"/>
      <c r="SYP30" s="172"/>
      <c r="SYQ30" s="172"/>
      <c r="SYR30" s="172"/>
      <c r="SYS30" s="172"/>
      <c r="SYT30" s="172"/>
      <c r="SYU30" s="172"/>
      <c r="SYV30" s="172"/>
      <c r="SYW30" s="172"/>
      <c r="SYX30" s="172"/>
      <c r="SYY30" s="172"/>
      <c r="SYZ30" s="172"/>
      <c r="SZA30" s="172"/>
      <c r="SZB30" s="172"/>
      <c r="SZC30" s="172"/>
      <c r="SZD30" s="172"/>
      <c r="SZE30" s="172"/>
      <c r="SZF30" s="172"/>
      <c r="SZG30" s="172"/>
      <c r="SZH30" s="172"/>
      <c r="SZI30" s="172"/>
      <c r="SZJ30" s="172"/>
      <c r="SZK30" s="172"/>
      <c r="SZL30" s="172"/>
      <c r="SZM30" s="172"/>
      <c r="SZN30" s="172"/>
      <c r="SZO30" s="172"/>
      <c r="SZP30" s="172"/>
      <c r="SZQ30" s="172"/>
      <c r="SZR30" s="172"/>
      <c r="SZS30" s="172"/>
      <c r="SZT30" s="172"/>
      <c r="SZU30" s="172"/>
      <c r="SZV30" s="172"/>
      <c r="SZW30" s="172"/>
      <c r="SZX30" s="172"/>
      <c r="SZY30" s="172"/>
      <c r="SZZ30" s="172"/>
      <c r="TAA30" s="172"/>
      <c r="TAB30" s="172"/>
      <c r="TAC30" s="172"/>
      <c r="TAD30" s="172"/>
      <c r="TAE30" s="172"/>
      <c r="TAF30" s="172"/>
      <c r="TAG30" s="172"/>
      <c r="TAH30" s="172"/>
      <c r="TAI30" s="172"/>
      <c r="TAJ30" s="172"/>
      <c r="TAK30" s="172"/>
      <c r="TAL30" s="172"/>
      <c r="TAM30" s="172"/>
      <c r="TAN30" s="172"/>
      <c r="TAO30" s="172"/>
      <c r="TAP30" s="172"/>
      <c r="TAQ30" s="172"/>
      <c r="TAR30" s="172"/>
      <c r="TAS30" s="172"/>
      <c r="TAT30" s="172"/>
      <c r="TAU30" s="172"/>
      <c r="TAV30" s="172"/>
      <c r="TAW30" s="172"/>
      <c r="TAX30" s="172"/>
      <c r="TAY30" s="172"/>
      <c r="TAZ30" s="172"/>
      <c r="TBA30" s="172"/>
      <c r="TBB30" s="172"/>
      <c r="TBC30" s="172"/>
      <c r="TBD30" s="172"/>
      <c r="TBE30" s="172"/>
      <c r="TBF30" s="172"/>
      <c r="TBG30" s="172"/>
      <c r="TBH30" s="172"/>
      <c r="TBI30" s="172"/>
      <c r="TBJ30" s="172"/>
      <c r="TBK30" s="172"/>
      <c r="TBL30" s="172"/>
      <c r="TBM30" s="172"/>
      <c r="TBN30" s="172"/>
      <c r="TBO30" s="172"/>
      <c r="TBP30" s="172"/>
      <c r="TBQ30" s="172"/>
      <c r="TBR30" s="172"/>
      <c r="TBS30" s="172"/>
      <c r="TBT30" s="172"/>
      <c r="TBU30" s="172"/>
      <c r="TBV30" s="172"/>
      <c r="TBW30" s="172"/>
      <c r="TBX30" s="172"/>
      <c r="TBY30" s="172"/>
      <c r="TBZ30" s="172"/>
      <c r="TCA30" s="172"/>
      <c r="TCB30" s="172"/>
      <c r="TCC30" s="172"/>
      <c r="TCD30" s="172"/>
      <c r="TCE30" s="172"/>
      <c r="TCF30" s="172"/>
      <c r="TCG30" s="172"/>
      <c r="TCH30" s="172"/>
      <c r="TCI30" s="172"/>
      <c r="TCJ30" s="172"/>
      <c r="TCK30" s="172"/>
      <c r="TCL30" s="172"/>
      <c r="TCM30" s="172"/>
      <c r="TCN30" s="172"/>
      <c r="TCO30" s="172"/>
      <c r="TCP30" s="172"/>
      <c r="TCQ30" s="172"/>
      <c r="TCR30" s="172"/>
      <c r="TCS30" s="172"/>
      <c r="TCT30" s="172"/>
      <c r="TCU30" s="172"/>
      <c r="TCV30" s="172"/>
      <c r="TCW30" s="172"/>
      <c r="TCX30" s="172"/>
      <c r="TCY30" s="172"/>
      <c r="TCZ30" s="172"/>
      <c r="TDA30" s="172"/>
      <c r="TDB30" s="172"/>
      <c r="TDC30" s="172"/>
      <c r="TDD30" s="172"/>
      <c r="TDE30" s="172"/>
      <c r="TDF30" s="172"/>
      <c r="TDG30" s="172"/>
      <c r="TDH30" s="172"/>
      <c r="TDI30" s="172"/>
      <c r="TDJ30" s="172"/>
      <c r="TDK30" s="172"/>
      <c r="TDL30" s="172"/>
      <c r="TDM30" s="172"/>
      <c r="TDN30" s="172"/>
      <c r="TDO30" s="172"/>
      <c r="TDP30" s="172"/>
      <c r="TDQ30" s="172"/>
      <c r="TDR30" s="172"/>
      <c r="TDS30" s="172"/>
      <c r="TDT30" s="172"/>
      <c r="TDU30" s="172"/>
      <c r="TDV30" s="172"/>
      <c r="TDW30" s="172"/>
      <c r="TDX30" s="172"/>
      <c r="TDY30" s="172"/>
      <c r="TDZ30" s="172"/>
      <c r="TEA30" s="172"/>
      <c r="TEB30" s="172"/>
      <c r="TEC30" s="172"/>
      <c r="TED30" s="172"/>
      <c r="TEE30" s="172"/>
      <c r="TEF30" s="172"/>
      <c r="TEG30" s="172"/>
      <c r="TEH30" s="172"/>
      <c r="TEI30" s="172"/>
      <c r="TEJ30" s="172"/>
      <c r="TEK30" s="172"/>
      <c r="TEL30" s="172"/>
      <c r="TEM30" s="172"/>
      <c r="TEN30" s="172"/>
      <c r="TEO30" s="172"/>
      <c r="TEP30" s="172"/>
      <c r="TEQ30" s="172"/>
      <c r="TER30" s="172"/>
      <c r="TES30" s="172"/>
      <c r="TET30" s="172"/>
      <c r="TEU30" s="172"/>
      <c r="TEV30" s="172"/>
      <c r="TEW30" s="172"/>
      <c r="TEX30" s="172"/>
      <c r="TEY30" s="172"/>
      <c r="TEZ30" s="172"/>
      <c r="TFA30" s="172"/>
      <c r="TFB30" s="172"/>
      <c r="TFC30" s="172"/>
      <c r="TFD30" s="172"/>
      <c r="TFE30" s="172"/>
      <c r="TFF30" s="172"/>
      <c r="TFG30" s="172"/>
      <c r="TFH30" s="172"/>
      <c r="TFI30" s="172"/>
      <c r="TFJ30" s="172"/>
      <c r="TFK30" s="172"/>
      <c r="TFL30" s="172"/>
      <c r="TFM30" s="172"/>
      <c r="TFN30" s="172"/>
      <c r="TFO30" s="172"/>
      <c r="TFP30" s="172"/>
      <c r="TFQ30" s="172"/>
      <c r="TFR30" s="172"/>
      <c r="TFS30" s="172"/>
      <c r="TFT30" s="172"/>
      <c r="TFU30" s="172"/>
      <c r="TFV30" s="172"/>
      <c r="TFW30" s="172"/>
      <c r="TFX30" s="172"/>
      <c r="TFY30" s="172"/>
      <c r="TFZ30" s="172"/>
      <c r="TGA30" s="172"/>
      <c r="TGB30" s="172"/>
      <c r="TGC30" s="172"/>
      <c r="TGD30" s="172"/>
      <c r="TGE30" s="172"/>
      <c r="TGF30" s="172"/>
      <c r="TGG30" s="172"/>
      <c r="TGH30" s="172"/>
      <c r="TGI30" s="172"/>
      <c r="TGJ30" s="172"/>
      <c r="TGK30" s="172"/>
      <c r="TGL30" s="172"/>
      <c r="TGM30" s="172"/>
      <c r="TGN30" s="172"/>
      <c r="TGO30" s="172"/>
      <c r="TGP30" s="172"/>
      <c r="TGQ30" s="172"/>
      <c r="TGR30" s="172"/>
      <c r="TGS30" s="172"/>
      <c r="TGT30" s="172"/>
      <c r="TGU30" s="172"/>
      <c r="TGV30" s="172"/>
      <c r="TGW30" s="172"/>
      <c r="TGX30" s="172"/>
      <c r="TGY30" s="172"/>
      <c r="TGZ30" s="172"/>
      <c r="THA30" s="172"/>
      <c r="THB30" s="172"/>
      <c r="THC30" s="172"/>
      <c r="THD30" s="172"/>
      <c r="THE30" s="172"/>
      <c r="THF30" s="172"/>
      <c r="THG30" s="172"/>
      <c r="THH30" s="172"/>
      <c r="THI30" s="172"/>
      <c r="THJ30" s="172"/>
      <c r="THK30" s="172"/>
      <c r="THL30" s="172"/>
      <c r="THM30" s="172"/>
      <c r="THN30" s="172"/>
      <c r="THO30" s="172"/>
      <c r="THP30" s="172"/>
      <c r="THQ30" s="172"/>
      <c r="THR30" s="172"/>
      <c r="THS30" s="172"/>
      <c r="THT30" s="172"/>
      <c r="THU30" s="172"/>
      <c r="THV30" s="172"/>
      <c r="THW30" s="172"/>
      <c r="THX30" s="172"/>
      <c r="THY30" s="172"/>
      <c r="THZ30" s="172"/>
      <c r="TIA30" s="172"/>
      <c r="TIB30" s="172"/>
      <c r="TIC30" s="172"/>
      <c r="TID30" s="172"/>
      <c r="TIE30" s="172"/>
      <c r="TIF30" s="172"/>
      <c r="TIG30" s="172"/>
      <c r="TIH30" s="172"/>
      <c r="TII30" s="172"/>
      <c r="TIJ30" s="172"/>
      <c r="TIK30" s="172"/>
      <c r="TIL30" s="172"/>
      <c r="TIM30" s="172"/>
      <c r="TIN30" s="172"/>
      <c r="TIO30" s="172"/>
      <c r="TIP30" s="172"/>
      <c r="TIQ30" s="172"/>
      <c r="TIR30" s="172"/>
      <c r="TIS30" s="172"/>
      <c r="TIT30" s="172"/>
      <c r="TIU30" s="172"/>
      <c r="TIV30" s="172"/>
      <c r="TIW30" s="172"/>
      <c r="TIX30" s="172"/>
      <c r="TIY30" s="172"/>
      <c r="TIZ30" s="172"/>
      <c r="TJA30" s="172"/>
      <c r="TJB30" s="172"/>
      <c r="TJC30" s="172"/>
      <c r="TJD30" s="172"/>
      <c r="TJE30" s="172"/>
      <c r="TJF30" s="172"/>
      <c r="TJG30" s="172"/>
      <c r="TJH30" s="172"/>
      <c r="TJI30" s="172"/>
      <c r="TJJ30" s="172"/>
      <c r="TJK30" s="172"/>
      <c r="TJL30" s="172"/>
      <c r="TJM30" s="172"/>
      <c r="TJN30" s="172"/>
      <c r="TJO30" s="172"/>
      <c r="TJP30" s="172"/>
      <c r="TJQ30" s="172"/>
      <c r="TJR30" s="172"/>
      <c r="TJS30" s="172"/>
      <c r="TJT30" s="172"/>
      <c r="TJU30" s="172"/>
      <c r="TJV30" s="172"/>
      <c r="TJW30" s="172"/>
      <c r="TJX30" s="172"/>
      <c r="TJY30" s="172"/>
      <c r="TJZ30" s="172"/>
      <c r="TKA30" s="172"/>
      <c r="TKB30" s="172"/>
      <c r="TKC30" s="172"/>
      <c r="TKD30" s="172"/>
      <c r="TKE30" s="172"/>
      <c r="TKF30" s="172"/>
      <c r="TKG30" s="172"/>
      <c r="TKH30" s="172"/>
      <c r="TKI30" s="172"/>
      <c r="TKJ30" s="172"/>
      <c r="TKK30" s="172"/>
      <c r="TKL30" s="172"/>
      <c r="TKM30" s="172"/>
      <c r="TKN30" s="172"/>
      <c r="TKO30" s="172"/>
      <c r="TKP30" s="172"/>
      <c r="TKQ30" s="172"/>
      <c r="TKR30" s="172"/>
      <c r="TKS30" s="172"/>
      <c r="TKT30" s="172"/>
      <c r="TKU30" s="172"/>
      <c r="TKV30" s="172"/>
      <c r="TKW30" s="172"/>
      <c r="TKX30" s="172"/>
      <c r="TKY30" s="172"/>
      <c r="TKZ30" s="172"/>
      <c r="TLA30" s="172"/>
      <c r="TLB30" s="172"/>
      <c r="TLC30" s="172"/>
      <c r="TLD30" s="172"/>
      <c r="TLE30" s="172"/>
      <c r="TLF30" s="172"/>
      <c r="TLG30" s="172"/>
      <c r="TLH30" s="172"/>
      <c r="TLI30" s="172"/>
      <c r="TLJ30" s="172"/>
      <c r="TLK30" s="172"/>
      <c r="TLL30" s="172"/>
      <c r="TLM30" s="172"/>
      <c r="TLN30" s="172"/>
      <c r="TLO30" s="172"/>
      <c r="TLP30" s="172"/>
      <c r="TLQ30" s="172"/>
      <c r="TLR30" s="172"/>
      <c r="TLS30" s="172"/>
      <c r="TLT30" s="172"/>
      <c r="TLU30" s="172"/>
      <c r="TLV30" s="172"/>
      <c r="TLW30" s="172"/>
      <c r="TLX30" s="172"/>
      <c r="TLY30" s="172"/>
      <c r="TLZ30" s="172"/>
      <c r="TMA30" s="172"/>
      <c r="TMB30" s="172"/>
      <c r="TMC30" s="172"/>
      <c r="TMD30" s="172"/>
      <c r="TME30" s="172"/>
      <c r="TMF30" s="172"/>
      <c r="TMG30" s="172"/>
      <c r="TMH30" s="172"/>
      <c r="TMI30" s="172"/>
      <c r="TMJ30" s="172"/>
      <c r="TMK30" s="172"/>
      <c r="TML30" s="172"/>
      <c r="TMM30" s="172"/>
      <c r="TMN30" s="172"/>
      <c r="TMO30" s="172"/>
      <c r="TMP30" s="172"/>
      <c r="TMQ30" s="172"/>
      <c r="TMR30" s="172"/>
      <c r="TMS30" s="172"/>
      <c r="TMT30" s="172"/>
      <c r="TMU30" s="172"/>
      <c r="TMV30" s="172"/>
      <c r="TMW30" s="172"/>
      <c r="TMX30" s="172"/>
      <c r="TMY30" s="172"/>
      <c r="TMZ30" s="172"/>
      <c r="TNA30" s="172"/>
      <c r="TNB30" s="172"/>
      <c r="TNC30" s="172"/>
      <c r="TND30" s="172"/>
      <c r="TNE30" s="172"/>
      <c r="TNF30" s="172"/>
      <c r="TNG30" s="172"/>
      <c r="TNH30" s="172"/>
      <c r="TNI30" s="172"/>
      <c r="TNJ30" s="172"/>
      <c r="TNK30" s="172"/>
      <c r="TNL30" s="172"/>
      <c r="TNM30" s="172"/>
      <c r="TNN30" s="172"/>
      <c r="TNO30" s="172"/>
      <c r="TNP30" s="172"/>
      <c r="TNQ30" s="172"/>
      <c r="TNR30" s="172"/>
      <c r="TNS30" s="172"/>
      <c r="TNT30" s="172"/>
      <c r="TNU30" s="172"/>
      <c r="TNV30" s="172"/>
      <c r="TNW30" s="172"/>
      <c r="TNX30" s="172"/>
      <c r="TNY30" s="172"/>
      <c r="TNZ30" s="172"/>
      <c r="TOA30" s="172"/>
      <c r="TOB30" s="172"/>
      <c r="TOC30" s="172"/>
      <c r="TOD30" s="172"/>
      <c r="TOE30" s="172"/>
      <c r="TOF30" s="172"/>
      <c r="TOG30" s="172"/>
      <c r="TOH30" s="172"/>
      <c r="TOI30" s="172"/>
      <c r="TOJ30" s="172"/>
      <c r="TOK30" s="172"/>
      <c r="TOL30" s="172"/>
      <c r="TOM30" s="172"/>
      <c r="TON30" s="172"/>
      <c r="TOO30" s="172"/>
      <c r="TOP30" s="172"/>
      <c r="TOQ30" s="172"/>
      <c r="TOR30" s="172"/>
      <c r="TOS30" s="172"/>
      <c r="TOT30" s="172"/>
      <c r="TOU30" s="172"/>
      <c r="TOV30" s="172"/>
      <c r="TOW30" s="172"/>
      <c r="TOX30" s="172"/>
      <c r="TOY30" s="172"/>
      <c r="TOZ30" s="172"/>
      <c r="TPA30" s="172"/>
      <c r="TPB30" s="172"/>
      <c r="TPC30" s="172"/>
      <c r="TPD30" s="172"/>
      <c r="TPE30" s="172"/>
      <c r="TPF30" s="172"/>
      <c r="TPG30" s="172"/>
      <c r="TPH30" s="172"/>
      <c r="TPI30" s="172"/>
      <c r="TPJ30" s="172"/>
      <c r="TPK30" s="172"/>
      <c r="TPL30" s="172"/>
      <c r="TPM30" s="172"/>
      <c r="TPN30" s="172"/>
      <c r="TPO30" s="172"/>
      <c r="TPP30" s="172"/>
      <c r="TPQ30" s="172"/>
      <c r="TPR30" s="172"/>
      <c r="TPS30" s="172"/>
      <c r="TPT30" s="172"/>
      <c r="TPU30" s="172"/>
      <c r="TPV30" s="172"/>
      <c r="TPW30" s="172"/>
      <c r="TPX30" s="172"/>
      <c r="TPY30" s="172"/>
      <c r="TPZ30" s="172"/>
      <c r="TQA30" s="172"/>
      <c r="TQB30" s="172"/>
      <c r="TQC30" s="172"/>
      <c r="TQD30" s="172"/>
      <c r="TQE30" s="172"/>
      <c r="TQF30" s="172"/>
      <c r="TQG30" s="172"/>
      <c r="TQH30" s="172"/>
      <c r="TQI30" s="172"/>
      <c r="TQJ30" s="172"/>
      <c r="TQK30" s="172"/>
      <c r="TQL30" s="172"/>
      <c r="TQM30" s="172"/>
      <c r="TQN30" s="172"/>
      <c r="TQO30" s="172"/>
      <c r="TQP30" s="172"/>
      <c r="TQQ30" s="172"/>
      <c r="TQR30" s="172"/>
      <c r="TQS30" s="172"/>
      <c r="TQT30" s="172"/>
      <c r="TQU30" s="172"/>
      <c r="TQV30" s="172"/>
      <c r="TQW30" s="172"/>
      <c r="TQX30" s="172"/>
      <c r="TQY30" s="172"/>
      <c r="TQZ30" s="172"/>
      <c r="TRA30" s="172"/>
      <c r="TRB30" s="172"/>
      <c r="TRC30" s="172"/>
      <c r="TRD30" s="172"/>
      <c r="TRE30" s="172"/>
      <c r="TRF30" s="172"/>
      <c r="TRG30" s="172"/>
      <c r="TRH30" s="172"/>
      <c r="TRI30" s="172"/>
      <c r="TRJ30" s="172"/>
      <c r="TRK30" s="172"/>
      <c r="TRL30" s="172"/>
      <c r="TRM30" s="172"/>
      <c r="TRN30" s="172"/>
      <c r="TRO30" s="172"/>
      <c r="TRP30" s="172"/>
      <c r="TRQ30" s="172"/>
      <c r="TRR30" s="172"/>
      <c r="TRS30" s="172"/>
      <c r="TRT30" s="172"/>
      <c r="TRU30" s="172"/>
      <c r="TRV30" s="172"/>
      <c r="TRW30" s="172"/>
      <c r="TRX30" s="172"/>
      <c r="TRY30" s="172"/>
      <c r="TRZ30" s="172"/>
      <c r="TSA30" s="172"/>
      <c r="TSB30" s="172"/>
      <c r="TSC30" s="172"/>
      <c r="TSD30" s="172"/>
      <c r="TSE30" s="172"/>
      <c r="TSF30" s="172"/>
      <c r="TSG30" s="172"/>
      <c r="TSH30" s="172"/>
      <c r="TSI30" s="172"/>
      <c r="TSJ30" s="172"/>
      <c r="TSK30" s="172"/>
      <c r="TSL30" s="172"/>
      <c r="TSM30" s="172"/>
      <c r="TSN30" s="172"/>
      <c r="TSO30" s="172"/>
      <c r="TSP30" s="172"/>
      <c r="TSQ30" s="172"/>
      <c r="TSR30" s="172"/>
      <c r="TSS30" s="172"/>
      <c r="TST30" s="172"/>
      <c r="TSU30" s="172"/>
      <c r="TSV30" s="172"/>
      <c r="TSW30" s="172"/>
      <c r="TSX30" s="172"/>
      <c r="TSY30" s="172"/>
      <c r="TSZ30" s="172"/>
      <c r="TTA30" s="172"/>
      <c r="TTB30" s="172"/>
      <c r="TTC30" s="172"/>
      <c r="TTD30" s="172"/>
      <c r="TTE30" s="172"/>
      <c r="TTF30" s="172"/>
      <c r="TTG30" s="172"/>
      <c r="TTH30" s="172"/>
      <c r="TTI30" s="172"/>
      <c r="TTJ30" s="172"/>
      <c r="TTK30" s="172"/>
      <c r="TTL30" s="172"/>
      <c r="TTM30" s="172"/>
      <c r="TTN30" s="172"/>
      <c r="TTO30" s="172"/>
      <c r="TTP30" s="172"/>
      <c r="TTQ30" s="172"/>
      <c r="TTR30" s="172"/>
      <c r="TTS30" s="172"/>
      <c r="TTT30" s="172"/>
      <c r="TTU30" s="172"/>
      <c r="TTV30" s="172"/>
      <c r="TTW30" s="172"/>
      <c r="TTX30" s="172"/>
      <c r="TTY30" s="172"/>
      <c r="TTZ30" s="172"/>
      <c r="TUA30" s="172"/>
      <c r="TUB30" s="172"/>
      <c r="TUC30" s="172"/>
      <c r="TUD30" s="172"/>
      <c r="TUE30" s="172"/>
      <c r="TUF30" s="172"/>
      <c r="TUG30" s="172"/>
      <c r="TUH30" s="172"/>
      <c r="TUI30" s="172"/>
      <c r="TUJ30" s="172"/>
      <c r="TUK30" s="172"/>
      <c r="TUL30" s="172"/>
      <c r="TUM30" s="172"/>
      <c r="TUN30" s="172"/>
      <c r="TUO30" s="172"/>
      <c r="TUP30" s="172"/>
      <c r="TUQ30" s="172"/>
      <c r="TUR30" s="172"/>
      <c r="TUS30" s="172"/>
      <c r="TUT30" s="172"/>
      <c r="TUU30" s="172"/>
      <c r="TUV30" s="172"/>
      <c r="TUW30" s="172"/>
      <c r="TUX30" s="172"/>
      <c r="TUY30" s="172"/>
      <c r="TUZ30" s="172"/>
      <c r="TVA30" s="172"/>
      <c r="TVB30" s="172"/>
      <c r="TVC30" s="172"/>
      <c r="TVD30" s="172"/>
      <c r="TVE30" s="172"/>
      <c r="TVF30" s="172"/>
      <c r="TVG30" s="172"/>
      <c r="TVH30" s="172"/>
      <c r="TVI30" s="172"/>
      <c r="TVJ30" s="172"/>
      <c r="TVK30" s="172"/>
      <c r="TVL30" s="172"/>
      <c r="TVM30" s="172"/>
      <c r="TVN30" s="172"/>
      <c r="TVO30" s="172"/>
      <c r="TVP30" s="172"/>
      <c r="TVQ30" s="172"/>
      <c r="TVR30" s="172"/>
      <c r="TVS30" s="172"/>
      <c r="TVT30" s="172"/>
      <c r="TVU30" s="172"/>
      <c r="TVV30" s="172"/>
      <c r="TVW30" s="172"/>
      <c r="TVX30" s="172"/>
      <c r="TVY30" s="172"/>
      <c r="TVZ30" s="172"/>
      <c r="TWA30" s="172"/>
      <c r="TWB30" s="172"/>
      <c r="TWC30" s="172"/>
      <c r="TWD30" s="172"/>
      <c r="TWE30" s="172"/>
      <c r="TWF30" s="172"/>
      <c r="TWG30" s="172"/>
      <c r="TWH30" s="172"/>
      <c r="TWI30" s="172"/>
      <c r="TWJ30" s="172"/>
      <c r="TWK30" s="172"/>
      <c r="TWL30" s="172"/>
      <c r="TWM30" s="172"/>
      <c r="TWN30" s="172"/>
      <c r="TWO30" s="172"/>
      <c r="TWP30" s="172"/>
      <c r="TWQ30" s="172"/>
      <c r="TWR30" s="172"/>
      <c r="TWS30" s="172"/>
      <c r="TWT30" s="172"/>
      <c r="TWU30" s="172"/>
      <c r="TWV30" s="172"/>
      <c r="TWW30" s="172"/>
      <c r="TWX30" s="172"/>
      <c r="TWY30" s="172"/>
      <c r="TWZ30" s="172"/>
      <c r="TXA30" s="172"/>
      <c r="TXB30" s="172"/>
      <c r="TXC30" s="172"/>
      <c r="TXD30" s="172"/>
      <c r="TXE30" s="172"/>
      <c r="TXF30" s="172"/>
      <c r="TXG30" s="172"/>
      <c r="TXH30" s="172"/>
      <c r="TXI30" s="172"/>
      <c r="TXJ30" s="172"/>
      <c r="TXK30" s="172"/>
      <c r="TXL30" s="172"/>
      <c r="TXM30" s="172"/>
      <c r="TXN30" s="172"/>
      <c r="TXO30" s="172"/>
      <c r="TXP30" s="172"/>
      <c r="TXQ30" s="172"/>
      <c r="TXR30" s="172"/>
      <c r="TXS30" s="172"/>
      <c r="TXT30" s="172"/>
      <c r="TXU30" s="172"/>
      <c r="TXV30" s="172"/>
      <c r="TXW30" s="172"/>
      <c r="TXX30" s="172"/>
      <c r="TXY30" s="172"/>
      <c r="TXZ30" s="172"/>
      <c r="TYA30" s="172"/>
      <c r="TYB30" s="172"/>
      <c r="TYC30" s="172"/>
      <c r="TYD30" s="172"/>
      <c r="TYE30" s="172"/>
      <c r="TYF30" s="172"/>
      <c r="TYG30" s="172"/>
      <c r="TYH30" s="172"/>
      <c r="TYI30" s="172"/>
      <c r="TYJ30" s="172"/>
      <c r="TYK30" s="172"/>
      <c r="TYL30" s="172"/>
      <c r="TYM30" s="172"/>
      <c r="TYN30" s="172"/>
      <c r="TYO30" s="172"/>
      <c r="TYP30" s="172"/>
      <c r="TYQ30" s="172"/>
      <c r="TYR30" s="172"/>
      <c r="TYS30" s="172"/>
      <c r="TYT30" s="172"/>
      <c r="TYU30" s="172"/>
      <c r="TYV30" s="172"/>
      <c r="TYW30" s="172"/>
      <c r="TYX30" s="172"/>
      <c r="TYY30" s="172"/>
      <c r="TYZ30" s="172"/>
      <c r="TZA30" s="172"/>
      <c r="TZB30" s="172"/>
      <c r="TZC30" s="172"/>
      <c r="TZD30" s="172"/>
      <c r="TZE30" s="172"/>
      <c r="TZF30" s="172"/>
      <c r="TZG30" s="172"/>
      <c r="TZH30" s="172"/>
      <c r="TZI30" s="172"/>
      <c r="TZJ30" s="172"/>
      <c r="TZK30" s="172"/>
      <c r="TZL30" s="172"/>
      <c r="TZM30" s="172"/>
      <c r="TZN30" s="172"/>
      <c r="TZO30" s="172"/>
      <c r="TZP30" s="172"/>
      <c r="TZQ30" s="172"/>
      <c r="TZR30" s="172"/>
      <c r="TZS30" s="172"/>
      <c r="TZT30" s="172"/>
      <c r="TZU30" s="172"/>
      <c r="TZV30" s="172"/>
      <c r="TZW30" s="172"/>
      <c r="TZX30" s="172"/>
      <c r="TZY30" s="172"/>
      <c r="TZZ30" s="172"/>
      <c r="UAA30" s="172"/>
      <c r="UAB30" s="172"/>
      <c r="UAC30" s="172"/>
      <c r="UAD30" s="172"/>
      <c r="UAE30" s="172"/>
      <c r="UAF30" s="172"/>
      <c r="UAG30" s="172"/>
      <c r="UAH30" s="172"/>
      <c r="UAI30" s="172"/>
      <c r="UAJ30" s="172"/>
      <c r="UAK30" s="172"/>
      <c r="UAL30" s="172"/>
      <c r="UAM30" s="172"/>
      <c r="UAN30" s="172"/>
      <c r="UAO30" s="172"/>
      <c r="UAP30" s="172"/>
      <c r="UAQ30" s="172"/>
      <c r="UAR30" s="172"/>
      <c r="UAS30" s="172"/>
      <c r="UAT30" s="172"/>
      <c r="UAU30" s="172"/>
      <c r="UAV30" s="172"/>
      <c r="UAW30" s="172"/>
      <c r="UAX30" s="172"/>
      <c r="UAY30" s="172"/>
      <c r="UAZ30" s="172"/>
      <c r="UBA30" s="172"/>
      <c r="UBB30" s="172"/>
      <c r="UBC30" s="172"/>
      <c r="UBD30" s="172"/>
      <c r="UBE30" s="172"/>
      <c r="UBF30" s="172"/>
      <c r="UBG30" s="172"/>
      <c r="UBH30" s="172"/>
      <c r="UBI30" s="172"/>
      <c r="UBJ30" s="172"/>
      <c r="UBK30" s="172"/>
      <c r="UBL30" s="172"/>
      <c r="UBM30" s="172"/>
      <c r="UBN30" s="172"/>
      <c r="UBO30" s="172"/>
      <c r="UBP30" s="172"/>
      <c r="UBQ30" s="172"/>
      <c r="UBR30" s="172"/>
      <c r="UBS30" s="172"/>
      <c r="UBT30" s="172"/>
      <c r="UBU30" s="172"/>
      <c r="UBV30" s="172"/>
      <c r="UBW30" s="172"/>
      <c r="UBX30" s="172"/>
      <c r="UBY30" s="172"/>
      <c r="UBZ30" s="172"/>
      <c r="UCA30" s="172"/>
      <c r="UCB30" s="172"/>
      <c r="UCC30" s="172"/>
      <c r="UCD30" s="172"/>
      <c r="UCE30" s="172"/>
      <c r="UCF30" s="172"/>
      <c r="UCG30" s="172"/>
      <c r="UCH30" s="172"/>
      <c r="UCI30" s="172"/>
      <c r="UCJ30" s="172"/>
      <c r="UCK30" s="172"/>
      <c r="UCL30" s="172"/>
      <c r="UCM30" s="172"/>
      <c r="UCN30" s="172"/>
      <c r="UCO30" s="172"/>
      <c r="UCP30" s="172"/>
      <c r="UCQ30" s="172"/>
      <c r="UCR30" s="172"/>
      <c r="UCS30" s="172"/>
      <c r="UCT30" s="172"/>
      <c r="UCU30" s="172"/>
      <c r="UCV30" s="172"/>
      <c r="UCW30" s="172"/>
      <c r="UCX30" s="172"/>
      <c r="UCY30" s="172"/>
      <c r="UCZ30" s="172"/>
      <c r="UDA30" s="172"/>
      <c r="UDB30" s="172"/>
      <c r="UDC30" s="172"/>
      <c r="UDD30" s="172"/>
      <c r="UDE30" s="172"/>
      <c r="UDF30" s="172"/>
      <c r="UDG30" s="172"/>
      <c r="UDH30" s="172"/>
      <c r="UDI30" s="172"/>
      <c r="UDJ30" s="172"/>
      <c r="UDK30" s="172"/>
      <c r="UDL30" s="172"/>
      <c r="UDM30" s="172"/>
      <c r="UDN30" s="172"/>
      <c r="UDO30" s="172"/>
      <c r="UDP30" s="172"/>
      <c r="UDQ30" s="172"/>
      <c r="UDR30" s="172"/>
      <c r="UDS30" s="172"/>
      <c r="UDT30" s="172"/>
      <c r="UDU30" s="172"/>
      <c r="UDV30" s="172"/>
      <c r="UDW30" s="172"/>
      <c r="UDX30" s="172"/>
      <c r="UDY30" s="172"/>
      <c r="UDZ30" s="172"/>
      <c r="UEA30" s="172"/>
      <c r="UEB30" s="172"/>
      <c r="UEC30" s="172"/>
      <c r="UED30" s="172"/>
      <c r="UEE30" s="172"/>
      <c r="UEF30" s="172"/>
      <c r="UEG30" s="172"/>
      <c r="UEH30" s="172"/>
      <c r="UEI30" s="172"/>
      <c r="UEJ30" s="172"/>
      <c r="UEK30" s="172"/>
      <c r="UEL30" s="172"/>
      <c r="UEM30" s="172"/>
      <c r="UEN30" s="172"/>
      <c r="UEO30" s="172"/>
      <c r="UEP30" s="172"/>
      <c r="UEQ30" s="172"/>
      <c r="UER30" s="172"/>
      <c r="UES30" s="172"/>
      <c r="UET30" s="172"/>
      <c r="UEU30" s="172"/>
      <c r="UEV30" s="172"/>
      <c r="UEW30" s="172"/>
      <c r="UEX30" s="172"/>
      <c r="UEY30" s="172"/>
      <c r="UEZ30" s="172"/>
      <c r="UFA30" s="172"/>
      <c r="UFB30" s="172"/>
      <c r="UFC30" s="172"/>
      <c r="UFD30" s="172"/>
      <c r="UFE30" s="172"/>
      <c r="UFF30" s="172"/>
      <c r="UFG30" s="172"/>
      <c r="UFH30" s="172"/>
      <c r="UFI30" s="172"/>
      <c r="UFJ30" s="172"/>
      <c r="UFK30" s="172"/>
      <c r="UFL30" s="172"/>
      <c r="UFM30" s="172"/>
      <c r="UFN30" s="172"/>
      <c r="UFO30" s="172"/>
      <c r="UFP30" s="172"/>
      <c r="UFQ30" s="172"/>
      <c r="UFR30" s="172"/>
      <c r="UFS30" s="172"/>
      <c r="UFT30" s="172"/>
      <c r="UFU30" s="172"/>
      <c r="UFV30" s="172"/>
      <c r="UFW30" s="172"/>
      <c r="UFX30" s="172"/>
      <c r="UFY30" s="172"/>
      <c r="UFZ30" s="172"/>
      <c r="UGA30" s="172"/>
      <c r="UGB30" s="172"/>
      <c r="UGC30" s="172"/>
      <c r="UGD30" s="172"/>
      <c r="UGE30" s="172"/>
      <c r="UGF30" s="172"/>
      <c r="UGG30" s="172"/>
      <c r="UGH30" s="172"/>
      <c r="UGI30" s="172"/>
      <c r="UGJ30" s="172"/>
      <c r="UGK30" s="172"/>
      <c r="UGL30" s="172"/>
      <c r="UGM30" s="172"/>
      <c r="UGN30" s="172"/>
      <c r="UGO30" s="172"/>
      <c r="UGP30" s="172"/>
      <c r="UGQ30" s="172"/>
      <c r="UGR30" s="172"/>
      <c r="UGS30" s="172"/>
      <c r="UGT30" s="172"/>
      <c r="UGU30" s="172"/>
      <c r="UGV30" s="172"/>
      <c r="UGW30" s="172"/>
      <c r="UGX30" s="172"/>
      <c r="UGY30" s="172"/>
      <c r="UGZ30" s="172"/>
      <c r="UHA30" s="172"/>
      <c r="UHB30" s="172"/>
      <c r="UHC30" s="172"/>
      <c r="UHD30" s="172"/>
      <c r="UHE30" s="172"/>
      <c r="UHF30" s="172"/>
      <c r="UHG30" s="172"/>
      <c r="UHH30" s="172"/>
      <c r="UHI30" s="172"/>
      <c r="UHJ30" s="172"/>
      <c r="UHK30" s="172"/>
      <c r="UHL30" s="172"/>
      <c r="UHM30" s="172"/>
      <c r="UHN30" s="172"/>
      <c r="UHO30" s="172"/>
      <c r="UHP30" s="172"/>
      <c r="UHQ30" s="172"/>
      <c r="UHR30" s="172"/>
      <c r="UHS30" s="172"/>
      <c r="UHT30" s="172"/>
      <c r="UHU30" s="172"/>
      <c r="UHV30" s="172"/>
      <c r="UHW30" s="172"/>
      <c r="UHX30" s="172"/>
      <c r="UHY30" s="172"/>
      <c r="UHZ30" s="172"/>
      <c r="UIA30" s="172"/>
      <c r="UIB30" s="172"/>
      <c r="UIC30" s="172"/>
      <c r="UID30" s="172"/>
      <c r="UIE30" s="172"/>
      <c r="UIF30" s="172"/>
      <c r="UIG30" s="172"/>
      <c r="UIH30" s="172"/>
      <c r="UII30" s="172"/>
      <c r="UIJ30" s="172"/>
      <c r="UIK30" s="172"/>
      <c r="UIL30" s="172"/>
      <c r="UIM30" s="172"/>
      <c r="UIN30" s="172"/>
      <c r="UIO30" s="172"/>
      <c r="UIP30" s="172"/>
      <c r="UIQ30" s="172"/>
      <c r="UIR30" s="172"/>
      <c r="UIS30" s="172"/>
      <c r="UIT30" s="172"/>
      <c r="UIU30" s="172"/>
      <c r="UIV30" s="172"/>
      <c r="UIW30" s="172"/>
      <c r="UIX30" s="172"/>
      <c r="UIY30" s="172"/>
      <c r="UIZ30" s="172"/>
      <c r="UJA30" s="172"/>
      <c r="UJB30" s="172"/>
      <c r="UJC30" s="172"/>
      <c r="UJD30" s="172"/>
      <c r="UJE30" s="172"/>
      <c r="UJF30" s="172"/>
      <c r="UJG30" s="172"/>
      <c r="UJH30" s="172"/>
      <c r="UJI30" s="172"/>
      <c r="UJJ30" s="172"/>
      <c r="UJK30" s="172"/>
      <c r="UJL30" s="172"/>
      <c r="UJM30" s="172"/>
      <c r="UJN30" s="172"/>
      <c r="UJO30" s="172"/>
      <c r="UJP30" s="172"/>
      <c r="UJQ30" s="172"/>
      <c r="UJR30" s="172"/>
      <c r="UJS30" s="172"/>
      <c r="UJT30" s="172"/>
      <c r="UJU30" s="172"/>
      <c r="UJV30" s="172"/>
      <c r="UJW30" s="172"/>
      <c r="UJX30" s="172"/>
      <c r="UJY30" s="172"/>
      <c r="UJZ30" s="172"/>
      <c r="UKA30" s="172"/>
      <c r="UKB30" s="172"/>
      <c r="UKC30" s="172"/>
      <c r="UKD30" s="172"/>
      <c r="UKE30" s="172"/>
      <c r="UKF30" s="172"/>
      <c r="UKG30" s="172"/>
      <c r="UKH30" s="172"/>
      <c r="UKI30" s="172"/>
      <c r="UKJ30" s="172"/>
      <c r="UKK30" s="172"/>
      <c r="UKL30" s="172"/>
      <c r="UKM30" s="172"/>
      <c r="UKN30" s="172"/>
      <c r="UKO30" s="172"/>
      <c r="UKP30" s="172"/>
      <c r="UKQ30" s="172"/>
      <c r="UKR30" s="172"/>
      <c r="UKS30" s="172"/>
      <c r="UKT30" s="172"/>
      <c r="UKU30" s="172"/>
      <c r="UKV30" s="172"/>
      <c r="UKW30" s="172"/>
      <c r="UKX30" s="172"/>
      <c r="UKY30" s="172"/>
      <c r="UKZ30" s="172"/>
      <c r="ULA30" s="172"/>
      <c r="ULB30" s="172"/>
      <c r="ULC30" s="172"/>
      <c r="ULD30" s="172"/>
      <c r="ULE30" s="172"/>
      <c r="ULF30" s="172"/>
      <c r="ULG30" s="172"/>
      <c r="ULH30" s="172"/>
      <c r="ULI30" s="172"/>
      <c r="ULJ30" s="172"/>
      <c r="ULK30" s="172"/>
      <c r="ULL30" s="172"/>
      <c r="ULM30" s="172"/>
      <c r="ULN30" s="172"/>
      <c r="ULO30" s="172"/>
      <c r="ULP30" s="172"/>
      <c r="ULQ30" s="172"/>
      <c r="ULR30" s="172"/>
      <c r="ULS30" s="172"/>
      <c r="ULT30" s="172"/>
      <c r="ULU30" s="172"/>
      <c r="ULV30" s="172"/>
      <c r="ULW30" s="172"/>
      <c r="ULX30" s="172"/>
      <c r="ULY30" s="172"/>
      <c r="ULZ30" s="172"/>
      <c r="UMA30" s="172"/>
      <c r="UMB30" s="172"/>
      <c r="UMC30" s="172"/>
      <c r="UMD30" s="172"/>
      <c r="UME30" s="172"/>
      <c r="UMF30" s="172"/>
      <c r="UMG30" s="172"/>
      <c r="UMH30" s="172"/>
      <c r="UMI30" s="172"/>
      <c r="UMJ30" s="172"/>
      <c r="UMK30" s="172"/>
      <c r="UML30" s="172"/>
      <c r="UMM30" s="172"/>
      <c r="UMN30" s="172"/>
      <c r="UMO30" s="172"/>
      <c r="UMP30" s="172"/>
      <c r="UMQ30" s="172"/>
      <c r="UMR30" s="172"/>
      <c r="UMS30" s="172"/>
      <c r="UMT30" s="172"/>
      <c r="UMU30" s="172"/>
      <c r="UMV30" s="172"/>
      <c r="UMW30" s="172"/>
      <c r="UMX30" s="172"/>
      <c r="UMY30" s="172"/>
      <c r="UMZ30" s="172"/>
      <c r="UNA30" s="172"/>
      <c r="UNB30" s="172"/>
      <c r="UNC30" s="172"/>
      <c r="UND30" s="172"/>
      <c r="UNE30" s="172"/>
      <c r="UNF30" s="172"/>
      <c r="UNG30" s="172"/>
      <c r="UNH30" s="172"/>
      <c r="UNI30" s="172"/>
      <c r="UNJ30" s="172"/>
      <c r="UNK30" s="172"/>
      <c r="UNL30" s="172"/>
      <c r="UNM30" s="172"/>
      <c r="UNN30" s="172"/>
      <c r="UNO30" s="172"/>
      <c r="UNP30" s="172"/>
      <c r="UNQ30" s="172"/>
      <c r="UNR30" s="172"/>
      <c r="UNS30" s="172"/>
      <c r="UNT30" s="172"/>
      <c r="UNU30" s="172"/>
      <c r="UNV30" s="172"/>
      <c r="UNW30" s="172"/>
      <c r="UNX30" s="172"/>
      <c r="UNY30" s="172"/>
      <c r="UNZ30" s="172"/>
      <c r="UOA30" s="172"/>
      <c r="UOB30" s="172"/>
      <c r="UOC30" s="172"/>
      <c r="UOD30" s="172"/>
      <c r="UOE30" s="172"/>
      <c r="UOF30" s="172"/>
      <c r="UOG30" s="172"/>
      <c r="UOH30" s="172"/>
      <c r="UOI30" s="172"/>
      <c r="UOJ30" s="172"/>
      <c r="UOK30" s="172"/>
      <c r="UOL30" s="172"/>
      <c r="UOM30" s="172"/>
      <c r="UON30" s="172"/>
      <c r="UOO30" s="172"/>
      <c r="UOP30" s="172"/>
      <c r="UOQ30" s="172"/>
      <c r="UOR30" s="172"/>
      <c r="UOS30" s="172"/>
      <c r="UOT30" s="172"/>
      <c r="UOU30" s="172"/>
      <c r="UOV30" s="172"/>
      <c r="UOW30" s="172"/>
      <c r="UOX30" s="172"/>
      <c r="UOY30" s="172"/>
      <c r="UOZ30" s="172"/>
      <c r="UPA30" s="172"/>
      <c r="UPB30" s="172"/>
      <c r="UPC30" s="172"/>
      <c r="UPD30" s="172"/>
      <c r="UPE30" s="172"/>
      <c r="UPF30" s="172"/>
      <c r="UPG30" s="172"/>
      <c r="UPH30" s="172"/>
      <c r="UPI30" s="172"/>
      <c r="UPJ30" s="172"/>
      <c r="UPK30" s="172"/>
      <c r="UPL30" s="172"/>
      <c r="UPM30" s="172"/>
      <c r="UPN30" s="172"/>
      <c r="UPO30" s="172"/>
      <c r="UPP30" s="172"/>
      <c r="UPQ30" s="172"/>
      <c r="UPR30" s="172"/>
      <c r="UPS30" s="172"/>
      <c r="UPT30" s="172"/>
      <c r="UPU30" s="172"/>
      <c r="UPV30" s="172"/>
      <c r="UPW30" s="172"/>
      <c r="UPX30" s="172"/>
      <c r="UPY30" s="172"/>
      <c r="UPZ30" s="172"/>
      <c r="UQA30" s="172"/>
      <c r="UQB30" s="172"/>
      <c r="UQC30" s="172"/>
      <c r="UQD30" s="172"/>
      <c r="UQE30" s="172"/>
      <c r="UQF30" s="172"/>
      <c r="UQG30" s="172"/>
      <c r="UQH30" s="172"/>
      <c r="UQI30" s="172"/>
      <c r="UQJ30" s="172"/>
      <c r="UQK30" s="172"/>
      <c r="UQL30" s="172"/>
      <c r="UQM30" s="172"/>
      <c r="UQN30" s="172"/>
      <c r="UQO30" s="172"/>
      <c r="UQP30" s="172"/>
      <c r="UQQ30" s="172"/>
      <c r="UQR30" s="172"/>
      <c r="UQS30" s="172"/>
      <c r="UQT30" s="172"/>
      <c r="UQU30" s="172"/>
      <c r="UQV30" s="172"/>
      <c r="UQW30" s="172"/>
      <c r="UQX30" s="172"/>
      <c r="UQY30" s="172"/>
      <c r="UQZ30" s="172"/>
      <c r="URA30" s="172"/>
      <c r="URB30" s="172"/>
      <c r="URC30" s="172"/>
      <c r="URD30" s="172"/>
      <c r="URE30" s="172"/>
      <c r="URF30" s="172"/>
      <c r="URG30" s="172"/>
      <c r="URH30" s="172"/>
      <c r="URI30" s="172"/>
      <c r="URJ30" s="172"/>
      <c r="URK30" s="172"/>
      <c r="URL30" s="172"/>
      <c r="URM30" s="172"/>
      <c r="URN30" s="172"/>
      <c r="URO30" s="172"/>
      <c r="URP30" s="172"/>
      <c r="URQ30" s="172"/>
      <c r="URR30" s="172"/>
      <c r="URS30" s="172"/>
      <c r="URT30" s="172"/>
      <c r="URU30" s="172"/>
      <c r="URV30" s="172"/>
      <c r="URW30" s="172"/>
      <c r="URX30" s="172"/>
      <c r="URY30" s="172"/>
      <c r="URZ30" s="172"/>
      <c r="USA30" s="172"/>
      <c r="USB30" s="172"/>
      <c r="USC30" s="172"/>
      <c r="USD30" s="172"/>
      <c r="USE30" s="172"/>
      <c r="USF30" s="172"/>
      <c r="USG30" s="172"/>
      <c r="USH30" s="172"/>
      <c r="USI30" s="172"/>
      <c r="USJ30" s="172"/>
      <c r="USK30" s="172"/>
      <c r="USL30" s="172"/>
      <c r="USM30" s="172"/>
      <c r="USN30" s="172"/>
      <c r="USO30" s="172"/>
      <c r="USP30" s="172"/>
      <c r="USQ30" s="172"/>
      <c r="USR30" s="172"/>
      <c r="USS30" s="172"/>
      <c r="UST30" s="172"/>
      <c r="USU30" s="172"/>
      <c r="USV30" s="172"/>
      <c r="USW30" s="172"/>
      <c r="USX30" s="172"/>
      <c r="USY30" s="172"/>
      <c r="USZ30" s="172"/>
      <c r="UTA30" s="172"/>
      <c r="UTB30" s="172"/>
      <c r="UTC30" s="172"/>
      <c r="UTD30" s="172"/>
      <c r="UTE30" s="172"/>
      <c r="UTF30" s="172"/>
      <c r="UTG30" s="172"/>
      <c r="UTH30" s="172"/>
      <c r="UTI30" s="172"/>
      <c r="UTJ30" s="172"/>
      <c r="UTK30" s="172"/>
      <c r="UTL30" s="172"/>
      <c r="UTM30" s="172"/>
      <c r="UTN30" s="172"/>
      <c r="UTO30" s="172"/>
      <c r="UTP30" s="172"/>
      <c r="UTQ30" s="172"/>
      <c r="UTR30" s="172"/>
      <c r="UTS30" s="172"/>
      <c r="UTT30" s="172"/>
      <c r="UTU30" s="172"/>
      <c r="UTV30" s="172"/>
      <c r="UTW30" s="172"/>
      <c r="UTX30" s="172"/>
      <c r="UTY30" s="172"/>
      <c r="UTZ30" s="172"/>
      <c r="UUA30" s="172"/>
      <c r="UUB30" s="172"/>
      <c r="UUC30" s="172"/>
      <c r="UUD30" s="172"/>
      <c r="UUE30" s="172"/>
      <c r="UUF30" s="172"/>
      <c r="UUG30" s="172"/>
      <c r="UUH30" s="172"/>
      <c r="UUI30" s="172"/>
      <c r="UUJ30" s="172"/>
      <c r="UUK30" s="172"/>
      <c r="UUL30" s="172"/>
      <c r="UUM30" s="172"/>
      <c r="UUN30" s="172"/>
      <c r="UUO30" s="172"/>
      <c r="UUP30" s="172"/>
      <c r="UUQ30" s="172"/>
      <c r="UUR30" s="172"/>
      <c r="UUS30" s="172"/>
      <c r="UUT30" s="172"/>
      <c r="UUU30" s="172"/>
      <c r="UUV30" s="172"/>
      <c r="UUW30" s="172"/>
      <c r="UUX30" s="172"/>
      <c r="UUY30" s="172"/>
      <c r="UUZ30" s="172"/>
      <c r="UVA30" s="172"/>
      <c r="UVB30" s="172"/>
      <c r="UVC30" s="172"/>
      <c r="UVD30" s="172"/>
      <c r="UVE30" s="172"/>
      <c r="UVF30" s="172"/>
      <c r="UVG30" s="172"/>
      <c r="UVH30" s="172"/>
      <c r="UVI30" s="172"/>
      <c r="UVJ30" s="172"/>
      <c r="UVK30" s="172"/>
      <c r="UVL30" s="172"/>
      <c r="UVM30" s="172"/>
      <c r="UVN30" s="172"/>
      <c r="UVO30" s="172"/>
      <c r="UVP30" s="172"/>
      <c r="UVQ30" s="172"/>
      <c r="UVR30" s="172"/>
      <c r="UVS30" s="172"/>
      <c r="UVT30" s="172"/>
      <c r="UVU30" s="172"/>
      <c r="UVV30" s="172"/>
      <c r="UVW30" s="172"/>
      <c r="UVX30" s="172"/>
      <c r="UVY30" s="172"/>
      <c r="UVZ30" s="172"/>
      <c r="UWA30" s="172"/>
      <c r="UWB30" s="172"/>
      <c r="UWC30" s="172"/>
      <c r="UWD30" s="172"/>
      <c r="UWE30" s="172"/>
      <c r="UWF30" s="172"/>
      <c r="UWG30" s="172"/>
      <c r="UWH30" s="172"/>
      <c r="UWI30" s="172"/>
      <c r="UWJ30" s="172"/>
      <c r="UWK30" s="172"/>
      <c r="UWL30" s="172"/>
      <c r="UWM30" s="172"/>
      <c r="UWN30" s="172"/>
      <c r="UWO30" s="172"/>
      <c r="UWP30" s="172"/>
      <c r="UWQ30" s="172"/>
      <c r="UWR30" s="172"/>
      <c r="UWS30" s="172"/>
      <c r="UWT30" s="172"/>
      <c r="UWU30" s="172"/>
      <c r="UWV30" s="172"/>
      <c r="UWW30" s="172"/>
      <c r="UWX30" s="172"/>
      <c r="UWY30" s="172"/>
      <c r="UWZ30" s="172"/>
      <c r="UXA30" s="172"/>
      <c r="UXB30" s="172"/>
      <c r="UXC30" s="172"/>
      <c r="UXD30" s="172"/>
      <c r="UXE30" s="172"/>
      <c r="UXF30" s="172"/>
      <c r="UXG30" s="172"/>
      <c r="UXH30" s="172"/>
      <c r="UXI30" s="172"/>
      <c r="UXJ30" s="172"/>
      <c r="UXK30" s="172"/>
      <c r="UXL30" s="172"/>
      <c r="UXM30" s="172"/>
      <c r="UXN30" s="172"/>
      <c r="UXO30" s="172"/>
      <c r="UXP30" s="172"/>
      <c r="UXQ30" s="172"/>
      <c r="UXR30" s="172"/>
      <c r="UXS30" s="172"/>
      <c r="UXT30" s="172"/>
      <c r="UXU30" s="172"/>
      <c r="UXV30" s="172"/>
      <c r="UXW30" s="172"/>
      <c r="UXX30" s="172"/>
      <c r="UXY30" s="172"/>
      <c r="UXZ30" s="172"/>
      <c r="UYA30" s="172"/>
      <c r="UYB30" s="172"/>
      <c r="UYC30" s="172"/>
      <c r="UYD30" s="172"/>
      <c r="UYE30" s="172"/>
      <c r="UYF30" s="172"/>
      <c r="UYG30" s="172"/>
      <c r="UYH30" s="172"/>
      <c r="UYI30" s="172"/>
      <c r="UYJ30" s="172"/>
      <c r="UYK30" s="172"/>
      <c r="UYL30" s="172"/>
      <c r="UYM30" s="172"/>
      <c r="UYN30" s="172"/>
      <c r="UYO30" s="172"/>
      <c r="UYP30" s="172"/>
      <c r="UYQ30" s="172"/>
      <c r="UYR30" s="172"/>
      <c r="UYS30" s="172"/>
      <c r="UYT30" s="172"/>
      <c r="UYU30" s="172"/>
      <c r="UYV30" s="172"/>
      <c r="UYW30" s="172"/>
      <c r="UYX30" s="172"/>
      <c r="UYY30" s="172"/>
      <c r="UYZ30" s="172"/>
      <c r="UZA30" s="172"/>
      <c r="UZB30" s="172"/>
      <c r="UZC30" s="172"/>
      <c r="UZD30" s="172"/>
      <c r="UZE30" s="172"/>
      <c r="UZF30" s="172"/>
      <c r="UZG30" s="172"/>
      <c r="UZH30" s="172"/>
      <c r="UZI30" s="172"/>
      <c r="UZJ30" s="172"/>
      <c r="UZK30" s="172"/>
      <c r="UZL30" s="172"/>
      <c r="UZM30" s="172"/>
      <c r="UZN30" s="172"/>
      <c r="UZO30" s="172"/>
      <c r="UZP30" s="172"/>
      <c r="UZQ30" s="172"/>
      <c r="UZR30" s="172"/>
      <c r="UZS30" s="172"/>
      <c r="UZT30" s="172"/>
      <c r="UZU30" s="172"/>
      <c r="UZV30" s="172"/>
      <c r="UZW30" s="172"/>
      <c r="UZX30" s="172"/>
      <c r="UZY30" s="172"/>
      <c r="UZZ30" s="172"/>
      <c r="VAA30" s="172"/>
      <c r="VAB30" s="172"/>
      <c r="VAC30" s="172"/>
      <c r="VAD30" s="172"/>
      <c r="VAE30" s="172"/>
      <c r="VAF30" s="172"/>
      <c r="VAG30" s="172"/>
      <c r="VAH30" s="172"/>
      <c r="VAI30" s="172"/>
      <c r="VAJ30" s="172"/>
      <c r="VAK30" s="172"/>
      <c r="VAL30" s="172"/>
      <c r="VAM30" s="172"/>
      <c r="VAN30" s="172"/>
      <c r="VAO30" s="172"/>
      <c r="VAP30" s="172"/>
      <c r="VAQ30" s="172"/>
      <c r="VAR30" s="172"/>
      <c r="VAS30" s="172"/>
      <c r="VAT30" s="172"/>
      <c r="VAU30" s="172"/>
      <c r="VAV30" s="172"/>
      <c r="VAW30" s="172"/>
      <c r="VAX30" s="172"/>
      <c r="VAY30" s="172"/>
      <c r="VAZ30" s="172"/>
      <c r="VBA30" s="172"/>
      <c r="VBB30" s="172"/>
      <c r="VBC30" s="172"/>
      <c r="VBD30" s="172"/>
      <c r="VBE30" s="172"/>
      <c r="VBF30" s="172"/>
      <c r="VBG30" s="172"/>
      <c r="VBH30" s="172"/>
      <c r="VBI30" s="172"/>
      <c r="VBJ30" s="172"/>
      <c r="VBK30" s="172"/>
      <c r="VBL30" s="172"/>
      <c r="VBM30" s="172"/>
      <c r="VBN30" s="172"/>
      <c r="VBO30" s="172"/>
      <c r="VBP30" s="172"/>
      <c r="VBQ30" s="172"/>
      <c r="VBR30" s="172"/>
      <c r="VBS30" s="172"/>
      <c r="VBT30" s="172"/>
      <c r="VBU30" s="172"/>
      <c r="VBV30" s="172"/>
      <c r="VBW30" s="172"/>
      <c r="VBX30" s="172"/>
      <c r="VBY30" s="172"/>
      <c r="VBZ30" s="172"/>
      <c r="VCA30" s="172"/>
      <c r="VCB30" s="172"/>
      <c r="VCC30" s="172"/>
      <c r="VCD30" s="172"/>
      <c r="VCE30" s="172"/>
      <c r="VCF30" s="172"/>
      <c r="VCG30" s="172"/>
      <c r="VCH30" s="172"/>
      <c r="VCI30" s="172"/>
      <c r="VCJ30" s="172"/>
      <c r="VCK30" s="172"/>
      <c r="VCL30" s="172"/>
      <c r="VCM30" s="172"/>
      <c r="VCN30" s="172"/>
      <c r="VCO30" s="172"/>
      <c r="VCP30" s="172"/>
      <c r="VCQ30" s="172"/>
      <c r="VCR30" s="172"/>
      <c r="VCS30" s="172"/>
      <c r="VCT30" s="172"/>
      <c r="VCU30" s="172"/>
      <c r="VCV30" s="172"/>
      <c r="VCW30" s="172"/>
      <c r="VCX30" s="172"/>
      <c r="VCY30" s="172"/>
      <c r="VCZ30" s="172"/>
      <c r="VDA30" s="172"/>
      <c r="VDB30" s="172"/>
      <c r="VDC30" s="172"/>
      <c r="VDD30" s="172"/>
      <c r="VDE30" s="172"/>
      <c r="VDF30" s="172"/>
      <c r="VDG30" s="172"/>
      <c r="VDH30" s="172"/>
      <c r="VDI30" s="172"/>
      <c r="VDJ30" s="172"/>
      <c r="VDK30" s="172"/>
      <c r="VDL30" s="172"/>
      <c r="VDM30" s="172"/>
      <c r="VDN30" s="172"/>
      <c r="VDO30" s="172"/>
      <c r="VDP30" s="172"/>
      <c r="VDQ30" s="172"/>
      <c r="VDR30" s="172"/>
      <c r="VDS30" s="172"/>
      <c r="VDT30" s="172"/>
      <c r="VDU30" s="172"/>
      <c r="VDV30" s="172"/>
      <c r="VDW30" s="172"/>
      <c r="VDX30" s="172"/>
      <c r="VDY30" s="172"/>
      <c r="VDZ30" s="172"/>
      <c r="VEA30" s="172"/>
      <c r="VEB30" s="172"/>
      <c r="VEC30" s="172"/>
      <c r="VED30" s="172"/>
      <c r="VEE30" s="172"/>
      <c r="VEF30" s="172"/>
      <c r="VEG30" s="172"/>
      <c r="VEH30" s="172"/>
      <c r="VEI30" s="172"/>
      <c r="VEJ30" s="172"/>
      <c r="VEK30" s="172"/>
      <c r="VEL30" s="172"/>
      <c r="VEM30" s="172"/>
      <c r="VEN30" s="172"/>
      <c r="VEO30" s="172"/>
      <c r="VEP30" s="172"/>
      <c r="VEQ30" s="172"/>
      <c r="VER30" s="172"/>
      <c r="VES30" s="172"/>
      <c r="VET30" s="172"/>
      <c r="VEU30" s="172"/>
      <c r="VEV30" s="172"/>
      <c r="VEW30" s="172"/>
      <c r="VEX30" s="172"/>
      <c r="VEY30" s="172"/>
      <c r="VEZ30" s="172"/>
      <c r="VFA30" s="172"/>
      <c r="VFB30" s="172"/>
      <c r="VFC30" s="172"/>
      <c r="VFD30" s="172"/>
      <c r="VFE30" s="172"/>
      <c r="VFF30" s="172"/>
      <c r="VFG30" s="172"/>
      <c r="VFH30" s="172"/>
      <c r="VFI30" s="172"/>
      <c r="VFJ30" s="172"/>
      <c r="VFK30" s="172"/>
      <c r="VFL30" s="172"/>
      <c r="VFM30" s="172"/>
      <c r="VFN30" s="172"/>
      <c r="VFO30" s="172"/>
      <c r="VFP30" s="172"/>
      <c r="VFQ30" s="172"/>
      <c r="VFR30" s="172"/>
      <c r="VFS30" s="172"/>
      <c r="VFT30" s="172"/>
      <c r="VFU30" s="172"/>
      <c r="VFV30" s="172"/>
      <c r="VFW30" s="172"/>
      <c r="VFX30" s="172"/>
      <c r="VFY30" s="172"/>
      <c r="VFZ30" s="172"/>
      <c r="VGA30" s="172"/>
      <c r="VGB30" s="172"/>
      <c r="VGC30" s="172"/>
      <c r="VGD30" s="172"/>
      <c r="VGE30" s="172"/>
      <c r="VGF30" s="172"/>
      <c r="VGG30" s="172"/>
      <c r="VGH30" s="172"/>
      <c r="VGI30" s="172"/>
      <c r="VGJ30" s="172"/>
      <c r="VGK30" s="172"/>
      <c r="VGL30" s="172"/>
      <c r="VGM30" s="172"/>
      <c r="VGN30" s="172"/>
      <c r="VGO30" s="172"/>
      <c r="VGP30" s="172"/>
      <c r="VGQ30" s="172"/>
      <c r="VGR30" s="172"/>
      <c r="VGS30" s="172"/>
      <c r="VGT30" s="172"/>
      <c r="VGU30" s="172"/>
      <c r="VGV30" s="172"/>
      <c r="VGW30" s="172"/>
      <c r="VGX30" s="172"/>
      <c r="VGY30" s="172"/>
      <c r="VGZ30" s="172"/>
      <c r="VHA30" s="172"/>
      <c r="VHB30" s="172"/>
      <c r="VHC30" s="172"/>
      <c r="VHD30" s="172"/>
      <c r="VHE30" s="172"/>
      <c r="VHF30" s="172"/>
      <c r="VHG30" s="172"/>
      <c r="VHH30" s="172"/>
      <c r="VHI30" s="172"/>
      <c r="VHJ30" s="172"/>
      <c r="VHK30" s="172"/>
      <c r="VHL30" s="172"/>
      <c r="VHM30" s="172"/>
      <c r="VHN30" s="172"/>
      <c r="VHO30" s="172"/>
      <c r="VHP30" s="172"/>
      <c r="VHQ30" s="172"/>
      <c r="VHR30" s="172"/>
      <c r="VHS30" s="172"/>
      <c r="VHT30" s="172"/>
      <c r="VHU30" s="172"/>
      <c r="VHV30" s="172"/>
      <c r="VHW30" s="172"/>
      <c r="VHX30" s="172"/>
      <c r="VHY30" s="172"/>
      <c r="VHZ30" s="172"/>
      <c r="VIA30" s="172"/>
      <c r="VIB30" s="172"/>
      <c r="VIC30" s="172"/>
      <c r="VID30" s="172"/>
      <c r="VIE30" s="172"/>
      <c r="VIF30" s="172"/>
      <c r="VIG30" s="172"/>
      <c r="VIH30" s="172"/>
      <c r="VII30" s="172"/>
      <c r="VIJ30" s="172"/>
      <c r="VIK30" s="172"/>
      <c r="VIL30" s="172"/>
      <c r="VIM30" s="172"/>
      <c r="VIN30" s="172"/>
      <c r="VIO30" s="172"/>
      <c r="VIP30" s="172"/>
      <c r="VIQ30" s="172"/>
      <c r="VIR30" s="172"/>
      <c r="VIS30" s="172"/>
      <c r="VIT30" s="172"/>
      <c r="VIU30" s="172"/>
      <c r="VIV30" s="172"/>
      <c r="VIW30" s="172"/>
      <c r="VIX30" s="172"/>
      <c r="VIY30" s="172"/>
      <c r="VIZ30" s="172"/>
      <c r="VJA30" s="172"/>
      <c r="VJB30" s="172"/>
      <c r="VJC30" s="172"/>
      <c r="VJD30" s="172"/>
      <c r="VJE30" s="172"/>
      <c r="VJF30" s="172"/>
      <c r="VJG30" s="172"/>
      <c r="VJH30" s="172"/>
      <c r="VJI30" s="172"/>
      <c r="VJJ30" s="172"/>
      <c r="VJK30" s="172"/>
      <c r="VJL30" s="172"/>
      <c r="VJM30" s="172"/>
      <c r="VJN30" s="172"/>
      <c r="VJO30" s="172"/>
      <c r="VJP30" s="172"/>
      <c r="VJQ30" s="172"/>
      <c r="VJR30" s="172"/>
      <c r="VJS30" s="172"/>
      <c r="VJT30" s="172"/>
      <c r="VJU30" s="172"/>
      <c r="VJV30" s="172"/>
      <c r="VJW30" s="172"/>
      <c r="VJX30" s="172"/>
      <c r="VJY30" s="172"/>
      <c r="VJZ30" s="172"/>
      <c r="VKA30" s="172"/>
      <c r="VKB30" s="172"/>
      <c r="VKC30" s="172"/>
      <c r="VKD30" s="172"/>
      <c r="VKE30" s="172"/>
      <c r="VKF30" s="172"/>
      <c r="VKG30" s="172"/>
      <c r="VKH30" s="172"/>
      <c r="VKI30" s="172"/>
      <c r="VKJ30" s="172"/>
      <c r="VKK30" s="172"/>
      <c r="VKL30" s="172"/>
      <c r="VKM30" s="172"/>
      <c r="VKN30" s="172"/>
      <c r="VKO30" s="172"/>
      <c r="VKP30" s="172"/>
      <c r="VKQ30" s="172"/>
      <c r="VKR30" s="172"/>
      <c r="VKS30" s="172"/>
      <c r="VKT30" s="172"/>
      <c r="VKU30" s="172"/>
      <c r="VKV30" s="172"/>
      <c r="VKW30" s="172"/>
      <c r="VKX30" s="172"/>
      <c r="VKY30" s="172"/>
      <c r="VKZ30" s="172"/>
      <c r="VLA30" s="172"/>
      <c r="VLB30" s="172"/>
      <c r="VLC30" s="172"/>
      <c r="VLD30" s="172"/>
      <c r="VLE30" s="172"/>
      <c r="VLF30" s="172"/>
      <c r="VLG30" s="172"/>
      <c r="VLH30" s="172"/>
      <c r="VLI30" s="172"/>
      <c r="VLJ30" s="172"/>
      <c r="VLK30" s="172"/>
      <c r="VLL30" s="172"/>
      <c r="VLM30" s="172"/>
      <c r="VLN30" s="172"/>
      <c r="VLO30" s="172"/>
      <c r="VLP30" s="172"/>
      <c r="VLQ30" s="172"/>
      <c r="VLR30" s="172"/>
      <c r="VLS30" s="172"/>
      <c r="VLT30" s="172"/>
      <c r="VLU30" s="172"/>
      <c r="VLV30" s="172"/>
      <c r="VLW30" s="172"/>
      <c r="VLX30" s="172"/>
      <c r="VLY30" s="172"/>
      <c r="VLZ30" s="172"/>
      <c r="VMA30" s="172"/>
      <c r="VMB30" s="172"/>
      <c r="VMC30" s="172"/>
      <c r="VMD30" s="172"/>
      <c r="VME30" s="172"/>
      <c r="VMF30" s="172"/>
      <c r="VMG30" s="172"/>
      <c r="VMH30" s="172"/>
      <c r="VMI30" s="172"/>
      <c r="VMJ30" s="172"/>
      <c r="VMK30" s="172"/>
      <c r="VML30" s="172"/>
      <c r="VMM30" s="172"/>
      <c r="VMN30" s="172"/>
      <c r="VMO30" s="172"/>
      <c r="VMP30" s="172"/>
      <c r="VMQ30" s="172"/>
      <c r="VMR30" s="172"/>
      <c r="VMS30" s="172"/>
      <c r="VMT30" s="172"/>
      <c r="VMU30" s="172"/>
      <c r="VMV30" s="172"/>
      <c r="VMW30" s="172"/>
      <c r="VMX30" s="172"/>
      <c r="VMY30" s="172"/>
      <c r="VMZ30" s="172"/>
      <c r="VNA30" s="172"/>
      <c r="VNB30" s="172"/>
      <c r="VNC30" s="172"/>
      <c r="VND30" s="172"/>
      <c r="VNE30" s="172"/>
      <c r="VNF30" s="172"/>
      <c r="VNG30" s="172"/>
      <c r="VNH30" s="172"/>
      <c r="VNI30" s="172"/>
      <c r="VNJ30" s="172"/>
      <c r="VNK30" s="172"/>
      <c r="VNL30" s="172"/>
      <c r="VNM30" s="172"/>
      <c r="VNN30" s="172"/>
      <c r="VNO30" s="172"/>
      <c r="VNP30" s="172"/>
      <c r="VNQ30" s="172"/>
      <c r="VNR30" s="172"/>
      <c r="VNS30" s="172"/>
      <c r="VNT30" s="172"/>
      <c r="VNU30" s="172"/>
      <c r="VNV30" s="172"/>
      <c r="VNW30" s="172"/>
      <c r="VNX30" s="172"/>
      <c r="VNY30" s="172"/>
      <c r="VNZ30" s="172"/>
      <c r="VOA30" s="172"/>
      <c r="VOB30" s="172"/>
      <c r="VOC30" s="172"/>
      <c r="VOD30" s="172"/>
      <c r="VOE30" s="172"/>
      <c r="VOF30" s="172"/>
      <c r="VOG30" s="172"/>
      <c r="VOH30" s="172"/>
      <c r="VOI30" s="172"/>
      <c r="VOJ30" s="172"/>
      <c r="VOK30" s="172"/>
      <c r="VOL30" s="172"/>
      <c r="VOM30" s="172"/>
      <c r="VON30" s="172"/>
      <c r="VOO30" s="172"/>
      <c r="VOP30" s="172"/>
      <c r="VOQ30" s="172"/>
      <c r="VOR30" s="172"/>
      <c r="VOS30" s="172"/>
      <c r="VOT30" s="172"/>
      <c r="VOU30" s="172"/>
      <c r="VOV30" s="172"/>
      <c r="VOW30" s="172"/>
      <c r="VOX30" s="172"/>
      <c r="VOY30" s="172"/>
      <c r="VOZ30" s="172"/>
      <c r="VPA30" s="172"/>
      <c r="VPB30" s="172"/>
      <c r="VPC30" s="172"/>
      <c r="VPD30" s="172"/>
      <c r="VPE30" s="172"/>
      <c r="VPF30" s="172"/>
      <c r="VPG30" s="172"/>
      <c r="VPH30" s="172"/>
      <c r="VPI30" s="172"/>
      <c r="VPJ30" s="172"/>
      <c r="VPK30" s="172"/>
      <c r="VPL30" s="172"/>
      <c r="VPM30" s="172"/>
      <c r="VPN30" s="172"/>
      <c r="VPO30" s="172"/>
      <c r="VPP30" s="172"/>
      <c r="VPQ30" s="172"/>
      <c r="VPR30" s="172"/>
      <c r="VPS30" s="172"/>
      <c r="VPT30" s="172"/>
      <c r="VPU30" s="172"/>
      <c r="VPV30" s="172"/>
      <c r="VPW30" s="172"/>
      <c r="VPX30" s="172"/>
      <c r="VPY30" s="172"/>
      <c r="VPZ30" s="172"/>
      <c r="VQA30" s="172"/>
      <c r="VQB30" s="172"/>
      <c r="VQC30" s="172"/>
      <c r="VQD30" s="172"/>
      <c r="VQE30" s="172"/>
      <c r="VQF30" s="172"/>
      <c r="VQG30" s="172"/>
      <c r="VQH30" s="172"/>
      <c r="VQI30" s="172"/>
      <c r="VQJ30" s="172"/>
      <c r="VQK30" s="172"/>
      <c r="VQL30" s="172"/>
      <c r="VQM30" s="172"/>
      <c r="VQN30" s="172"/>
      <c r="VQO30" s="172"/>
      <c r="VQP30" s="172"/>
      <c r="VQQ30" s="172"/>
      <c r="VQR30" s="172"/>
      <c r="VQS30" s="172"/>
      <c r="VQT30" s="172"/>
      <c r="VQU30" s="172"/>
      <c r="VQV30" s="172"/>
      <c r="VQW30" s="172"/>
      <c r="VQX30" s="172"/>
      <c r="VQY30" s="172"/>
      <c r="VQZ30" s="172"/>
      <c r="VRA30" s="172"/>
      <c r="VRB30" s="172"/>
      <c r="VRC30" s="172"/>
      <c r="VRD30" s="172"/>
      <c r="VRE30" s="172"/>
      <c r="VRF30" s="172"/>
      <c r="VRG30" s="172"/>
      <c r="VRH30" s="172"/>
      <c r="VRI30" s="172"/>
      <c r="VRJ30" s="172"/>
      <c r="VRK30" s="172"/>
      <c r="VRL30" s="172"/>
      <c r="VRM30" s="172"/>
      <c r="VRN30" s="172"/>
      <c r="VRO30" s="172"/>
      <c r="VRP30" s="172"/>
      <c r="VRQ30" s="172"/>
      <c r="VRR30" s="172"/>
      <c r="VRS30" s="172"/>
      <c r="VRT30" s="172"/>
      <c r="VRU30" s="172"/>
      <c r="VRV30" s="172"/>
      <c r="VRW30" s="172"/>
      <c r="VRX30" s="172"/>
      <c r="VRY30" s="172"/>
      <c r="VRZ30" s="172"/>
      <c r="VSA30" s="172"/>
      <c r="VSB30" s="172"/>
      <c r="VSC30" s="172"/>
      <c r="VSD30" s="172"/>
      <c r="VSE30" s="172"/>
      <c r="VSF30" s="172"/>
      <c r="VSG30" s="172"/>
      <c r="VSH30" s="172"/>
      <c r="VSI30" s="172"/>
      <c r="VSJ30" s="172"/>
      <c r="VSK30" s="172"/>
      <c r="VSL30" s="172"/>
      <c r="VSM30" s="172"/>
      <c r="VSN30" s="172"/>
      <c r="VSO30" s="172"/>
      <c r="VSP30" s="172"/>
      <c r="VSQ30" s="172"/>
      <c r="VSR30" s="172"/>
      <c r="VSS30" s="172"/>
      <c r="VST30" s="172"/>
      <c r="VSU30" s="172"/>
      <c r="VSV30" s="172"/>
      <c r="VSW30" s="172"/>
      <c r="VSX30" s="172"/>
      <c r="VSY30" s="172"/>
      <c r="VSZ30" s="172"/>
      <c r="VTA30" s="172"/>
      <c r="VTB30" s="172"/>
      <c r="VTC30" s="172"/>
      <c r="VTD30" s="172"/>
      <c r="VTE30" s="172"/>
      <c r="VTF30" s="172"/>
      <c r="VTG30" s="172"/>
      <c r="VTH30" s="172"/>
      <c r="VTI30" s="172"/>
      <c r="VTJ30" s="172"/>
      <c r="VTK30" s="172"/>
      <c r="VTL30" s="172"/>
      <c r="VTM30" s="172"/>
      <c r="VTN30" s="172"/>
      <c r="VTO30" s="172"/>
      <c r="VTP30" s="172"/>
      <c r="VTQ30" s="172"/>
      <c r="VTR30" s="172"/>
      <c r="VTS30" s="172"/>
      <c r="VTT30" s="172"/>
      <c r="VTU30" s="172"/>
      <c r="VTV30" s="172"/>
      <c r="VTW30" s="172"/>
      <c r="VTX30" s="172"/>
      <c r="VTY30" s="172"/>
      <c r="VTZ30" s="172"/>
      <c r="VUA30" s="172"/>
      <c r="VUB30" s="172"/>
      <c r="VUC30" s="172"/>
      <c r="VUD30" s="172"/>
      <c r="VUE30" s="172"/>
      <c r="VUF30" s="172"/>
      <c r="VUG30" s="172"/>
      <c r="VUH30" s="172"/>
      <c r="VUI30" s="172"/>
      <c r="VUJ30" s="172"/>
      <c r="VUK30" s="172"/>
      <c r="VUL30" s="172"/>
      <c r="VUM30" s="172"/>
      <c r="VUN30" s="172"/>
      <c r="VUO30" s="172"/>
      <c r="VUP30" s="172"/>
      <c r="VUQ30" s="172"/>
      <c r="VUR30" s="172"/>
      <c r="VUS30" s="172"/>
      <c r="VUT30" s="172"/>
      <c r="VUU30" s="172"/>
      <c r="VUV30" s="172"/>
      <c r="VUW30" s="172"/>
      <c r="VUX30" s="172"/>
      <c r="VUY30" s="172"/>
      <c r="VUZ30" s="172"/>
      <c r="VVA30" s="172"/>
      <c r="VVB30" s="172"/>
      <c r="VVC30" s="172"/>
      <c r="VVD30" s="172"/>
      <c r="VVE30" s="172"/>
      <c r="VVF30" s="172"/>
      <c r="VVG30" s="172"/>
      <c r="VVH30" s="172"/>
      <c r="VVI30" s="172"/>
      <c r="VVJ30" s="172"/>
      <c r="VVK30" s="172"/>
      <c r="VVL30" s="172"/>
      <c r="VVM30" s="172"/>
      <c r="VVN30" s="172"/>
      <c r="VVO30" s="172"/>
      <c r="VVP30" s="172"/>
      <c r="VVQ30" s="172"/>
      <c r="VVR30" s="172"/>
      <c r="VVS30" s="172"/>
      <c r="VVT30" s="172"/>
      <c r="VVU30" s="172"/>
      <c r="VVV30" s="172"/>
      <c r="VVW30" s="172"/>
      <c r="VVX30" s="172"/>
      <c r="VVY30" s="172"/>
      <c r="VVZ30" s="172"/>
      <c r="VWA30" s="172"/>
      <c r="VWB30" s="172"/>
      <c r="VWC30" s="172"/>
      <c r="VWD30" s="172"/>
      <c r="VWE30" s="172"/>
      <c r="VWF30" s="172"/>
      <c r="VWG30" s="172"/>
      <c r="VWH30" s="172"/>
      <c r="VWI30" s="172"/>
      <c r="VWJ30" s="172"/>
      <c r="VWK30" s="172"/>
      <c r="VWL30" s="172"/>
      <c r="VWM30" s="172"/>
      <c r="VWN30" s="172"/>
      <c r="VWO30" s="172"/>
      <c r="VWP30" s="172"/>
      <c r="VWQ30" s="172"/>
      <c r="VWR30" s="172"/>
      <c r="VWS30" s="172"/>
      <c r="VWT30" s="172"/>
      <c r="VWU30" s="172"/>
      <c r="VWV30" s="172"/>
      <c r="VWW30" s="172"/>
      <c r="VWX30" s="172"/>
      <c r="VWY30" s="172"/>
      <c r="VWZ30" s="172"/>
      <c r="VXA30" s="172"/>
      <c r="VXB30" s="172"/>
      <c r="VXC30" s="172"/>
      <c r="VXD30" s="172"/>
      <c r="VXE30" s="172"/>
      <c r="VXF30" s="172"/>
      <c r="VXG30" s="172"/>
      <c r="VXH30" s="172"/>
      <c r="VXI30" s="172"/>
      <c r="VXJ30" s="172"/>
      <c r="VXK30" s="172"/>
      <c r="VXL30" s="172"/>
      <c r="VXM30" s="172"/>
      <c r="VXN30" s="172"/>
      <c r="VXO30" s="172"/>
      <c r="VXP30" s="172"/>
      <c r="VXQ30" s="172"/>
      <c r="VXR30" s="172"/>
      <c r="VXS30" s="172"/>
      <c r="VXT30" s="172"/>
      <c r="VXU30" s="172"/>
      <c r="VXV30" s="172"/>
      <c r="VXW30" s="172"/>
      <c r="VXX30" s="172"/>
      <c r="VXY30" s="172"/>
      <c r="VXZ30" s="172"/>
      <c r="VYA30" s="172"/>
      <c r="VYB30" s="172"/>
      <c r="VYC30" s="172"/>
      <c r="VYD30" s="172"/>
      <c r="VYE30" s="172"/>
      <c r="VYF30" s="172"/>
      <c r="VYG30" s="172"/>
      <c r="VYH30" s="172"/>
      <c r="VYI30" s="172"/>
      <c r="VYJ30" s="172"/>
      <c r="VYK30" s="172"/>
      <c r="VYL30" s="172"/>
      <c r="VYM30" s="172"/>
      <c r="VYN30" s="172"/>
      <c r="VYO30" s="172"/>
      <c r="VYP30" s="172"/>
      <c r="VYQ30" s="172"/>
      <c r="VYR30" s="172"/>
      <c r="VYS30" s="172"/>
      <c r="VYT30" s="172"/>
      <c r="VYU30" s="172"/>
      <c r="VYV30" s="172"/>
      <c r="VYW30" s="172"/>
      <c r="VYX30" s="172"/>
      <c r="VYY30" s="172"/>
      <c r="VYZ30" s="172"/>
      <c r="VZA30" s="172"/>
      <c r="VZB30" s="172"/>
      <c r="VZC30" s="172"/>
      <c r="VZD30" s="172"/>
      <c r="VZE30" s="172"/>
      <c r="VZF30" s="172"/>
      <c r="VZG30" s="172"/>
      <c r="VZH30" s="172"/>
      <c r="VZI30" s="172"/>
      <c r="VZJ30" s="172"/>
      <c r="VZK30" s="172"/>
      <c r="VZL30" s="172"/>
      <c r="VZM30" s="172"/>
      <c r="VZN30" s="172"/>
      <c r="VZO30" s="172"/>
      <c r="VZP30" s="172"/>
      <c r="VZQ30" s="172"/>
      <c r="VZR30" s="172"/>
      <c r="VZS30" s="172"/>
      <c r="VZT30" s="172"/>
      <c r="VZU30" s="172"/>
      <c r="VZV30" s="172"/>
      <c r="VZW30" s="172"/>
      <c r="VZX30" s="172"/>
      <c r="VZY30" s="172"/>
      <c r="VZZ30" s="172"/>
      <c r="WAA30" s="172"/>
      <c r="WAB30" s="172"/>
      <c r="WAC30" s="172"/>
      <c r="WAD30" s="172"/>
      <c r="WAE30" s="172"/>
      <c r="WAF30" s="172"/>
      <c r="WAG30" s="172"/>
      <c r="WAH30" s="172"/>
      <c r="WAI30" s="172"/>
      <c r="WAJ30" s="172"/>
      <c r="WAK30" s="172"/>
      <c r="WAL30" s="172"/>
      <c r="WAM30" s="172"/>
      <c r="WAN30" s="172"/>
      <c r="WAO30" s="172"/>
      <c r="WAP30" s="172"/>
      <c r="WAQ30" s="172"/>
      <c r="WAR30" s="172"/>
      <c r="WAS30" s="172"/>
      <c r="WAT30" s="172"/>
      <c r="WAU30" s="172"/>
      <c r="WAV30" s="172"/>
      <c r="WAW30" s="172"/>
      <c r="WAX30" s="172"/>
      <c r="WAY30" s="172"/>
      <c r="WAZ30" s="172"/>
      <c r="WBA30" s="172"/>
      <c r="WBB30" s="172"/>
      <c r="WBC30" s="172"/>
      <c r="WBD30" s="172"/>
      <c r="WBE30" s="172"/>
      <c r="WBF30" s="172"/>
      <c r="WBG30" s="172"/>
      <c r="WBH30" s="172"/>
      <c r="WBI30" s="172"/>
      <c r="WBJ30" s="172"/>
      <c r="WBK30" s="172"/>
      <c r="WBL30" s="172"/>
      <c r="WBM30" s="172"/>
      <c r="WBN30" s="172"/>
      <c r="WBO30" s="172"/>
      <c r="WBP30" s="172"/>
      <c r="WBQ30" s="172"/>
      <c r="WBR30" s="172"/>
      <c r="WBS30" s="172"/>
      <c r="WBT30" s="172"/>
      <c r="WBU30" s="172"/>
      <c r="WBV30" s="172"/>
      <c r="WBW30" s="172"/>
      <c r="WBX30" s="172"/>
      <c r="WBY30" s="172"/>
      <c r="WBZ30" s="172"/>
      <c r="WCA30" s="172"/>
      <c r="WCB30" s="172"/>
      <c r="WCC30" s="172"/>
      <c r="WCD30" s="172"/>
      <c r="WCE30" s="172"/>
      <c r="WCF30" s="172"/>
      <c r="WCG30" s="172"/>
      <c r="WCH30" s="172"/>
      <c r="WCI30" s="172"/>
      <c r="WCJ30" s="172"/>
      <c r="WCK30" s="172"/>
      <c r="WCL30" s="172"/>
      <c r="WCM30" s="172"/>
      <c r="WCN30" s="172"/>
      <c r="WCO30" s="172"/>
      <c r="WCP30" s="172"/>
      <c r="WCQ30" s="172"/>
      <c r="WCR30" s="172"/>
      <c r="WCS30" s="172"/>
      <c r="WCT30" s="172"/>
      <c r="WCU30" s="172"/>
      <c r="WCV30" s="172"/>
      <c r="WCW30" s="172"/>
      <c r="WCX30" s="172"/>
      <c r="WCY30" s="172"/>
      <c r="WCZ30" s="172"/>
      <c r="WDA30" s="172"/>
      <c r="WDB30" s="172"/>
      <c r="WDC30" s="172"/>
      <c r="WDD30" s="172"/>
      <c r="WDE30" s="172"/>
      <c r="WDF30" s="172"/>
      <c r="WDG30" s="172"/>
      <c r="WDH30" s="172"/>
      <c r="WDI30" s="172"/>
      <c r="WDJ30" s="172"/>
      <c r="WDK30" s="172"/>
      <c r="WDL30" s="172"/>
      <c r="WDM30" s="172"/>
      <c r="WDN30" s="172"/>
      <c r="WDO30" s="172"/>
      <c r="WDP30" s="172"/>
      <c r="WDQ30" s="172"/>
      <c r="WDR30" s="172"/>
      <c r="WDS30" s="172"/>
      <c r="WDT30" s="172"/>
      <c r="WDU30" s="172"/>
      <c r="WDV30" s="172"/>
      <c r="WDW30" s="172"/>
      <c r="WDX30" s="172"/>
      <c r="WDY30" s="172"/>
      <c r="WDZ30" s="172"/>
      <c r="WEA30" s="172"/>
      <c r="WEB30" s="172"/>
      <c r="WEC30" s="172"/>
      <c r="WED30" s="172"/>
      <c r="WEE30" s="172"/>
      <c r="WEF30" s="172"/>
      <c r="WEG30" s="172"/>
      <c r="WEH30" s="172"/>
      <c r="WEI30" s="172"/>
      <c r="WEJ30" s="172"/>
      <c r="WEK30" s="172"/>
      <c r="WEL30" s="172"/>
      <c r="WEM30" s="172"/>
      <c r="WEN30" s="172"/>
      <c r="WEO30" s="172"/>
      <c r="WEP30" s="172"/>
      <c r="WEQ30" s="172"/>
      <c r="WER30" s="172"/>
      <c r="WES30" s="172"/>
      <c r="WET30" s="172"/>
      <c r="WEU30" s="172"/>
      <c r="WEV30" s="172"/>
      <c r="WEW30" s="172"/>
      <c r="WEX30" s="172"/>
      <c r="WEY30" s="172"/>
      <c r="WEZ30" s="172"/>
      <c r="WFA30" s="172"/>
      <c r="WFB30" s="172"/>
      <c r="WFC30" s="172"/>
      <c r="WFD30" s="172"/>
      <c r="WFE30" s="172"/>
      <c r="WFF30" s="172"/>
      <c r="WFG30" s="172"/>
      <c r="WFH30" s="172"/>
      <c r="WFI30" s="172"/>
      <c r="WFJ30" s="172"/>
      <c r="WFK30" s="172"/>
      <c r="WFL30" s="172"/>
      <c r="WFM30" s="172"/>
      <c r="WFN30" s="172"/>
      <c r="WFO30" s="172"/>
      <c r="WFP30" s="172"/>
      <c r="WFQ30" s="172"/>
      <c r="WFR30" s="172"/>
      <c r="WFS30" s="172"/>
      <c r="WFT30" s="172"/>
      <c r="WFU30" s="172"/>
      <c r="WFV30" s="172"/>
      <c r="WFW30" s="172"/>
      <c r="WFX30" s="172"/>
      <c r="WFY30" s="172"/>
      <c r="WFZ30" s="172"/>
      <c r="WGA30" s="172"/>
      <c r="WGB30" s="172"/>
      <c r="WGC30" s="172"/>
      <c r="WGD30" s="172"/>
      <c r="WGE30" s="172"/>
      <c r="WGF30" s="172"/>
      <c r="WGG30" s="172"/>
      <c r="WGH30" s="172"/>
      <c r="WGI30" s="172"/>
      <c r="WGJ30" s="172"/>
      <c r="WGK30" s="172"/>
      <c r="WGL30" s="172"/>
      <c r="WGM30" s="172"/>
      <c r="WGN30" s="172"/>
      <c r="WGO30" s="172"/>
      <c r="WGP30" s="172"/>
      <c r="WGQ30" s="172"/>
      <c r="WGR30" s="172"/>
      <c r="WGS30" s="172"/>
      <c r="WGT30" s="172"/>
      <c r="WGU30" s="172"/>
      <c r="WGV30" s="172"/>
      <c r="WGW30" s="172"/>
      <c r="WGX30" s="172"/>
      <c r="WGY30" s="172"/>
      <c r="WGZ30" s="172"/>
      <c r="WHA30" s="172"/>
      <c r="WHB30" s="172"/>
      <c r="WHC30" s="172"/>
      <c r="WHD30" s="172"/>
      <c r="WHE30" s="172"/>
      <c r="WHF30" s="172"/>
      <c r="WHG30" s="172"/>
      <c r="WHH30" s="172"/>
      <c r="WHI30" s="172"/>
      <c r="WHJ30" s="172"/>
      <c r="WHK30" s="172"/>
      <c r="WHL30" s="172"/>
      <c r="WHM30" s="172"/>
      <c r="WHN30" s="172"/>
      <c r="WHO30" s="172"/>
      <c r="WHP30" s="172"/>
      <c r="WHQ30" s="172"/>
      <c r="WHR30" s="172"/>
      <c r="WHS30" s="172"/>
      <c r="WHT30" s="172"/>
      <c r="WHU30" s="172"/>
      <c r="WHV30" s="172"/>
      <c r="WHW30" s="172"/>
      <c r="WHX30" s="172"/>
      <c r="WHY30" s="172"/>
      <c r="WHZ30" s="172"/>
      <c r="WIA30" s="172"/>
      <c r="WIB30" s="172"/>
      <c r="WIC30" s="172"/>
      <c r="WID30" s="172"/>
      <c r="WIE30" s="172"/>
      <c r="WIF30" s="172"/>
      <c r="WIG30" s="172"/>
      <c r="WIH30" s="172"/>
      <c r="WII30" s="172"/>
      <c r="WIJ30" s="172"/>
      <c r="WIK30" s="172"/>
      <c r="WIL30" s="172"/>
      <c r="WIM30" s="172"/>
      <c r="WIN30" s="172"/>
      <c r="WIO30" s="172"/>
      <c r="WIP30" s="172"/>
      <c r="WIQ30" s="172"/>
      <c r="WIR30" s="172"/>
      <c r="WIS30" s="172"/>
      <c r="WIT30" s="172"/>
      <c r="WIU30" s="172"/>
      <c r="WIV30" s="172"/>
      <c r="WIW30" s="172"/>
      <c r="WIX30" s="172"/>
      <c r="WIY30" s="172"/>
      <c r="WIZ30" s="172"/>
      <c r="WJA30" s="172"/>
      <c r="WJB30" s="172"/>
      <c r="WJC30" s="172"/>
      <c r="WJD30" s="172"/>
      <c r="WJE30" s="172"/>
      <c r="WJF30" s="172"/>
      <c r="WJG30" s="172"/>
      <c r="WJH30" s="172"/>
      <c r="WJI30" s="172"/>
      <c r="WJJ30" s="172"/>
      <c r="WJK30" s="172"/>
      <c r="WJL30" s="172"/>
      <c r="WJM30" s="172"/>
      <c r="WJN30" s="172"/>
      <c r="WJO30" s="172"/>
      <c r="WJP30" s="172"/>
      <c r="WJQ30" s="172"/>
      <c r="WJR30" s="172"/>
      <c r="WJS30" s="172"/>
      <c r="WJT30" s="172"/>
      <c r="WJU30" s="172"/>
      <c r="WJV30" s="172"/>
      <c r="WJW30" s="172"/>
      <c r="WJX30" s="172"/>
      <c r="WJY30" s="172"/>
      <c r="WJZ30" s="172"/>
      <c r="WKA30" s="172"/>
      <c r="WKB30" s="172"/>
      <c r="WKC30" s="172"/>
      <c r="WKD30" s="172"/>
      <c r="WKE30" s="172"/>
      <c r="WKF30" s="172"/>
      <c r="WKG30" s="172"/>
      <c r="WKH30" s="172"/>
      <c r="WKI30" s="172"/>
      <c r="WKJ30" s="172"/>
      <c r="WKK30" s="172"/>
      <c r="WKL30" s="172"/>
      <c r="WKM30" s="172"/>
      <c r="WKN30" s="172"/>
      <c r="WKO30" s="172"/>
      <c r="WKP30" s="172"/>
      <c r="WKQ30" s="172"/>
      <c r="WKR30" s="172"/>
      <c r="WKS30" s="172"/>
      <c r="WKT30" s="172"/>
      <c r="WKU30" s="172"/>
      <c r="WKV30" s="172"/>
      <c r="WKW30" s="172"/>
      <c r="WKX30" s="172"/>
      <c r="WKY30" s="172"/>
      <c r="WKZ30" s="172"/>
      <c r="WLA30" s="172"/>
      <c r="WLB30" s="172"/>
      <c r="WLC30" s="172"/>
      <c r="WLD30" s="172"/>
      <c r="WLE30" s="172"/>
      <c r="WLF30" s="172"/>
      <c r="WLG30" s="172"/>
      <c r="WLH30" s="172"/>
      <c r="WLI30" s="172"/>
      <c r="WLJ30" s="172"/>
      <c r="WLK30" s="172"/>
      <c r="WLL30" s="172"/>
      <c r="WLM30" s="172"/>
      <c r="WLN30" s="172"/>
      <c r="WLO30" s="172"/>
      <c r="WLP30" s="172"/>
      <c r="WLQ30" s="172"/>
      <c r="WLR30" s="172"/>
      <c r="WLS30" s="172"/>
      <c r="WLT30" s="172"/>
      <c r="WLU30" s="172"/>
      <c r="WLV30" s="172"/>
      <c r="WLW30" s="172"/>
      <c r="WLX30" s="172"/>
      <c r="WLY30" s="172"/>
      <c r="WLZ30" s="172"/>
      <c r="WMA30" s="172"/>
      <c r="WMB30" s="172"/>
      <c r="WMC30" s="172"/>
      <c r="WMD30" s="172"/>
      <c r="WME30" s="172"/>
      <c r="WMF30" s="172"/>
      <c r="WMG30" s="172"/>
      <c r="WMH30" s="172"/>
      <c r="WMI30" s="172"/>
      <c r="WMJ30" s="172"/>
      <c r="WMK30" s="172"/>
      <c r="WML30" s="172"/>
      <c r="WMM30" s="172"/>
      <c r="WMN30" s="172"/>
      <c r="WMO30" s="172"/>
      <c r="WMP30" s="172"/>
      <c r="WMQ30" s="172"/>
      <c r="WMR30" s="172"/>
      <c r="WMS30" s="172"/>
      <c r="WMT30" s="172"/>
      <c r="WMU30" s="172"/>
      <c r="WMV30" s="172"/>
      <c r="WMW30" s="172"/>
      <c r="WMX30" s="172"/>
      <c r="WMY30" s="172"/>
      <c r="WMZ30" s="172"/>
      <c r="WNA30" s="172"/>
      <c r="WNB30" s="172"/>
      <c r="WNC30" s="172"/>
      <c r="WND30" s="172"/>
      <c r="WNE30" s="172"/>
      <c r="WNF30" s="172"/>
      <c r="WNG30" s="172"/>
      <c r="WNH30" s="172"/>
      <c r="WNI30" s="172"/>
      <c r="WNJ30" s="172"/>
      <c r="WNK30" s="172"/>
      <c r="WNL30" s="172"/>
      <c r="WNM30" s="172"/>
      <c r="WNN30" s="172"/>
      <c r="WNO30" s="172"/>
      <c r="WNP30" s="172"/>
      <c r="WNQ30" s="172"/>
      <c r="WNR30" s="172"/>
      <c r="WNS30" s="172"/>
      <c r="WNT30" s="172"/>
      <c r="WNU30" s="172"/>
      <c r="WNV30" s="172"/>
      <c r="WNW30" s="172"/>
      <c r="WNX30" s="172"/>
      <c r="WNY30" s="172"/>
      <c r="WNZ30" s="172"/>
      <c r="WOA30" s="172"/>
      <c r="WOB30" s="172"/>
      <c r="WOC30" s="172"/>
      <c r="WOD30" s="172"/>
      <c r="WOE30" s="172"/>
      <c r="WOF30" s="172"/>
      <c r="WOG30" s="172"/>
      <c r="WOH30" s="172"/>
      <c r="WOI30" s="172"/>
      <c r="WOJ30" s="172"/>
      <c r="WOK30" s="172"/>
      <c r="WOL30" s="172"/>
      <c r="WOM30" s="172"/>
      <c r="WON30" s="172"/>
      <c r="WOO30" s="172"/>
      <c r="WOP30" s="172"/>
      <c r="WOQ30" s="172"/>
      <c r="WOR30" s="172"/>
      <c r="WOS30" s="172"/>
      <c r="WOT30" s="172"/>
      <c r="WOU30" s="172"/>
      <c r="WOV30" s="172"/>
      <c r="WOW30" s="172"/>
      <c r="WOX30" s="172"/>
      <c r="WOY30" s="172"/>
      <c r="WOZ30" s="172"/>
      <c r="WPA30" s="172"/>
      <c r="WPB30" s="172"/>
      <c r="WPC30" s="172"/>
      <c r="WPD30" s="172"/>
      <c r="WPE30" s="172"/>
      <c r="WPF30" s="172"/>
      <c r="WPG30" s="172"/>
      <c r="WPH30" s="172"/>
      <c r="WPI30" s="172"/>
      <c r="WPJ30" s="172"/>
      <c r="WPK30" s="172"/>
      <c r="WPL30" s="172"/>
      <c r="WPM30" s="172"/>
      <c r="WPN30" s="172"/>
      <c r="WPO30" s="172"/>
      <c r="WPP30" s="172"/>
      <c r="WPQ30" s="172"/>
      <c r="WPR30" s="172"/>
      <c r="WPS30" s="172"/>
      <c r="WPT30" s="172"/>
      <c r="WPU30" s="172"/>
      <c r="WPV30" s="172"/>
      <c r="WPW30" s="172"/>
      <c r="WPX30" s="172"/>
      <c r="WPY30" s="172"/>
      <c r="WPZ30" s="172"/>
      <c r="WQA30" s="172"/>
      <c r="WQB30" s="172"/>
      <c r="WQC30" s="172"/>
      <c r="WQD30" s="172"/>
      <c r="WQE30" s="172"/>
      <c r="WQF30" s="172"/>
      <c r="WQG30" s="172"/>
      <c r="WQH30" s="172"/>
      <c r="WQI30" s="172"/>
      <c r="WQJ30" s="172"/>
      <c r="WQK30" s="172"/>
      <c r="WQL30" s="172"/>
      <c r="WQM30" s="172"/>
      <c r="WQN30" s="172"/>
      <c r="WQO30" s="172"/>
      <c r="WQP30" s="172"/>
      <c r="WQQ30" s="172"/>
      <c r="WQR30" s="172"/>
      <c r="WQS30" s="172"/>
      <c r="WQT30" s="172"/>
      <c r="WQU30" s="172"/>
      <c r="WQV30" s="172"/>
      <c r="WQW30" s="172"/>
      <c r="WQX30" s="172"/>
      <c r="WQY30" s="172"/>
      <c r="WQZ30" s="172"/>
      <c r="WRA30" s="172"/>
      <c r="WRB30" s="172"/>
      <c r="WRC30" s="172"/>
      <c r="WRD30" s="172"/>
      <c r="WRE30" s="172"/>
      <c r="WRF30" s="172"/>
      <c r="WRG30" s="172"/>
      <c r="WRH30" s="172"/>
      <c r="WRI30" s="172"/>
      <c r="WRJ30" s="172"/>
      <c r="WRK30" s="172"/>
      <c r="WRL30" s="172"/>
      <c r="WRM30" s="172"/>
      <c r="WRN30" s="172"/>
      <c r="WRO30" s="172"/>
      <c r="WRP30" s="172"/>
      <c r="WRQ30" s="172"/>
      <c r="WRR30" s="172"/>
      <c r="WRS30" s="172"/>
      <c r="WRT30" s="172"/>
      <c r="WRU30" s="172"/>
      <c r="WRV30" s="172"/>
      <c r="WRW30" s="172"/>
      <c r="WRX30" s="172"/>
      <c r="WRY30" s="172"/>
      <c r="WRZ30" s="172"/>
      <c r="WSA30" s="172"/>
      <c r="WSB30" s="172"/>
      <c r="WSC30" s="172"/>
      <c r="WSD30" s="172"/>
      <c r="WSE30" s="172"/>
      <c r="WSF30" s="172"/>
      <c r="WSG30" s="172"/>
      <c r="WSH30" s="172"/>
      <c r="WSI30" s="172"/>
      <c r="WSJ30" s="172"/>
      <c r="WSK30" s="172"/>
      <c r="WSL30" s="172"/>
      <c r="WSM30" s="172"/>
      <c r="WSN30" s="172"/>
      <c r="WSO30" s="172"/>
      <c r="WSP30" s="172"/>
      <c r="WSQ30" s="172"/>
      <c r="WSR30" s="172"/>
      <c r="WSS30" s="172"/>
      <c r="WST30" s="172"/>
      <c r="WSU30" s="172"/>
      <c r="WSV30" s="172"/>
      <c r="WSW30" s="172"/>
      <c r="WSX30" s="172"/>
      <c r="WSY30" s="172"/>
      <c r="WSZ30" s="172"/>
      <c r="WTA30" s="172"/>
      <c r="WTB30" s="172"/>
      <c r="WTC30" s="172"/>
      <c r="WTD30" s="172"/>
      <c r="WTE30" s="172"/>
      <c r="WTF30" s="172"/>
      <c r="WTG30" s="172"/>
      <c r="WTH30" s="172"/>
      <c r="WTI30" s="172"/>
      <c r="WTJ30" s="172"/>
      <c r="WTK30" s="172"/>
      <c r="WTL30" s="172"/>
      <c r="WTM30" s="172"/>
      <c r="WTN30" s="172"/>
      <c r="WTO30" s="172"/>
      <c r="WTP30" s="172"/>
      <c r="WTQ30" s="172"/>
      <c r="WTR30" s="172"/>
      <c r="WTS30" s="172"/>
      <c r="WTT30" s="172"/>
      <c r="WTU30" s="172"/>
      <c r="WTV30" s="172"/>
      <c r="WTW30" s="172"/>
      <c r="WTX30" s="172"/>
      <c r="WTY30" s="172"/>
      <c r="WTZ30" s="172"/>
      <c r="WUA30" s="172"/>
      <c r="WUB30" s="172"/>
      <c r="WUC30" s="172"/>
      <c r="WUD30" s="172"/>
      <c r="WUE30" s="172"/>
      <c r="WUF30" s="172"/>
      <c r="WUG30" s="172"/>
      <c r="WUH30" s="172"/>
      <c r="WUI30" s="172"/>
      <c r="WUJ30" s="172"/>
      <c r="WUK30" s="172"/>
      <c r="WUL30" s="172"/>
      <c r="WUM30" s="172"/>
      <c r="WUN30" s="172"/>
      <c r="WUO30" s="172"/>
      <c r="WUP30" s="172"/>
      <c r="WUQ30" s="172"/>
      <c r="WUR30" s="172"/>
      <c r="WUS30" s="172"/>
      <c r="WUT30" s="172"/>
      <c r="WUU30" s="172"/>
      <c r="WUV30" s="172"/>
      <c r="WUW30" s="172"/>
      <c r="WUX30" s="172"/>
      <c r="WUY30" s="172"/>
      <c r="WUZ30" s="172"/>
      <c r="WVA30" s="172"/>
      <c r="WVB30" s="172"/>
      <c r="WVC30" s="172"/>
      <c r="WVD30" s="172"/>
      <c r="WVE30" s="172"/>
      <c r="WVF30" s="172"/>
      <c r="WVG30" s="172"/>
      <c r="WVH30" s="172"/>
      <c r="WVI30" s="172"/>
      <c r="WVJ30" s="172"/>
      <c r="WVK30" s="172"/>
      <c r="WVL30" s="172"/>
      <c r="WVM30" s="172"/>
      <c r="WVN30" s="172"/>
      <c r="WVO30" s="172"/>
      <c r="WVP30" s="172"/>
      <c r="WVQ30" s="172"/>
      <c r="WVR30" s="172"/>
      <c r="WVS30" s="172"/>
      <c r="WVT30" s="172"/>
      <c r="WVU30" s="172"/>
      <c r="WVV30" s="172"/>
      <c r="WVW30" s="172"/>
      <c r="WVX30" s="172"/>
      <c r="WVY30" s="172"/>
      <c r="WVZ30" s="172"/>
      <c r="WWA30" s="172"/>
      <c r="WWB30" s="172"/>
      <c r="WWC30" s="172"/>
      <c r="WWD30" s="172"/>
      <c r="WWE30" s="172"/>
      <c r="WWF30" s="172"/>
      <c r="WWG30" s="172"/>
      <c r="WWH30" s="172"/>
      <c r="WWI30" s="172"/>
      <c r="WWJ30" s="172"/>
      <c r="WWK30" s="172"/>
      <c r="WWL30" s="172"/>
      <c r="WWM30" s="172"/>
      <c r="WWN30" s="172"/>
      <c r="WWO30" s="172"/>
      <c r="WWP30" s="172"/>
      <c r="WWQ30" s="172"/>
      <c r="WWR30" s="172"/>
      <c r="WWS30" s="172"/>
      <c r="WWT30" s="172"/>
      <c r="WWU30" s="172"/>
      <c r="WWV30" s="172"/>
      <c r="WWW30" s="172"/>
      <c r="WWX30" s="172"/>
      <c r="WWY30" s="172"/>
      <c r="WWZ30" s="172"/>
      <c r="WXA30" s="172"/>
      <c r="WXB30" s="172"/>
      <c r="WXC30" s="172"/>
      <c r="WXD30" s="172"/>
      <c r="WXE30" s="172"/>
      <c r="WXF30" s="172"/>
      <c r="WXG30" s="172"/>
      <c r="WXH30" s="172"/>
      <c r="WXI30" s="172"/>
      <c r="WXJ30" s="172"/>
      <c r="WXK30" s="172"/>
      <c r="WXL30" s="172"/>
      <c r="WXM30" s="172"/>
      <c r="WXN30" s="172"/>
      <c r="WXO30" s="172"/>
      <c r="WXP30" s="172"/>
      <c r="WXQ30" s="172"/>
      <c r="WXR30" s="172"/>
      <c r="WXS30" s="172"/>
      <c r="WXT30" s="172"/>
      <c r="WXU30" s="172"/>
      <c r="WXV30" s="172"/>
      <c r="WXW30" s="172"/>
      <c r="WXX30" s="172"/>
      <c r="WXY30" s="172"/>
      <c r="WXZ30" s="172"/>
      <c r="WYA30" s="172"/>
      <c r="WYB30" s="172"/>
      <c r="WYC30" s="172"/>
      <c r="WYD30" s="172"/>
      <c r="WYE30" s="172"/>
      <c r="WYF30" s="172"/>
      <c r="WYG30" s="172"/>
      <c r="WYH30" s="172"/>
      <c r="WYI30" s="172"/>
      <c r="WYJ30" s="172"/>
      <c r="WYK30" s="172"/>
      <c r="WYL30" s="172"/>
      <c r="WYM30" s="172"/>
      <c r="WYN30" s="172"/>
      <c r="WYO30" s="172"/>
      <c r="WYP30" s="172"/>
      <c r="WYQ30" s="172"/>
      <c r="WYR30" s="172"/>
      <c r="WYS30" s="172"/>
      <c r="WYT30" s="172"/>
      <c r="WYU30" s="172"/>
      <c r="WYV30" s="172"/>
      <c r="WYW30" s="172"/>
      <c r="WYX30" s="172"/>
      <c r="WYY30" s="172"/>
      <c r="WYZ30" s="172"/>
      <c r="WZA30" s="172"/>
      <c r="WZB30" s="172"/>
      <c r="WZC30" s="172"/>
      <c r="WZD30" s="172"/>
      <c r="WZE30" s="172"/>
      <c r="WZF30" s="172"/>
      <c r="WZG30" s="172"/>
      <c r="WZH30" s="172"/>
      <c r="WZI30" s="172"/>
      <c r="WZJ30" s="172"/>
      <c r="WZK30" s="172"/>
      <c r="WZL30" s="172"/>
      <c r="WZM30" s="172"/>
      <c r="WZN30" s="172"/>
      <c r="WZO30" s="172"/>
      <c r="WZP30" s="172"/>
      <c r="WZQ30" s="172"/>
      <c r="WZR30" s="172"/>
      <c r="WZS30" s="172"/>
      <c r="WZT30" s="172"/>
      <c r="WZU30" s="172"/>
      <c r="WZV30" s="172"/>
      <c r="WZW30" s="172"/>
      <c r="WZX30" s="172"/>
      <c r="WZY30" s="172"/>
      <c r="WZZ30" s="172"/>
      <c r="XAA30" s="172"/>
      <c r="XAB30" s="172"/>
      <c r="XAC30" s="172"/>
      <c r="XAD30" s="172"/>
      <c r="XAE30" s="172"/>
      <c r="XAF30" s="172"/>
      <c r="XAG30" s="172"/>
      <c r="XAH30" s="172"/>
      <c r="XAI30" s="172"/>
      <c r="XAJ30" s="172"/>
      <c r="XAK30" s="172"/>
      <c r="XAL30" s="172"/>
      <c r="XAM30" s="172"/>
      <c r="XAN30" s="172"/>
      <c r="XAO30" s="172"/>
      <c r="XAP30" s="172"/>
      <c r="XAQ30" s="172"/>
      <c r="XAR30" s="172"/>
      <c r="XAS30" s="172"/>
      <c r="XAT30" s="172"/>
      <c r="XAU30" s="172"/>
      <c r="XAV30" s="172"/>
      <c r="XAW30" s="172"/>
      <c r="XAX30" s="172"/>
      <c r="XAY30" s="172"/>
      <c r="XAZ30" s="172"/>
      <c r="XBA30" s="172"/>
      <c r="XBB30" s="172"/>
      <c r="XBC30" s="172"/>
      <c r="XBD30" s="172"/>
      <c r="XBE30" s="172"/>
      <c r="XBF30" s="172"/>
      <c r="XBG30" s="172"/>
      <c r="XBH30" s="172"/>
      <c r="XBI30" s="172"/>
      <c r="XBJ30" s="172"/>
      <c r="XBK30" s="172"/>
      <c r="XBL30" s="172"/>
      <c r="XBM30" s="172"/>
      <c r="XBN30" s="172"/>
      <c r="XBO30" s="172"/>
      <c r="XBP30" s="172"/>
      <c r="XBQ30" s="172"/>
      <c r="XBR30" s="172"/>
      <c r="XBS30" s="172"/>
      <c r="XBT30" s="172"/>
      <c r="XBU30" s="172"/>
      <c r="XBV30" s="172"/>
      <c r="XBW30" s="172"/>
      <c r="XBX30" s="172"/>
      <c r="XBY30" s="172"/>
      <c r="XBZ30" s="172"/>
      <c r="XCA30" s="172"/>
      <c r="XCB30" s="172"/>
      <c r="XCC30" s="172"/>
      <c r="XCD30" s="172"/>
      <c r="XCE30" s="172"/>
      <c r="XCF30" s="172"/>
      <c r="XCG30" s="172"/>
      <c r="XCH30" s="172"/>
      <c r="XCI30" s="172"/>
      <c r="XCJ30" s="172"/>
      <c r="XCK30" s="172"/>
      <c r="XCL30" s="172"/>
      <c r="XCM30" s="172"/>
      <c r="XCN30" s="172"/>
      <c r="XCO30" s="172"/>
      <c r="XCP30" s="172"/>
      <c r="XCQ30" s="172"/>
      <c r="XCR30" s="172"/>
      <c r="XCS30" s="172"/>
      <c r="XCT30" s="172"/>
      <c r="XCU30" s="172"/>
      <c r="XCV30" s="172"/>
      <c r="XCW30" s="172"/>
      <c r="XCX30" s="172"/>
      <c r="XCY30" s="172"/>
      <c r="XCZ30" s="172"/>
      <c r="XDA30" s="172"/>
      <c r="XDB30" s="172"/>
      <c r="XDC30" s="172"/>
      <c r="XDD30" s="172"/>
      <c r="XDE30" s="172"/>
      <c r="XDF30" s="172"/>
      <c r="XDG30" s="172"/>
      <c r="XDH30" s="172"/>
      <c r="XDI30" s="172"/>
      <c r="XDJ30" s="172"/>
      <c r="XDK30" s="172"/>
      <c r="XDL30" s="172"/>
      <c r="XDM30" s="172"/>
      <c r="XDN30" s="172"/>
      <c r="XDO30" s="172"/>
      <c r="XDP30" s="172"/>
      <c r="XDQ30" s="172"/>
      <c r="XDR30" s="172"/>
      <c r="XDS30" s="172"/>
      <c r="XDT30" s="172"/>
      <c r="XDU30" s="172"/>
      <c r="XDV30" s="172"/>
      <c r="XDW30" s="172"/>
      <c r="XDX30" s="172"/>
      <c r="XDY30" s="172"/>
      <c r="XDZ30" s="172"/>
      <c r="XEA30" s="172"/>
      <c r="XEB30" s="172"/>
      <c r="XEC30" s="172"/>
      <c r="XED30" s="172"/>
      <c r="XEE30" s="172"/>
      <c r="XEF30" s="172"/>
      <c r="XEG30" s="172"/>
      <c r="XEH30" s="172"/>
      <c r="XEI30" s="172"/>
      <c r="XEJ30" s="172"/>
      <c r="XEK30" s="172"/>
      <c r="XEL30" s="172"/>
      <c r="XEM30" s="172"/>
      <c r="XEN30" s="172"/>
      <c r="XEO30" s="172"/>
      <c r="XEP30" s="172"/>
      <c r="XEQ30" s="172"/>
      <c r="XER30" s="172"/>
      <c r="XES30" s="172"/>
      <c r="XET30" s="172"/>
      <c r="XEU30" s="172"/>
      <c r="XEV30" s="172"/>
      <c r="XEW30" s="172"/>
      <c r="XEX30" s="172"/>
      <c r="XEY30" s="172"/>
      <c r="XEZ30" s="172"/>
      <c r="XFA30" s="172"/>
      <c r="XFB30" s="172"/>
      <c r="XFC30" s="172"/>
      <c r="XFD30" s="172"/>
    </row>
    <row r="31" spans="1:16384" s="528" customFormat="1" ht="18.600000000000001" customHeight="1" x14ac:dyDescent="0.3">
      <c r="A31" s="304"/>
      <c r="B31" s="505"/>
      <c r="C31" s="515"/>
      <c r="D31" s="515"/>
      <c r="E31" s="515"/>
      <c r="F31" s="557"/>
      <c r="G31" s="557"/>
      <c r="H31" s="515"/>
      <c r="I31" s="552"/>
      <c r="J31" s="553"/>
      <c r="K31" s="552"/>
      <c r="L31" s="554"/>
      <c r="M31" s="554"/>
      <c r="N31" s="554"/>
      <c r="O31" s="554"/>
      <c r="P31" s="515"/>
      <c r="Q31" s="558"/>
      <c r="R31" s="556"/>
      <c r="S31" s="538"/>
    </row>
  </sheetData>
  <autoFilter ref="A1:S23"/>
  <sortState ref="A2:S23">
    <sortCondition ref="B2:B23"/>
    <sortCondition ref="E2:E23"/>
  </sortState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2022년 전국극장현황</vt:lpstr>
      <vt:lpstr>2022년 행정구역(시군구)별 극장현황</vt:lpstr>
      <vt:lpstr>2022년 전국멀티플렉스현황</vt:lpstr>
      <vt:lpstr>2022년 전국 4대 멀티플렉스체인현황</vt:lpstr>
      <vt:lpstr>특별관 유형 분류 및 통계</vt:lpstr>
      <vt:lpstr>2022년 전국 극장 리스트</vt:lpstr>
      <vt:lpstr>2022년 전국 스크린별 상세 리스트</vt:lpstr>
      <vt:lpstr>2022년 신규개관 극장 리스트</vt:lpstr>
      <vt:lpstr>2022년 휴폐관리스트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김자연</dc:creator>
  <cp:lastModifiedBy>정혜란</cp:lastModifiedBy>
  <dcterms:created xsi:type="dcterms:W3CDTF">2019-11-26T11:48:26Z</dcterms:created>
  <dcterms:modified xsi:type="dcterms:W3CDTF">2023-01-30T08:38:28Z</dcterms:modified>
</cp:coreProperties>
</file>